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ropbox\MyProjects\kinmodre\data_packages\caccSM26\"/>
    </mc:Choice>
  </mc:AlternateContent>
  <xr:revisionPtr revIDLastSave="0" documentId="13_ncr:1_{A849A460-B04D-4A03-B32A-72B912AC01F1}" xr6:coauthVersionLast="47" xr6:coauthVersionMax="47" xr10:uidLastSave="{00000000-0000-0000-0000-000000000000}"/>
  <bookViews>
    <workbookView xWindow="-110" yWindow="-110" windowWidth="19420" windowHeight="10300" xr2:uid="{DEE1BF84-EC29-324F-BA75-01E151C7AAC4}"/>
  </bookViews>
  <sheets>
    <sheet name="Information" sheetId="6" r:id="rId1"/>
    <sheet name="Peptides" sheetId="1" r:id="rId2"/>
    <sheet name="EC number" sheetId="2" r:id="rId3"/>
    <sheet name="Metabolites" sheetId="3" r:id="rId4"/>
    <sheet name="Enzymes" sheetId="5" r:id="rId5"/>
    <sheet name="Reactions " sheetId="4" r:id="rId6"/>
  </sheets>
  <definedNames>
    <definedName name="_xlnm._FilterDatabase" localSheetId="3" hidden="1">Metabolites!$A$1:$D$1098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2" i="4"/>
  <c r="K403" i="4"/>
  <c r="K404" i="4"/>
  <c r="K405" i="4"/>
  <c r="K406" i="4"/>
  <c r="K407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J107" i="4"/>
  <c r="A2" i="5" a="1"/>
  <c r="A2" i="5" s="1"/>
  <c r="L2" i="5"/>
  <c r="K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2" i="5"/>
  <c r="C18" i="3"/>
  <c r="C32" i="3"/>
  <c r="C39" i="3"/>
  <c r="C52" i="3"/>
  <c r="C60" i="3"/>
  <c r="C62" i="3"/>
  <c r="C67" i="3"/>
  <c r="C75" i="3"/>
  <c r="C76" i="3"/>
  <c r="C78" i="3"/>
  <c r="C83" i="3"/>
  <c r="C85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4" i="3"/>
  <c r="C115" i="3"/>
  <c r="C116" i="3"/>
  <c r="C117" i="3"/>
  <c r="C118" i="3"/>
  <c r="C119" i="3"/>
  <c r="C120" i="3"/>
  <c r="C121" i="3"/>
  <c r="C122" i="3"/>
  <c r="C123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2" i="5"/>
  <c r="I7" i="5"/>
  <c r="I15" i="5"/>
  <c r="I23" i="5"/>
  <c r="I31" i="5"/>
  <c r="I39" i="5"/>
  <c r="I47" i="5"/>
  <c r="I55" i="5"/>
  <c r="I63" i="5"/>
  <c r="I71" i="5"/>
  <c r="I79" i="5"/>
  <c r="I87" i="5"/>
  <c r="I95" i="5"/>
  <c r="I103" i="5"/>
  <c r="I111" i="5"/>
  <c r="I119" i="5"/>
  <c r="I127" i="5"/>
  <c r="I135" i="5"/>
  <c r="I143" i="5"/>
  <c r="I151" i="5"/>
  <c r="I159" i="5"/>
  <c r="I167" i="5"/>
  <c r="I175" i="5"/>
  <c r="I183" i="5"/>
  <c r="I191" i="5"/>
  <c r="I199" i="5"/>
  <c r="I207" i="5"/>
  <c r="I215" i="5"/>
  <c r="I223" i="5"/>
  <c r="I231" i="5"/>
  <c r="I239" i="5"/>
  <c r="I247" i="5"/>
  <c r="I255" i="5"/>
  <c r="I263" i="5"/>
  <c r="I271" i="5"/>
  <c r="I279" i="5"/>
  <c r="I287" i="5"/>
  <c r="I295" i="5"/>
  <c r="I303" i="5"/>
  <c r="I311" i="5"/>
  <c r="I319" i="5"/>
  <c r="I327" i="5"/>
  <c r="I335" i="5"/>
  <c r="I343" i="5"/>
  <c r="I351" i="5"/>
  <c r="I359" i="5"/>
  <c r="I367" i="5"/>
  <c r="I375" i="5"/>
  <c r="I383" i="5"/>
  <c r="I391" i="5"/>
  <c r="I399" i="5"/>
  <c r="I407" i="5"/>
  <c r="H2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2" i="5"/>
  <c r="I3" i="5"/>
  <c r="I4" i="5"/>
  <c r="I5" i="5"/>
  <c r="I8" i="5"/>
  <c r="I9" i="5"/>
  <c r="I10" i="5"/>
  <c r="I11" i="5"/>
  <c r="I12" i="5"/>
  <c r="I13" i="5"/>
  <c r="I16" i="5"/>
  <c r="I17" i="5"/>
  <c r="I18" i="5"/>
  <c r="I19" i="5"/>
  <c r="I20" i="5"/>
  <c r="I21" i="5"/>
  <c r="I24" i="5"/>
  <c r="I25" i="5"/>
  <c r="I26" i="5"/>
  <c r="I27" i="5"/>
  <c r="I28" i="5"/>
  <c r="I29" i="5"/>
  <c r="I32" i="5"/>
  <c r="I33" i="5"/>
  <c r="I34" i="5"/>
  <c r="I35" i="5"/>
  <c r="I36" i="5"/>
  <c r="I37" i="5"/>
  <c r="I40" i="5"/>
  <c r="I41" i="5"/>
  <c r="I42" i="5"/>
  <c r="I43" i="5"/>
  <c r="I44" i="5"/>
  <c r="I45" i="5"/>
  <c r="I48" i="5"/>
  <c r="I49" i="5"/>
  <c r="I50" i="5"/>
  <c r="I51" i="5"/>
  <c r="I52" i="5"/>
  <c r="I53" i="5"/>
  <c r="I56" i="5"/>
  <c r="I57" i="5"/>
  <c r="I58" i="5"/>
  <c r="I59" i="5"/>
  <c r="I60" i="5"/>
  <c r="I61" i="5"/>
  <c r="I64" i="5"/>
  <c r="I65" i="5"/>
  <c r="I66" i="5"/>
  <c r="I67" i="5"/>
  <c r="I68" i="5"/>
  <c r="I69" i="5"/>
  <c r="I72" i="5"/>
  <c r="I73" i="5"/>
  <c r="I74" i="5"/>
  <c r="I75" i="5"/>
  <c r="I76" i="5"/>
  <c r="I77" i="5"/>
  <c r="I80" i="5"/>
  <c r="I81" i="5"/>
  <c r="I82" i="5"/>
  <c r="I83" i="5"/>
  <c r="I84" i="5"/>
  <c r="I85" i="5"/>
  <c r="I88" i="5"/>
  <c r="I89" i="5"/>
  <c r="I90" i="5"/>
  <c r="I91" i="5"/>
  <c r="I92" i="5"/>
  <c r="I93" i="5"/>
  <c r="I96" i="5"/>
  <c r="I97" i="5"/>
  <c r="I98" i="5"/>
  <c r="I99" i="5"/>
  <c r="I100" i="5"/>
  <c r="I101" i="5"/>
  <c r="I104" i="5"/>
  <c r="I105" i="5"/>
  <c r="I106" i="5"/>
  <c r="I107" i="5"/>
  <c r="I108" i="5"/>
  <c r="I109" i="5"/>
  <c r="I112" i="5"/>
  <c r="I113" i="5"/>
  <c r="I114" i="5"/>
  <c r="I115" i="5"/>
  <c r="I116" i="5"/>
  <c r="I117" i="5"/>
  <c r="I120" i="5"/>
  <c r="I121" i="5"/>
  <c r="I122" i="5"/>
  <c r="I123" i="5"/>
  <c r="I124" i="5"/>
  <c r="I125" i="5"/>
  <c r="I128" i="5"/>
  <c r="I129" i="5"/>
  <c r="I130" i="5"/>
  <c r="I131" i="5"/>
  <c r="I132" i="5"/>
  <c r="I133" i="5"/>
  <c r="I136" i="5"/>
  <c r="I137" i="5"/>
  <c r="I138" i="5"/>
  <c r="I139" i="5"/>
  <c r="I140" i="5"/>
  <c r="I141" i="5"/>
  <c r="I144" i="5"/>
  <c r="I145" i="5"/>
  <c r="I146" i="5"/>
  <c r="I147" i="5"/>
  <c r="I148" i="5"/>
  <c r="I149" i="5"/>
  <c r="I152" i="5"/>
  <c r="I153" i="5"/>
  <c r="I154" i="5"/>
  <c r="I155" i="5"/>
  <c r="I156" i="5"/>
  <c r="I157" i="5"/>
  <c r="I160" i="5"/>
  <c r="I161" i="5"/>
  <c r="I162" i="5"/>
  <c r="I163" i="5"/>
  <c r="I164" i="5"/>
  <c r="I165" i="5"/>
  <c r="I168" i="5"/>
  <c r="I169" i="5"/>
  <c r="I170" i="5"/>
  <c r="I171" i="5"/>
  <c r="I172" i="5"/>
  <c r="I173" i="5"/>
  <c r="I176" i="5"/>
  <c r="I177" i="5"/>
  <c r="I178" i="5"/>
  <c r="I179" i="5"/>
  <c r="I180" i="5"/>
  <c r="I181" i="5"/>
  <c r="I184" i="5"/>
  <c r="I185" i="5"/>
  <c r="I186" i="5"/>
  <c r="I187" i="5"/>
  <c r="I188" i="5"/>
  <c r="I189" i="5"/>
  <c r="I192" i="5"/>
  <c r="I193" i="5"/>
  <c r="I194" i="5"/>
  <c r="I195" i="5"/>
  <c r="I196" i="5"/>
  <c r="I197" i="5"/>
  <c r="I200" i="5"/>
  <c r="I201" i="5"/>
  <c r="I202" i="5"/>
  <c r="I203" i="5"/>
  <c r="I204" i="5"/>
  <c r="I205" i="5"/>
  <c r="I208" i="5"/>
  <c r="I209" i="5"/>
  <c r="I210" i="5"/>
  <c r="I211" i="5"/>
  <c r="I212" i="5"/>
  <c r="I213" i="5"/>
  <c r="I216" i="5"/>
  <c r="I217" i="5"/>
  <c r="I218" i="5"/>
  <c r="I219" i="5"/>
  <c r="I220" i="5"/>
  <c r="I221" i="5"/>
  <c r="I224" i="5"/>
  <c r="I225" i="5"/>
  <c r="I226" i="5"/>
  <c r="I227" i="5"/>
  <c r="I228" i="5"/>
  <c r="I229" i="5"/>
  <c r="I232" i="5"/>
  <c r="I233" i="5"/>
  <c r="I234" i="5"/>
  <c r="I235" i="5"/>
  <c r="I236" i="5"/>
  <c r="I237" i="5"/>
  <c r="I240" i="5"/>
  <c r="I241" i="5"/>
  <c r="I242" i="5"/>
  <c r="I243" i="5"/>
  <c r="I244" i="5"/>
  <c r="I245" i="5"/>
  <c r="I248" i="5"/>
  <c r="I249" i="5"/>
  <c r="I250" i="5"/>
  <c r="I251" i="5"/>
  <c r="I252" i="5"/>
  <c r="I253" i="5"/>
  <c r="I256" i="5"/>
  <c r="I257" i="5"/>
  <c r="I258" i="5"/>
  <c r="I259" i="5"/>
  <c r="I260" i="5"/>
  <c r="I261" i="5"/>
  <c r="I264" i="5"/>
  <c r="I265" i="5"/>
  <c r="I266" i="5"/>
  <c r="I267" i="5"/>
  <c r="I268" i="5"/>
  <c r="I269" i="5"/>
  <c r="I272" i="5"/>
  <c r="I273" i="5"/>
  <c r="I274" i="5"/>
  <c r="I275" i="5"/>
  <c r="I276" i="5"/>
  <c r="I277" i="5"/>
  <c r="I280" i="5"/>
  <c r="I281" i="5"/>
  <c r="I282" i="5"/>
  <c r="I283" i="5"/>
  <c r="I284" i="5"/>
  <c r="I285" i="5"/>
  <c r="I288" i="5"/>
  <c r="I289" i="5"/>
  <c r="I290" i="5"/>
  <c r="I291" i="5"/>
  <c r="I292" i="5"/>
  <c r="I293" i="5"/>
  <c r="I296" i="5"/>
  <c r="I297" i="5"/>
  <c r="I298" i="5"/>
  <c r="I299" i="5"/>
  <c r="I300" i="5"/>
  <c r="I301" i="5"/>
  <c r="I304" i="5"/>
  <c r="I305" i="5"/>
  <c r="I306" i="5"/>
  <c r="I307" i="5"/>
  <c r="I308" i="5"/>
  <c r="I309" i="5"/>
  <c r="I312" i="5"/>
  <c r="I313" i="5"/>
  <c r="I314" i="5"/>
  <c r="I315" i="5"/>
  <c r="I316" i="5"/>
  <c r="I317" i="5"/>
  <c r="I320" i="5"/>
  <c r="I321" i="5"/>
  <c r="I322" i="5"/>
  <c r="I323" i="5"/>
  <c r="I324" i="5"/>
  <c r="I325" i="5"/>
  <c r="I328" i="5"/>
  <c r="I329" i="5"/>
  <c r="I330" i="5"/>
  <c r="I331" i="5"/>
  <c r="I332" i="5"/>
  <c r="I333" i="5"/>
  <c r="I336" i="5"/>
  <c r="I337" i="5"/>
  <c r="I338" i="5"/>
  <c r="I339" i="5"/>
  <c r="I340" i="5"/>
  <c r="I341" i="5"/>
  <c r="I344" i="5"/>
  <c r="I345" i="5"/>
  <c r="I346" i="5"/>
  <c r="I347" i="5"/>
  <c r="I348" i="5"/>
  <c r="I349" i="5"/>
  <c r="I352" i="5"/>
  <c r="I353" i="5"/>
  <c r="I354" i="5"/>
  <c r="I355" i="5"/>
  <c r="I356" i="5"/>
  <c r="I357" i="5"/>
  <c r="I360" i="5"/>
  <c r="I361" i="5"/>
  <c r="I362" i="5"/>
  <c r="I363" i="5"/>
  <c r="I364" i="5"/>
  <c r="I365" i="5"/>
  <c r="I368" i="5"/>
  <c r="I369" i="5"/>
  <c r="I370" i="5"/>
  <c r="I371" i="5"/>
  <c r="I372" i="5"/>
  <c r="I373" i="5"/>
  <c r="I376" i="5"/>
  <c r="I377" i="5"/>
  <c r="I378" i="5"/>
  <c r="I379" i="5"/>
  <c r="I380" i="5"/>
  <c r="I381" i="5"/>
  <c r="I384" i="5"/>
  <c r="I385" i="5"/>
  <c r="I386" i="5"/>
  <c r="I387" i="5"/>
  <c r="I388" i="5"/>
  <c r="I389" i="5"/>
  <c r="I392" i="5"/>
  <c r="I393" i="5"/>
  <c r="I394" i="5"/>
  <c r="I395" i="5"/>
  <c r="I396" i="5"/>
  <c r="I397" i="5"/>
  <c r="I400" i="5"/>
  <c r="I401" i="5"/>
  <c r="I402" i="5"/>
  <c r="I403" i="5"/>
  <c r="I404" i="5"/>
  <c r="I405" i="5"/>
  <c r="I408" i="5"/>
  <c r="I2" i="5"/>
  <c r="D2" i="4" a="1"/>
  <c r="D2" i="4" s="1"/>
  <c r="J24" i="4"/>
  <c r="J25" i="4"/>
  <c r="J56" i="4"/>
  <c r="E18" i="4"/>
  <c r="J18" i="4" s="1"/>
  <c r="E19" i="4"/>
  <c r="J19" i="4" s="1"/>
  <c r="E20" i="4"/>
  <c r="J20" i="4" s="1"/>
  <c r="E21" i="4"/>
  <c r="J21" i="4" s="1"/>
  <c r="K21" i="4" s="1"/>
  <c r="E22" i="4"/>
  <c r="J22" i="4" s="1"/>
  <c r="E23" i="4"/>
  <c r="J23" i="4" s="1"/>
  <c r="E24" i="4"/>
  <c r="E25" i="4"/>
  <c r="E26" i="4"/>
  <c r="J26" i="4" s="1"/>
  <c r="E27" i="4"/>
  <c r="J27" i="4" s="1"/>
  <c r="E28" i="4"/>
  <c r="J28" i="4" s="1"/>
  <c r="E29" i="4"/>
  <c r="J29" i="4" s="1"/>
  <c r="E30" i="4"/>
  <c r="J30" i="4" s="1"/>
  <c r="E31" i="4"/>
  <c r="J31" i="4" s="1"/>
  <c r="E32" i="4"/>
  <c r="J32" i="4" s="1"/>
  <c r="E33" i="4"/>
  <c r="J33" i="4" s="1"/>
  <c r="E34" i="4"/>
  <c r="J34" i="4" s="1"/>
  <c r="E35" i="4"/>
  <c r="J35" i="4" s="1"/>
  <c r="E36" i="4"/>
  <c r="J36" i="4" s="1"/>
  <c r="E37" i="4"/>
  <c r="J37" i="4" s="1"/>
  <c r="E38" i="4"/>
  <c r="J38" i="4" s="1"/>
  <c r="E39" i="4"/>
  <c r="J39" i="4" s="1"/>
  <c r="E40" i="4"/>
  <c r="J40" i="4" s="1"/>
  <c r="E41" i="4"/>
  <c r="J41" i="4" s="1"/>
  <c r="E42" i="4"/>
  <c r="J42" i="4" s="1"/>
  <c r="E43" i="4"/>
  <c r="J43" i="4" s="1"/>
  <c r="E44" i="4"/>
  <c r="J44" i="4" s="1"/>
  <c r="E45" i="4"/>
  <c r="J45" i="4" s="1"/>
  <c r="E46" i="4"/>
  <c r="J46" i="4" s="1"/>
  <c r="E47" i="4"/>
  <c r="J47" i="4" s="1"/>
  <c r="E48" i="4"/>
  <c r="J48" i="4" s="1"/>
  <c r="E49" i="4"/>
  <c r="J49" i="4" s="1"/>
  <c r="E50" i="4"/>
  <c r="J50" i="4" s="1"/>
  <c r="E51" i="4"/>
  <c r="J51" i="4" s="1"/>
  <c r="E52" i="4"/>
  <c r="J52" i="4" s="1"/>
  <c r="E53" i="4"/>
  <c r="J53" i="4" s="1"/>
  <c r="E54" i="4"/>
  <c r="J54" i="4" s="1"/>
  <c r="E55" i="4"/>
  <c r="J55" i="4" s="1"/>
  <c r="E56" i="4"/>
  <c r="E57" i="4"/>
  <c r="J57" i="4" s="1"/>
  <c r="E58" i="4"/>
  <c r="J58" i="4" s="1"/>
  <c r="E59" i="4"/>
  <c r="J59" i="4" s="1"/>
  <c r="E60" i="4"/>
  <c r="J60" i="4" s="1"/>
  <c r="E61" i="4"/>
  <c r="J61" i="4" s="1"/>
  <c r="E62" i="4"/>
  <c r="J62" i="4" s="1"/>
  <c r="E63" i="4"/>
  <c r="J63" i="4" s="1"/>
  <c r="E64" i="4"/>
  <c r="J64" i="4" s="1"/>
  <c r="E65" i="4"/>
  <c r="J65" i="4" s="1"/>
  <c r="E66" i="4"/>
  <c r="J66" i="4" s="1"/>
  <c r="E67" i="4"/>
  <c r="J67" i="4" s="1"/>
  <c r="E68" i="4"/>
  <c r="J68" i="4" s="1"/>
  <c r="E69" i="4"/>
  <c r="J69" i="4" s="1"/>
  <c r="E70" i="4"/>
  <c r="J70" i="4" s="1"/>
  <c r="E71" i="4"/>
  <c r="J71" i="4" s="1"/>
  <c r="E72" i="4"/>
  <c r="J72" i="4" s="1"/>
  <c r="E73" i="4"/>
  <c r="J73" i="4" s="1"/>
  <c r="E74" i="4"/>
  <c r="J74" i="4" s="1"/>
  <c r="E75" i="4"/>
  <c r="J75" i="4" s="1"/>
  <c r="E76" i="4"/>
  <c r="J76" i="4" s="1"/>
  <c r="E77" i="4"/>
  <c r="J77" i="4" s="1"/>
  <c r="K77" i="4" s="1"/>
  <c r="E78" i="4"/>
  <c r="J78" i="4" s="1"/>
  <c r="E79" i="4"/>
  <c r="J79" i="4" s="1"/>
  <c r="E80" i="4"/>
  <c r="J80" i="4" s="1"/>
  <c r="E81" i="4"/>
  <c r="J81" i="4" s="1"/>
  <c r="E82" i="4"/>
  <c r="J82" i="4" s="1"/>
  <c r="E83" i="4"/>
  <c r="J83" i="4" s="1"/>
  <c r="E84" i="4"/>
  <c r="J84" i="4" s="1"/>
  <c r="E85" i="4"/>
  <c r="J85" i="4" s="1"/>
  <c r="E86" i="4"/>
  <c r="J86" i="4" s="1"/>
  <c r="E87" i="4"/>
  <c r="J87" i="4" s="1"/>
  <c r="E88" i="4"/>
  <c r="J88" i="4" s="1"/>
  <c r="E89" i="4"/>
  <c r="J89" i="4" s="1"/>
  <c r="E90" i="4"/>
  <c r="J90" i="4" s="1"/>
  <c r="E91" i="4"/>
  <c r="J91" i="4" s="1"/>
  <c r="E92" i="4"/>
  <c r="J92" i="4" s="1"/>
  <c r="E93" i="4"/>
  <c r="J93" i="4" s="1"/>
  <c r="E94" i="4"/>
  <c r="J94" i="4" s="1"/>
  <c r="E95" i="4"/>
  <c r="J95" i="4" s="1"/>
  <c r="E96" i="4"/>
  <c r="J96" i="4" s="1"/>
  <c r="E97" i="4"/>
  <c r="J97" i="4" s="1"/>
  <c r="E98" i="4"/>
  <c r="J98" i="4" s="1"/>
  <c r="E99" i="4"/>
  <c r="J99" i="4" s="1"/>
  <c r="E100" i="4"/>
  <c r="J100" i="4" s="1"/>
  <c r="E101" i="4"/>
  <c r="J101" i="4" s="1"/>
  <c r="E102" i="4"/>
  <c r="J102" i="4" s="1"/>
  <c r="E103" i="4"/>
  <c r="J103" i="4" s="1"/>
  <c r="E104" i="4"/>
  <c r="J104" i="4" s="1"/>
  <c r="E105" i="4"/>
  <c r="J105" i="4" s="1"/>
  <c r="E106" i="4"/>
  <c r="J106" i="4" s="1"/>
  <c r="E107" i="4"/>
  <c r="E108" i="4"/>
  <c r="J108" i="4" s="1"/>
  <c r="E109" i="4"/>
  <c r="J109" i="4" s="1"/>
  <c r="E110" i="4"/>
  <c r="J110" i="4" s="1"/>
  <c r="E111" i="4"/>
  <c r="J111" i="4" s="1"/>
  <c r="E112" i="4"/>
  <c r="J112" i="4" s="1"/>
  <c r="E113" i="4"/>
  <c r="J113" i="4" s="1"/>
  <c r="E114" i="4"/>
  <c r="J114" i="4" s="1"/>
  <c r="E115" i="4"/>
  <c r="J115" i="4" s="1"/>
  <c r="E116" i="4"/>
  <c r="J116" i="4" s="1"/>
  <c r="E117" i="4"/>
  <c r="J117" i="4" s="1"/>
  <c r="E118" i="4"/>
  <c r="J118" i="4" s="1"/>
  <c r="E119" i="4"/>
  <c r="J119" i="4" s="1"/>
  <c r="E120" i="4"/>
  <c r="J120" i="4" s="1"/>
  <c r="E121" i="4"/>
  <c r="J121" i="4" s="1"/>
  <c r="E122" i="4"/>
  <c r="J122" i="4" s="1"/>
  <c r="E123" i="4"/>
  <c r="J123" i="4" s="1"/>
  <c r="E124" i="4"/>
  <c r="J124" i="4" s="1"/>
  <c r="E125" i="4"/>
  <c r="J125" i="4" s="1"/>
  <c r="E126" i="4"/>
  <c r="J126" i="4" s="1"/>
  <c r="E127" i="4"/>
  <c r="J127" i="4" s="1"/>
  <c r="E128" i="4"/>
  <c r="J128" i="4" s="1"/>
  <c r="E129" i="4"/>
  <c r="J129" i="4" s="1"/>
  <c r="E130" i="4"/>
  <c r="J130" i="4" s="1"/>
  <c r="E131" i="4"/>
  <c r="J131" i="4" s="1"/>
  <c r="E132" i="4"/>
  <c r="J132" i="4" s="1"/>
  <c r="E133" i="4"/>
  <c r="J133" i="4" s="1"/>
  <c r="E134" i="4"/>
  <c r="J134" i="4" s="1"/>
  <c r="E135" i="4"/>
  <c r="J135" i="4" s="1"/>
  <c r="E136" i="4"/>
  <c r="J136" i="4" s="1"/>
  <c r="E137" i="4"/>
  <c r="J137" i="4" s="1"/>
  <c r="E138" i="4"/>
  <c r="J138" i="4" s="1"/>
  <c r="E139" i="4"/>
  <c r="J139" i="4" s="1"/>
  <c r="E140" i="4"/>
  <c r="J140" i="4" s="1"/>
  <c r="E141" i="4"/>
  <c r="J141" i="4" s="1"/>
  <c r="E142" i="4"/>
  <c r="J142" i="4" s="1"/>
  <c r="E143" i="4"/>
  <c r="J143" i="4" s="1"/>
  <c r="E144" i="4"/>
  <c r="J144" i="4" s="1"/>
  <c r="E145" i="4"/>
  <c r="J145" i="4" s="1"/>
  <c r="E146" i="4"/>
  <c r="J146" i="4" s="1"/>
  <c r="E147" i="4"/>
  <c r="J147" i="4" s="1"/>
  <c r="E148" i="4"/>
  <c r="J148" i="4" s="1"/>
  <c r="E149" i="4"/>
  <c r="J149" i="4" s="1"/>
  <c r="E150" i="4"/>
  <c r="J150" i="4" s="1"/>
  <c r="E151" i="4"/>
  <c r="J151" i="4" s="1"/>
  <c r="E152" i="4"/>
  <c r="J152" i="4" s="1"/>
  <c r="E153" i="4"/>
  <c r="J153" i="4" s="1"/>
  <c r="E154" i="4"/>
  <c r="J154" i="4" s="1"/>
  <c r="E155" i="4"/>
  <c r="J155" i="4" s="1"/>
  <c r="E156" i="4"/>
  <c r="J156" i="4" s="1"/>
  <c r="E157" i="4"/>
  <c r="J157" i="4" s="1"/>
  <c r="E158" i="4"/>
  <c r="J158" i="4" s="1"/>
  <c r="E159" i="4"/>
  <c r="J159" i="4" s="1"/>
  <c r="E160" i="4"/>
  <c r="J160" i="4" s="1"/>
  <c r="E161" i="4"/>
  <c r="J161" i="4" s="1"/>
  <c r="E162" i="4"/>
  <c r="J162" i="4" s="1"/>
  <c r="E163" i="4"/>
  <c r="J163" i="4" s="1"/>
  <c r="E164" i="4"/>
  <c r="J164" i="4" s="1"/>
  <c r="E165" i="4"/>
  <c r="J165" i="4" s="1"/>
  <c r="E166" i="4"/>
  <c r="J166" i="4" s="1"/>
  <c r="E167" i="4"/>
  <c r="J167" i="4" s="1"/>
  <c r="E168" i="4"/>
  <c r="J168" i="4" s="1"/>
  <c r="E169" i="4"/>
  <c r="J169" i="4" s="1"/>
  <c r="E170" i="4"/>
  <c r="J170" i="4" s="1"/>
  <c r="E171" i="4"/>
  <c r="J171" i="4" s="1"/>
  <c r="E172" i="4"/>
  <c r="J172" i="4" s="1"/>
  <c r="E173" i="4"/>
  <c r="J173" i="4" s="1"/>
  <c r="E174" i="4"/>
  <c r="J174" i="4" s="1"/>
  <c r="E175" i="4"/>
  <c r="J175" i="4" s="1"/>
  <c r="E176" i="4"/>
  <c r="J176" i="4" s="1"/>
  <c r="E177" i="4"/>
  <c r="J177" i="4" s="1"/>
  <c r="E178" i="4"/>
  <c r="J178" i="4" s="1"/>
  <c r="E179" i="4"/>
  <c r="J179" i="4" s="1"/>
  <c r="E180" i="4"/>
  <c r="J180" i="4" s="1"/>
  <c r="E181" i="4"/>
  <c r="J181" i="4" s="1"/>
  <c r="E182" i="4"/>
  <c r="J182" i="4" s="1"/>
  <c r="E183" i="4"/>
  <c r="J183" i="4" s="1"/>
  <c r="E184" i="4"/>
  <c r="J184" i="4" s="1"/>
  <c r="E185" i="4"/>
  <c r="J185" i="4" s="1"/>
  <c r="E186" i="4"/>
  <c r="J186" i="4" s="1"/>
  <c r="E187" i="4"/>
  <c r="J187" i="4" s="1"/>
  <c r="E188" i="4"/>
  <c r="J188" i="4" s="1"/>
  <c r="E189" i="4"/>
  <c r="J189" i="4" s="1"/>
  <c r="E190" i="4"/>
  <c r="J190" i="4" s="1"/>
  <c r="E191" i="4"/>
  <c r="J191" i="4" s="1"/>
  <c r="E192" i="4"/>
  <c r="J192" i="4" s="1"/>
  <c r="E193" i="4"/>
  <c r="J193" i="4" s="1"/>
  <c r="E194" i="4"/>
  <c r="J194" i="4" s="1"/>
  <c r="E195" i="4"/>
  <c r="J195" i="4" s="1"/>
  <c r="E196" i="4"/>
  <c r="J196" i="4" s="1"/>
  <c r="E197" i="4"/>
  <c r="J197" i="4" s="1"/>
  <c r="E198" i="4"/>
  <c r="J198" i="4" s="1"/>
  <c r="E199" i="4"/>
  <c r="J199" i="4" s="1"/>
  <c r="E200" i="4"/>
  <c r="J200" i="4" s="1"/>
  <c r="E201" i="4"/>
  <c r="J201" i="4" s="1"/>
  <c r="E202" i="4"/>
  <c r="J202" i="4" s="1"/>
  <c r="E203" i="4"/>
  <c r="J203" i="4" s="1"/>
  <c r="E204" i="4"/>
  <c r="J204" i="4" s="1"/>
  <c r="E205" i="4"/>
  <c r="J205" i="4" s="1"/>
  <c r="K205" i="4" s="1"/>
  <c r="E206" i="4"/>
  <c r="J206" i="4" s="1"/>
  <c r="E207" i="4"/>
  <c r="J207" i="4" s="1"/>
  <c r="E208" i="4"/>
  <c r="J208" i="4" s="1"/>
  <c r="E209" i="4"/>
  <c r="J209" i="4" s="1"/>
  <c r="E210" i="4"/>
  <c r="J210" i="4" s="1"/>
  <c r="E211" i="4"/>
  <c r="J211" i="4" s="1"/>
  <c r="E212" i="4"/>
  <c r="J212" i="4" s="1"/>
  <c r="E213" i="4"/>
  <c r="J213" i="4" s="1"/>
  <c r="E214" i="4"/>
  <c r="J214" i="4" s="1"/>
  <c r="E215" i="4"/>
  <c r="J215" i="4" s="1"/>
  <c r="E216" i="4"/>
  <c r="J216" i="4" s="1"/>
  <c r="E217" i="4"/>
  <c r="J217" i="4" s="1"/>
  <c r="E218" i="4"/>
  <c r="J218" i="4" s="1"/>
  <c r="E219" i="4"/>
  <c r="J219" i="4" s="1"/>
  <c r="E220" i="4"/>
  <c r="J220" i="4" s="1"/>
  <c r="E221" i="4"/>
  <c r="J221" i="4" s="1"/>
  <c r="E222" i="4"/>
  <c r="J222" i="4" s="1"/>
  <c r="E223" i="4"/>
  <c r="J223" i="4" s="1"/>
  <c r="E224" i="4"/>
  <c r="J224" i="4" s="1"/>
  <c r="E225" i="4"/>
  <c r="J225" i="4" s="1"/>
  <c r="E226" i="4"/>
  <c r="J226" i="4" s="1"/>
  <c r="E227" i="4"/>
  <c r="J227" i="4" s="1"/>
  <c r="E228" i="4"/>
  <c r="J228" i="4" s="1"/>
  <c r="E229" i="4"/>
  <c r="J229" i="4" s="1"/>
  <c r="E230" i="4"/>
  <c r="J230" i="4" s="1"/>
  <c r="E231" i="4"/>
  <c r="J231" i="4" s="1"/>
  <c r="E232" i="4"/>
  <c r="J232" i="4" s="1"/>
  <c r="E233" i="4"/>
  <c r="J233" i="4" s="1"/>
  <c r="E234" i="4"/>
  <c r="J234" i="4" s="1"/>
  <c r="E235" i="4"/>
  <c r="J235" i="4" s="1"/>
  <c r="E236" i="4"/>
  <c r="J236" i="4" s="1"/>
  <c r="E237" i="4"/>
  <c r="J237" i="4" s="1"/>
  <c r="E238" i="4"/>
  <c r="J238" i="4" s="1"/>
  <c r="E239" i="4"/>
  <c r="J239" i="4" s="1"/>
  <c r="E240" i="4"/>
  <c r="J240" i="4" s="1"/>
  <c r="E241" i="4"/>
  <c r="J241" i="4" s="1"/>
  <c r="E242" i="4"/>
  <c r="J242" i="4" s="1"/>
  <c r="E243" i="4"/>
  <c r="J243" i="4" s="1"/>
  <c r="E244" i="4"/>
  <c r="J244" i="4" s="1"/>
  <c r="E245" i="4"/>
  <c r="J245" i="4" s="1"/>
  <c r="E246" i="4"/>
  <c r="J246" i="4" s="1"/>
  <c r="E247" i="4"/>
  <c r="J247" i="4" s="1"/>
  <c r="E248" i="4"/>
  <c r="J248" i="4" s="1"/>
  <c r="E249" i="4"/>
  <c r="J249" i="4" s="1"/>
  <c r="E250" i="4"/>
  <c r="J250" i="4" s="1"/>
  <c r="E251" i="4"/>
  <c r="J251" i="4" s="1"/>
  <c r="E252" i="4"/>
  <c r="J252" i="4" s="1"/>
  <c r="E253" i="4"/>
  <c r="J253" i="4" s="1"/>
  <c r="E254" i="4"/>
  <c r="J254" i="4" s="1"/>
  <c r="E255" i="4"/>
  <c r="J255" i="4" s="1"/>
  <c r="E256" i="4"/>
  <c r="J256" i="4" s="1"/>
  <c r="E257" i="4"/>
  <c r="J257" i="4" s="1"/>
  <c r="E258" i="4"/>
  <c r="J258" i="4" s="1"/>
  <c r="E259" i="4"/>
  <c r="J259" i="4" s="1"/>
  <c r="E260" i="4"/>
  <c r="J260" i="4" s="1"/>
  <c r="E261" i="4"/>
  <c r="J261" i="4" s="1"/>
  <c r="E262" i="4"/>
  <c r="J262" i="4" s="1"/>
  <c r="E263" i="4"/>
  <c r="J263" i="4" s="1"/>
  <c r="E264" i="4"/>
  <c r="J264" i="4" s="1"/>
  <c r="E265" i="4"/>
  <c r="J265" i="4" s="1"/>
  <c r="E266" i="4"/>
  <c r="J266" i="4" s="1"/>
  <c r="E267" i="4"/>
  <c r="J267" i="4" s="1"/>
  <c r="E268" i="4"/>
  <c r="J268" i="4" s="1"/>
  <c r="E269" i="4"/>
  <c r="J269" i="4" s="1"/>
  <c r="E270" i="4"/>
  <c r="J270" i="4" s="1"/>
  <c r="E271" i="4"/>
  <c r="J271" i="4" s="1"/>
  <c r="E272" i="4"/>
  <c r="J272" i="4" s="1"/>
  <c r="E273" i="4"/>
  <c r="J273" i="4" s="1"/>
  <c r="E274" i="4"/>
  <c r="J274" i="4" s="1"/>
  <c r="E275" i="4"/>
  <c r="J275" i="4" s="1"/>
  <c r="E276" i="4"/>
  <c r="J276" i="4" s="1"/>
  <c r="E277" i="4"/>
  <c r="J277" i="4" s="1"/>
  <c r="E278" i="4"/>
  <c r="J278" i="4" s="1"/>
  <c r="E279" i="4"/>
  <c r="J279" i="4" s="1"/>
  <c r="E280" i="4"/>
  <c r="J280" i="4" s="1"/>
  <c r="E281" i="4"/>
  <c r="J281" i="4" s="1"/>
  <c r="E282" i="4"/>
  <c r="J282" i="4" s="1"/>
  <c r="E283" i="4"/>
  <c r="J283" i="4" s="1"/>
  <c r="E284" i="4"/>
  <c r="J284" i="4" s="1"/>
  <c r="E285" i="4"/>
  <c r="J285" i="4" s="1"/>
  <c r="E286" i="4"/>
  <c r="J286" i="4" s="1"/>
  <c r="E287" i="4"/>
  <c r="J287" i="4" s="1"/>
  <c r="E288" i="4"/>
  <c r="J288" i="4" s="1"/>
  <c r="E289" i="4"/>
  <c r="J289" i="4" s="1"/>
  <c r="E290" i="4"/>
  <c r="J290" i="4" s="1"/>
  <c r="E291" i="4"/>
  <c r="J291" i="4" s="1"/>
  <c r="E292" i="4"/>
  <c r="J292" i="4" s="1"/>
  <c r="E293" i="4"/>
  <c r="J293" i="4" s="1"/>
  <c r="E294" i="4"/>
  <c r="J294" i="4" s="1"/>
  <c r="E295" i="4"/>
  <c r="J295" i="4" s="1"/>
  <c r="E296" i="4"/>
  <c r="J296" i="4" s="1"/>
  <c r="E297" i="4"/>
  <c r="J297" i="4" s="1"/>
  <c r="E298" i="4"/>
  <c r="J298" i="4" s="1"/>
  <c r="E299" i="4"/>
  <c r="J299" i="4" s="1"/>
  <c r="E300" i="4"/>
  <c r="J300" i="4" s="1"/>
  <c r="E301" i="4"/>
  <c r="J301" i="4" s="1"/>
  <c r="E302" i="4"/>
  <c r="J302" i="4" s="1"/>
  <c r="E303" i="4"/>
  <c r="J303" i="4" s="1"/>
  <c r="E304" i="4"/>
  <c r="J304" i="4" s="1"/>
  <c r="E305" i="4"/>
  <c r="J305" i="4" s="1"/>
  <c r="E306" i="4"/>
  <c r="J306" i="4" s="1"/>
  <c r="E307" i="4"/>
  <c r="J307" i="4" s="1"/>
  <c r="E308" i="4"/>
  <c r="J308" i="4" s="1"/>
  <c r="E309" i="4"/>
  <c r="J309" i="4" s="1"/>
  <c r="E310" i="4"/>
  <c r="J310" i="4" s="1"/>
  <c r="E311" i="4"/>
  <c r="J311" i="4" s="1"/>
  <c r="E312" i="4"/>
  <c r="J312" i="4" s="1"/>
  <c r="E313" i="4"/>
  <c r="J313" i="4" s="1"/>
  <c r="E314" i="4"/>
  <c r="J314" i="4" s="1"/>
  <c r="E315" i="4"/>
  <c r="J315" i="4" s="1"/>
  <c r="E316" i="4"/>
  <c r="J316" i="4" s="1"/>
  <c r="E317" i="4"/>
  <c r="J317" i="4" s="1"/>
  <c r="E318" i="4"/>
  <c r="J318" i="4" s="1"/>
  <c r="E319" i="4"/>
  <c r="J319" i="4" s="1"/>
  <c r="E320" i="4"/>
  <c r="J320" i="4" s="1"/>
  <c r="E321" i="4"/>
  <c r="J321" i="4" s="1"/>
  <c r="E322" i="4"/>
  <c r="J322" i="4" s="1"/>
  <c r="E323" i="4"/>
  <c r="J323" i="4" s="1"/>
  <c r="E324" i="4"/>
  <c r="J324" i="4" s="1"/>
  <c r="E325" i="4"/>
  <c r="J325" i="4" s="1"/>
  <c r="E326" i="4"/>
  <c r="J326" i="4" s="1"/>
  <c r="E327" i="4"/>
  <c r="J327" i="4" s="1"/>
  <c r="E328" i="4"/>
  <c r="J328" i="4" s="1"/>
  <c r="E329" i="4"/>
  <c r="J329" i="4" s="1"/>
  <c r="E330" i="4"/>
  <c r="J330" i="4" s="1"/>
  <c r="E331" i="4"/>
  <c r="J331" i="4" s="1"/>
  <c r="E332" i="4"/>
  <c r="J332" i="4" s="1"/>
  <c r="E333" i="4"/>
  <c r="J333" i="4" s="1"/>
  <c r="E334" i="4"/>
  <c r="J334" i="4" s="1"/>
  <c r="E335" i="4"/>
  <c r="J335" i="4" s="1"/>
  <c r="E336" i="4"/>
  <c r="J336" i="4" s="1"/>
  <c r="E337" i="4"/>
  <c r="J337" i="4" s="1"/>
  <c r="E338" i="4"/>
  <c r="J338" i="4" s="1"/>
  <c r="E339" i="4"/>
  <c r="J339" i="4" s="1"/>
  <c r="E340" i="4"/>
  <c r="J340" i="4" s="1"/>
  <c r="E341" i="4"/>
  <c r="J341" i="4" s="1"/>
  <c r="E342" i="4"/>
  <c r="J342" i="4" s="1"/>
  <c r="E343" i="4"/>
  <c r="J343" i="4" s="1"/>
  <c r="E344" i="4"/>
  <c r="J344" i="4" s="1"/>
  <c r="E345" i="4"/>
  <c r="J345" i="4" s="1"/>
  <c r="E346" i="4"/>
  <c r="J346" i="4" s="1"/>
  <c r="E347" i="4"/>
  <c r="J347" i="4" s="1"/>
  <c r="E348" i="4"/>
  <c r="J348" i="4" s="1"/>
  <c r="E349" i="4"/>
  <c r="J349" i="4" s="1"/>
  <c r="E350" i="4"/>
  <c r="J350" i="4" s="1"/>
  <c r="E351" i="4"/>
  <c r="J351" i="4" s="1"/>
  <c r="E352" i="4"/>
  <c r="J352" i="4" s="1"/>
  <c r="E353" i="4"/>
  <c r="J353" i="4" s="1"/>
  <c r="E354" i="4"/>
  <c r="J354" i="4" s="1"/>
  <c r="E355" i="4"/>
  <c r="J355" i="4" s="1"/>
  <c r="E356" i="4"/>
  <c r="J356" i="4" s="1"/>
  <c r="E357" i="4"/>
  <c r="J357" i="4" s="1"/>
  <c r="E358" i="4"/>
  <c r="J358" i="4" s="1"/>
  <c r="E359" i="4"/>
  <c r="J359" i="4" s="1"/>
  <c r="E360" i="4"/>
  <c r="J360" i="4" s="1"/>
  <c r="E361" i="4"/>
  <c r="J361" i="4" s="1"/>
  <c r="E362" i="4"/>
  <c r="J362" i="4" s="1"/>
  <c r="E363" i="4"/>
  <c r="J363" i="4" s="1"/>
  <c r="E364" i="4"/>
  <c r="J364" i="4" s="1"/>
  <c r="E365" i="4"/>
  <c r="J365" i="4" s="1"/>
  <c r="E366" i="4"/>
  <c r="J366" i="4" s="1"/>
  <c r="E367" i="4"/>
  <c r="J367" i="4" s="1"/>
  <c r="E368" i="4"/>
  <c r="J368" i="4" s="1"/>
  <c r="E369" i="4"/>
  <c r="J369" i="4" s="1"/>
  <c r="E370" i="4"/>
  <c r="J370" i="4" s="1"/>
  <c r="E371" i="4"/>
  <c r="J371" i="4" s="1"/>
  <c r="E372" i="4"/>
  <c r="J372" i="4" s="1"/>
  <c r="E373" i="4"/>
  <c r="J373" i="4" s="1"/>
  <c r="E374" i="4"/>
  <c r="J374" i="4" s="1"/>
  <c r="E375" i="4"/>
  <c r="J375" i="4" s="1"/>
  <c r="E376" i="4"/>
  <c r="J376" i="4" s="1"/>
  <c r="E377" i="4"/>
  <c r="J377" i="4" s="1"/>
  <c r="E378" i="4"/>
  <c r="J378" i="4" s="1"/>
  <c r="E379" i="4"/>
  <c r="J379" i="4" s="1"/>
  <c r="E380" i="4"/>
  <c r="J380" i="4" s="1"/>
  <c r="E381" i="4"/>
  <c r="J381" i="4" s="1"/>
  <c r="E382" i="4"/>
  <c r="J382" i="4" s="1"/>
  <c r="E383" i="4"/>
  <c r="J383" i="4" s="1"/>
  <c r="E384" i="4"/>
  <c r="J384" i="4" s="1"/>
  <c r="E385" i="4"/>
  <c r="J385" i="4" s="1"/>
  <c r="E386" i="4"/>
  <c r="J386" i="4" s="1"/>
  <c r="E387" i="4"/>
  <c r="J387" i="4" s="1"/>
  <c r="E388" i="4"/>
  <c r="J388" i="4" s="1"/>
  <c r="E389" i="4"/>
  <c r="J389" i="4" s="1"/>
  <c r="E390" i="4"/>
  <c r="J390" i="4" s="1"/>
  <c r="E391" i="4"/>
  <c r="J391" i="4" s="1"/>
  <c r="E392" i="4"/>
  <c r="J392" i="4" s="1"/>
  <c r="E393" i="4"/>
  <c r="J393" i="4" s="1"/>
  <c r="E394" i="4"/>
  <c r="J394" i="4" s="1"/>
  <c r="E395" i="4"/>
  <c r="J395" i="4" s="1"/>
  <c r="E396" i="4"/>
  <c r="J396" i="4" s="1"/>
  <c r="E397" i="4"/>
  <c r="J397" i="4" s="1"/>
  <c r="E398" i="4"/>
  <c r="J398" i="4" s="1"/>
  <c r="E399" i="4"/>
  <c r="J399" i="4" s="1"/>
  <c r="E400" i="4"/>
  <c r="J400" i="4" s="1"/>
  <c r="E401" i="4"/>
  <c r="J401" i="4" s="1"/>
  <c r="K401" i="4" s="1"/>
  <c r="E402" i="4"/>
  <c r="J402" i="4" s="1"/>
  <c r="E403" i="4"/>
  <c r="J403" i="4" s="1"/>
  <c r="E404" i="4"/>
  <c r="J404" i="4" s="1"/>
  <c r="E405" i="4"/>
  <c r="J405" i="4" s="1"/>
  <c r="E406" i="4"/>
  <c r="J406" i="4" s="1"/>
  <c r="E407" i="4"/>
  <c r="J407" i="4" s="1"/>
  <c r="E408" i="4"/>
  <c r="J408" i="4" s="1"/>
  <c r="K408" i="4" s="1"/>
  <c r="E409" i="4"/>
  <c r="J409" i="4" s="1"/>
  <c r="E410" i="4"/>
  <c r="J410" i="4" s="1"/>
  <c r="E411" i="4"/>
  <c r="J411" i="4" s="1"/>
  <c r="E412" i="4"/>
  <c r="J412" i="4" s="1"/>
  <c r="E413" i="4"/>
  <c r="J413" i="4" s="1"/>
  <c r="E414" i="4"/>
  <c r="J414" i="4" s="1"/>
  <c r="E415" i="4"/>
  <c r="J415" i="4" s="1"/>
  <c r="E416" i="4"/>
  <c r="J416" i="4" s="1"/>
  <c r="E417" i="4"/>
  <c r="J417" i="4" s="1"/>
  <c r="E418" i="4"/>
  <c r="J418" i="4" s="1"/>
  <c r="E419" i="4"/>
  <c r="J419" i="4" s="1"/>
  <c r="E420" i="4"/>
  <c r="J420" i="4" s="1"/>
  <c r="E421" i="4"/>
  <c r="J421" i="4" s="1"/>
  <c r="E422" i="4"/>
  <c r="J422" i="4" s="1"/>
  <c r="E423" i="4"/>
  <c r="J423" i="4" s="1"/>
  <c r="E424" i="4"/>
  <c r="J424" i="4" s="1"/>
  <c r="E425" i="4"/>
  <c r="J425" i="4" s="1"/>
  <c r="E426" i="4"/>
  <c r="J426" i="4" s="1"/>
  <c r="E427" i="4"/>
  <c r="J427" i="4" s="1"/>
  <c r="E428" i="4"/>
  <c r="J428" i="4" s="1"/>
  <c r="E429" i="4"/>
  <c r="J429" i="4" s="1"/>
  <c r="E430" i="4"/>
  <c r="J430" i="4" s="1"/>
  <c r="E431" i="4"/>
  <c r="J431" i="4" s="1"/>
  <c r="E432" i="4"/>
  <c r="J432" i="4" s="1"/>
  <c r="E433" i="4"/>
  <c r="J433" i="4" s="1"/>
  <c r="E434" i="4"/>
  <c r="J434" i="4" s="1"/>
  <c r="E435" i="4"/>
  <c r="J435" i="4" s="1"/>
  <c r="E436" i="4"/>
  <c r="J436" i="4" s="1"/>
  <c r="E437" i="4"/>
  <c r="J437" i="4" s="1"/>
  <c r="E438" i="4"/>
  <c r="J438" i="4" s="1"/>
  <c r="E439" i="4"/>
  <c r="J439" i="4" s="1"/>
  <c r="E440" i="4"/>
  <c r="J440" i="4" s="1"/>
  <c r="E441" i="4"/>
  <c r="J441" i="4" s="1"/>
  <c r="E442" i="4"/>
  <c r="J442" i="4" s="1"/>
  <c r="E443" i="4"/>
  <c r="J443" i="4" s="1"/>
  <c r="E444" i="4"/>
  <c r="J444" i="4" s="1"/>
  <c r="E445" i="4"/>
  <c r="J445" i="4" s="1"/>
  <c r="E446" i="4"/>
  <c r="J446" i="4" s="1"/>
  <c r="E447" i="4"/>
  <c r="J447" i="4" s="1"/>
  <c r="E448" i="4"/>
  <c r="J448" i="4" s="1"/>
  <c r="E449" i="4"/>
  <c r="J449" i="4" s="1"/>
  <c r="E450" i="4"/>
  <c r="J450" i="4" s="1"/>
  <c r="E451" i="4"/>
  <c r="J451" i="4" s="1"/>
  <c r="E452" i="4"/>
  <c r="J452" i="4" s="1"/>
  <c r="E453" i="4"/>
  <c r="J453" i="4" s="1"/>
  <c r="E454" i="4"/>
  <c r="J454" i="4" s="1"/>
  <c r="E455" i="4"/>
  <c r="J455" i="4" s="1"/>
  <c r="E456" i="4"/>
  <c r="J456" i="4" s="1"/>
  <c r="E457" i="4"/>
  <c r="J457" i="4" s="1"/>
  <c r="E458" i="4"/>
  <c r="J458" i="4" s="1"/>
  <c r="E459" i="4"/>
  <c r="J459" i="4" s="1"/>
  <c r="E460" i="4"/>
  <c r="J460" i="4" s="1"/>
  <c r="E461" i="4"/>
  <c r="J461" i="4" s="1"/>
  <c r="E462" i="4"/>
  <c r="J462" i="4" s="1"/>
  <c r="E463" i="4"/>
  <c r="J463" i="4" s="1"/>
  <c r="E464" i="4"/>
  <c r="J464" i="4" s="1"/>
  <c r="E465" i="4"/>
  <c r="J465" i="4" s="1"/>
  <c r="E466" i="4"/>
  <c r="J466" i="4" s="1"/>
  <c r="E467" i="4"/>
  <c r="J467" i="4" s="1"/>
  <c r="E468" i="4"/>
  <c r="J468" i="4" s="1"/>
  <c r="E469" i="4"/>
  <c r="J469" i="4" s="1"/>
  <c r="E470" i="4"/>
  <c r="J470" i="4" s="1"/>
  <c r="E471" i="4"/>
  <c r="J471" i="4" s="1"/>
  <c r="E472" i="4"/>
  <c r="J472" i="4" s="1"/>
  <c r="E473" i="4"/>
  <c r="J473" i="4" s="1"/>
  <c r="E474" i="4"/>
  <c r="J474" i="4" s="1"/>
  <c r="E475" i="4"/>
  <c r="J475" i="4" s="1"/>
  <c r="E476" i="4"/>
  <c r="J476" i="4" s="1"/>
  <c r="E477" i="4"/>
  <c r="J477" i="4" s="1"/>
  <c r="E478" i="4"/>
  <c r="J478" i="4" s="1"/>
  <c r="E479" i="4"/>
  <c r="J479" i="4" s="1"/>
  <c r="E480" i="4"/>
  <c r="J480" i="4" s="1"/>
  <c r="E481" i="4"/>
  <c r="J481" i="4" s="1"/>
  <c r="E482" i="4"/>
  <c r="J482" i="4" s="1"/>
  <c r="E483" i="4"/>
  <c r="J483" i="4" s="1"/>
  <c r="E484" i="4"/>
  <c r="J484" i="4" s="1"/>
  <c r="E485" i="4"/>
  <c r="J485" i="4" s="1"/>
  <c r="E486" i="4"/>
  <c r="J486" i="4" s="1"/>
  <c r="E487" i="4"/>
  <c r="J487" i="4" s="1"/>
  <c r="E488" i="4"/>
  <c r="J488" i="4" s="1"/>
  <c r="E489" i="4"/>
  <c r="J489" i="4" s="1"/>
  <c r="E490" i="4"/>
  <c r="J490" i="4" s="1"/>
  <c r="E491" i="4"/>
  <c r="J491" i="4" s="1"/>
  <c r="E492" i="4"/>
  <c r="J492" i="4" s="1"/>
  <c r="E493" i="4"/>
  <c r="J493" i="4" s="1"/>
  <c r="E494" i="4"/>
  <c r="J494" i="4" s="1"/>
  <c r="E495" i="4"/>
  <c r="J495" i="4" s="1"/>
  <c r="E496" i="4"/>
  <c r="J496" i="4" s="1"/>
  <c r="E497" i="4"/>
  <c r="J497" i="4" s="1"/>
  <c r="E498" i="4"/>
  <c r="J498" i="4" s="1"/>
  <c r="E499" i="4"/>
  <c r="J499" i="4" s="1"/>
  <c r="E500" i="4"/>
  <c r="J500" i="4" s="1"/>
  <c r="E501" i="4"/>
  <c r="J501" i="4" s="1"/>
  <c r="E502" i="4"/>
  <c r="J502" i="4" s="1"/>
  <c r="E503" i="4"/>
  <c r="J503" i="4" s="1"/>
  <c r="E504" i="4"/>
  <c r="J504" i="4" s="1"/>
  <c r="E505" i="4"/>
  <c r="J505" i="4" s="1"/>
  <c r="E506" i="4"/>
  <c r="J506" i="4" s="1"/>
  <c r="E507" i="4"/>
  <c r="J507" i="4" s="1"/>
  <c r="E508" i="4"/>
  <c r="J508" i="4" s="1"/>
  <c r="E509" i="4"/>
  <c r="J509" i="4" s="1"/>
  <c r="E510" i="4"/>
  <c r="J510" i="4" s="1"/>
  <c r="E511" i="4"/>
  <c r="J511" i="4" s="1"/>
  <c r="E512" i="4"/>
  <c r="J512" i="4" s="1"/>
  <c r="E513" i="4"/>
  <c r="J513" i="4" s="1"/>
  <c r="E514" i="4"/>
  <c r="J514" i="4" s="1"/>
  <c r="E515" i="4"/>
  <c r="J515" i="4" s="1"/>
  <c r="E516" i="4"/>
  <c r="J516" i="4" s="1"/>
  <c r="E517" i="4"/>
  <c r="J517" i="4" s="1"/>
  <c r="E518" i="4"/>
  <c r="J518" i="4" s="1"/>
  <c r="E519" i="4"/>
  <c r="J519" i="4" s="1"/>
  <c r="E520" i="4"/>
  <c r="J520" i="4" s="1"/>
  <c r="E521" i="4"/>
  <c r="J521" i="4" s="1"/>
  <c r="E522" i="4"/>
  <c r="J522" i="4" s="1"/>
  <c r="E523" i="4"/>
  <c r="J523" i="4" s="1"/>
  <c r="E524" i="4"/>
  <c r="J524" i="4" s="1"/>
  <c r="E525" i="4"/>
  <c r="J525" i="4" s="1"/>
  <c r="E526" i="4"/>
  <c r="J526" i="4" s="1"/>
  <c r="E527" i="4"/>
  <c r="J527" i="4" s="1"/>
  <c r="E528" i="4"/>
  <c r="J528" i="4" s="1"/>
  <c r="E529" i="4"/>
  <c r="J529" i="4" s="1"/>
  <c r="E530" i="4"/>
  <c r="J530" i="4" s="1"/>
  <c r="E531" i="4"/>
  <c r="J531" i="4" s="1"/>
  <c r="E532" i="4"/>
  <c r="J532" i="4" s="1"/>
  <c r="E533" i="4"/>
  <c r="J533" i="4" s="1"/>
  <c r="E534" i="4"/>
  <c r="J534" i="4" s="1"/>
  <c r="E535" i="4"/>
  <c r="J535" i="4" s="1"/>
  <c r="E536" i="4"/>
  <c r="J536" i="4" s="1"/>
  <c r="E537" i="4"/>
  <c r="J537" i="4" s="1"/>
  <c r="E538" i="4"/>
  <c r="J538" i="4" s="1"/>
  <c r="E539" i="4"/>
  <c r="J539" i="4" s="1"/>
  <c r="E540" i="4"/>
  <c r="J540" i="4" s="1"/>
  <c r="E541" i="4"/>
  <c r="J541" i="4" s="1"/>
  <c r="E542" i="4"/>
  <c r="J542" i="4" s="1"/>
  <c r="E543" i="4"/>
  <c r="J543" i="4" s="1"/>
  <c r="E544" i="4"/>
  <c r="J544" i="4" s="1"/>
  <c r="E545" i="4"/>
  <c r="J545" i="4" s="1"/>
  <c r="E546" i="4"/>
  <c r="J546" i="4" s="1"/>
  <c r="E547" i="4"/>
  <c r="J547" i="4" s="1"/>
  <c r="E548" i="4"/>
  <c r="J548" i="4" s="1"/>
  <c r="E549" i="4"/>
  <c r="J549" i="4" s="1"/>
  <c r="E550" i="4"/>
  <c r="J550" i="4" s="1"/>
  <c r="E551" i="4"/>
  <c r="J551" i="4" s="1"/>
  <c r="E552" i="4"/>
  <c r="J552" i="4" s="1"/>
  <c r="E553" i="4"/>
  <c r="J553" i="4" s="1"/>
  <c r="E554" i="4"/>
  <c r="J554" i="4" s="1"/>
  <c r="E555" i="4"/>
  <c r="J555" i="4" s="1"/>
  <c r="E556" i="4"/>
  <c r="J556" i="4" s="1"/>
  <c r="E557" i="4"/>
  <c r="J557" i="4" s="1"/>
  <c r="E558" i="4"/>
  <c r="J558" i="4" s="1"/>
  <c r="E559" i="4"/>
  <c r="J559" i="4" s="1"/>
  <c r="E560" i="4"/>
  <c r="J560" i="4" s="1"/>
  <c r="E561" i="4"/>
  <c r="J561" i="4" s="1"/>
  <c r="E562" i="4"/>
  <c r="J562" i="4" s="1"/>
  <c r="E563" i="4"/>
  <c r="J563" i="4" s="1"/>
  <c r="E564" i="4"/>
  <c r="J564" i="4" s="1"/>
  <c r="E565" i="4"/>
  <c r="J565" i="4" s="1"/>
  <c r="E566" i="4"/>
  <c r="J566" i="4" s="1"/>
  <c r="E567" i="4"/>
  <c r="J567" i="4" s="1"/>
  <c r="E568" i="4"/>
  <c r="J568" i="4" s="1"/>
  <c r="E569" i="4"/>
  <c r="J569" i="4" s="1"/>
  <c r="E570" i="4"/>
  <c r="J570" i="4" s="1"/>
  <c r="E571" i="4"/>
  <c r="J571" i="4" s="1"/>
  <c r="E572" i="4"/>
  <c r="J572" i="4" s="1"/>
  <c r="E573" i="4"/>
  <c r="J573" i="4" s="1"/>
  <c r="E574" i="4"/>
  <c r="J574" i="4" s="1"/>
  <c r="E575" i="4"/>
  <c r="J575" i="4" s="1"/>
  <c r="E576" i="4"/>
  <c r="J576" i="4" s="1"/>
  <c r="E577" i="4"/>
  <c r="J577" i="4" s="1"/>
  <c r="E578" i="4"/>
  <c r="J578" i="4" s="1"/>
  <c r="E579" i="4"/>
  <c r="J579" i="4" s="1"/>
  <c r="E580" i="4"/>
  <c r="J580" i="4" s="1"/>
  <c r="E581" i="4"/>
  <c r="J581" i="4" s="1"/>
  <c r="E582" i="4"/>
  <c r="J582" i="4" s="1"/>
  <c r="E583" i="4"/>
  <c r="J583" i="4" s="1"/>
  <c r="E584" i="4"/>
  <c r="J584" i="4" s="1"/>
  <c r="E585" i="4"/>
  <c r="J585" i="4" s="1"/>
  <c r="E586" i="4"/>
  <c r="J586" i="4" s="1"/>
  <c r="E587" i="4"/>
  <c r="J587" i="4" s="1"/>
  <c r="E588" i="4"/>
  <c r="J588" i="4" s="1"/>
  <c r="E589" i="4"/>
  <c r="J589" i="4" s="1"/>
  <c r="E590" i="4"/>
  <c r="J590" i="4" s="1"/>
  <c r="E591" i="4"/>
  <c r="J591" i="4" s="1"/>
  <c r="E592" i="4"/>
  <c r="J592" i="4" s="1"/>
  <c r="E593" i="4"/>
  <c r="J593" i="4" s="1"/>
  <c r="E594" i="4"/>
  <c r="J594" i="4" s="1"/>
  <c r="E595" i="4"/>
  <c r="J595" i="4" s="1"/>
  <c r="E596" i="4"/>
  <c r="J596" i="4" s="1"/>
  <c r="E597" i="4"/>
  <c r="J597" i="4" s="1"/>
  <c r="E598" i="4"/>
  <c r="J598" i="4" s="1"/>
  <c r="E599" i="4"/>
  <c r="J599" i="4" s="1"/>
  <c r="E600" i="4"/>
  <c r="J600" i="4" s="1"/>
  <c r="E601" i="4"/>
  <c r="J601" i="4" s="1"/>
  <c r="E602" i="4"/>
  <c r="J602" i="4" s="1"/>
  <c r="E603" i="4"/>
  <c r="J603" i="4" s="1"/>
  <c r="E604" i="4"/>
  <c r="J604" i="4" s="1"/>
  <c r="E605" i="4"/>
  <c r="J605" i="4" s="1"/>
  <c r="E606" i="4"/>
  <c r="J606" i="4" s="1"/>
  <c r="E607" i="4"/>
  <c r="J607" i="4" s="1"/>
  <c r="E608" i="4"/>
  <c r="J608" i="4" s="1"/>
  <c r="E609" i="4"/>
  <c r="J609" i="4" s="1"/>
  <c r="E610" i="4"/>
  <c r="J610" i="4" s="1"/>
  <c r="E611" i="4"/>
  <c r="J611" i="4" s="1"/>
  <c r="E612" i="4"/>
  <c r="J612" i="4" s="1"/>
  <c r="E613" i="4"/>
  <c r="J613" i="4" s="1"/>
  <c r="E614" i="4"/>
  <c r="J614" i="4" s="1"/>
  <c r="E615" i="4"/>
  <c r="J615" i="4" s="1"/>
  <c r="E616" i="4"/>
  <c r="J616" i="4" s="1"/>
  <c r="E617" i="4"/>
  <c r="J617" i="4" s="1"/>
  <c r="E618" i="4"/>
  <c r="J618" i="4" s="1"/>
  <c r="E619" i="4"/>
  <c r="J619" i="4" s="1"/>
  <c r="E620" i="4"/>
  <c r="J620" i="4" s="1"/>
  <c r="E621" i="4"/>
  <c r="J621" i="4" s="1"/>
  <c r="E622" i="4"/>
  <c r="J622" i="4" s="1"/>
  <c r="E623" i="4"/>
  <c r="J623" i="4" s="1"/>
  <c r="E624" i="4"/>
  <c r="J624" i="4" s="1"/>
  <c r="E625" i="4"/>
  <c r="J625" i="4" s="1"/>
  <c r="E626" i="4"/>
  <c r="J626" i="4" s="1"/>
  <c r="E627" i="4"/>
  <c r="J627" i="4" s="1"/>
  <c r="E628" i="4"/>
  <c r="J628" i="4" s="1"/>
  <c r="E629" i="4"/>
  <c r="J629" i="4" s="1"/>
  <c r="E630" i="4"/>
  <c r="J630" i="4" s="1"/>
  <c r="E631" i="4"/>
  <c r="J631" i="4" s="1"/>
  <c r="E632" i="4"/>
  <c r="J632" i="4" s="1"/>
  <c r="E633" i="4"/>
  <c r="J633" i="4" s="1"/>
  <c r="E634" i="4"/>
  <c r="J634" i="4" s="1"/>
  <c r="E635" i="4"/>
  <c r="J635" i="4" s="1"/>
  <c r="E636" i="4"/>
  <c r="J636" i="4" s="1"/>
  <c r="E637" i="4"/>
  <c r="J637" i="4" s="1"/>
  <c r="E638" i="4"/>
  <c r="J638" i="4" s="1"/>
  <c r="E639" i="4"/>
  <c r="J639" i="4" s="1"/>
  <c r="E640" i="4"/>
  <c r="J640" i="4" s="1"/>
  <c r="E641" i="4"/>
  <c r="J641" i="4" s="1"/>
  <c r="E642" i="4"/>
  <c r="J642" i="4" s="1"/>
  <c r="E643" i="4"/>
  <c r="J643" i="4" s="1"/>
  <c r="E644" i="4"/>
  <c r="J644" i="4" s="1"/>
  <c r="E645" i="4"/>
  <c r="J645" i="4" s="1"/>
  <c r="E646" i="4"/>
  <c r="J646" i="4" s="1"/>
  <c r="E647" i="4"/>
  <c r="J647" i="4" s="1"/>
  <c r="E648" i="4"/>
  <c r="J648" i="4" s="1"/>
  <c r="E649" i="4"/>
  <c r="J649" i="4" s="1"/>
  <c r="E650" i="4"/>
  <c r="J650" i="4" s="1"/>
  <c r="E651" i="4"/>
  <c r="J651" i="4" s="1"/>
  <c r="E652" i="4"/>
  <c r="J652" i="4" s="1"/>
  <c r="E653" i="4"/>
  <c r="J653" i="4" s="1"/>
  <c r="E654" i="4"/>
  <c r="J654" i="4" s="1"/>
  <c r="E655" i="4"/>
  <c r="J655" i="4" s="1"/>
  <c r="E656" i="4"/>
  <c r="J656" i="4" s="1"/>
  <c r="E657" i="4"/>
  <c r="J657" i="4" s="1"/>
  <c r="E658" i="4"/>
  <c r="J658" i="4" s="1"/>
  <c r="E659" i="4"/>
  <c r="J659" i="4" s="1"/>
  <c r="E660" i="4"/>
  <c r="J660" i="4" s="1"/>
  <c r="E661" i="4"/>
  <c r="J661" i="4" s="1"/>
  <c r="E662" i="4"/>
  <c r="J662" i="4" s="1"/>
  <c r="E663" i="4"/>
  <c r="J663" i="4" s="1"/>
  <c r="E664" i="4"/>
  <c r="J664" i="4" s="1"/>
  <c r="E665" i="4"/>
  <c r="J665" i="4" s="1"/>
  <c r="E666" i="4"/>
  <c r="J666" i="4" s="1"/>
  <c r="E667" i="4"/>
  <c r="J667" i="4" s="1"/>
  <c r="E668" i="4"/>
  <c r="J668" i="4" s="1"/>
  <c r="E669" i="4"/>
  <c r="J669" i="4" s="1"/>
  <c r="E670" i="4"/>
  <c r="J670" i="4" s="1"/>
  <c r="E671" i="4"/>
  <c r="J671" i="4" s="1"/>
  <c r="E672" i="4"/>
  <c r="J672" i="4" s="1"/>
  <c r="E673" i="4"/>
  <c r="J673" i="4" s="1"/>
  <c r="E674" i="4"/>
  <c r="J674" i="4" s="1"/>
  <c r="E675" i="4"/>
  <c r="J675" i="4" s="1"/>
  <c r="E676" i="4"/>
  <c r="J676" i="4" s="1"/>
  <c r="E677" i="4"/>
  <c r="J677" i="4" s="1"/>
  <c r="E678" i="4"/>
  <c r="J678" i="4" s="1"/>
  <c r="E679" i="4"/>
  <c r="J679" i="4" s="1"/>
  <c r="E680" i="4"/>
  <c r="J680" i="4" s="1"/>
  <c r="E681" i="4"/>
  <c r="J681" i="4" s="1"/>
  <c r="E682" i="4"/>
  <c r="J682" i="4" s="1"/>
  <c r="E683" i="4"/>
  <c r="J683" i="4" s="1"/>
  <c r="E684" i="4"/>
  <c r="J684" i="4" s="1"/>
  <c r="E685" i="4"/>
  <c r="J685" i="4" s="1"/>
  <c r="E686" i="4"/>
  <c r="J686" i="4" s="1"/>
  <c r="E687" i="4"/>
  <c r="J687" i="4" s="1"/>
  <c r="E688" i="4"/>
  <c r="J688" i="4" s="1"/>
  <c r="E689" i="4"/>
  <c r="J689" i="4" s="1"/>
  <c r="E690" i="4"/>
  <c r="J690" i="4" s="1"/>
  <c r="E691" i="4"/>
  <c r="J691" i="4" s="1"/>
  <c r="E692" i="4"/>
  <c r="J692" i="4" s="1"/>
  <c r="E693" i="4"/>
  <c r="J693" i="4" s="1"/>
  <c r="E694" i="4"/>
  <c r="J694" i="4" s="1"/>
  <c r="E695" i="4"/>
  <c r="J695" i="4" s="1"/>
  <c r="E696" i="4"/>
  <c r="J696" i="4" s="1"/>
  <c r="E697" i="4"/>
  <c r="J697" i="4" s="1"/>
  <c r="E698" i="4"/>
  <c r="J698" i="4" s="1"/>
  <c r="E699" i="4"/>
  <c r="J699" i="4" s="1"/>
  <c r="E700" i="4"/>
  <c r="J700" i="4" s="1"/>
  <c r="E701" i="4"/>
  <c r="J701" i="4" s="1"/>
  <c r="E702" i="4"/>
  <c r="J702" i="4" s="1"/>
  <c r="E703" i="4"/>
  <c r="J703" i="4" s="1"/>
  <c r="E704" i="4"/>
  <c r="J704" i="4" s="1"/>
  <c r="E705" i="4"/>
  <c r="J705" i="4" s="1"/>
  <c r="E706" i="4"/>
  <c r="J706" i="4" s="1"/>
  <c r="E707" i="4"/>
  <c r="J707" i="4" s="1"/>
  <c r="E708" i="4"/>
  <c r="J708" i="4" s="1"/>
  <c r="E709" i="4"/>
  <c r="J709" i="4" s="1"/>
  <c r="E710" i="4"/>
  <c r="J710" i="4" s="1"/>
  <c r="E711" i="4"/>
  <c r="J711" i="4" s="1"/>
  <c r="E712" i="4"/>
  <c r="J712" i="4" s="1"/>
  <c r="E713" i="4"/>
  <c r="J713" i="4" s="1"/>
  <c r="E714" i="4"/>
  <c r="J714" i="4" s="1"/>
  <c r="E715" i="4"/>
  <c r="J715" i="4" s="1"/>
  <c r="E716" i="4"/>
  <c r="J716" i="4" s="1"/>
  <c r="E717" i="4"/>
  <c r="J717" i="4" s="1"/>
  <c r="E718" i="4"/>
  <c r="J718" i="4" s="1"/>
  <c r="E719" i="4"/>
  <c r="J719" i="4" s="1"/>
  <c r="E720" i="4"/>
  <c r="J720" i="4" s="1"/>
  <c r="E721" i="4"/>
  <c r="J721" i="4" s="1"/>
  <c r="E722" i="4"/>
  <c r="J722" i="4" s="1"/>
  <c r="E723" i="4"/>
  <c r="J723" i="4" s="1"/>
  <c r="E724" i="4"/>
  <c r="J724" i="4" s="1"/>
  <c r="E725" i="4"/>
  <c r="J725" i="4" s="1"/>
  <c r="E726" i="4"/>
  <c r="J726" i="4" s="1"/>
  <c r="E727" i="4"/>
  <c r="J727" i="4" s="1"/>
  <c r="E728" i="4"/>
  <c r="J728" i="4" s="1"/>
  <c r="E729" i="4"/>
  <c r="J729" i="4" s="1"/>
  <c r="E730" i="4"/>
  <c r="J730" i="4" s="1"/>
  <c r="E731" i="4"/>
  <c r="J731" i="4" s="1"/>
  <c r="E732" i="4"/>
  <c r="J732" i="4" s="1"/>
  <c r="E733" i="4"/>
  <c r="J733" i="4" s="1"/>
  <c r="E734" i="4"/>
  <c r="J734" i="4" s="1"/>
  <c r="E735" i="4"/>
  <c r="J735" i="4" s="1"/>
  <c r="E736" i="4"/>
  <c r="J736" i="4" s="1"/>
  <c r="E737" i="4"/>
  <c r="J737" i="4" s="1"/>
  <c r="E738" i="4"/>
  <c r="J738" i="4" s="1"/>
  <c r="E739" i="4"/>
  <c r="J739" i="4" s="1"/>
  <c r="E740" i="4"/>
  <c r="J740" i="4" s="1"/>
  <c r="E741" i="4"/>
  <c r="J741" i="4" s="1"/>
  <c r="E742" i="4"/>
  <c r="J742" i="4" s="1"/>
  <c r="E743" i="4"/>
  <c r="J743" i="4" s="1"/>
  <c r="E744" i="4"/>
  <c r="J744" i="4" s="1"/>
  <c r="E745" i="4"/>
  <c r="J745" i="4" s="1"/>
  <c r="E746" i="4"/>
  <c r="J746" i="4" s="1"/>
  <c r="E747" i="4"/>
  <c r="J747" i="4" s="1"/>
  <c r="E748" i="4"/>
  <c r="J748" i="4" s="1"/>
  <c r="E749" i="4"/>
  <c r="J749" i="4" s="1"/>
  <c r="E750" i="4"/>
  <c r="J750" i="4" s="1"/>
  <c r="E751" i="4"/>
  <c r="J751" i="4" s="1"/>
  <c r="E752" i="4"/>
  <c r="J752" i="4" s="1"/>
  <c r="E753" i="4"/>
  <c r="J753" i="4" s="1"/>
  <c r="E754" i="4"/>
  <c r="J754" i="4" s="1"/>
  <c r="E755" i="4"/>
  <c r="J755" i="4" s="1"/>
  <c r="E756" i="4"/>
  <c r="J756" i="4" s="1"/>
  <c r="E757" i="4"/>
  <c r="J757" i="4" s="1"/>
  <c r="E758" i="4"/>
  <c r="J758" i="4" s="1"/>
  <c r="E759" i="4"/>
  <c r="J759" i="4" s="1"/>
  <c r="E760" i="4"/>
  <c r="J760" i="4" s="1"/>
  <c r="E761" i="4"/>
  <c r="J761" i="4" s="1"/>
  <c r="E762" i="4"/>
  <c r="J762" i="4" s="1"/>
  <c r="E763" i="4"/>
  <c r="J763" i="4" s="1"/>
  <c r="E764" i="4"/>
  <c r="J764" i="4" s="1"/>
  <c r="E765" i="4"/>
  <c r="J765" i="4" s="1"/>
  <c r="E766" i="4"/>
  <c r="J766" i="4" s="1"/>
  <c r="E767" i="4"/>
  <c r="J767" i="4" s="1"/>
  <c r="E768" i="4"/>
  <c r="J768" i="4" s="1"/>
  <c r="E769" i="4"/>
  <c r="J769" i="4" s="1"/>
  <c r="E770" i="4"/>
  <c r="J770" i="4" s="1"/>
  <c r="E771" i="4"/>
  <c r="J771" i="4" s="1"/>
  <c r="E772" i="4"/>
  <c r="J772" i="4" s="1"/>
  <c r="E773" i="4"/>
  <c r="J773" i="4" s="1"/>
  <c r="E774" i="4"/>
  <c r="J774" i="4" s="1"/>
  <c r="E775" i="4"/>
  <c r="J775" i="4" s="1"/>
  <c r="E776" i="4"/>
  <c r="J776" i="4" s="1"/>
  <c r="E777" i="4"/>
  <c r="J777" i="4" s="1"/>
  <c r="E778" i="4"/>
  <c r="J778" i="4" s="1"/>
  <c r="E779" i="4"/>
  <c r="J779" i="4" s="1"/>
  <c r="E780" i="4"/>
  <c r="J780" i="4" s="1"/>
  <c r="E781" i="4"/>
  <c r="J781" i="4" s="1"/>
  <c r="E782" i="4"/>
  <c r="J782" i="4" s="1"/>
  <c r="E783" i="4"/>
  <c r="J783" i="4" s="1"/>
  <c r="E784" i="4"/>
  <c r="J784" i="4" s="1"/>
  <c r="E785" i="4"/>
  <c r="J785" i="4" s="1"/>
  <c r="E786" i="4"/>
  <c r="J786" i="4" s="1"/>
  <c r="E787" i="4"/>
  <c r="J787" i="4" s="1"/>
  <c r="E788" i="4"/>
  <c r="J788" i="4" s="1"/>
  <c r="E789" i="4"/>
  <c r="J789" i="4" s="1"/>
  <c r="E790" i="4"/>
  <c r="J790" i="4" s="1"/>
  <c r="E791" i="4"/>
  <c r="J791" i="4" s="1"/>
  <c r="E792" i="4"/>
  <c r="J792" i="4" s="1"/>
  <c r="E793" i="4"/>
  <c r="J793" i="4" s="1"/>
  <c r="E794" i="4"/>
  <c r="J794" i="4" s="1"/>
  <c r="E795" i="4"/>
  <c r="J795" i="4" s="1"/>
  <c r="E796" i="4"/>
  <c r="J796" i="4" s="1"/>
  <c r="E797" i="4"/>
  <c r="J797" i="4" s="1"/>
  <c r="E798" i="4"/>
  <c r="J798" i="4" s="1"/>
  <c r="E799" i="4"/>
  <c r="J799" i="4" s="1"/>
  <c r="E800" i="4"/>
  <c r="J800" i="4" s="1"/>
  <c r="E801" i="4"/>
  <c r="J801" i="4" s="1"/>
  <c r="E802" i="4"/>
  <c r="J802" i="4" s="1"/>
  <c r="E803" i="4"/>
  <c r="J803" i="4" s="1"/>
  <c r="E804" i="4"/>
  <c r="J804" i="4" s="1"/>
  <c r="E805" i="4"/>
  <c r="J805" i="4" s="1"/>
  <c r="E806" i="4"/>
  <c r="J806" i="4" s="1"/>
  <c r="E807" i="4"/>
  <c r="J807" i="4" s="1"/>
  <c r="E808" i="4"/>
  <c r="J808" i="4" s="1"/>
  <c r="E809" i="4"/>
  <c r="J809" i="4" s="1"/>
  <c r="E810" i="4"/>
  <c r="J810" i="4" s="1"/>
  <c r="E811" i="4"/>
  <c r="J811" i="4" s="1"/>
  <c r="E812" i="4"/>
  <c r="J812" i="4" s="1"/>
  <c r="E813" i="4"/>
  <c r="J813" i="4" s="1"/>
  <c r="E814" i="4"/>
  <c r="J814" i="4" s="1"/>
  <c r="E815" i="4"/>
  <c r="J815" i="4" s="1"/>
  <c r="E816" i="4"/>
  <c r="J816" i="4" s="1"/>
  <c r="E817" i="4"/>
  <c r="J817" i="4" s="1"/>
  <c r="E818" i="4"/>
  <c r="J818" i="4" s="1"/>
  <c r="E819" i="4"/>
  <c r="J819" i="4" s="1"/>
  <c r="E820" i="4"/>
  <c r="J820" i="4" s="1"/>
  <c r="E821" i="4"/>
  <c r="J821" i="4" s="1"/>
  <c r="E822" i="4"/>
  <c r="J822" i="4" s="1"/>
  <c r="E823" i="4"/>
  <c r="J823" i="4" s="1"/>
  <c r="E824" i="4"/>
  <c r="J824" i="4" s="1"/>
  <c r="E825" i="4"/>
  <c r="J825" i="4" s="1"/>
  <c r="E826" i="4"/>
  <c r="J826" i="4" s="1"/>
  <c r="E827" i="4"/>
  <c r="J827" i="4" s="1"/>
  <c r="E828" i="4"/>
  <c r="J828" i="4" s="1"/>
  <c r="E829" i="4"/>
  <c r="J829" i="4" s="1"/>
  <c r="E830" i="4"/>
  <c r="J830" i="4" s="1"/>
  <c r="E831" i="4"/>
  <c r="J831" i="4" s="1"/>
  <c r="E832" i="4"/>
  <c r="J832" i="4" s="1"/>
  <c r="E833" i="4"/>
  <c r="J833" i="4" s="1"/>
  <c r="E834" i="4"/>
  <c r="J834" i="4" s="1"/>
  <c r="E835" i="4"/>
  <c r="J835" i="4" s="1"/>
  <c r="E836" i="4"/>
  <c r="J836" i="4" s="1"/>
  <c r="E837" i="4"/>
  <c r="J837" i="4" s="1"/>
  <c r="E838" i="4"/>
  <c r="J838" i="4" s="1"/>
  <c r="E839" i="4"/>
  <c r="J839" i="4" s="1"/>
  <c r="E840" i="4"/>
  <c r="J840" i="4" s="1"/>
  <c r="E841" i="4"/>
  <c r="J841" i="4" s="1"/>
  <c r="E842" i="4"/>
  <c r="J842" i="4" s="1"/>
  <c r="E843" i="4"/>
  <c r="J843" i="4" s="1"/>
  <c r="E844" i="4"/>
  <c r="J844" i="4" s="1"/>
  <c r="E845" i="4"/>
  <c r="J845" i="4" s="1"/>
  <c r="E846" i="4"/>
  <c r="J846" i="4" s="1"/>
  <c r="E847" i="4"/>
  <c r="J847" i="4" s="1"/>
  <c r="E848" i="4"/>
  <c r="J848" i="4" s="1"/>
  <c r="E849" i="4"/>
  <c r="J849" i="4" s="1"/>
  <c r="E850" i="4"/>
  <c r="J850" i="4" s="1"/>
  <c r="E851" i="4"/>
  <c r="J851" i="4" s="1"/>
  <c r="E852" i="4"/>
  <c r="J852" i="4" s="1"/>
  <c r="E853" i="4"/>
  <c r="J853" i="4" s="1"/>
  <c r="E854" i="4"/>
  <c r="J854" i="4" s="1"/>
  <c r="E855" i="4"/>
  <c r="J855" i="4" s="1"/>
  <c r="E856" i="4"/>
  <c r="J856" i="4" s="1"/>
  <c r="E857" i="4"/>
  <c r="J857" i="4" s="1"/>
  <c r="E858" i="4"/>
  <c r="J858" i="4" s="1"/>
  <c r="E859" i="4"/>
  <c r="J859" i="4" s="1"/>
  <c r="E860" i="4"/>
  <c r="J860" i="4" s="1"/>
  <c r="E861" i="4"/>
  <c r="J861" i="4" s="1"/>
  <c r="E862" i="4"/>
  <c r="J862" i="4" s="1"/>
  <c r="E863" i="4"/>
  <c r="J863" i="4" s="1"/>
  <c r="E864" i="4"/>
  <c r="J864" i="4" s="1"/>
  <c r="E865" i="4"/>
  <c r="J865" i="4" s="1"/>
  <c r="E866" i="4"/>
  <c r="J866" i="4" s="1"/>
  <c r="E867" i="4"/>
  <c r="J867" i="4" s="1"/>
  <c r="E868" i="4"/>
  <c r="J868" i="4" s="1"/>
  <c r="E869" i="4"/>
  <c r="J869" i="4" s="1"/>
  <c r="E870" i="4"/>
  <c r="J870" i="4" s="1"/>
  <c r="E871" i="4"/>
  <c r="J871" i="4" s="1"/>
  <c r="E872" i="4"/>
  <c r="J872" i="4" s="1"/>
  <c r="E873" i="4"/>
  <c r="J873" i="4" s="1"/>
  <c r="E874" i="4"/>
  <c r="J874" i="4" s="1"/>
  <c r="E875" i="4"/>
  <c r="J875" i="4" s="1"/>
  <c r="E876" i="4"/>
  <c r="J876" i="4" s="1"/>
  <c r="E877" i="4"/>
  <c r="J877" i="4" s="1"/>
  <c r="E878" i="4"/>
  <c r="J878" i="4" s="1"/>
  <c r="E879" i="4"/>
  <c r="J879" i="4" s="1"/>
  <c r="E880" i="4"/>
  <c r="J880" i="4" s="1"/>
  <c r="E881" i="4"/>
  <c r="J881" i="4" s="1"/>
  <c r="E882" i="4"/>
  <c r="J882" i="4" s="1"/>
  <c r="E883" i="4"/>
  <c r="J883" i="4" s="1"/>
  <c r="E884" i="4"/>
  <c r="J884" i="4" s="1"/>
  <c r="E885" i="4"/>
  <c r="J885" i="4" s="1"/>
  <c r="E886" i="4"/>
  <c r="J886" i="4" s="1"/>
  <c r="E887" i="4"/>
  <c r="J887" i="4" s="1"/>
  <c r="E888" i="4"/>
  <c r="J888" i="4" s="1"/>
  <c r="E889" i="4"/>
  <c r="J889" i="4" s="1"/>
  <c r="E890" i="4"/>
  <c r="J890" i="4" s="1"/>
  <c r="E891" i="4"/>
  <c r="J891" i="4" s="1"/>
  <c r="E892" i="4"/>
  <c r="J892" i="4" s="1"/>
  <c r="E893" i="4"/>
  <c r="J893" i="4" s="1"/>
  <c r="E894" i="4"/>
  <c r="J894" i="4" s="1"/>
  <c r="E895" i="4"/>
  <c r="J895" i="4" s="1"/>
  <c r="E896" i="4"/>
  <c r="J896" i="4" s="1"/>
  <c r="E897" i="4"/>
  <c r="J897" i="4" s="1"/>
  <c r="E898" i="4"/>
  <c r="J898" i="4" s="1"/>
  <c r="E899" i="4"/>
  <c r="J899" i="4" s="1"/>
  <c r="E900" i="4"/>
  <c r="J900" i="4" s="1"/>
  <c r="E901" i="4"/>
  <c r="J901" i="4" s="1"/>
  <c r="E902" i="4"/>
  <c r="J902" i="4" s="1"/>
  <c r="E903" i="4"/>
  <c r="J903" i="4" s="1"/>
  <c r="E904" i="4"/>
  <c r="J904" i="4" s="1"/>
  <c r="E905" i="4"/>
  <c r="J905" i="4" s="1"/>
  <c r="E906" i="4"/>
  <c r="J906" i="4" s="1"/>
  <c r="E907" i="4"/>
  <c r="J907" i="4" s="1"/>
  <c r="E908" i="4"/>
  <c r="J908" i="4" s="1"/>
  <c r="E909" i="4"/>
  <c r="J909" i="4" s="1"/>
  <c r="E910" i="4"/>
  <c r="J910" i="4" s="1"/>
  <c r="E911" i="4"/>
  <c r="J911" i="4" s="1"/>
  <c r="E912" i="4"/>
  <c r="J912" i="4" s="1"/>
  <c r="E913" i="4"/>
  <c r="J913" i="4" s="1"/>
  <c r="E914" i="4"/>
  <c r="J914" i="4" s="1"/>
  <c r="E915" i="4"/>
  <c r="J915" i="4" s="1"/>
  <c r="E916" i="4"/>
  <c r="J916" i="4" s="1"/>
  <c r="E917" i="4"/>
  <c r="J917" i="4" s="1"/>
  <c r="E918" i="4"/>
  <c r="J918" i="4" s="1"/>
  <c r="E919" i="4"/>
  <c r="J919" i="4" s="1"/>
  <c r="E920" i="4"/>
  <c r="J920" i="4" s="1"/>
  <c r="E921" i="4"/>
  <c r="J921" i="4" s="1"/>
  <c r="E922" i="4"/>
  <c r="J922" i="4" s="1"/>
  <c r="E923" i="4"/>
  <c r="J923" i="4" s="1"/>
  <c r="E924" i="4"/>
  <c r="J924" i="4" s="1"/>
  <c r="E925" i="4"/>
  <c r="J925" i="4" s="1"/>
  <c r="E926" i="4"/>
  <c r="J926" i="4" s="1"/>
  <c r="E927" i="4"/>
  <c r="J927" i="4" s="1"/>
  <c r="E928" i="4"/>
  <c r="J928" i="4" s="1"/>
  <c r="E929" i="4"/>
  <c r="J929" i="4" s="1"/>
  <c r="E930" i="4"/>
  <c r="J930" i="4" s="1"/>
  <c r="E931" i="4"/>
  <c r="J931" i="4" s="1"/>
  <c r="E932" i="4"/>
  <c r="J932" i="4" s="1"/>
  <c r="E933" i="4"/>
  <c r="J933" i="4" s="1"/>
  <c r="E934" i="4"/>
  <c r="J934" i="4" s="1"/>
  <c r="E935" i="4"/>
  <c r="J935" i="4" s="1"/>
  <c r="E936" i="4"/>
  <c r="J936" i="4" s="1"/>
  <c r="E937" i="4"/>
  <c r="J937" i="4" s="1"/>
  <c r="E938" i="4"/>
  <c r="J938" i="4" s="1"/>
  <c r="E939" i="4"/>
  <c r="J939" i="4" s="1"/>
  <c r="E940" i="4"/>
  <c r="J940" i="4" s="1"/>
  <c r="E941" i="4"/>
  <c r="J941" i="4" s="1"/>
  <c r="E942" i="4"/>
  <c r="J942" i="4" s="1"/>
  <c r="E943" i="4"/>
  <c r="J943" i="4" s="1"/>
  <c r="E944" i="4"/>
  <c r="J944" i="4" s="1"/>
  <c r="E945" i="4"/>
  <c r="J945" i="4" s="1"/>
  <c r="E946" i="4"/>
  <c r="J946" i="4" s="1"/>
  <c r="E947" i="4"/>
  <c r="J947" i="4" s="1"/>
  <c r="E948" i="4"/>
  <c r="J948" i="4" s="1"/>
  <c r="E949" i="4"/>
  <c r="J949" i="4" s="1"/>
  <c r="E950" i="4"/>
  <c r="J950" i="4" s="1"/>
  <c r="E951" i="4"/>
  <c r="J951" i="4" s="1"/>
  <c r="E952" i="4"/>
  <c r="J952" i="4" s="1"/>
  <c r="E953" i="4"/>
  <c r="J953" i="4" s="1"/>
  <c r="E954" i="4"/>
  <c r="J954" i="4" s="1"/>
  <c r="E955" i="4"/>
  <c r="J955" i="4" s="1"/>
  <c r="E956" i="4"/>
  <c r="J956" i="4" s="1"/>
  <c r="E957" i="4"/>
  <c r="J957" i="4" s="1"/>
  <c r="E958" i="4"/>
  <c r="J958" i="4" s="1"/>
  <c r="E959" i="4"/>
  <c r="J959" i="4" s="1"/>
  <c r="E960" i="4"/>
  <c r="J960" i="4" s="1"/>
  <c r="E961" i="4"/>
  <c r="J961" i="4" s="1"/>
  <c r="E962" i="4"/>
  <c r="J962" i="4" s="1"/>
  <c r="E963" i="4"/>
  <c r="J963" i="4" s="1"/>
  <c r="E964" i="4"/>
  <c r="J964" i="4" s="1"/>
  <c r="E965" i="4"/>
  <c r="J965" i="4" s="1"/>
  <c r="E966" i="4"/>
  <c r="J966" i="4" s="1"/>
  <c r="E967" i="4"/>
  <c r="J967" i="4" s="1"/>
  <c r="E968" i="4"/>
  <c r="J968" i="4" s="1"/>
  <c r="E969" i="4"/>
  <c r="J969" i="4" s="1"/>
  <c r="E970" i="4"/>
  <c r="J970" i="4" s="1"/>
  <c r="E971" i="4"/>
  <c r="J971" i="4" s="1"/>
  <c r="E972" i="4"/>
  <c r="J972" i="4" s="1"/>
  <c r="E973" i="4"/>
  <c r="J973" i="4" s="1"/>
  <c r="E974" i="4"/>
  <c r="J974" i="4" s="1"/>
  <c r="E975" i="4"/>
  <c r="J975" i="4" s="1"/>
  <c r="E976" i="4"/>
  <c r="J976" i="4" s="1"/>
  <c r="E977" i="4"/>
  <c r="J977" i="4" s="1"/>
  <c r="E978" i="4"/>
  <c r="J978" i="4" s="1"/>
  <c r="E979" i="4"/>
  <c r="J979" i="4" s="1"/>
  <c r="E980" i="4"/>
  <c r="J980" i="4" s="1"/>
  <c r="E981" i="4"/>
  <c r="J981" i="4" s="1"/>
  <c r="E982" i="4"/>
  <c r="J982" i="4" s="1"/>
  <c r="E983" i="4"/>
  <c r="J983" i="4" s="1"/>
  <c r="E984" i="4"/>
  <c r="J984" i="4" s="1"/>
  <c r="E985" i="4"/>
  <c r="J985" i="4" s="1"/>
  <c r="E986" i="4"/>
  <c r="J986" i="4" s="1"/>
  <c r="E987" i="4"/>
  <c r="J987" i="4" s="1"/>
  <c r="E988" i="4"/>
  <c r="J988" i="4" s="1"/>
  <c r="E989" i="4"/>
  <c r="J989" i="4" s="1"/>
  <c r="E990" i="4"/>
  <c r="J990" i="4" s="1"/>
  <c r="E991" i="4"/>
  <c r="J991" i="4" s="1"/>
  <c r="E992" i="4"/>
  <c r="J992" i="4" s="1"/>
  <c r="E993" i="4"/>
  <c r="J993" i="4" s="1"/>
  <c r="E994" i="4"/>
  <c r="J994" i="4" s="1"/>
  <c r="E995" i="4"/>
  <c r="J995" i="4" s="1"/>
  <c r="E996" i="4"/>
  <c r="J996" i="4" s="1"/>
  <c r="E997" i="4"/>
  <c r="J997" i="4" s="1"/>
  <c r="E998" i="4"/>
  <c r="J998" i="4" s="1"/>
  <c r="E999" i="4"/>
  <c r="J999" i="4" s="1"/>
  <c r="E1000" i="4"/>
  <c r="J1000" i="4" s="1"/>
  <c r="E1001" i="4"/>
  <c r="J1001" i="4" s="1"/>
  <c r="E1002" i="4"/>
  <c r="J1002" i="4" s="1"/>
  <c r="E1003" i="4"/>
  <c r="J1003" i="4" s="1"/>
  <c r="E1004" i="4"/>
  <c r="J1004" i="4" s="1"/>
  <c r="E1005" i="4"/>
  <c r="J1005" i="4" s="1"/>
  <c r="E1006" i="4"/>
  <c r="J1006" i="4" s="1"/>
  <c r="E1007" i="4"/>
  <c r="J1007" i="4" s="1"/>
  <c r="E1008" i="4"/>
  <c r="J1008" i="4" s="1"/>
  <c r="E1009" i="4"/>
  <c r="J1009" i="4" s="1"/>
  <c r="E1010" i="4"/>
  <c r="J1010" i="4" s="1"/>
  <c r="E1011" i="4"/>
  <c r="J1011" i="4" s="1"/>
  <c r="E1012" i="4"/>
  <c r="J1012" i="4" s="1"/>
  <c r="E1013" i="4"/>
  <c r="J1013" i="4" s="1"/>
  <c r="E1014" i="4"/>
  <c r="J1014" i="4" s="1"/>
  <c r="E1015" i="4"/>
  <c r="J1015" i="4" s="1"/>
  <c r="E1016" i="4"/>
  <c r="J1016" i="4" s="1"/>
  <c r="E1017" i="4"/>
  <c r="J1017" i="4" s="1"/>
  <c r="E1018" i="4"/>
  <c r="J1018" i="4" s="1"/>
  <c r="E1019" i="4"/>
  <c r="J1019" i="4" s="1"/>
  <c r="E1020" i="4"/>
  <c r="J1020" i="4" s="1"/>
  <c r="E1021" i="4"/>
  <c r="J1021" i="4" s="1"/>
  <c r="E1022" i="4"/>
  <c r="J1022" i="4" s="1"/>
  <c r="E1023" i="4"/>
  <c r="J1023" i="4" s="1"/>
  <c r="E1024" i="4"/>
  <c r="J1024" i="4" s="1"/>
  <c r="E1025" i="4"/>
  <c r="J1025" i="4" s="1"/>
  <c r="E1026" i="4"/>
  <c r="J1026" i="4" s="1"/>
  <c r="E1027" i="4"/>
  <c r="J1027" i="4" s="1"/>
  <c r="E1028" i="4"/>
  <c r="J1028" i="4" s="1"/>
  <c r="E1029" i="4"/>
  <c r="J1029" i="4" s="1"/>
  <c r="E1030" i="4"/>
  <c r="J1030" i="4" s="1"/>
  <c r="E1031" i="4"/>
  <c r="J1031" i="4" s="1"/>
  <c r="E1032" i="4"/>
  <c r="J1032" i="4" s="1"/>
  <c r="E1033" i="4"/>
  <c r="J1033" i="4" s="1"/>
  <c r="E1034" i="4"/>
  <c r="J1034" i="4" s="1"/>
  <c r="E1035" i="4"/>
  <c r="J1035" i="4" s="1"/>
  <c r="E1036" i="4"/>
  <c r="J1036" i="4" s="1"/>
  <c r="E1037" i="4"/>
  <c r="J1037" i="4" s="1"/>
  <c r="E1038" i="4"/>
  <c r="J1038" i="4" s="1"/>
  <c r="E1039" i="4"/>
  <c r="J1039" i="4" s="1"/>
  <c r="E1040" i="4"/>
  <c r="J1040" i="4" s="1"/>
  <c r="E1041" i="4"/>
  <c r="J1041" i="4" s="1"/>
  <c r="E1042" i="4"/>
  <c r="J1042" i="4" s="1"/>
  <c r="E1043" i="4"/>
  <c r="J1043" i="4" s="1"/>
  <c r="E1044" i="4"/>
  <c r="J1044" i="4" s="1"/>
  <c r="E1045" i="4"/>
  <c r="J1045" i="4" s="1"/>
  <c r="E1046" i="4"/>
  <c r="J1046" i="4" s="1"/>
  <c r="E1047" i="4"/>
  <c r="J1047" i="4" s="1"/>
  <c r="E1048" i="4"/>
  <c r="J1048" i="4" s="1"/>
  <c r="E1049" i="4"/>
  <c r="J1049" i="4" s="1"/>
  <c r="E1050" i="4"/>
  <c r="J1050" i="4" s="1"/>
  <c r="E1051" i="4"/>
  <c r="J1051" i="4" s="1"/>
  <c r="E1052" i="4"/>
  <c r="J1052" i="4" s="1"/>
  <c r="E1053" i="4"/>
  <c r="J1053" i="4" s="1"/>
  <c r="E1054" i="4"/>
  <c r="J1054" i="4" s="1"/>
  <c r="E1055" i="4"/>
  <c r="J1055" i="4" s="1"/>
  <c r="E1056" i="4"/>
  <c r="J1056" i="4" s="1"/>
  <c r="E1057" i="4"/>
  <c r="J1057" i="4" s="1"/>
  <c r="E1058" i="4"/>
  <c r="J1058" i="4" s="1"/>
  <c r="E1059" i="4"/>
  <c r="J1059" i="4" s="1"/>
  <c r="E1060" i="4"/>
  <c r="J1060" i="4" s="1"/>
  <c r="E1061" i="4"/>
  <c r="J1061" i="4" s="1"/>
  <c r="E1062" i="4"/>
  <c r="J1062" i="4" s="1"/>
  <c r="E1063" i="4"/>
  <c r="J1063" i="4" s="1"/>
  <c r="E1064" i="4"/>
  <c r="J1064" i="4" s="1"/>
  <c r="E1065" i="4"/>
  <c r="J1065" i="4" s="1"/>
  <c r="E1066" i="4"/>
  <c r="J1066" i="4" s="1"/>
  <c r="E1067" i="4"/>
  <c r="J1067" i="4" s="1"/>
  <c r="E1068" i="4"/>
  <c r="J1068" i="4" s="1"/>
  <c r="E1069" i="4"/>
  <c r="J1069" i="4" s="1"/>
  <c r="E1070" i="4"/>
  <c r="J1070" i="4" s="1"/>
  <c r="E1071" i="4"/>
  <c r="J1071" i="4" s="1"/>
  <c r="E1072" i="4"/>
  <c r="J1072" i="4" s="1"/>
  <c r="E1073" i="4"/>
  <c r="J1073" i="4" s="1"/>
  <c r="E1074" i="4"/>
  <c r="J1074" i="4" s="1"/>
  <c r="E1075" i="4"/>
  <c r="J1075" i="4" s="1"/>
  <c r="E1076" i="4"/>
  <c r="J1076" i="4" s="1"/>
  <c r="E1077" i="4"/>
  <c r="J1077" i="4" s="1"/>
  <c r="E1078" i="4"/>
  <c r="J1078" i="4" s="1"/>
  <c r="E1079" i="4"/>
  <c r="J1079" i="4" s="1"/>
  <c r="E1080" i="4"/>
  <c r="J1080" i="4" s="1"/>
  <c r="E1081" i="4"/>
  <c r="J1081" i="4" s="1"/>
  <c r="E1082" i="4"/>
  <c r="J1082" i="4" s="1"/>
  <c r="E1083" i="4"/>
  <c r="J1083" i="4" s="1"/>
  <c r="E1084" i="4"/>
  <c r="J1084" i="4" s="1"/>
  <c r="E1085" i="4"/>
  <c r="J1085" i="4" s="1"/>
  <c r="E1086" i="4"/>
  <c r="J1086" i="4" s="1"/>
  <c r="E1087" i="4"/>
  <c r="J1087" i="4" s="1"/>
  <c r="E1088" i="4"/>
  <c r="J1088" i="4" s="1"/>
  <c r="E1089" i="4"/>
  <c r="J1089" i="4" s="1"/>
  <c r="E1090" i="4"/>
  <c r="J1090" i="4" s="1"/>
  <c r="E1091" i="4"/>
  <c r="J1091" i="4" s="1"/>
  <c r="E1092" i="4"/>
  <c r="J1092" i="4" s="1"/>
  <c r="E1093" i="4"/>
  <c r="J1093" i="4" s="1"/>
  <c r="E1094" i="4"/>
  <c r="J1094" i="4" s="1"/>
  <c r="E1095" i="4"/>
  <c r="J1095" i="4" s="1"/>
  <c r="E1096" i="4"/>
  <c r="J1096" i="4" s="1"/>
  <c r="E1097" i="4"/>
  <c r="J1097" i="4" s="1"/>
  <c r="E1098" i="4"/>
  <c r="J1098" i="4" s="1"/>
  <c r="E1099" i="4"/>
  <c r="J1099" i="4" s="1"/>
  <c r="E1100" i="4"/>
  <c r="J1100" i="4" s="1"/>
  <c r="E1101" i="4"/>
  <c r="J1101" i="4" s="1"/>
  <c r="E1102" i="4"/>
  <c r="J1102" i="4" s="1"/>
  <c r="E1103" i="4"/>
  <c r="J1103" i="4" s="1"/>
  <c r="E1104" i="4"/>
  <c r="J1104" i="4" s="1"/>
  <c r="E1105" i="4"/>
  <c r="J1105" i="4" s="1"/>
  <c r="E1106" i="4"/>
  <c r="J1106" i="4" s="1"/>
  <c r="E1107" i="4"/>
  <c r="J1107" i="4" s="1"/>
  <c r="E1108" i="4"/>
  <c r="J1108" i="4" s="1"/>
  <c r="E1109" i="4"/>
  <c r="J1109" i="4" s="1"/>
  <c r="E1110" i="4"/>
  <c r="J1110" i="4" s="1"/>
  <c r="E1111" i="4"/>
  <c r="J1111" i="4" s="1"/>
  <c r="E1112" i="4"/>
  <c r="J1112" i="4" s="1"/>
  <c r="E1113" i="4"/>
  <c r="J1113" i="4" s="1"/>
  <c r="E1114" i="4"/>
  <c r="J1114" i="4" s="1"/>
  <c r="E1115" i="4"/>
  <c r="J1115" i="4" s="1"/>
  <c r="E1116" i="4"/>
  <c r="J1116" i="4" s="1"/>
  <c r="E1117" i="4"/>
  <c r="J1117" i="4" s="1"/>
  <c r="E1118" i="4"/>
  <c r="J1118" i="4" s="1"/>
  <c r="E1119" i="4"/>
  <c r="J1119" i="4" s="1"/>
  <c r="E1120" i="4"/>
  <c r="J1120" i="4" s="1"/>
  <c r="E1121" i="4"/>
  <c r="J1121" i="4" s="1"/>
  <c r="E1122" i="4"/>
  <c r="J1122" i="4" s="1"/>
  <c r="E1123" i="4"/>
  <c r="J1123" i="4" s="1"/>
  <c r="E1124" i="4"/>
  <c r="J1124" i="4" s="1"/>
  <c r="E1125" i="4"/>
  <c r="J1125" i="4" s="1"/>
  <c r="E1126" i="4"/>
  <c r="J1126" i="4" s="1"/>
  <c r="E1127" i="4"/>
  <c r="J1127" i="4" s="1"/>
  <c r="E1128" i="4"/>
  <c r="J1128" i="4" s="1"/>
  <c r="E1129" i="4"/>
  <c r="J1129" i="4" s="1"/>
  <c r="E1130" i="4"/>
  <c r="J1130" i="4" s="1"/>
  <c r="E1131" i="4"/>
  <c r="J1131" i="4" s="1"/>
  <c r="E1132" i="4"/>
  <c r="J1132" i="4" s="1"/>
  <c r="E1133" i="4"/>
  <c r="J1133" i="4" s="1"/>
  <c r="E1134" i="4"/>
  <c r="J1134" i="4" s="1"/>
  <c r="E1135" i="4"/>
  <c r="J1135" i="4" s="1"/>
  <c r="E1136" i="4"/>
  <c r="J1136" i="4" s="1"/>
  <c r="E1137" i="4"/>
  <c r="J1137" i="4" s="1"/>
  <c r="E1138" i="4"/>
  <c r="J1138" i="4" s="1"/>
  <c r="E1139" i="4"/>
  <c r="J1139" i="4" s="1"/>
  <c r="E1140" i="4"/>
  <c r="J1140" i="4" s="1"/>
  <c r="E1141" i="4"/>
  <c r="J1141" i="4" s="1"/>
  <c r="E1142" i="4"/>
  <c r="J1142" i="4" s="1"/>
  <c r="E1143" i="4"/>
  <c r="J1143" i="4" s="1"/>
  <c r="E1144" i="4"/>
  <c r="J1144" i="4" s="1"/>
  <c r="E1145" i="4"/>
  <c r="J1145" i="4" s="1"/>
  <c r="E1146" i="4"/>
  <c r="J1146" i="4" s="1"/>
  <c r="E1147" i="4"/>
  <c r="J1147" i="4" s="1"/>
  <c r="E1148" i="4"/>
  <c r="J1148" i="4" s="1"/>
  <c r="E1149" i="4"/>
  <c r="J1149" i="4" s="1"/>
  <c r="E1150" i="4"/>
  <c r="J1150" i="4" s="1"/>
  <c r="E1151" i="4"/>
  <c r="J1151" i="4" s="1"/>
  <c r="E1152" i="4"/>
  <c r="J1152" i="4" s="1"/>
  <c r="E1153" i="4"/>
  <c r="J1153" i="4" s="1"/>
  <c r="E1154" i="4"/>
  <c r="J1154" i="4" s="1"/>
  <c r="E1155" i="4"/>
  <c r="J1155" i="4" s="1"/>
  <c r="E1156" i="4"/>
  <c r="J1156" i="4" s="1"/>
  <c r="E1157" i="4"/>
  <c r="J1157" i="4" s="1"/>
  <c r="E1158" i="4"/>
  <c r="J1158" i="4" s="1"/>
  <c r="E1159" i="4"/>
  <c r="J1159" i="4" s="1"/>
  <c r="E1160" i="4"/>
  <c r="J1160" i="4" s="1"/>
  <c r="E1161" i="4"/>
  <c r="J1161" i="4" s="1"/>
  <c r="E1162" i="4"/>
  <c r="J1162" i="4" s="1"/>
  <c r="E1163" i="4"/>
  <c r="J1163" i="4" s="1"/>
  <c r="E1164" i="4"/>
  <c r="J1164" i="4" s="1"/>
  <c r="E1165" i="4"/>
  <c r="J1165" i="4" s="1"/>
  <c r="E1166" i="4"/>
  <c r="J1166" i="4" s="1"/>
  <c r="E1167" i="4"/>
  <c r="J1167" i="4" s="1"/>
  <c r="E1168" i="4"/>
  <c r="J1168" i="4" s="1"/>
  <c r="E1169" i="4"/>
  <c r="J1169" i="4" s="1"/>
  <c r="E1170" i="4"/>
  <c r="J1170" i="4" s="1"/>
  <c r="E1171" i="4"/>
  <c r="J1171" i="4" s="1"/>
  <c r="E1172" i="4"/>
  <c r="J1172" i="4" s="1"/>
  <c r="E1173" i="4"/>
  <c r="J1173" i="4" s="1"/>
  <c r="E1174" i="4"/>
  <c r="J1174" i="4" s="1"/>
  <c r="E1175" i="4"/>
  <c r="J1175" i="4" s="1"/>
  <c r="E1176" i="4"/>
  <c r="J1176" i="4" s="1"/>
  <c r="E1177" i="4"/>
  <c r="J1177" i="4" s="1"/>
  <c r="E1178" i="4"/>
  <c r="J1178" i="4" s="1"/>
  <c r="E1179" i="4"/>
  <c r="J1179" i="4" s="1"/>
  <c r="E1180" i="4"/>
  <c r="J1180" i="4" s="1"/>
  <c r="E1181" i="4"/>
  <c r="J1181" i="4" s="1"/>
  <c r="E1182" i="4"/>
  <c r="J1182" i="4" s="1"/>
  <c r="E1183" i="4"/>
  <c r="J1183" i="4" s="1"/>
  <c r="E8" i="4"/>
  <c r="J8" i="4" s="1"/>
  <c r="E9" i="4"/>
  <c r="J9" i="4" s="1"/>
  <c r="E10" i="4"/>
  <c r="J10" i="4" s="1"/>
  <c r="E11" i="4"/>
  <c r="J11" i="4" s="1"/>
  <c r="E12" i="4"/>
  <c r="J12" i="4" s="1"/>
  <c r="E13" i="4"/>
  <c r="J13" i="4" s="1"/>
  <c r="E14" i="4"/>
  <c r="J14" i="4" s="1"/>
  <c r="E15" i="4"/>
  <c r="J15" i="4" s="1"/>
  <c r="E16" i="4"/>
  <c r="J16" i="4" s="1"/>
  <c r="E17" i="4"/>
  <c r="J17" i="4" s="1"/>
  <c r="E3" i="4"/>
  <c r="J3" i="4" s="1"/>
  <c r="E4" i="4"/>
  <c r="J4" i="4" s="1"/>
  <c r="E5" i="4"/>
  <c r="J5" i="4" s="1"/>
  <c r="E6" i="4"/>
  <c r="J6" i="4" s="1"/>
  <c r="E7" i="4"/>
  <c r="J7" i="4" s="1"/>
  <c r="E2" i="4"/>
  <c r="J2" i="4" s="1"/>
  <c r="K2" i="4" s="1"/>
  <c r="F44" i="2"/>
  <c r="G406" i="5" l="1"/>
  <c r="N406" i="5"/>
  <c r="L406" i="5"/>
  <c r="M406" i="5"/>
  <c r="K406" i="5"/>
  <c r="G398" i="5"/>
  <c r="N398" i="5"/>
  <c r="L398" i="5"/>
  <c r="M398" i="5"/>
  <c r="K398" i="5"/>
  <c r="G390" i="5"/>
  <c r="N390" i="5"/>
  <c r="L390" i="5"/>
  <c r="M390" i="5"/>
  <c r="K390" i="5"/>
  <c r="G382" i="5"/>
  <c r="N382" i="5"/>
  <c r="L382" i="5"/>
  <c r="M382" i="5"/>
  <c r="K382" i="5"/>
  <c r="G374" i="5"/>
  <c r="N374" i="5"/>
  <c r="L374" i="5"/>
  <c r="M374" i="5"/>
  <c r="K374" i="5"/>
  <c r="G366" i="5"/>
  <c r="N366" i="5"/>
  <c r="L366" i="5"/>
  <c r="M366" i="5"/>
  <c r="K366" i="5"/>
  <c r="G358" i="5"/>
  <c r="N358" i="5"/>
  <c r="L358" i="5"/>
  <c r="M358" i="5"/>
  <c r="K358" i="5"/>
  <c r="G350" i="5"/>
  <c r="N350" i="5"/>
  <c r="L350" i="5"/>
  <c r="M350" i="5"/>
  <c r="K350" i="5"/>
  <c r="G342" i="5"/>
  <c r="N342" i="5"/>
  <c r="L342" i="5"/>
  <c r="M342" i="5"/>
  <c r="K342" i="5"/>
  <c r="G334" i="5"/>
  <c r="N334" i="5"/>
  <c r="L334" i="5"/>
  <c r="M334" i="5"/>
  <c r="K334" i="5"/>
  <c r="G326" i="5"/>
  <c r="N326" i="5"/>
  <c r="L326" i="5"/>
  <c r="M326" i="5"/>
  <c r="K326" i="5"/>
  <c r="G318" i="5"/>
  <c r="N318" i="5"/>
  <c r="L318" i="5"/>
  <c r="M318" i="5"/>
  <c r="K318" i="5"/>
  <c r="G310" i="5"/>
  <c r="N310" i="5"/>
  <c r="L310" i="5"/>
  <c r="M310" i="5"/>
  <c r="K310" i="5"/>
  <c r="G302" i="5"/>
  <c r="N302" i="5"/>
  <c r="L302" i="5"/>
  <c r="M302" i="5"/>
  <c r="K302" i="5"/>
  <c r="G294" i="5"/>
  <c r="N294" i="5"/>
  <c r="L294" i="5"/>
  <c r="M294" i="5"/>
  <c r="K294" i="5"/>
  <c r="G286" i="5"/>
  <c r="N286" i="5"/>
  <c r="L286" i="5"/>
  <c r="M286" i="5"/>
  <c r="K286" i="5"/>
  <c r="G278" i="5"/>
  <c r="N278" i="5"/>
  <c r="L278" i="5"/>
  <c r="M278" i="5"/>
  <c r="K278" i="5"/>
  <c r="G270" i="5"/>
  <c r="N270" i="5"/>
  <c r="L270" i="5"/>
  <c r="M270" i="5"/>
  <c r="K270" i="5"/>
  <c r="G262" i="5"/>
  <c r="N262" i="5"/>
  <c r="L262" i="5"/>
  <c r="M262" i="5"/>
  <c r="K262" i="5"/>
  <c r="G254" i="5"/>
  <c r="N254" i="5"/>
  <c r="L254" i="5"/>
  <c r="M254" i="5"/>
  <c r="K254" i="5"/>
  <c r="G246" i="5"/>
  <c r="N246" i="5"/>
  <c r="L246" i="5"/>
  <c r="M246" i="5"/>
  <c r="K246" i="5"/>
  <c r="G238" i="5"/>
  <c r="N238" i="5"/>
  <c r="L238" i="5"/>
  <c r="M238" i="5"/>
  <c r="K238" i="5"/>
  <c r="G230" i="5"/>
  <c r="N230" i="5"/>
  <c r="L230" i="5"/>
  <c r="M230" i="5"/>
  <c r="K230" i="5"/>
  <c r="G222" i="5"/>
  <c r="N222" i="5"/>
  <c r="L222" i="5"/>
  <c r="M222" i="5"/>
  <c r="K222" i="5"/>
  <c r="G214" i="5"/>
  <c r="N214" i="5"/>
  <c r="L214" i="5"/>
  <c r="M214" i="5"/>
  <c r="K214" i="5"/>
  <c r="G206" i="5"/>
  <c r="N206" i="5"/>
  <c r="L206" i="5"/>
  <c r="M206" i="5"/>
  <c r="K206" i="5"/>
  <c r="G198" i="5"/>
  <c r="N198" i="5"/>
  <c r="L198" i="5"/>
  <c r="M198" i="5"/>
  <c r="K198" i="5"/>
  <c r="G190" i="5"/>
  <c r="N190" i="5"/>
  <c r="L190" i="5"/>
  <c r="M190" i="5"/>
  <c r="K190" i="5"/>
  <c r="G182" i="5"/>
  <c r="N182" i="5"/>
  <c r="L182" i="5"/>
  <c r="M182" i="5"/>
  <c r="K182" i="5"/>
  <c r="G174" i="5"/>
  <c r="N174" i="5"/>
  <c r="L174" i="5"/>
  <c r="M174" i="5"/>
  <c r="K174" i="5"/>
  <c r="G166" i="5"/>
  <c r="N166" i="5"/>
  <c r="L166" i="5"/>
  <c r="M166" i="5"/>
  <c r="K166" i="5"/>
  <c r="G158" i="5"/>
  <c r="N158" i="5"/>
  <c r="L158" i="5"/>
  <c r="M158" i="5"/>
  <c r="K158" i="5"/>
  <c r="G150" i="5"/>
  <c r="N150" i="5"/>
  <c r="L150" i="5"/>
  <c r="M150" i="5"/>
  <c r="K150" i="5"/>
  <c r="G142" i="5"/>
  <c r="N142" i="5"/>
  <c r="L142" i="5"/>
  <c r="M142" i="5"/>
  <c r="K142" i="5"/>
  <c r="G134" i="5"/>
  <c r="N134" i="5"/>
  <c r="L134" i="5"/>
  <c r="M134" i="5"/>
  <c r="K134" i="5"/>
  <c r="G126" i="5"/>
  <c r="N126" i="5"/>
  <c r="L126" i="5"/>
  <c r="M126" i="5"/>
  <c r="K126" i="5"/>
  <c r="G118" i="5"/>
  <c r="N118" i="5"/>
  <c r="L118" i="5"/>
  <c r="M118" i="5"/>
  <c r="K118" i="5"/>
  <c r="G110" i="5"/>
  <c r="N110" i="5"/>
  <c r="L110" i="5"/>
  <c r="M110" i="5"/>
  <c r="K110" i="5"/>
  <c r="G102" i="5"/>
  <c r="N102" i="5"/>
  <c r="L102" i="5"/>
  <c r="M102" i="5"/>
  <c r="K102" i="5"/>
  <c r="G94" i="5"/>
  <c r="N94" i="5"/>
  <c r="L94" i="5"/>
  <c r="M94" i="5"/>
  <c r="K94" i="5"/>
  <c r="G86" i="5"/>
  <c r="N86" i="5"/>
  <c r="L86" i="5"/>
  <c r="M86" i="5"/>
  <c r="K86" i="5"/>
  <c r="G78" i="5"/>
  <c r="N78" i="5"/>
  <c r="M78" i="5"/>
  <c r="L78" i="5"/>
  <c r="K78" i="5"/>
  <c r="G70" i="5"/>
  <c r="N70" i="5"/>
  <c r="L70" i="5"/>
  <c r="M70" i="5"/>
  <c r="K70" i="5"/>
  <c r="G62" i="5"/>
  <c r="N62" i="5"/>
  <c r="L62" i="5"/>
  <c r="M62" i="5"/>
  <c r="K62" i="5"/>
  <c r="G54" i="5"/>
  <c r="N54" i="5"/>
  <c r="L54" i="5"/>
  <c r="M54" i="5"/>
  <c r="K54" i="5"/>
  <c r="G46" i="5"/>
  <c r="N46" i="5"/>
  <c r="M46" i="5"/>
  <c r="L46" i="5"/>
  <c r="K46" i="5"/>
  <c r="G38" i="5"/>
  <c r="N38" i="5"/>
  <c r="L38" i="5"/>
  <c r="M38" i="5"/>
  <c r="K38" i="5"/>
  <c r="G30" i="5"/>
  <c r="N30" i="5"/>
  <c r="L30" i="5"/>
  <c r="M30" i="5"/>
  <c r="K30" i="5"/>
  <c r="G22" i="5"/>
  <c r="N22" i="5"/>
  <c r="L22" i="5"/>
  <c r="M22" i="5"/>
  <c r="K22" i="5"/>
  <c r="G14" i="5"/>
  <c r="N14" i="5"/>
  <c r="M14" i="5"/>
  <c r="L14" i="5"/>
  <c r="K14" i="5"/>
  <c r="G6" i="5"/>
  <c r="N6" i="5"/>
  <c r="L6" i="5"/>
  <c r="M6" i="5"/>
  <c r="K6" i="5"/>
  <c r="G405" i="5"/>
  <c r="N405" i="5"/>
  <c r="M405" i="5"/>
  <c r="L405" i="5"/>
  <c r="K405" i="5"/>
  <c r="G397" i="5"/>
  <c r="N397" i="5"/>
  <c r="M397" i="5"/>
  <c r="L397" i="5"/>
  <c r="K397" i="5"/>
  <c r="G389" i="5"/>
  <c r="N389" i="5"/>
  <c r="M389" i="5"/>
  <c r="K389" i="5"/>
  <c r="L389" i="5"/>
  <c r="G381" i="5"/>
  <c r="N381" i="5"/>
  <c r="M381" i="5"/>
  <c r="L381" i="5"/>
  <c r="K381" i="5"/>
  <c r="G373" i="5"/>
  <c r="N373" i="5"/>
  <c r="M373" i="5"/>
  <c r="L373" i="5"/>
  <c r="K373" i="5"/>
  <c r="G365" i="5"/>
  <c r="N365" i="5"/>
  <c r="M365" i="5"/>
  <c r="L365" i="5"/>
  <c r="K365" i="5"/>
  <c r="G357" i="5"/>
  <c r="N357" i="5"/>
  <c r="M357" i="5"/>
  <c r="K357" i="5"/>
  <c r="L357" i="5"/>
  <c r="G349" i="5"/>
  <c r="N349" i="5"/>
  <c r="M349" i="5"/>
  <c r="L349" i="5"/>
  <c r="K349" i="5"/>
  <c r="G341" i="5"/>
  <c r="N341" i="5"/>
  <c r="M341" i="5"/>
  <c r="L341" i="5"/>
  <c r="K341" i="5"/>
  <c r="G333" i="5"/>
  <c r="N333" i="5"/>
  <c r="M333" i="5"/>
  <c r="L333" i="5"/>
  <c r="K333" i="5"/>
  <c r="G325" i="5"/>
  <c r="N325" i="5"/>
  <c r="M325" i="5"/>
  <c r="K325" i="5"/>
  <c r="L325" i="5"/>
  <c r="G317" i="5"/>
  <c r="N317" i="5"/>
  <c r="M317" i="5"/>
  <c r="L317" i="5"/>
  <c r="K317" i="5"/>
  <c r="G309" i="5"/>
  <c r="N309" i="5"/>
  <c r="M309" i="5"/>
  <c r="L309" i="5"/>
  <c r="K309" i="5"/>
  <c r="G301" i="5"/>
  <c r="N301" i="5"/>
  <c r="M301" i="5"/>
  <c r="L301" i="5"/>
  <c r="K301" i="5"/>
  <c r="G293" i="5"/>
  <c r="N293" i="5"/>
  <c r="M293" i="5"/>
  <c r="K293" i="5"/>
  <c r="L293" i="5"/>
  <c r="G285" i="5"/>
  <c r="N285" i="5"/>
  <c r="M285" i="5"/>
  <c r="L285" i="5"/>
  <c r="K285" i="5"/>
  <c r="G277" i="5"/>
  <c r="N277" i="5"/>
  <c r="M277" i="5"/>
  <c r="L277" i="5"/>
  <c r="K277" i="5"/>
  <c r="G269" i="5"/>
  <c r="N269" i="5"/>
  <c r="M269" i="5"/>
  <c r="L269" i="5"/>
  <c r="K269" i="5"/>
  <c r="G261" i="5"/>
  <c r="N261" i="5"/>
  <c r="M261" i="5"/>
  <c r="K261" i="5"/>
  <c r="L261" i="5"/>
  <c r="G253" i="5"/>
  <c r="N253" i="5"/>
  <c r="M253" i="5"/>
  <c r="K253" i="5"/>
  <c r="L253" i="5"/>
  <c r="G245" i="5"/>
  <c r="N245" i="5"/>
  <c r="M245" i="5"/>
  <c r="K245" i="5"/>
  <c r="L245" i="5"/>
  <c r="G237" i="5"/>
  <c r="N237" i="5"/>
  <c r="M237" i="5"/>
  <c r="K237" i="5"/>
  <c r="L237" i="5"/>
  <c r="G229" i="5"/>
  <c r="N229" i="5"/>
  <c r="M229" i="5"/>
  <c r="K229" i="5"/>
  <c r="L229" i="5"/>
  <c r="G221" i="5"/>
  <c r="N221" i="5"/>
  <c r="M221" i="5"/>
  <c r="K221" i="5"/>
  <c r="L221" i="5"/>
  <c r="G213" i="5"/>
  <c r="N213" i="5"/>
  <c r="M213" i="5"/>
  <c r="K213" i="5"/>
  <c r="L213" i="5"/>
  <c r="G205" i="5"/>
  <c r="N205" i="5"/>
  <c r="M205" i="5"/>
  <c r="K205" i="5"/>
  <c r="L205" i="5"/>
  <c r="G197" i="5"/>
  <c r="N197" i="5"/>
  <c r="M197" i="5"/>
  <c r="K197" i="5"/>
  <c r="L197" i="5"/>
  <c r="G189" i="5"/>
  <c r="N189" i="5"/>
  <c r="M189" i="5"/>
  <c r="K189" i="5"/>
  <c r="L189" i="5"/>
  <c r="G181" i="5"/>
  <c r="N181" i="5"/>
  <c r="M181" i="5"/>
  <c r="K181" i="5"/>
  <c r="L181" i="5"/>
  <c r="G173" i="5"/>
  <c r="N173" i="5"/>
  <c r="M173" i="5"/>
  <c r="K173" i="5"/>
  <c r="L173" i="5"/>
  <c r="G165" i="5"/>
  <c r="N165" i="5"/>
  <c r="M165" i="5"/>
  <c r="K165" i="5"/>
  <c r="L165" i="5"/>
  <c r="G157" i="5"/>
  <c r="N157" i="5"/>
  <c r="M157" i="5"/>
  <c r="K157" i="5"/>
  <c r="L157" i="5"/>
  <c r="G149" i="5"/>
  <c r="N149" i="5"/>
  <c r="M149" i="5"/>
  <c r="K149" i="5"/>
  <c r="L149" i="5"/>
  <c r="G141" i="5"/>
  <c r="N141" i="5"/>
  <c r="M141" i="5"/>
  <c r="K141" i="5"/>
  <c r="L141" i="5"/>
  <c r="G133" i="5"/>
  <c r="N133" i="5"/>
  <c r="M133" i="5"/>
  <c r="K133" i="5"/>
  <c r="L133" i="5"/>
  <c r="G125" i="5"/>
  <c r="N125" i="5"/>
  <c r="M125" i="5"/>
  <c r="K125" i="5"/>
  <c r="L125" i="5"/>
  <c r="G117" i="5"/>
  <c r="N117" i="5"/>
  <c r="M117" i="5"/>
  <c r="K117" i="5"/>
  <c r="L117" i="5"/>
  <c r="G109" i="5"/>
  <c r="N109" i="5"/>
  <c r="M109" i="5"/>
  <c r="K109" i="5"/>
  <c r="L109" i="5"/>
  <c r="G101" i="5"/>
  <c r="N101" i="5"/>
  <c r="M101" i="5"/>
  <c r="K101" i="5"/>
  <c r="L101" i="5"/>
  <c r="G93" i="5"/>
  <c r="N93" i="5"/>
  <c r="M93" i="5"/>
  <c r="K93" i="5"/>
  <c r="L93" i="5"/>
  <c r="G85" i="5"/>
  <c r="N85" i="5"/>
  <c r="M85" i="5"/>
  <c r="K85" i="5"/>
  <c r="L85" i="5"/>
  <c r="G77" i="5"/>
  <c r="N77" i="5"/>
  <c r="M77" i="5"/>
  <c r="K77" i="5"/>
  <c r="L77" i="5"/>
  <c r="G69" i="5"/>
  <c r="N69" i="5"/>
  <c r="M69" i="5"/>
  <c r="K69" i="5"/>
  <c r="L69" i="5"/>
  <c r="G61" i="5"/>
  <c r="N61" i="5"/>
  <c r="M61" i="5"/>
  <c r="K61" i="5"/>
  <c r="L61" i="5"/>
  <c r="G53" i="5"/>
  <c r="N53" i="5"/>
  <c r="M53" i="5"/>
  <c r="K53" i="5"/>
  <c r="L53" i="5"/>
  <c r="G45" i="5"/>
  <c r="N45" i="5"/>
  <c r="M45" i="5"/>
  <c r="K45" i="5"/>
  <c r="L45" i="5"/>
  <c r="G37" i="5"/>
  <c r="N37" i="5"/>
  <c r="M37" i="5"/>
  <c r="K37" i="5"/>
  <c r="L37" i="5"/>
  <c r="G29" i="5"/>
  <c r="N29" i="5"/>
  <c r="M29" i="5"/>
  <c r="K29" i="5"/>
  <c r="L29" i="5"/>
  <c r="G21" i="5"/>
  <c r="N21" i="5"/>
  <c r="M21" i="5"/>
  <c r="K21" i="5"/>
  <c r="L21" i="5"/>
  <c r="G13" i="5"/>
  <c r="N13" i="5"/>
  <c r="M13" i="5"/>
  <c r="K13" i="5"/>
  <c r="L13" i="5"/>
  <c r="G5" i="5"/>
  <c r="N5" i="5"/>
  <c r="M5" i="5"/>
  <c r="K5" i="5"/>
  <c r="L5" i="5"/>
  <c r="G404" i="5"/>
  <c r="N404" i="5"/>
  <c r="M404" i="5"/>
  <c r="L404" i="5"/>
  <c r="K404" i="5"/>
  <c r="G396" i="5"/>
  <c r="N396" i="5"/>
  <c r="M396" i="5"/>
  <c r="L396" i="5"/>
  <c r="K396" i="5"/>
  <c r="G388" i="5"/>
  <c r="N388" i="5"/>
  <c r="M388" i="5"/>
  <c r="K388" i="5"/>
  <c r="L388" i="5"/>
  <c r="G380" i="5"/>
  <c r="N380" i="5"/>
  <c r="M380" i="5"/>
  <c r="L380" i="5"/>
  <c r="K380" i="5"/>
  <c r="G372" i="5"/>
  <c r="N372" i="5"/>
  <c r="M372" i="5"/>
  <c r="L372" i="5"/>
  <c r="K372" i="5"/>
  <c r="G364" i="5"/>
  <c r="N364" i="5"/>
  <c r="M364" i="5"/>
  <c r="L364" i="5"/>
  <c r="K364" i="5"/>
  <c r="G356" i="5"/>
  <c r="N356" i="5"/>
  <c r="M356" i="5"/>
  <c r="K356" i="5"/>
  <c r="L356" i="5"/>
  <c r="G348" i="5"/>
  <c r="N348" i="5"/>
  <c r="M348" i="5"/>
  <c r="L348" i="5"/>
  <c r="K348" i="5"/>
  <c r="G340" i="5"/>
  <c r="N340" i="5"/>
  <c r="M340" i="5"/>
  <c r="L340" i="5"/>
  <c r="K340" i="5"/>
  <c r="G332" i="5"/>
  <c r="N332" i="5"/>
  <c r="M332" i="5"/>
  <c r="L332" i="5"/>
  <c r="K332" i="5"/>
  <c r="G324" i="5"/>
  <c r="N324" i="5"/>
  <c r="M324" i="5"/>
  <c r="K324" i="5"/>
  <c r="L324" i="5"/>
  <c r="G316" i="5"/>
  <c r="N316" i="5"/>
  <c r="M316" i="5"/>
  <c r="L316" i="5"/>
  <c r="K316" i="5"/>
  <c r="G308" i="5"/>
  <c r="N308" i="5"/>
  <c r="M308" i="5"/>
  <c r="L308" i="5"/>
  <c r="K308" i="5"/>
  <c r="G300" i="5"/>
  <c r="N300" i="5"/>
  <c r="M300" i="5"/>
  <c r="L300" i="5"/>
  <c r="K300" i="5"/>
  <c r="G292" i="5"/>
  <c r="N292" i="5"/>
  <c r="M292" i="5"/>
  <c r="K292" i="5"/>
  <c r="L292" i="5"/>
  <c r="G284" i="5"/>
  <c r="N284" i="5"/>
  <c r="M284" i="5"/>
  <c r="L284" i="5"/>
  <c r="K284" i="5"/>
  <c r="G276" i="5"/>
  <c r="N276" i="5"/>
  <c r="M276" i="5"/>
  <c r="L276" i="5"/>
  <c r="K276" i="5"/>
  <c r="G268" i="5"/>
  <c r="N268" i="5"/>
  <c r="M268" i="5"/>
  <c r="L268" i="5"/>
  <c r="K268" i="5"/>
  <c r="G260" i="5"/>
  <c r="N260" i="5"/>
  <c r="M260" i="5"/>
  <c r="L260" i="5"/>
  <c r="K260" i="5"/>
  <c r="G252" i="5"/>
  <c r="N252" i="5"/>
  <c r="M252" i="5"/>
  <c r="L252" i="5"/>
  <c r="K252" i="5"/>
  <c r="G244" i="5"/>
  <c r="N244" i="5"/>
  <c r="M244" i="5"/>
  <c r="L244" i="5"/>
  <c r="K244" i="5"/>
  <c r="G236" i="5"/>
  <c r="N236" i="5"/>
  <c r="M236" i="5"/>
  <c r="L236" i="5"/>
  <c r="K236" i="5"/>
  <c r="G228" i="5"/>
  <c r="N228" i="5"/>
  <c r="M228" i="5"/>
  <c r="K228" i="5"/>
  <c r="L228" i="5"/>
  <c r="G220" i="5"/>
  <c r="N220" i="5"/>
  <c r="M220" i="5"/>
  <c r="L220" i="5"/>
  <c r="K220" i="5"/>
  <c r="G212" i="5"/>
  <c r="N212" i="5"/>
  <c r="M212" i="5"/>
  <c r="L212" i="5"/>
  <c r="K212" i="5"/>
  <c r="G204" i="5"/>
  <c r="N204" i="5"/>
  <c r="M204" i="5"/>
  <c r="L204" i="5"/>
  <c r="K204" i="5"/>
  <c r="G196" i="5"/>
  <c r="N196" i="5"/>
  <c r="M196" i="5"/>
  <c r="L196" i="5"/>
  <c r="K196" i="5"/>
  <c r="G188" i="5"/>
  <c r="N188" i="5"/>
  <c r="M188" i="5"/>
  <c r="L188" i="5"/>
  <c r="K188" i="5"/>
  <c r="G180" i="5"/>
  <c r="N180" i="5"/>
  <c r="M180" i="5"/>
  <c r="L180" i="5"/>
  <c r="K180" i="5"/>
  <c r="G172" i="5"/>
  <c r="N172" i="5"/>
  <c r="M172" i="5"/>
  <c r="L172" i="5"/>
  <c r="K172" i="5"/>
  <c r="G164" i="5"/>
  <c r="N164" i="5"/>
  <c r="M164" i="5"/>
  <c r="K164" i="5"/>
  <c r="L164" i="5"/>
  <c r="G156" i="5"/>
  <c r="N156" i="5"/>
  <c r="M156" i="5"/>
  <c r="L156" i="5"/>
  <c r="K156" i="5"/>
  <c r="G148" i="5"/>
  <c r="N148" i="5"/>
  <c r="M148" i="5"/>
  <c r="L148" i="5"/>
  <c r="K148" i="5"/>
  <c r="G140" i="5"/>
  <c r="N140" i="5"/>
  <c r="M140" i="5"/>
  <c r="L140" i="5"/>
  <c r="K140" i="5"/>
  <c r="G132" i="5"/>
  <c r="N132" i="5"/>
  <c r="M132" i="5"/>
  <c r="L132" i="5"/>
  <c r="K132" i="5"/>
  <c r="G124" i="5"/>
  <c r="N124" i="5"/>
  <c r="M124" i="5"/>
  <c r="L124" i="5"/>
  <c r="K124" i="5"/>
  <c r="G116" i="5"/>
  <c r="N116" i="5"/>
  <c r="M116" i="5"/>
  <c r="K116" i="5"/>
  <c r="L116" i="5"/>
  <c r="G108" i="5"/>
  <c r="N108" i="5"/>
  <c r="M108" i="5"/>
  <c r="L108" i="5"/>
  <c r="K108" i="5"/>
  <c r="G100" i="5"/>
  <c r="N100" i="5"/>
  <c r="M100" i="5"/>
  <c r="K100" i="5"/>
  <c r="L100" i="5"/>
  <c r="G92" i="5"/>
  <c r="N92" i="5"/>
  <c r="M92" i="5"/>
  <c r="L92" i="5"/>
  <c r="K92" i="5"/>
  <c r="G84" i="5"/>
  <c r="N84" i="5"/>
  <c r="M84" i="5"/>
  <c r="K84" i="5"/>
  <c r="L84" i="5"/>
  <c r="G76" i="5"/>
  <c r="N76" i="5"/>
  <c r="M76" i="5"/>
  <c r="L76" i="5"/>
  <c r="K76" i="5"/>
  <c r="G68" i="5"/>
  <c r="N68" i="5"/>
  <c r="M68" i="5"/>
  <c r="K68" i="5"/>
  <c r="L68" i="5"/>
  <c r="G60" i="5"/>
  <c r="N60" i="5"/>
  <c r="M60" i="5"/>
  <c r="L60" i="5"/>
  <c r="K60" i="5"/>
  <c r="G52" i="5"/>
  <c r="N52" i="5"/>
  <c r="M52" i="5"/>
  <c r="K52" i="5"/>
  <c r="L52" i="5"/>
  <c r="G44" i="5"/>
  <c r="N44" i="5"/>
  <c r="M44" i="5"/>
  <c r="L44" i="5"/>
  <c r="K44" i="5"/>
  <c r="G36" i="5"/>
  <c r="N36" i="5"/>
  <c r="M36" i="5"/>
  <c r="K36" i="5"/>
  <c r="L36" i="5"/>
  <c r="G28" i="5"/>
  <c r="N28" i="5"/>
  <c r="M28" i="5"/>
  <c r="L28" i="5"/>
  <c r="K28" i="5"/>
  <c r="G20" i="5"/>
  <c r="N20" i="5"/>
  <c r="M20" i="5"/>
  <c r="K20" i="5"/>
  <c r="L20" i="5"/>
  <c r="G12" i="5"/>
  <c r="N12" i="5"/>
  <c r="M12" i="5"/>
  <c r="L12" i="5"/>
  <c r="K12" i="5"/>
  <c r="G4" i="5"/>
  <c r="N4" i="5"/>
  <c r="M4" i="5"/>
  <c r="K4" i="5"/>
  <c r="L4" i="5"/>
  <c r="G403" i="5"/>
  <c r="M403" i="5"/>
  <c r="N403" i="5"/>
  <c r="L403" i="5"/>
  <c r="K403" i="5"/>
  <c r="G395" i="5"/>
  <c r="N395" i="5"/>
  <c r="M395" i="5"/>
  <c r="L395" i="5"/>
  <c r="K395" i="5"/>
  <c r="G387" i="5"/>
  <c r="M387" i="5"/>
  <c r="N387" i="5"/>
  <c r="L387" i="5"/>
  <c r="K387" i="5"/>
  <c r="G379" i="5"/>
  <c r="N379" i="5"/>
  <c r="M379" i="5"/>
  <c r="L379" i="5"/>
  <c r="K379" i="5"/>
  <c r="G371" i="5"/>
  <c r="M371" i="5"/>
  <c r="N371" i="5"/>
  <c r="L371" i="5"/>
  <c r="K371" i="5"/>
  <c r="G363" i="5"/>
  <c r="N363" i="5"/>
  <c r="M363" i="5"/>
  <c r="L363" i="5"/>
  <c r="K363" i="5"/>
  <c r="G355" i="5"/>
  <c r="M355" i="5"/>
  <c r="N355" i="5"/>
  <c r="L355" i="5"/>
  <c r="K355" i="5"/>
  <c r="G347" i="5"/>
  <c r="N347" i="5"/>
  <c r="M347" i="5"/>
  <c r="L347" i="5"/>
  <c r="K347" i="5"/>
  <c r="G339" i="5"/>
  <c r="N339" i="5"/>
  <c r="M339" i="5"/>
  <c r="L339" i="5"/>
  <c r="K339" i="5"/>
  <c r="G331" i="5"/>
  <c r="N331" i="5"/>
  <c r="M331" i="5"/>
  <c r="L331" i="5"/>
  <c r="K331" i="5"/>
  <c r="G323" i="5"/>
  <c r="N323" i="5"/>
  <c r="M323" i="5"/>
  <c r="L323" i="5"/>
  <c r="K323" i="5"/>
  <c r="G315" i="5"/>
  <c r="N315" i="5"/>
  <c r="M315" i="5"/>
  <c r="L315" i="5"/>
  <c r="K315" i="5"/>
  <c r="G307" i="5"/>
  <c r="N307" i="5"/>
  <c r="M307" i="5"/>
  <c r="L307" i="5"/>
  <c r="K307" i="5"/>
  <c r="G299" i="5"/>
  <c r="N299" i="5"/>
  <c r="M299" i="5"/>
  <c r="L299" i="5"/>
  <c r="K299" i="5"/>
  <c r="G291" i="5"/>
  <c r="N291" i="5"/>
  <c r="M291" i="5"/>
  <c r="L291" i="5"/>
  <c r="K291" i="5"/>
  <c r="G283" i="5"/>
  <c r="N283" i="5"/>
  <c r="M283" i="5"/>
  <c r="L283" i="5"/>
  <c r="K283" i="5"/>
  <c r="G275" i="5"/>
  <c r="N275" i="5"/>
  <c r="M275" i="5"/>
  <c r="L275" i="5"/>
  <c r="K275" i="5"/>
  <c r="G267" i="5"/>
  <c r="N267" i="5"/>
  <c r="M267" i="5"/>
  <c r="L267" i="5"/>
  <c r="K267" i="5"/>
  <c r="G259" i="5"/>
  <c r="N259" i="5"/>
  <c r="M259" i="5"/>
  <c r="L259" i="5"/>
  <c r="K259" i="5"/>
  <c r="G251" i="5"/>
  <c r="N251" i="5"/>
  <c r="M251" i="5"/>
  <c r="L251" i="5"/>
  <c r="K251" i="5"/>
  <c r="G243" i="5"/>
  <c r="N243" i="5"/>
  <c r="M243" i="5"/>
  <c r="L243" i="5"/>
  <c r="K243" i="5"/>
  <c r="G235" i="5"/>
  <c r="N235" i="5"/>
  <c r="M235" i="5"/>
  <c r="L235" i="5"/>
  <c r="K235" i="5"/>
  <c r="G227" i="5"/>
  <c r="N227" i="5"/>
  <c r="M227" i="5"/>
  <c r="L227" i="5"/>
  <c r="K227" i="5"/>
  <c r="G219" i="5"/>
  <c r="N219" i="5"/>
  <c r="M219" i="5"/>
  <c r="L219" i="5"/>
  <c r="K219" i="5"/>
  <c r="G211" i="5"/>
  <c r="N211" i="5"/>
  <c r="M211" i="5"/>
  <c r="L211" i="5"/>
  <c r="K211" i="5"/>
  <c r="G203" i="5"/>
  <c r="N203" i="5"/>
  <c r="M203" i="5"/>
  <c r="L203" i="5"/>
  <c r="K203" i="5"/>
  <c r="G195" i="5"/>
  <c r="N195" i="5"/>
  <c r="M195" i="5"/>
  <c r="L195" i="5"/>
  <c r="K195" i="5"/>
  <c r="G187" i="5"/>
  <c r="N187" i="5"/>
  <c r="M187" i="5"/>
  <c r="L187" i="5"/>
  <c r="K187" i="5"/>
  <c r="G163" i="5"/>
  <c r="N163" i="5"/>
  <c r="M163" i="5"/>
  <c r="L163" i="5"/>
  <c r="K163" i="5"/>
  <c r="G147" i="5"/>
  <c r="N147" i="5"/>
  <c r="M147" i="5"/>
  <c r="L147" i="5"/>
  <c r="K147" i="5"/>
  <c r="G139" i="5"/>
  <c r="N139" i="5"/>
  <c r="M139" i="5"/>
  <c r="L139" i="5"/>
  <c r="K139" i="5"/>
  <c r="G123" i="5"/>
  <c r="N123" i="5"/>
  <c r="M123" i="5"/>
  <c r="L123" i="5"/>
  <c r="K123" i="5"/>
  <c r="G115" i="5"/>
  <c r="N115" i="5"/>
  <c r="M115" i="5"/>
  <c r="L115" i="5"/>
  <c r="K115" i="5"/>
  <c r="G107" i="5"/>
  <c r="N107" i="5"/>
  <c r="M107" i="5"/>
  <c r="L107" i="5"/>
  <c r="K107" i="5"/>
  <c r="G99" i="5"/>
  <c r="N99" i="5"/>
  <c r="M99" i="5"/>
  <c r="L99" i="5"/>
  <c r="K99" i="5"/>
  <c r="G91" i="5"/>
  <c r="N91" i="5"/>
  <c r="M91" i="5"/>
  <c r="L91" i="5"/>
  <c r="K91" i="5"/>
  <c r="G83" i="5"/>
  <c r="N83" i="5"/>
  <c r="M83" i="5"/>
  <c r="L83" i="5"/>
  <c r="K83" i="5"/>
  <c r="G75" i="5"/>
  <c r="N75" i="5"/>
  <c r="M75" i="5"/>
  <c r="L75" i="5"/>
  <c r="K75" i="5"/>
  <c r="G67" i="5"/>
  <c r="N67" i="5"/>
  <c r="M67" i="5"/>
  <c r="L67" i="5"/>
  <c r="K67" i="5"/>
  <c r="G59" i="5"/>
  <c r="N59" i="5"/>
  <c r="M59" i="5"/>
  <c r="L59" i="5"/>
  <c r="K59" i="5"/>
  <c r="G51" i="5"/>
  <c r="N51" i="5"/>
  <c r="M51" i="5"/>
  <c r="L51" i="5"/>
  <c r="K51" i="5"/>
  <c r="G43" i="5"/>
  <c r="N43" i="5"/>
  <c r="M43" i="5"/>
  <c r="L43" i="5"/>
  <c r="K43" i="5"/>
  <c r="G35" i="5"/>
  <c r="N35" i="5"/>
  <c r="M35" i="5"/>
  <c r="L35" i="5"/>
  <c r="K35" i="5"/>
  <c r="G27" i="5"/>
  <c r="N27" i="5"/>
  <c r="M27" i="5"/>
  <c r="L27" i="5"/>
  <c r="K27" i="5"/>
  <c r="G19" i="5"/>
  <c r="N19" i="5"/>
  <c r="M19" i="5"/>
  <c r="L19" i="5"/>
  <c r="K19" i="5"/>
  <c r="G11" i="5"/>
  <c r="N11" i="5"/>
  <c r="M11" i="5"/>
  <c r="L11" i="5"/>
  <c r="K11" i="5"/>
  <c r="G3" i="5"/>
  <c r="N3" i="5"/>
  <c r="M3" i="5"/>
  <c r="L3" i="5"/>
  <c r="K3" i="5"/>
  <c r="G2" i="5"/>
  <c r="G155" i="5"/>
  <c r="N155" i="5"/>
  <c r="M155" i="5"/>
  <c r="L155" i="5"/>
  <c r="K155" i="5"/>
  <c r="G402" i="5"/>
  <c r="N402" i="5"/>
  <c r="M402" i="5"/>
  <c r="L402" i="5"/>
  <c r="K402" i="5"/>
  <c r="G394" i="5"/>
  <c r="N394" i="5"/>
  <c r="M394" i="5"/>
  <c r="L394" i="5"/>
  <c r="K394" i="5"/>
  <c r="G386" i="5"/>
  <c r="N386" i="5"/>
  <c r="M386" i="5"/>
  <c r="K386" i="5"/>
  <c r="L386" i="5"/>
  <c r="G378" i="5"/>
  <c r="N378" i="5"/>
  <c r="M378" i="5"/>
  <c r="L378" i="5"/>
  <c r="K378" i="5"/>
  <c r="G370" i="5"/>
  <c r="N370" i="5"/>
  <c r="M370" i="5"/>
  <c r="L370" i="5"/>
  <c r="K370" i="5"/>
  <c r="G362" i="5"/>
  <c r="N362" i="5"/>
  <c r="M362" i="5"/>
  <c r="L362" i="5"/>
  <c r="K362" i="5"/>
  <c r="G354" i="5"/>
  <c r="N354" i="5"/>
  <c r="M354" i="5"/>
  <c r="K354" i="5"/>
  <c r="L354" i="5"/>
  <c r="G346" i="5"/>
  <c r="N346" i="5"/>
  <c r="M346" i="5"/>
  <c r="L346" i="5"/>
  <c r="K346" i="5"/>
  <c r="G338" i="5"/>
  <c r="N338" i="5"/>
  <c r="M338" i="5"/>
  <c r="L338" i="5"/>
  <c r="K338" i="5"/>
  <c r="G330" i="5"/>
  <c r="N330" i="5"/>
  <c r="M330" i="5"/>
  <c r="L330" i="5"/>
  <c r="K330" i="5"/>
  <c r="G322" i="5"/>
  <c r="N322" i="5"/>
  <c r="M322" i="5"/>
  <c r="K322" i="5"/>
  <c r="L322" i="5"/>
  <c r="G314" i="5"/>
  <c r="N314" i="5"/>
  <c r="M314" i="5"/>
  <c r="L314" i="5"/>
  <c r="K314" i="5"/>
  <c r="G306" i="5"/>
  <c r="N306" i="5"/>
  <c r="M306" i="5"/>
  <c r="L306" i="5"/>
  <c r="K306" i="5"/>
  <c r="G298" i="5"/>
  <c r="N298" i="5"/>
  <c r="M298" i="5"/>
  <c r="L298" i="5"/>
  <c r="K298" i="5"/>
  <c r="G290" i="5"/>
  <c r="N290" i="5"/>
  <c r="M290" i="5"/>
  <c r="K290" i="5"/>
  <c r="L290" i="5"/>
  <c r="G282" i="5"/>
  <c r="N282" i="5"/>
  <c r="M282" i="5"/>
  <c r="L282" i="5"/>
  <c r="K282" i="5"/>
  <c r="G274" i="5"/>
  <c r="N274" i="5"/>
  <c r="M274" i="5"/>
  <c r="L274" i="5"/>
  <c r="K274" i="5"/>
  <c r="G266" i="5"/>
  <c r="N266" i="5"/>
  <c r="M266" i="5"/>
  <c r="L266" i="5"/>
  <c r="K266" i="5"/>
  <c r="G258" i="5"/>
  <c r="N258" i="5"/>
  <c r="M258" i="5"/>
  <c r="K258" i="5"/>
  <c r="L258" i="5"/>
  <c r="G250" i="5"/>
  <c r="N250" i="5"/>
  <c r="M250" i="5"/>
  <c r="L250" i="5"/>
  <c r="K250" i="5"/>
  <c r="G242" i="5"/>
  <c r="N242" i="5"/>
  <c r="M242" i="5"/>
  <c r="L242" i="5"/>
  <c r="K242" i="5"/>
  <c r="G234" i="5"/>
  <c r="N234" i="5"/>
  <c r="M234" i="5"/>
  <c r="L234" i="5"/>
  <c r="K234" i="5"/>
  <c r="G226" i="5"/>
  <c r="N226" i="5"/>
  <c r="M226" i="5"/>
  <c r="L226" i="5"/>
  <c r="K226" i="5"/>
  <c r="G218" i="5"/>
  <c r="N218" i="5"/>
  <c r="M218" i="5"/>
  <c r="L218" i="5"/>
  <c r="K218" i="5"/>
  <c r="G210" i="5"/>
  <c r="N210" i="5"/>
  <c r="M210" i="5"/>
  <c r="L210" i="5"/>
  <c r="K210" i="5"/>
  <c r="G202" i="5"/>
  <c r="N202" i="5"/>
  <c r="M202" i="5"/>
  <c r="L202" i="5"/>
  <c r="K202" i="5"/>
  <c r="G194" i="5"/>
  <c r="N194" i="5"/>
  <c r="M194" i="5"/>
  <c r="K194" i="5"/>
  <c r="L194" i="5"/>
  <c r="G186" i="5"/>
  <c r="N186" i="5"/>
  <c r="M186" i="5"/>
  <c r="L186" i="5"/>
  <c r="K186" i="5"/>
  <c r="G178" i="5"/>
  <c r="N178" i="5"/>
  <c r="M178" i="5"/>
  <c r="L178" i="5"/>
  <c r="K178" i="5"/>
  <c r="G170" i="5"/>
  <c r="N170" i="5"/>
  <c r="M170" i="5"/>
  <c r="L170" i="5"/>
  <c r="K170" i="5"/>
  <c r="G162" i="5"/>
  <c r="N162" i="5"/>
  <c r="M162" i="5"/>
  <c r="L162" i="5"/>
  <c r="K162" i="5"/>
  <c r="G154" i="5"/>
  <c r="N154" i="5"/>
  <c r="M154" i="5"/>
  <c r="L154" i="5"/>
  <c r="K154" i="5"/>
  <c r="G146" i="5"/>
  <c r="N146" i="5"/>
  <c r="M146" i="5"/>
  <c r="L146" i="5"/>
  <c r="K146" i="5"/>
  <c r="G138" i="5"/>
  <c r="N138" i="5"/>
  <c r="M138" i="5"/>
  <c r="L138" i="5"/>
  <c r="K138" i="5"/>
  <c r="G130" i="5"/>
  <c r="N130" i="5"/>
  <c r="M130" i="5"/>
  <c r="K130" i="5"/>
  <c r="L130" i="5"/>
  <c r="G122" i="5"/>
  <c r="N122" i="5"/>
  <c r="M122" i="5"/>
  <c r="L122" i="5"/>
  <c r="K122" i="5"/>
  <c r="G114" i="5"/>
  <c r="N114" i="5"/>
  <c r="M114" i="5"/>
  <c r="L114" i="5"/>
  <c r="K114" i="5"/>
  <c r="G106" i="5"/>
  <c r="N106" i="5"/>
  <c r="M106" i="5"/>
  <c r="L106" i="5"/>
  <c r="K106" i="5"/>
  <c r="G98" i="5"/>
  <c r="N98" i="5"/>
  <c r="M98" i="5"/>
  <c r="K98" i="5"/>
  <c r="L98" i="5"/>
  <c r="G90" i="5"/>
  <c r="N90" i="5"/>
  <c r="M90" i="5"/>
  <c r="L90" i="5"/>
  <c r="K90" i="5"/>
  <c r="G82" i="5"/>
  <c r="N82" i="5"/>
  <c r="M82" i="5"/>
  <c r="L82" i="5"/>
  <c r="K82" i="5"/>
  <c r="G74" i="5"/>
  <c r="N74" i="5"/>
  <c r="M74" i="5"/>
  <c r="L74" i="5"/>
  <c r="K74" i="5"/>
  <c r="G66" i="5"/>
  <c r="N66" i="5"/>
  <c r="M66" i="5"/>
  <c r="K66" i="5"/>
  <c r="L66" i="5"/>
  <c r="G58" i="5"/>
  <c r="N58" i="5"/>
  <c r="M58" i="5"/>
  <c r="L58" i="5"/>
  <c r="K58" i="5"/>
  <c r="G50" i="5"/>
  <c r="N50" i="5"/>
  <c r="M50" i="5"/>
  <c r="L50" i="5"/>
  <c r="K50" i="5"/>
  <c r="G42" i="5"/>
  <c r="N42" i="5"/>
  <c r="M42" i="5"/>
  <c r="L42" i="5"/>
  <c r="K42" i="5"/>
  <c r="G34" i="5"/>
  <c r="N34" i="5"/>
  <c r="M34" i="5"/>
  <c r="K34" i="5"/>
  <c r="L34" i="5"/>
  <c r="G26" i="5"/>
  <c r="N26" i="5"/>
  <c r="M26" i="5"/>
  <c r="L26" i="5"/>
  <c r="K26" i="5"/>
  <c r="G18" i="5"/>
  <c r="N18" i="5"/>
  <c r="M18" i="5"/>
  <c r="L18" i="5"/>
  <c r="K18" i="5"/>
  <c r="G10" i="5"/>
  <c r="N10" i="5"/>
  <c r="M10" i="5"/>
  <c r="L10" i="5"/>
  <c r="K10" i="5"/>
  <c r="G131" i="5"/>
  <c r="N131" i="5"/>
  <c r="M131" i="5"/>
  <c r="L131" i="5"/>
  <c r="K131" i="5"/>
  <c r="G401" i="5"/>
  <c r="M401" i="5"/>
  <c r="N401" i="5"/>
  <c r="K401" i="5"/>
  <c r="L401" i="5"/>
  <c r="G393" i="5"/>
  <c r="N393" i="5"/>
  <c r="M393" i="5"/>
  <c r="L393" i="5"/>
  <c r="K393" i="5"/>
  <c r="G385" i="5"/>
  <c r="M385" i="5"/>
  <c r="N385" i="5"/>
  <c r="K385" i="5"/>
  <c r="L385" i="5"/>
  <c r="G377" i="5"/>
  <c r="N377" i="5"/>
  <c r="M377" i="5"/>
  <c r="L377" i="5"/>
  <c r="K377" i="5"/>
  <c r="G369" i="5"/>
  <c r="M369" i="5"/>
  <c r="N369" i="5"/>
  <c r="K369" i="5"/>
  <c r="L369" i="5"/>
  <c r="G361" i="5"/>
  <c r="N361" i="5"/>
  <c r="M361" i="5"/>
  <c r="L361" i="5"/>
  <c r="K361" i="5"/>
  <c r="G353" i="5"/>
  <c r="M353" i="5"/>
  <c r="N353" i="5"/>
  <c r="K353" i="5"/>
  <c r="L353" i="5"/>
  <c r="G345" i="5"/>
  <c r="N345" i="5"/>
  <c r="M345" i="5"/>
  <c r="L345" i="5"/>
  <c r="K345" i="5"/>
  <c r="G337" i="5"/>
  <c r="N337" i="5"/>
  <c r="M337" i="5"/>
  <c r="K337" i="5"/>
  <c r="L337" i="5"/>
  <c r="G329" i="5"/>
  <c r="N329" i="5"/>
  <c r="M329" i="5"/>
  <c r="L329" i="5"/>
  <c r="K329" i="5"/>
  <c r="G321" i="5"/>
  <c r="N321" i="5"/>
  <c r="M321" i="5"/>
  <c r="K321" i="5"/>
  <c r="L321" i="5"/>
  <c r="G313" i="5"/>
  <c r="N313" i="5"/>
  <c r="M313" i="5"/>
  <c r="L313" i="5"/>
  <c r="K313" i="5"/>
  <c r="G305" i="5"/>
  <c r="N305" i="5"/>
  <c r="M305" i="5"/>
  <c r="K305" i="5"/>
  <c r="L305" i="5"/>
  <c r="G297" i="5"/>
  <c r="N297" i="5"/>
  <c r="M297" i="5"/>
  <c r="L297" i="5"/>
  <c r="K297" i="5"/>
  <c r="G289" i="5"/>
  <c r="N289" i="5"/>
  <c r="M289" i="5"/>
  <c r="K289" i="5"/>
  <c r="L289" i="5"/>
  <c r="G281" i="5"/>
  <c r="N281" i="5"/>
  <c r="M281" i="5"/>
  <c r="L281" i="5"/>
  <c r="K281" i="5"/>
  <c r="G273" i="5"/>
  <c r="N273" i="5"/>
  <c r="M273" i="5"/>
  <c r="K273" i="5"/>
  <c r="L273" i="5"/>
  <c r="G265" i="5"/>
  <c r="N265" i="5"/>
  <c r="M265" i="5"/>
  <c r="L265" i="5"/>
  <c r="K265" i="5"/>
  <c r="G257" i="5"/>
  <c r="N257" i="5"/>
  <c r="M257" i="5"/>
  <c r="K257" i="5"/>
  <c r="L257" i="5"/>
  <c r="G249" i="5"/>
  <c r="N249" i="5"/>
  <c r="M249" i="5"/>
  <c r="L249" i="5"/>
  <c r="K249" i="5"/>
  <c r="G241" i="5"/>
  <c r="N241" i="5"/>
  <c r="M241" i="5"/>
  <c r="K241" i="5"/>
  <c r="L241" i="5"/>
  <c r="G233" i="5"/>
  <c r="N233" i="5"/>
  <c r="M233" i="5"/>
  <c r="L233" i="5"/>
  <c r="K233" i="5"/>
  <c r="G225" i="5"/>
  <c r="N225" i="5"/>
  <c r="M225" i="5"/>
  <c r="L225" i="5"/>
  <c r="K225" i="5"/>
  <c r="G217" i="5"/>
  <c r="N217" i="5"/>
  <c r="M217" i="5"/>
  <c r="L217" i="5"/>
  <c r="K217" i="5"/>
  <c r="G209" i="5"/>
  <c r="N209" i="5"/>
  <c r="M209" i="5"/>
  <c r="K209" i="5"/>
  <c r="L209" i="5"/>
  <c r="G201" i="5"/>
  <c r="N201" i="5"/>
  <c r="M201" i="5"/>
  <c r="L201" i="5"/>
  <c r="K201" i="5"/>
  <c r="G193" i="5"/>
  <c r="N193" i="5"/>
  <c r="M193" i="5"/>
  <c r="K193" i="5"/>
  <c r="L193" i="5"/>
  <c r="G185" i="5"/>
  <c r="N185" i="5"/>
  <c r="M185" i="5"/>
  <c r="L185" i="5"/>
  <c r="K185" i="5"/>
  <c r="G177" i="5"/>
  <c r="N177" i="5"/>
  <c r="M177" i="5"/>
  <c r="K177" i="5"/>
  <c r="L177" i="5"/>
  <c r="G169" i="5"/>
  <c r="N169" i="5"/>
  <c r="M169" i="5"/>
  <c r="L169" i="5"/>
  <c r="K169" i="5"/>
  <c r="G161" i="5"/>
  <c r="N161" i="5"/>
  <c r="M161" i="5"/>
  <c r="L161" i="5"/>
  <c r="K161" i="5"/>
  <c r="G153" i="5"/>
  <c r="N153" i="5"/>
  <c r="M153" i="5"/>
  <c r="L153" i="5"/>
  <c r="K153" i="5"/>
  <c r="G145" i="5"/>
  <c r="N145" i="5"/>
  <c r="M145" i="5"/>
  <c r="K145" i="5"/>
  <c r="L145" i="5"/>
  <c r="G137" i="5"/>
  <c r="N137" i="5"/>
  <c r="M137" i="5"/>
  <c r="L137" i="5"/>
  <c r="K137" i="5"/>
  <c r="G129" i="5"/>
  <c r="N129" i="5"/>
  <c r="M129" i="5"/>
  <c r="K129" i="5"/>
  <c r="L129" i="5"/>
  <c r="G121" i="5"/>
  <c r="N121" i="5"/>
  <c r="M121" i="5"/>
  <c r="L121" i="5"/>
  <c r="K121" i="5"/>
  <c r="G113" i="5"/>
  <c r="N113" i="5"/>
  <c r="M113" i="5"/>
  <c r="K113" i="5"/>
  <c r="L113" i="5"/>
  <c r="G105" i="5"/>
  <c r="N105" i="5"/>
  <c r="M105" i="5"/>
  <c r="L105" i="5"/>
  <c r="K105" i="5"/>
  <c r="G97" i="5"/>
  <c r="N97" i="5"/>
  <c r="M97" i="5"/>
  <c r="K97" i="5"/>
  <c r="L97" i="5"/>
  <c r="G89" i="5"/>
  <c r="N89" i="5"/>
  <c r="M89" i="5"/>
  <c r="L89" i="5"/>
  <c r="K89" i="5"/>
  <c r="G81" i="5"/>
  <c r="N81" i="5"/>
  <c r="M81" i="5"/>
  <c r="K81" i="5"/>
  <c r="L81" i="5"/>
  <c r="G73" i="5"/>
  <c r="N73" i="5"/>
  <c r="M73" i="5"/>
  <c r="L73" i="5"/>
  <c r="K73" i="5"/>
  <c r="G65" i="5"/>
  <c r="N65" i="5"/>
  <c r="M65" i="5"/>
  <c r="K65" i="5"/>
  <c r="L65" i="5"/>
  <c r="G57" i="5"/>
  <c r="N57" i="5"/>
  <c r="M57" i="5"/>
  <c r="L57" i="5"/>
  <c r="K57" i="5"/>
  <c r="G49" i="5"/>
  <c r="N49" i="5"/>
  <c r="M49" i="5"/>
  <c r="K49" i="5"/>
  <c r="L49" i="5"/>
  <c r="G41" i="5"/>
  <c r="N41" i="5"/>
  <c r="M41" i="5"/>
  <c r="L41" i="5"/>
  <c r="K41" i="5"/>
  <c r="G33" i="5"/>
  <c r="N33" i="5"/>
  <c r="M33" i="5"/>
  <c r="K33" i="5"/>
  <c r="L33" i="5"/>
  <c r="G25" i="5"/>
  <c r="N25" i="5"/>
  <c r="M25" i="5"/>
  <c r="L25" i="5"/>
  <c r="K25" i="5"/>
  <c r="G17" i="5"/>
  <c r="N17" i="5"/>
  <c r="M17" i="5"/>
  <c r="K17" i="5"/>
  <c r="L17" i="5"/>
  <c r="G9" i="5"/>
  <c r="N9" i="5"/>
  <c r="M9" i="5"/>
  <c r="L9" i="5"/>
  <c r="K9" i="5"/>
  <c r="G179" i="5"/>
  <c r="N179" i="5"/>
  <c r="M179" i="5"/>
  <c r="L179" i="5"/>
  <c r="K179" i="5"/>
  <c r="G400" i="5"/>
  <c r="M400" i="5"/>
  <c r="N400" i="5"/>
  <c r="L400" i="5"/>
  <c r="K400" i="5"/>
  <c r="G384" i="5"/>
  <c r="M384" i="5"/>
  <c r="N384" i="5"/>
  <c r="L384" i="5"/>
  <c r="K384" i="5"/>
  <c r="G368" i="5"/>
  <c r="M368" i="5"/>
  <c r="N368" i="5"/>
  <c r="L368" i="5"/>
  <c r="K368" i="5"/>
  <c r="G352" i="5"/>
  <c r="M352" i="5"/>
  <c r="N352" i="5"/>
  <c r="L352" i="5"/>
  <c r="K352" i="5"/>
  <c r="G328" i="5"/>
  <c r="N328" i="5"/>
  <c r="M328" i="5"/>
  <c r="L328" i="5"/>
  <c r="K328" i="5"/>
  <c r="G312" i="5"/>
  <c r="N312" i="5"/>
  <c r="M312" i="5"/>
  <c r="L312" i="5"/>
  <c r="K312" i="5"/>
  <c r="G296" i="5"/>
  <c r="N296" i="5"/>
  <c r="M296" i="5"/>
  <c r="L296" i="5"/>
  <c r="K296" i="5"/>
  <c r="G280" i="5"/>
  <c r="N280" i="5"/>
  <c r="M280" i="5"/>
  <c r="L280" i="5"/>
  <c r="K280" i="5"/>
  <c r="G264" i="5"/>
  <c r="N264" i="5"/>
  <c r="M264" i="5"/>
  <c r="L264" i="5"/>
  <c r="K264" i="5"/>
  <c r="G248" i="5"/>
  <c r="N248" i="5"/>
  <c r="M248" i="5"/>
  <c r="L248" i="5"/>
  <c r="K248" i="5"/>
  <c r="G232" i="5"/>
  <c r="N232" i="5"/>
  <c r="M232" i="5"/>
  <c r="L232" i="5"/>
  <c r="K232" i="5"/>
  <c r="G216" i="5"/>
  <c r="N216" i="5"/>
  <c r="M216" i="5"/>
  <c r="L216" i="5"/>
  <c r="K216" i="5"/>
  <c r="G208" i="5"/>
  <c r="N208" i="5"/>
  <c r="M208" i="5"/>
  <c r="L208" i="5"/>
  <c r="K208" i="5"/>
  <c r="G192" i="5"/>
  <c r="N192" i="5"/>
  <c r="M192" i="5"/>
  <c r="L192" i="5"/>
  <c r="K192" i="5"/>
  <c r="G184" i="5"/>
  <c r="N184" i="5"/>
  <c r="M184" i="5"/>
  <c r="L184" i="5"/>
  <c r="K184" i="5"/>
  <c r="G176" i="5"/>
  <c r="N176" i="5"/>
  <c r="M176" i="5"/>
  <c r="L176" i="5"/>
  <c r="K176" i="5"/>
  <c r="G168" i="5"/>
  <c r="N168" i="5"/>
  <c r="M168" i="5"/>
  <c r="L168" i="5"/>
  <c r="K168" i="5"/>
  <c r="G160" i="5"/>
  <c r="N160" i="5"/>
  <c r="M160" i="5"/>
  <c r="L160" i="5"/>
  <c r="K160" i="5"/>
  <c r="G152" i="5"/>
  <c r="N152" i="5"/>
  <c r="M152" i="5"/>
  <c r="L152" i="5"/>
  <c r="K152" i="5"/>
  <c r="G144" i="5"/>
  <c r="N144" i="5"/>
  <c r="M144" i="5"/>
  <c r="L144" i="5"/>
  <c r="K144" i="5"/>
  <c r="G136" i="5"/>
  <c r="N136" i="5"/>
  <c r="M136" i="5"/>
  <c r="L136" i="5"/>
  <c r="K136" i="5"/>
  <c r="G128" i="5"/>
  <c r="N128" i="5"/>
  <c r="M128" i="5"/>
  <c r="L128" i="5"/>
  <c r="K128" i="5"/>
  <c r="G112" i="5"/>
  <c r="N112" i="5"/>
  <c r="M112" i="5"/>
  <c r="L112" i="5"/>
  <c r="K112" i="5"/>
  <c r="G104" i="5"/>
  <c r="N104" i="5"/>
  <c r="M104" i="5"/>
  <c r="L104" i="5"/>
  <c r="K104" i="5"/>
  <c r="G96" i="5"/>
  <c r="N96" i="5"/>
  <c r="M96" i="5"/>
  <c r="L96" i="5"/>
  <c r="K96" i="5"/>
  <c r="G88" i="5"/>
  <c r="N88" i="5"/>
  <c r="M88" i="5"/>
  <c r="L88" i="5"/>
  <c r="K88" i="5"/>
  <c r="G80" i="5"/>
  <c r="N80" i="5"/>
  <c r="M80" i="5"/>
  <c r="L80" i="5"/>
  <c r="K80" i="5"/>
  <c r="G72" i="5"/>
  <c r="N72" i="5"/>
  <c r="M72" i="5"/>
  <c r="L72" i="5"/>
  <c r="K72" i="5"/>
  <c r="G64" i="5"/>
  <c r="N64" i="5"/>
  <c r="M64" i="5"/>
  <c r="L64" i="5"/>
  <c r="K64" i="5"/>
  <c r="G56" i="5"/>
  <c r="N56" i="5"/>
  <c r="M56" i="5"/>
  <c r="L56" i="5"/>
  <c r="K56" i="5"/>
  <c r="G48" i="5"/>
  <c r="N48" i="5"/>
  <c r="M48" i="5"/>
  <c r="L48" i="5"/>
  <c r="K48" i="5"/>
  <c r="G40" i="5"/>
  <c r="N40" i="5"/>
  <c r="M40" i="5"/>
  <c r="L40" i="5"/>
  <c r="K40" i="5"/>
  <c r="G32" i="5"/>
  <c r="N32" i="5"/>
  <c r="M32" i="5"/>
  <c r="L32" i="5"/>
  <c r="K32" i="5"/>
  <c r="G24" i="5"/>
  <c r="N24" i="5"/>
  <c r="M24" i="5"/>
  <c r="L24" i="5"/>
  <c r="K24" i="5"/>
  <c r="G16" i="5"/>
  <c r="N16" i="5"/>
  <c r="M16" i="5"/>
  <c r="L16" i="5"/>
  <c r="K16" i="5"/>
  <c r="G8" i="5"/>
  <c r="N8" i="5"/>
  <c r="M8" i="5"/>
  <c r="L8" i="5"/>
  <c r="K8" i="5"/>
  <c r="G171" i="5"/>
  <c r="N171" i="5"/>
  <c r="M171" i="5"/>
  <c r="L171" i="5"/>
  <c r="K171" i="5"/>
  <c r="N2" i="5"/>
  <c r="M2" i="5"/>
  <c r="G408" i="5"/>
  <c r="M408" i="5"/>
  <c r="L408" i="5"/>
  <c r="N408" i="5"/>
  <c r="K408" i="5"/>
  <c r="G392" i="5"/>
  <c r="M392" i="5"/>
  <c r="N392" i="5"/>
  <c r="L392" i="5"/>
  <c r="K392" i="5"/>
  <c r="G376" i="5"/>
  <c r="M376" i="5"/>
  <c r="N376" i="5"/>
  <c r="L376" i="5"/>
  <c r="K376" i="5"/>
  <c r="G360" i="5"/>
  <c r="M360" i="5"/>
  <c r="N360" i="5"/>
  <c r="L360" i="5"/>
  <c r="K360" i="5"/>
  <c r="G344" i="5"/>
  <c r="M344" i="5"/>
  <c r="L344" i="5"/>
  <c r="N344" i="5"/>
  <c r="K344" i="5"/>
  <c r="G336" i="5"/>
  <c r="N336" i="5"/>
  <c r="M336" i="5"/>
  <c r="L336" i="5"/>
  <c r="K336" i="5"/>
  <c r="G320" i="5"/>
  <c r="N320" i="5"/>
  <c r="M320" i="5"/>
  <c r="L320" i="5"/>
  <c r="K320" i="5"/>
  <c r="G304" i="5"/>
  <c r="N304" i="5"/>
  <c r="M304" i="5"/>
  <c r="L304" i="5"/>
  <c r="K304" i="5"/>
  <c r="G288" i="5"/>
  <c r="N288" i="5"/>
  <c r="M288" i="5"/>
  <c r="L288" i="5"/>
  <c r="K288" i="5"/>
  <c r="G272" i="5"/>
  <c r="N272" i="5"/>
  <c r="M272" i="5"/>
  <c r="L272" i="5"/>
  <c r="K272" i="5"/>
  <c r="G256" i="5"/>
  <c r="N256" i="5"/>
  <c r="M256" i="5"/>
  <c r="L256" i="5"/>
  <c r="K256" i="5"/>
  <c r="G240" i="5"/>
  <c r="N240" i="5"/>
  <c r="M240" i="5"/>
  <c r="L240" i="5"/>
  <c r="K240" i="5"/>
  <c r="G224" i="5"/>
  <c r="N224" i="5"/>
  <c r="M224" i="5"/>
  <c r="L224" i="5"/>
  <c r="K224" i="5"/>
  <c r="G200" i="5"/>
  <c r="N200" i="5"/>
  <c r="M200" i="5"/>
  <c r="L200" i="5"/>
  <c r="K200" i="5"/>
  <c r="G120" i="5"/>
  <c r="N120" i="5"/>
  <c r="M120" i="5"/>
  <c r="L120" i="5"/>
  <c r="K120" i="5"/>
  <c r="G407" i="5"/>
  <c r="N407" i="5"/>
  <c r="M407" i="5"/>
  <c r="L407" i="5"/>
  <c r="K407" i="5"/>
  <c r="G399" i="5"/>
  <c r="N399" i="5"/>
  <c r="M399" i="5"/>
  <c r="L399" i="5"/>
  <c r="K399" i="5"/>
  <c r="G391" i="5"/>
  <c r="N391" i="5"/>
  <c r="M391" i="5"/>
  <c r="L391" i="5"/>
  <c r="K391" i="5"/>
  <c r="G383" i="5"/>
  <c r="N383" i="5"/>
  <c r="M383" i="5"/>
  <c r="L383" i="5"/>
  <c r="K383" i="5"/>
  <c r="G375" i="5"/>
  <c r="N375" i="5"/>
  <c r="M375" i="5"/>
  <c r="L375" i="5"/>
  <c r="K375" i="5"/>
  <c r="G367" i="5"/>
  <c r="N367" i="5"/>
  <c r="M367" i="5"/>
  <c r="L367" i="5"/>
  <c r="K367" i="5"/>
  <c r="G359" i="5"/>
  <c r="N359" i="5"/>
  <c r="M359" i="5"/>
  <c r="L359" i="5"/>
  <c r="K359" i="5"/>
  <c r="G351" i="5"/>
  <c r="N351" i="5"/>
  <c r="M351" i="5"/>
  <c r="L351" i="5"/>
  <c r="K351" i="5"/>
  <c r="G343" i="5"/>
  <c r="N343" i="5"/>
  <c r="M343" i="5"/>
  <c r="L343" i="5"/>
  <c r="K343" i="5"/>
  <c r="G335" i="5"/>
  <c r="N335" i="5"/>
  <c r="M335" i="5"/>
  <c r="L335" i="5"/>
  <c r="K335" i="5"/>
  <c r="G327" i="5"/>
  <c r="N327" i="5"/>
  <c r="M327" i="5"/>
  <c r="L327" i="5"/>
  <c r="K327" i="5"/>
  <c r="G319" i="5"/>
  <c r="N319" i="5"/>
  <c r="M319" i="5"/>
  <c r="L319" i="5"/>
  <c r="K319" i="5"/>
  <c r="G311" i="5"/>
  <c r="N311" i="5"/>
  <c r="M311" i="5"/>
  <c r="L311" i="5"/>
  <c r="K311" i="5"/>
  <c r="G303" i="5"/>
  <c r="N303" i="5"/>
  <c r="M303" i="5"/>
  <c r="L303" i="5"/>
  <c r="K303" i="5"/>
  <c r="G295" i="5"/>
  <c r="N295" i="5"/>
  <c r="M295" i="5"/>
  <c r="L295" i="5"/>
  <c r="K295" i="5"/>
  <c r="G287" i="5"/>
  <c r="N287" i="5"/>
  <c r="M287" i="5"/>
  <c r="L287" i="5"/>
  <c r="K287" i="5"/>
  <c r="G279" i="5"/>
  <c r="N279" i="5"/>
  <c r="M279" i="5"/>
  <c r="L279" i="5"/>
  <c r="K279" i="5"/>
  <c r="G271" i="5"/>
  <c r="N271" i="5"/>
  <c r="M271" i="5"/>
  <c r="L271" i="5"/>
  <c r="K271" i="5"/>
  <c r="G263" i="5"/>
  <c r="N263" i="5"/>
  <c r="M263" i="5"/>
  <c r="L263" i="5"/>
  <c r="K263" i="5"/>
  <c r="G255" i="5"/>
  <c r="N255" i="5"/>
  <c r="M255" i="5"/>
  <c r="L255" i="5"/>
  <c r="K255" i="5"/>
  <c r="G247" i="5"/>
  <c r="N247" i="5"/>
  <c r="M247" i="5"/>
  <c r="L247" i="5"/>
  <c r="K247" i="5"/>
  <c r="G239" i="5"/>
  <c r="N239" i="5"/>
  <c r="M239" i="5"/>
  <c r="L239" i="5"/>
  <c r="K239" i="5"/>
  <c r="G231" i="5"/>
  <c r="N231" i="5"/>
  <c r="M231" i="5"/>
  <c r="L231" i="5"/>
  <c r="K231" i="5"/>
  <c r="G223" i="5"/>
  <c r="N223" i="5"/>
  <c r="M223" i="5"/>
  <c r="L223" i="5"/>
  <c r="K223" i="5"/>
  <c r="G215" i="5"/>
  <c r="N215" i="5"/>
  <c r="M215" i="5"/>
  <c r="L215" i="5"/>
  <c r="K215" i="5"/>
  <c r="G207" i="5"/>
  <c r="N207" i="5"/>
  <c r="M207" i="5"/>
  <c r="L207" i="5"/>
  <c r="K207" i="5"/>
  <c r="G199" i="5"/>
  <c r="N199" i="5"/>
  <c r="M199" i="5"/>
  <c r="L199" i="5"/>
  <c r="K199" i="5"/>
  <c r="G191" i="5"/>
  <c r="N191" i="5"/>
  <c r="M191" i="5"/>
  <c r="L191" i="5"/>
  <c r="K191" i="5"/>
  <c r="G183" i="5"/>
  <c r="N183" i="5"/>
  <c r="M183" i="5"/>
  <c r="L183" i="5"/>
  <c r="K183" i="5"/>
  <c r="G175" i="5"/>
  <c r="N175" i="5"/>
  <c r="M175" i="5"/>
  <c r="L175" i="5"/>
  <c r="K175" i="5"/>
  <c r="G167" i="5"/>
  <c r="N167" i="5"/>
  <c r="M167" i="5"/>
  <c r="L167" i="5"/>
  <c r="K167" i="5"/>
  <c r="G159" i="5"/>
  <c r="N159" i="5"/>
  <c r="M159" i="5"/>
  <c r="L159" i="5"/>
  <c r="K159" i="5"/>
  <c r="G151" i="5"/>
  <c r="N151" i="5"/>
  <c r="M151" i="5"/>
  <c r="L151" i="5"/>
  <c r="K151" i="5"/>
  <c r="G143" i="5"/>
  <c r="N143" i="5"/>
  <c r="M143" i="5"/>
  <c r="L143" i="5"/>
  <c r="K143" i="5"/>
  <c r="G135" i="5"/>
  <c r="N135" i="5"/>
  <c r="M135" i="5"/>
  <c r="L135" i="5"/>
  <c r="K135" i="5"/>
  <c r="G127" i="5"/>
  <c r="N127" i="5"/>
  <c r="M127" i="5"/>
  <c r="L127" i="5"/>
  <c r="K127" i="5"/>
  <c r="G119" i="5"/>
  <c r="N119" i="5"/>
  <c r="M119" i="5"/>
  <c r="L119" i="5"/>
  <c r="K119" i="5"/>
  <c r="G111" i="5"/>
  <c r="N111" i="5"/>
  <c r="M111" i="5"/>
  <c r="L111" i="5"/>
  <c r="K111" i="5"/>
  <c r="G103" i="5"/>
  <c r="N103" i="5"/>
  <c r="M103" i="5"/>
  <c r="L103" i="5"/>
  <c r="K103" i="5"/>
  <c r="G95" i="5"/>
  <c r="N95" i="5"/>
  <c r="M95" i="5"/>
  <c r="L95" i="5"/>
  <c r="K95" i="5"/>
  <c r="G87" i="5"/>
  <c r="N87" i="5"/>
  <c r="M87" i="5"/>
  <c r="L87" i="5"/>
  <c r="K87" i="5"/>
  <c r="G79" i="5"/>
  <c r="N79" i="5"/>
  <c r="M79" i="5"/>
  <c r="L79" i="5"/>
  <c r="K79" i="5"/>
  <c r="G71" i="5"/>
  <c r="N71" i="5"/>
  <c r="M71" i="5"/>
  <c r="L71" i="5"/>
  <c r="K71" i="5"/>
  <c r="G63" i="5"/>
  <c r="N63" i="5"/>
  <c r="M63" i="5"/>
  <c r="L63" i="5"/>
  <c r="K63" i="5"/>
  <c r="G55" i="5"/>
  <c r="N55" i="5"/>
  <c r="M55" i="5"/>
  <c r="L55" i="5"/>
  <c r="K55" i="5"/>
  <c r="G47" i="5"/>
  <c r="N47" i="5"/>
  <c r="M47" i="5"/>
  <c r="L47" i="5"/>
  <c r="K47" i="5"/>
  <c r="G39" i="5"/>
  <c r="N39" i="5"/>
  <c r="M39" i="5"/>
  <c r="L39" i="5"/>
  <c r="K39" i="5"/>
  <c r="G31" i="5"/>
  <c r="N31" i="5"/>
  <c r="M31" i="5"/>
  <c r="L31" i="5"/>
  <c r="K31" i="5"/>
  <c r="G23" i="5"/>
  <c r="N23" i="5"/>
  <c r="M23" i="5"/>
  <c r="L23" i="5"/>
  <c r="K23" i="5"/>
  <c r="G15" i="5"/>
  <c r="N15" i="5"/>
  <c r="M15" i="5"/>
  <c r="L15" i="5"/>
  <c r="K15" i="5"/>
  <c r="G7" i="5"/>
  <c r="N7" i="5"/>
  <c r="M7" i="5"/>
  <c r="L7" i="5"/>
  <c r="K7" i="5"/>
  <c r="I406" i="5"/>
  <c r="I398" i="5"/>
  <c r="I390" i="5"/>
  <c r="I382" i="5"/>
  <c r="I374" i="5"/>
  <c r="I366" i="5"/>
  <c r="I358" i="5"/>
  <c r="I350" i="5"/>
  <c r="I342" i="5"/>
  <c r="I334" i="5"/>
  <c r="I326" i="5"/>
  <c r="I318" i="5"/>
  <c r="I310" i="5"/>
  <c r="I302" i="5"/>
  <c r="I294" i="5"/>
  <c r="I286" i="5"/>
  <c r="I278" i="5"/>
  <c r="I270" i="5"/>
  <c r="I262" i="5"/>
  <c r="I254" i="5"/>
  <c r="I246" i="5"/>
  <c r="I238" i="5"/>
  <c r="I230" i="5"/>
  <c r="I222" i="5"/>
  <c r="I214" i="5"/>
  <c r="I206" i="5"/>
  <c r="I198" i="5"/>
  <c r="I190" i="5"/>
  <c r="I182" i="5"/>
  <c r="I174" i="5"/>
  <c r="I166" i="5"/>
  <c r="I158" i="5"/>
  <c r="I150" i="5"/>
  <c r="I142" i="5"/>
  <c r="I134" i="5"/>
  <c r="I126" i="5"/>
  <c r="I118" i="5"/>
  <c r="I110" i="5"/>
  <c r="I102" i="5"/>
  <c r="I94" i="5"/>
  <c r="I86" i="5"/>
  <c r="I78" i="5"/>
  <c r="I70" i="5"/>
  <c r="I62" i="5"/>
  <c r="I54" i="5"/>
  <c r="I46" i="5"/>
  <c r="I38" i="5"/>
  <c r="I30" i="5"/>
  <c r="I22" i="5"/>
  <c r="I14" i="5"/>
  <c r="I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<sst xmlns="http://schemas.openxmlformats.org/spreadsheetml/2006/main" count="39011" uniqueCount="15992">
  <si>
    <t>Accession</t>
  </si>
  <si>
    <t>Begin</t>
  </si>
  <si>
    <t>End</t>
  </si>
  <si>
    <t>Chromosome</t>
  </si>
  <si>
    <t>Orientation</t>
  </si>
  <si>
    <t>Name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</si>
  <si>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</si>
  <si>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</si>
  <si>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</si>
  <si>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</si>
  <si>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</si>
  <si>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</si>
  <si>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</si>
  <si>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CP046605.1</t>
  </si>
  <si>
    <t>plus</t>
  </si>
  <si>
    <t>Chromosomal replication initiator protein DnaA</t>
  </si>
  <si>
    <t>dnaA</t>
  </si>
  <si>
    <t>protein-coding</t>
  </si>
  <si>
    <t>UQZ26750.1</t>
  </si>
  <si>
    <t>CACC_00005</t>
  </si>
  <si>
    <t>DNA polymerase III subunit beta</t>
  </si>
  <si>
    <t>dnaN</t>
  </si>
  <si>
    <t>UQZ26751.1</t>
  </si>
  <si>
    <t>CACC_00010</t>
  </si>
  <si>
    <t>DNA replication and repair protein RecF</t>
  </si>
  <si>
    <t>recF</t>
  </si>
  <si>
    <t>UQZ26752.1</t>
  </si>
  <si>
    <t>CACC_00015</t>
  </si>
  <si>
    <t>hypothetical protein</t>
  </si>
  <si>
    <t>UQZ26753.1</t>
  </si>
  <si>
    <t>CACC_00020</t>
  </si>
  <si>
    <t>DNA gyrase subunit B</t>
  </si>
  <si>
    <t>gyrB</t>
  </si>
  <si>
    <t>UQZ26754.1</t>
  </si>
  <si>
    <t>CACC_00025</t>
  </si>
  <si>
    <t>minus</t>
  </si>
  <si>
    <t>Multidrug resistance protein stp</t>
  </si>
  <si>
    <t>stp1</t>
  </si>
  <si>
    <t>UQZ26755.1</t>
  </si>
  <si>
    <t>CACC_00030</t>
  </si>
  <si>
    <t>UQZ26756.1</t>
  </si>
  <si>
    <t>CACC_00035</t>
  </si>
  <si>
    <t>UQZ26757.1</t>
  </si>
  <si>
    <t>CACC_00040</t>
  </si>
  <si>
    <t>UQZ26758.1</t>
  </si>
  <si>
    <t>CACC_00045</t>
  </si>
  <si>
    <t>DNA gyrase subunit A</t>
  </si>
  <si>
    <t>gyrA</t>
  </si>
  <si>
    <t>UQZ26759.1</t>
  </si>
  <si>
    <t>CACC_00050</t>
  </si>
  <si>
    <t>UQZ26760.1</t>
  </si>
  <si>
    <t>CACC_00055</t>
  </si>
  <si>
    <t>tRNA-Ile</t>
  </si>
  <si>
    <t>tRNA</t>
  </si>
  <si>
    <t>CACC_00060</t>
  </si>
  <si>
    <t>tRNA-Ala</t>
  </si>
  <si>
    <t>CACC_00065</t>
  </si>
  <si>
    <t>UQZ26761.1</t>
  </si>
  <si>
    <t>CACC_00070</t>
  </si>
  <si>
    <t>Copper-exporting P-type ATPase B</t>
  </si>
  <si>
    <t>copB1</t>
  </si>
  <si>
    <t>UQZ26762.1</t>
  </si>
  <si>
    <t>CACC_00075</t>
  </si>
  <si>
    <t>transcriptional repressor MprA</t>
  </si>
  <si>
    <t>UQZ26763.1</t>
  </si>
  <si>
    <t>CACC_00080</t>
  </si>
  <si>
    <t>3-methyladenine DNA glycosylase</t>
  </si>
  <si>
    <t>UQZ26764.1</t>
  </si>
  <si>
    <t>CACC_00085</t>
  </si>
  <si>
    <t>Peptidoglycan-N-acetylmuramic acid deacetylase PdaC</t>
  </si>
  <si>
    <t>pdaC</t>
  </si>
  <si>
    <t>UQZ26765.1</t>
  </si>
  <si>
    <t>CACC_00090</t>
  </si>
  <si>
    <t>CACC_00095</t>
  </si>
  <si>
    <t>Acetyltransferase YpeA</t>
  </si>
  <si>
    <t>ypeA</t>
  </si>
  <si>
    <t>UQZ26766.1</t>
  </si>
  <si>
    <t>CACC_00100</t>
  </si>
  <si>
    <t>UQZ26767.1</t>
  </si>
  <si>
    <t>CACC_00105</t>
  </si>
  <si>
    <t>UQZ26768.1</t>
  </si>
  <si>
    <t>CACC_00110</t>
  </si>
  <si>
    <t>5,10-methylenetetrahydrofolate reductase</t>
  </si>
  <si>
    <t>metF</t>
  </si>
  <si>
    <t>UQZ26769.1</t>
  </si>
  <si>
    <t>CACC_00115</t>
  </si>
  <si>
    <t>5-methyltetrahydropteroyltriglutamate--homocysteine methyltransferase</t>
  </si>
  <si>
    <t>metE</t>
  </si>
  <si>
    <t>UQZ26770.1</t>
  </si>
  <si>
    <t>CACC_00120</t>
  </si>
  <si>
    <t>PTS-dependent dihydroxyacetone kinase, dihydroxyacetone-binding subunit DhaK</t>
  </si>
  <si>
    <t>dhaK</t>
  </si>
  <si>
    <t>UQZ26771.1</t>
  </si>
  <si>
    <t>CACC_00125</t>
  </si>
  <si>
    <t>Peptidyl-prolyl cis-trans isomerase A</t>
  </si>
  <si>
    <t>ppiA</t>
  </si>
  <si>
    <t>UQZ26772.1</t>
  </si>
  <si>
    <t>CACC_00130</t>
  </si>
  <si>
    <t>Rhomboid protease GluP</t>
  </si>
  <si>
    <t>gluP</t>
  </si>
  <si>
    <t>UQZ26773.1</t>
  </si>
  <si>
    <t>CACC_00135</t>
  </si>
  <si>
    <t>UQZ26774.1</t>
  </si>
  <si>
    <t>CACC_00140</t>
  </si>
  <si>
    <t>UQZ26775.1</t>
  </si>
  <si>
    <t>CACC_00145</t>
  </si>
  <si>
    <t>UQZ26776.1</t>
  </si>
  <si>
    <t>CACC_00150</t>
  </si>
  <si>
    <t>N-acetylglucosamine-6-phosphate deacetylase</t>
  </si>
  <si>
    <t>nagA1</t>
  </si>
  <si>
    <t>UQZ26777.1</t>
  </si>
  <si>
    <t>CACC_00155</t>
  </si>
  <si>
    <t>Glucosamine-6-phosphate deaminase</t>
  </si>
  <si>
    <t>nagB1</t>
  </si>
  <si>
    <t>UQZ26778.1</t>
  </si>
  <si>
    <t>CACC_00160</t>
  </si>
  <si>
    <t>PTS system glucoside-specific EIICBA component</t>
  </si>
  <si>
    <t>glcB</t>
  </si>
  <si>
    <t>UQZ26779.1</t>
  </si>
  <si>
    <t>CACC_00165</t>
  </si>
  <si>
    <t>Cell division protein CrgA</t>
  </si>
  <si>
    <t>crgA</t>
  </si>
  <si>
    <t>UQZ26780.1</t>
  </si>
  <si>
    <t>CACC_00170</t>
  </si>
  <si>
    <t>Serine/threonine-protein kinase PknB</t>
  </si>
  <si>
    <t>pknB</t>
  </si>
  <si>
    <t>UQZ26781.1</t>
  </si>
  <si>
    <t>CACC_00175</t>
  </si>
  <si>
    <t>Serine/threonine-protein kinase PknA</t>
  </si>
  <si>
    <t>pknA</t>
  </si>
  <si>
    <t>UQZ26782.1</t>
  </si>
  <si>
    <t>CACC_00180</t>
  </si>
  <si>
    <t>Penicillin-binding protein A</t>
  </si>
  <si>
    <t>pbpA</t>
  </si>
  <si>
    <t>UQZ26783.1</t>
  </si>
  <si>
    <t>CACC_00185</t>
  </si>
  <si>
    <t>Lipid II flippase FtsW</t>
  </si>
  <si>
    <t>ftsW1</t>
  </si>
  <si>
    <t>UQZ26784.1</t>
  </si>
  <si>
    <t>CACC_00190</t>
  </si>
  <si>
    <t>PP2C-family Ser/Thr phosphatase</t>
  </si>
  <si>
    <t>pstP</t>
  </si>
  <si>
    <t>UQZ26785.1</t>
  </si>
  <si>
    <t>CACC_00195</t>
  </si>
  <si>
    <t>FHA domain-containing protein FhaB</t>
  </si>
  <si>
    <t>fhaB</t>
  </si>
  <si>
    <t>UQZ26786.1</t>
  </si>
  <si>
    <t>CACC_00200</t>
  </si>
  <si>
    <t>FHA domain-containing protein FhaA</t>
  </si>
  <si>
    <t>fhaA</t>
  </si>
  <si>
    <t>UQZ26787.1</t>
  </si>
  <si>
    <t>CACC_00205</t>
  </si>
  <si>
    <t>tRNA-Ser</t>
  </si>
  <si>
    <t>CACC_00210</t>
  </si>
  <si>
    <t>UQZ26788.1</t>
  </si>
  <si>
    <t>CACC_00215</t>
  </si>
  <si>
    <t>UQZ26789.1</t>
  </si>
  <si>
    <t>CACC_00220</t>
  </si>
  <si>
    <t>copB2</t>
  </si>
  <si>
    <t>UQZ26790.1</t>
  </si>
  <si>
    <t>CACC_00225</t>
  </si>
  <si>
    <t>zinc/cadmium/mercury/lead-transporting ATPase</t>
  </si>
  <si>
    <t>UQZ26791.1</t>
  </si>
  <si>
    <t>CACC_00230</t>
  </si>
  <si>
    <t>Signal transduction histidine-protein kinase BaeS</t>
  </si>
  <si>
    <t>baeS</t>
  </si>
  <si>
    <t>UQZ26792.1</t>
  </si>
  <si>
    <t>CACC_00235</t>
  </si>
  <si>
    <t>Alkaline phosphatase synthesis transcriptional regulatory protein PhoP</t>
  </si>
  <si>
    <t>phoP</t>
  </si>
  <si>
    <t>UQZ26793.1</t>
  </si>
  <si>
    <t>CACC_00240</t>
  </si>
  <si>
    <t>UQZ26794.1</t>
  </si>
  <si>
    <t>CACC_00245</t>
  </si>
  <si>
    <t>Copper resistance protein A precursor</t>
  </si>
  <si>
    <t>copA1</t>
  </si>
  <si>
    <t>UQZ26795.1</t>
  </si>
  <si>
    <t>CACC_00250</t>
  </si>
  <si>
    <t>Integrase core domain protein</t>
  </si>
  <si>
    <t>UQZ26796.1</t>
  </si>
  <si>
    <t>CACC_00255</t>
  </si>
  <si>
    <t>UQZ26797.1</t>
  </si>
  <si>
    <t>CACC_00260</t>
  </si>
  <si>
    <t>UQZ26798.1</t>
  </si>
  <si>
    <t>CACC_00265</t>
  </si>
  <si>
    <t>Scramblase</t>
  </si>
  <si>
    <t>UQZ26799.1</t>
  </si>
  <si>
    <t>CACC_00270</t>
  </si>
  <si>
    <t>UQZ26800.1</t>
  </si>
  <si>
    <t>CACC_00275</t>
  </si>
  <si>
    <t>UQZ26801.1</t>
  </si>
  <si>
    <t>CACC_00280</t>
  </si>
  <si>
    <t>UQZ26802.1</t>
  </si>
  <si>
    <t>CACC_00285</t>
  </si>
  <si>
    <t>CHY zinc finger</t>
  </si>
  <si>
    <t>UQZ26803.1</t>
  </si>
  <si>
    <t>CACC_00290</t>
  </si>
  <si>
    <t>putative succinyl-diaminopimelate desuccinylase</t>
  </si>
  <si>
    <t>dapE1</t>
  </si>
  <si>
    <t>UQZ26804.1</t>
  </si>
  <si>
    <t>CACC_00295</t>
  </si>
  <si>
    <t>Biotin synthase</t>
  </si>
  <si>
    <t>bioB</t>
  </si>
  <si>
    <t>UQZ26805.1</t>
  </si>
  <si>
    <t>CACC_00300</t>
  </si>
  <si>
    <t>UQZ26806.1</t>
  </si>
  <si>
    <t>CACC_00305</t>
  </si>
  <si>
    <t>UQZ26807.1</t>
  </si>
  <si>
    <t>CACC_00310</t>
  </si>
  <si>
    <t>NAD-dependent protein deacetylase</t>
  </si>
  <si>
    <t>cobB</t>
  </si>
  <si>
    <t>UQZ26808.1</t>
  </si>
  <si>
    <t>CACC_00315</t>
  </si>
  <si>
    <t>Lipase precursor</t>
  </si>
  <si>
    <t>lip</t>
  </si>
  <si>
    <t>UQZ26809.1</t>
  </si>
  <si>
    <t>CACC_00320</t>
  </si>
  <si>
    <t>AMP nucleosidase</t>
  </si>
  <si>
    <t>amn</t>
  </si>
  <si>
    <t>UQZ26810.1</t>
  </si>
  <si>
    <t>CACC_00325</t>
  </si>
  <si>
    <t>xanthine-guanine phosphoribosyltransferase</t>
  </si>
  <si>
    <t>UQZ26811.1</t>
  </si>
  <si>
    <t>CACC_00330</t>
  </si>
  <si>
    <t>C4-dicarboxylic acid transporter DauA</t>
  </si>
  <si>
    <t>dauA</t>
  </si>
  <si>
    <t>UQZ26812.1</t>
  </si>
  <si>
    <t>CACC_00335</t>
  </si>
  <si>
    <t>Ferritin</t>
  </si>
  <si>
    <t>ftnA</t>
  </si>
  <si>
    <t>UQZ26813.1</t>
  </si>
  <si>
    <t>CACC_00340</t>
  </si>
  <si>
    <t>UQZ26814.1</t>
  </si>
  <si>
    <t>CACC_00345</t>
  </si>
  <si>
    <t>Phosphatase</t>
  </si>
  <si>
    <t>UQZ26815.1</t>
  </si>
  <si>
    <t>CACC_00350</t>
  </si>
  <si>
    <t>ROK family protein</t>
  </si>
  <si>
    <t>UQZ26816.1</t>
  </si>
  <si>
    <t>CACC_00355</t>
  </si>
  <si>
    <t>LOG family protein YvdD</t>
  </si>
  <si>
    <t>yvdD</t>
  </si>
  <si>
    <t>UQZ26817.1</t>
  </si>
  <si>
    <t>CACC_00360</t>
  </si>
  <si>
    <t>UQZ26818.1</t>
  </si>
  <si>
    <t>CACC_00365</t>
  </si>
  <si>
    <t>Putative ammonia monooxygenase</t>
  </si>
  <si>
    <t>UQZ26819.1</t>
  </si>
  <si>
    <t>CACC_00370</t>
  </si>
  <si>
    <t>UQZ26820.1</t>
  </si>
  <si>
    <t>CACC_00375</t>
  </si>
  <si>
    <t>ATP-dependent RNA helicase HrpB</t>
  </si>
  <si>
    <t>hrpB1</t>
  </si>
  <si>
    <t>UQZ26821.1</t>
  </si>
  <si>
    <t>CACC_00380</t>
  </si>
  <si>
    <t>Putative acetyltransferase</t>
  </si>
  <si>
    <t>UQZ26822.1</t>
  </si>
  <si>
    <t>CACC_00385</t>
  </si>
  <si>
    <t>Alpha-ketoglutarate-dependent dioxygenase AlkB</t>
  </si>
  <si>
    <t>alkB</t>
  </si>
  <si>
    <t>UQZ26823.1</t>
  </si>
  <si>
    <t>CACC_00390</t>
  </si>
  <si>
    <t>FMN-dependent NADPH-azoreductase</t>
  </si>
  <si>
    <t>azr</t>
  </si>
  <si>
    <t>UQZ26824.1</t>
  </si>
  <si>
    <t>CACC_00395</t>
  </si>
  <si>
    <t>NADP-dependent 3-hydroxy acid dehydrogenase YdfG</t>
  </si>
  <si>
    <t>ydfG</t>
  </si>
  <si>
    <t>UQZ26825.1</t>
  </si>
  <si>
    <t>CACC_00400</t>
  </si>
  <si>
    <t>Betaine aldehyde dehydrogenase</t>
  </si>
  <si>
    <t>gbsA</t>
  </si>
  <si>
    <t>UQZ26826.1</t>
  </si>
  <si>
    <t>CACC_00405</t>
  </si>
  <si>
    <t>High-affinity choline transport protein</t>
  </si>
  <si>
    <t>betT</t>
  </si>
  <si>
    <t>UQZ26827.1</t>
  </si>
  <si>
    <t>CACC_00410</t>
  </si>
  <si>
    <t>Oxygen-dependent choline dehydrogenase</t>
  </si>
  <si>
    <t>betA</t>
  </si>
  <si>
    <t>UQZ26828.1</t>
  </si>
  <si>
    <t>CACC_00415</t>
  </si>
  <si>
    <t>UQZ26829.1</t>
  </si>
  <si>
    <t>CACC_00420</t>
  </si>
  <si>
    <t>UQZ26830.1</t>
  </si>
  <si>
    <t>CACC_00425</t>
  </si>
  <si>
    <t>HTH-type transcriptional regulator CmtR</t>
  </si>
  <si>
    <t>cmtR</t>
  </si>
  <si>
    <t>UQZ26831.1</t>
  </si>
  <si>
    <t>CACC_00430</t>
  </si>
  <si>
    <t>uncharacterized gene</t>
  </si>
  <si>
    <t>cadA</t>
  </si>
  <si>
    <t>pseudogene</t>
  </si>
  <si>
    <t>CACC_00440</t>
  </si>
  <si>
    <t>UQZ26832.1</t>
  </si>
  <si>
    <t>CACC_00445</t>
  </si>
  <si>
    <t>UQZ26833.1</t>
  </si>
  <si>
    <t>CACC_00450</t>
  </si>
  <si>
    <t>Adenylate and Guanylate cyclase catalytic domain protein</t>
  </si>
  <si>
    <t>UQZ26834.1</t>
  </si>
  <si>
    <t>CACC_00455</t>
  </si>
  <si>
    <t>UQZ26835.1</t>
  </si>
  <si>
    <t>CACC_00460</t>
  </si>
  <si>
    <t>UQZ26836.1</t>
  </si>
  <si>
    <t>CACC_00465</t>
  </si>
  <si>
    <t>UQZ26837.1</t>
  </si>
  <si>
    <t>CACC_00470</t>
  </si>
  <si>
    <t>Threonine efflux protein</t>
  </si>
  <si>
    <t>rhtC1</t>
  </si>
  <si>
    <t>UQZ26838.1</t>
  </si>
  <si>
    <t>CACC_00475</t>
  </si>
  <si>
    <t>rhtC2</t>
  </si>
  <si>
    <t>UQZ26839.1</t>
  </si>
  <si>
    <t>CACC_00480</t>
  </si>
  <si>
    <t>UQZ26840.1</t>
  </si>
  <si>
    <t>CACC_00485</t>
  </si>
  <si>
    <t>ribosome-associated protein</t>
  </si>
  <si>
    <t>UQZ26841.1</t>
  </si>
  <si>
    <t>CACC_00490</t>
  </si>
  <si>
    <t>27 kDa antigen Cfp30B</t>
  </si>
  <si>
    <t>UQZ26842.1</t>
  </si>
  <si>
    <t>CACC_00495</t>
  </si>
  <si>
    <t>Methylated-DNA--protein-cysteine methyltransferase</t>
  </si>
  <si>
    <t>ogt1</t>
  </si>
  <si>
    <t>UQZ26843.1</t>
  </si>
  <si>
    <t>CACC_00500</t>
  </si>
  <si>
    <t>N-substituted formamide deformylase precursor</t>
  </si>
  <si>
    <t>nfdA</t>
  </si>
  <si>
    <t>UQZ26844.1</t>
  </si>
  <si>
    <t>CACC_00505</t>
  </si>
  <si>
    <t>Proline/betaine transporter</t>
  </si>
  <si>
    <t>proP1</t>
  </si>
  <si>
    <t>UQZ26845.1</t>
  </si>
  <si>
    <t>CACC_00510</t>
  </si>
  <si>
    <t>Purine catabolism regulatory protein-like family protein</t>
  </si>
  <si>
    <t>UQZ26846.1</t>
  </si>
  <si>
    <t>CACC_00515</t>
  </si>
  <si>
    <t>5-aminovalerate aminotransferase DavT</t>
  </si>
  <si>
    <t>davT</t>
  </si>
  <si>
    <t>UQZ26847.1</t>
  </si>
  <si>
    <t>CACC_00520</t>
  </si>
  <si>
    <t>Putative phenylalanine aminotransferase</t>
  </si>
  <si>
    <t>pat1</t>
  </si>
  <si>
    <t>UQZ26848.1</t>
  </si>
  <si>
    <t>CACC_00525</t>
  </si>
  <si>
    <t>Serine transporter</t>
  </si>
  <si>
    <t>sdaC1</t>
  </si>
  <si>
    <t>UQZ26849.1</t>
  </si>
  <si>
    <t>CACC_00530</t>
  </si>
  <si>
    <t>Putative hydrolase</t>
  </si>
  <si>
    <t>UQZ26850.1</t>
  </si>
  <si>
    <t>CACC_00535</t>
  </si>
  <si>
    <t>UQZ26851.1</t>
  </si>
  <si>
    <t>CACC_00540</t>
  </si>
  <si>
    <t>Acetolactate synthase isozyme 2 large subunit</t>
  </si>
  <si>
    <t>ilvG</t>
  </si>
  <si>
    <t>UQZ26852.1</t>
  </si>
  <si>
    <t>CACC_00545</t>
  </si>
  <si>
    <t>HTH-type transcriptional regulator BenM</t>
  </si>
  <si>
    <t>benM1</t>
  </si>
  <si>
    <t>UQZ26853.1</t>
  </si>
  <si>
    <t>CACC_00550</t>
  </si>
  <si>
    <t>UQZ26854.1</t>
  </si>
  <si>
    <t>CACC_00555</t>
  </si>
  <si>
    <t>sdaC2</t>
  </si>
  <si>
    <t>UQZ26855.1</t>
  </si>
  <si>
    <t>CACC_00560</t>
  </si>
  <si>
    <t>UQZ26856.1</t>
  </si>
  <si>
    <t>CACC_00565</t>
  </si>
  <si>
    <t>UQZ26857.1</t>
  </si>
  <si>
    <t>CACC_00570</t>
  </si>
  <si>
    <t>Neutral endopeptidase</t>
  </si>
  <si>
    <t>pepO</t>
  </si>
  <si>
    <t>UQZ26858.1</t>
  </si>
  <si>
    <t>CACC_00575</t>
  </si>
  <si>
    <t>alpha/beta hydrolase fold protein</t>
  </si>
  <si>
    <t>UQZ26859.1</t>
  </si>
  <si>
    <t>CACC_00580</t>
  </si>
  <si>
    <t>UQZ26860.1</t>
  </si>
  <si>
    <t>CACC_00585</t>
  </si>
  <si>
    <t>putative arabinosyltransferase C</t>
  </si>
  <si>
    <t>embC</t>
  </si>
  <si>
    <t>UQZ26861.1</t>
  </si>
  <si>
    <t>CACC_00590</t>
  </si>
  <si>
    <t>Arabinofuranosyltransferase AftA</t>
  </si>
  <si>
    <t>aftA</t>
  </si>
  <si>
    <t>UQZ26862.1</t>
  </si>
  <si>
    <t>CACC_00595</t>
  </si>
  <si>
    <t>Acetoacetyl-CoA reductase</t>
  </si>
  <si>
    <t>phbB</t>
  </si>
  <si>
    <t>UQZ26863.1</t>
  </si>
  <si>
    <t>CACC_00600</t>
  </si>
  <si>
    <t>putative decaprenylphosphoryl-beta-D-ribose oxidase</t>
  </si>
  <si>
    <t>dprE1</t>
  </si>
  <si>
    <t>UQZ26864.1</t>
  </si>
  <si>
    <t>CACC_00605</t>
  </si>
  <si>
    <t>UQZ26865.1</t>
  </si>
  <si>
    <t>CACC_00610</t>
  </si>
  <si>
    <t>UQZ26866.1</t>
  </si>
  <si>
    <t>CACC_00615</t>
  </si>
  <si>
    <t>UQZ26867.1</t>
  </si>
  <si>
    <t>CACC_00620</t>
  </si>
  <si>
    <t>GtrA-like protein</t>
  </si>
  <si>
    <t>UQZ26868.1</t>
  </si>
  <si>
    <t>CACC_00625</t>
  </si>
  <si>
    <t>Galactofuranosyl transferase GlfT1</t>
  </si>
  <si>
    <t>glfT1</t>
  </si>
  <si>
    <t>UQZ26869.1</t>
  </si>
  <si>
    <t>CACC_00630</t>
  </si>
  <si>
    <t>Putative succinyl-CoA transferase</t>
  </si>
  <si>
    <t>UQZ26870.1</t>
  </si>
  <si>
    <t>CACC_00635</t>
  </si>
  <si>
    <t>Teichoic acids export ATP-binding protein TagH</t>
  </si>
  <si>
    <t>tagH</t>
  </si>
  <si>
    <t>UQZ26871.1</t>
  </si>
  <si>
    <t>CACC_00640</t>
  </si>
  <si>
    <t>Teichoic acid translocation permease protein TagG</t>
  </si>
  <si>
    <t>tagG</t>
  </si>
  <si>
    <t>UQZ26872.1</t>
  </si>
  <si>
    <t>CACC_00645</t>
  </si>
  <si>
    <t>Aminotransferase class-V</t>
  </si>
  <si>
    <t>UQZ26873.1</t>
  </si>
  <si>
    <t>CACC_00650</t>
  </si>
  <si>
    <t>Quinone oxidoreductase 1</t>
  </si>
  <si>
    <t>qorA1</t>
  </si>
  <si>
    <t>UQZ26874.1</t>
  </si>
  <si>
    <t>CACC_00655</t>
  </si>
  <si>
    <t>CACC_00660</t>
  </si>
  <si>
    <t>UQZ26875.1</t>
  </si>
  <si>
    <t>CACC_00665</t>
  </si>
  <si>
    <t>LGFP repeat protein</t>
  </si>
  <si>
    <t>UQZ26876.1</t>
  </si>
  <si>
    <t>CACC_00670</t>
  </si>
  <si>
    <t>Alpha-L-arabinofuranosidase B (ABFB)</t>
  </si>
  <si>
    <t>UQZ26877.1</t>
  </si>
  <si>
    <t>CACC_00675</t>
  </si>
  <si>
    <t>UQZ26878.1</t>
  </si>
  <si>
    <t>CACC_00680</t>
  </si>
  <si>
    <t>UQZ26879.1</t>
  </si>
  <si>
    <t>CACC_00685</t>
  </si>
  <si>
    <t>UQZ26880.1</t>
  </si>
  <si>
    <t>CACC_00690</t>
  </si>
  <si>
    <t>UQZ26881.1</t>
  </si>
  <si>
    <t>CACC_00695</t>
  </si>
  <si>
    <t>UQZ26882.1</t>
  </si>
  <si>
    <t>CACC_00700</t>
  </si>
  <si>
    <t>UQZ26883.1</t>
  </si>
  <si>
    <t>CACC_00705</t>
  </si>
  <si>
    <t>UQZ26884.1</t>
  </si>
  <si>
    <t>CACC_00710</t>
  </si>
  <si>
    <t>UQZ26885.1</t>
  </si>
  <si>
    <t>CACC_00715</t>
  </si>
  <si>
    <t>UQZ26886.1</t>
  </si>
  <si>
    <t>CACC_00720</t>
  </si>
  <si>
    <t>UQZ26887.1</t>
  </si>
  <si>
    <t>CACC_00725</t>
  </si>
  <si>
    <t>putative adenylyltransferase/sulfurtransferase MoeZ</t>
  </si>
  <si>
    <t>moeZ1</t>
  </si>
  <si>
    <t>UQZ26888.1</t>
  </si>
  <si>
    <t>CACC_00730</t>
  </si>
  <si>
    <t>Molybdopterin synthase catalytic subunit 1</t>
  </si>
  <si>
    <t>moaE1</t>
  </si>
  <si>
    <t>UQZ26889.1</t>
  </si>
  <si>
    <t>CACC_00735</t>
  </si>
  <si>
    <t>Molybdenum cofactor biosynthesis protein B</t>
  </si>
  <si>
    <t>moaB1</t>
  </si>
  <si>
    <t>UQZ26890.1</t>
  </si>
  <si>
    <t>CACC_00740</t>
  </si>
  <si>
    <t>Molybdopterin molybdenumtransferase</t>
  </si>
  <si>
    <t>moeA1</t>
  </si>
  <si>
    <t>UQZ26891.1</t>
  </si>
  <si>
    <t>CACC_00745</t>
  </si>
  <si>
    <t>ThiS family protein</t>
  </si>
  <si>
    <t>UQZ26892.1</t>
  </si>
  <si>
    <t>CACC_00750</t>
  </si>
  <si>
    <t>Membrane protein of unknown function</t>
  </si>
  <si>
    <t>UQZ26893.1</t>
  </si>
  <si>
    <t>CACC_00755</t>
  </si>
  <si>
    <t>pat2</t>
  </si>
  <si>
    <t>UQZ26894.1</t>
  </si>
  <si>
    <t>CACC_00760</t>
  </si>
  <si>
    <t>CACC_00765</t>
  </si>
  <si>
    <t>UQZ26895.1</t>
  </si>
  <si>
    <t>CACC_00770</t>
  </si>
  <si>
    <t>8-oxo-dGTP diphosphatase</t>
  </si>
  <si>
    <t>mutT1</t>
  </si>
  <si>
    <t>UQZ26896.1</t>
  </si>
  <si>
    <t>CACC_00775</t>
  </si>
  <si>
    <t>Inner membrane protein YidH</t>
  </si>
  <si>
    <t>yidH</t>
  </si>
  <si>
    <t>UQZ26897.1</t>
  </si>
  <si>
    <t>CACC_00780</t>
  </si>
  <si>
    <t>UQZ26898.1</t>
  </si>
  <si>
    <t>CACC_00785</t>
  </si>
  <si>
    <t>Magnesium transporter MgtE</t>
  </si>
  <si>
    <t>UQZ26899.1</t>
  </si>
  <si>
    <t>CACC_00790</t>
  </si>
  <si>
    <t>Sodium-dependent dicarboxylate transporter SdcS</t>
  </si>
  <si>
    <t>sdcS</t>
  </si>
  <si>
    <t>UQZ26900.1</t>
  </si>
  <si>
    <t>CACC_00795</t>
  </si>
  <si>
    <t>Putative metal chaperone YciC</t>
  </si>
  <si>
    <t>yciC</t>
  </si>
  <si>
    <t>UQZ26901.1</t>
  </si>
  <si>
    <t>CACC_00800</t>
  </si>
  <si>
    <t>tRNA-Arg</t>
  </si>
  <si>
    <t>CACC_00805</t>
  </si>
  <si>
    <t>CACC_00810</t>
  </si>
  <si>
    <t>UQZ26902.1</t>
  </si>
  <si>
    <t>CACC_00820</t>
  </si>
  <si>
    <t>Heme-degrading monooxygenase HmoB</t>
  </si>
  <si>
    <t>mhuD</t>
  </si>
  <si>
    <t>UQZ26903.1</t>
  </si>
  <si>
    <t>CACC_00825</t>
  </si>
  <si>
    <t>UQZ26904.1</t>
  </si>
  <si>
    <t>CACC_00830</t>
  </si>
  <si>
    <t>UQZ26905.1</t>
  </si>
  <si>
    <t>CACC_00835</t>
  </si>
  <si>
    <t>Transposase, Mutator family</t>
  </si>
  <si>
    <t>UQZ26906.1</t>
  </si>
  <si>
    <t>CACC_00840</t>
  </si>
  <si>
    <t>UQZ26907.1</t>
  </si>
  <si>
    <t>CACC_00845</t>
  </si>
  <si>
    <t>Cadmium, cobalt and zinc/H(+)-K(+) antiporter</t>
  </si>
  <si>
    <t>czcD</t>
  </si>
  <si>
    <t>UQZ26908.1</t>
  </si>
  <si>
    <t>CACC_00850</t>
  </si>
  <si>
    <t>UQZ26909.1</t>
  </si>
  <si>
    <t>CACC_00855</t>
  </si>
  <si>
    <t>Transposase</t>
  </si>
  <si>
    <t>UQZ26910.1</t>
  </si>
  <si>
    <t>CACC_00860</t>
  </si>
  <si>
    <t>UQZ26911.1</t>
  </si>
  <si>
    <t>CACC_00865</t>
  </si>
  <si>
    <t>UQZ26912.1</t>
  </si>
  <si>
    <t>CACC_00870</t>
  </si>
  <si>
    <t>enterobactin exporter EntS</t>
  </si>
  <si>
    <t>UQZ26913.1</t>
  </si>
  <si>
    <t>CACC_00875</t>
  </si>
  <si>
    <t>Acyltransferase family protein</t>
  </si>
  <si>
    <t>UQZ26914.1</t>
  </si>
  <si>
    <t>CACC_00880</t>
  </si>
  <si>
    <t>Trypsin</t>
  </si>
  <si>
    <t>UQZ26915.1</t>
  </si>
  <si>
    <t>CACC_00885</t>
  </si>
  <si>
    <t>prephenate dehydrogenase</t>
  </si>
  <si>
    <t>UQZ26916.1</t>
  </si>
  <si>
    <t>CACC_00890</t>
  </si>
  <si>
    <t>UQZ26917.1</t>
  </si>
  <si>
    <t>CACC_00895</t>
  </si>
  <si>
    <t>tRNA-specific adenosine deaminase</t>
  </si>
  <si>
    <t>tadA</t>
  </si>
  <si>
    <t>UQZ26918.1</t>
  </si>
  <si>
    <t>CACC_00900</t>
  </si>
  <si>
    <t>CsbD-like protein</t>
  </si>
  <si>
    <t>UQZ26919.1</t>
  </si>
  <si>
    <t>CACC_00905</t>
  </si>
  <si>
    <t>CACC_00910</t>
  </si>
  <si>
    <t>UQZ26920.1</t>
  </si>
  <si>
    <t>CACC_00915</t>
  </si>
  <si>
    <t>Htaa</t>
  </si>
  <si>
    <t>UQZ26921.1</t>
  </si>
  <si>
    <t>CACC_00920</t>
  </si>
  <si>
    <t>Hemin-binding periplasmic protein HmuT precursor</t>
  </si>
  <si>
    <t>hmuT</t>
  </si>
  <si>
    <t>UQZ26922.1</t>
  </si>
  <si>
    <t>CACC_00925</t>
  </si>
  <si>
    <t>Hemin transport system permease protein HmuU</t>
  </si>
  <si>
    <t>hmuU1</t>
  </si>
  <si>
    <t>UQZ26923.1</t>
  </si>
  <si>
    <t>CACC_00930</t>
  </si>
  <si>
    <t>Hemin import ATP-binding protein HmuV</t>
  </si>
  <si>
    <t>hmuV</t>
  </si>
  <si>
    <t>UQZ26924.1</t>
  </si>
  <si>
    <t>CACC_00935</t>
  </si>
  <si>
    <t>DNA polymerase III subunits gamma and tau</t>
  </si>
  <si>
    <t>UQZ26925.1</t>
  </si>
  <si>
    <t>CACC_00940</t>
  </si>
  <si>
    <t>Heme oxygenase</t>
  </si>
  <si>
    <t>hmuO</t>
  </si>
  <si>
    <t>UQZ26926.1</t>
  </si>
  <si>
    <t>CACC_00945</t>
  </si>
  <si>
    <t>UQZ26927.1</t>
  </si>
  <si>
    <t>CACC_00950</t>
  </si>
  <si>
    <t>Membrane protein YdfJ</t>
  </si>
  <si>
    <t>ydfJ1</t>
  </si>
  <si>
    <t>UQZ26928.1</t>
  </si>
  <si>
    <t>CACC_00955</t>
  </si>
  <si>
    <t>Queuine tRNA-ribosyltransferase</t>
  </si>
  <si>
    <t>tgt</t>
  </si>
  <si>
    <t>UQZ26929.1</t>
  </si>
  <si>
    <t>CACC_00960</t>
  </si>
  <si>
    <t>UQZ26930.1</t>
  </si>
  <si>
    <t>CACC_00965</t>
  </si>
  <si>
    <t>Glutamyl-Q tRNA(Asp) synthetase</t>
  </si>
  <si>
    <t>gluQ</t>
  </si>
  <si>
    <t>UQZ26931.1</t>
  </si>
  <si>
    <t>CACC_00970</t>
  </si>
  <si>
    <t>Sodium, potassium, lithium and rubidium/H(+) antiporter</t>
  </si>
  <si>
    <t>nhaK</t>
  </si>
  <si>
    <t>UQZ26932.1</t>
  </si>
  <si>
    <t>CACC_00975</t>
  </si>
  <si>
    <t>UQZ26933.1</t>
  </si>
  <si>
    <t>CACC_00980</t>
  </si>
  <si>
    <t>UQZ26934.1</t>
  </si>
  <si>
    <t>CACC_00985</t>
  </si>
  <si>
    <t>TMAO/DMSO reductase</t>
  </si>
  <si>
    <t>UQZ26935.1</t>
  </si>
  <si>
    <t>CACC_00990</t>
  </si>
  <si>
    <t>CACC_00995</t>
  </si>
  <si>
    <t>Bacterial small signal recognition particle RNA</t>
  </si>
  <si>
    <t>ffs</t>
  </si>
  <si>
    <t>other</t>
  </si>
  <si>
    <t>CACC_01000</t>
  </si>
  <si>
    <t>Putative aminotransferase</t>
  </si>
  <si>
    <t>UQZ26936.1</t>
  </si>
  <si>
    <t>CACC_01005</t>
  </si>
  <si>
    <t>Suppressor of fused protein (SUFU)</t>
  </si>
  <si>
    <t>UQZ26937.1</t>
  </si>
  <si>
    <t>CACC_01010</t>
  </si>
  <si>
    <t>DNA polymerase III subunit tau</t>
  </si>
  <si>
    <t>dnaX1</t>
  </si>
  <si>
    <t>UQZ26938.1</t>
  </si>
  <si>
    <t>CACC_01015</t>
  </si>
  <si>
    <t>Nucleoid-associated protein</t>
  </si>
  <si>
    <t>UQZ26939.1</t>
  </si>
  <si>
    <t>CACC_01020</t>
  </si>
  <si>
    <t>Recombination protein RecR</t>
  </si>
  <si>
    <t>recR</t>
  </si>
  <si>
    <t>UQZ26940.1</t>
  </si>
  <si>
    <t>CACC_01025</t>
  </si>
  <si>
    <t>UQZ26941.1</t>
  </si>
  <si>
    <t>CACC_01030</t>
  </si>
  <si>
    <t>cobyric acid synthase</t>
  </si>
  <si>
    <t>UQZ26942.1</t>
  </si>
  <si>
    <t>CACC_01035</t>
  </si>
  <si>
    <t>UDP-N-acetylmuramoyl-L-alanyl-D-glutamate synthetase</t>
  </si>
  <si>
    <t>UQZ26943.1</t>
  </si>
  <si>
    <t>CACC_01040</t>
  </si>
  <si>
    <t>DNA polymerase III subunit epsilon</t>
  </si>
  <si>
    <t>UQZ26944.1</t>
  </si>
  <si>
    <t>CACC_01045</t>
  </si>
  <si>
    <t>UQZ26945.1</t>
  </si>
  <si>
    <t>CACC_01050</t>
  </si>
  <si>
    <t>2-isopropylmalate synthase</t>
  </si>
  <si>
    <t>leuA</t>
  </si>
  <si>
    <t>UQZ26946.1</t>
  </si>
  <si>
    <t>CACC_01055</t>
  </si>
  <si>
    <t>Mannosyltransferase (PIG-V)</t>
  </si>
  <si>
    <t>UQZ26947.1</t>
  </si>
  <si>
    <t>CACC_01060</t>
  </si>
  <si>
    <t>UQZ26948.1</t>
  </si>
  <si>
    <t>CACC_01065</t>
  </si>
  <si>
    <t>Aspartokinase</t>
  </si>
  <si>
    <t>lysC</t>
  </si>
  <si>
    <t>UQZ26949.1</t>
  </si>
  <si>
    <t>CACC_01070</t>
  </si>
  <si>
    <t>Aspartate-semialdehyde dehydrogenase</t>
  </si>
  <si>
    <t>asd</t>
  </si>
  <si>
    <t>UQZ26950.1</t>
  </si>
  <si>
    <t>CACC_01075</t>
  </si>
  <si>
    <t>UQZ26951.1</t>
  </si>
  <si>
    <t>CACC_01080</t>
  </si>
  <si>
    <t>ECF RNA polymerase sigma factor SigC</t>
  </si>
  <si>
    <t>sigC</t>
  </si>
  <si>
    <t>UQZ26952.1</t>
  </si>
  <si>
    <t>CACC_01085</t>
  </si>
  <si>
    <t>Catalase</t>
  </si>
  <si>
    <t>katA</t>
  </si>
  <si>
    <t>UQZ26953.1</t>
  </si>
  <si>
    <t>CACC_01090</t>
  </si>
  <si>
    <t>UQZ26954.1</t>
  </si>
  <si>
    <t>CACC_01095</t>
  </si>
  <si>
    <t>UQZ26955.1</t>
  </si>
  <si>
    <t>CACC_01100</t>
  </si>
  <si>
    <t>Citrate transporter</t>
  </si>
  <si>
    <t>citN</t>
  </si>
  <si>
    <t>UQZ26956.1</t>
  </si>
  <si>
    <t>CACC_01105</t>
  </si>
  <si>
    <t>tRNA-Pro</t>
  </si>
  <si>
    <t>CACC_01110</t>
  </si>
  <si>
    <t>phosphodiesterase YaeI</t>
  </si>
  <si>
    <t>UQZ26957.1</t>
  </si>
  <si>
    <t>CACC_01115</t>
  </si>
  <si>
    <t>Yqey-like protein</t>
  </si>
  <si>
    <t>UQZ26958.1</t>
  </si>
  <si>
    <t>CACC_01120</t>
  </si>
  <si>
    <t>Penicillin-binding protein 1F</t>
  </si>
  <si>
    <t>pbpF</t>
  </si>
  <si>
    <t>UQZ26959.1</t>
  </si>
  <si>
    <t>CACC_01125</t>
  </si>
  <si>
    <t>Transcriptional regulator WhiB4</t>
  </si>
  <si>
    <t>whiB1</t>
  </si>
  <si>
    <t>UQZ26960.1</t>
  </si>
  <si>
    <t>CACC_01130</t>
  </si>
  <si>
    <t>UQZ26961.1</t>
  </si>
  <si>
    <t>CACC_01135</t>
  </si>
  <si>
    <t>Putative reactive intermediate deaminase TdcF</t>
  </si>
  <si>
    <t>tdcF</t>
  </si>
  <si>
    <t>UQZ26962.1</t>
  </si>
  <si>
    <t>CACC_01140</t>
  </si>
  <si>
    <t>putative polyketide biosynthesis zinc-dependent hydrolase BaeB</t>
  </si>
  <si>
    <t>baeB1</t>
  </si>
  <si>
    <t>UQZ26963.1</t>
  </si>
  <si>
    <t>CACC_01145</t>
  </si>
  <si>
    <t>cAMP receptor protein</t>
  </si>
  <si>
    <t>crp</t>
  </si>
  <si>
    <t>UQZ26964.1</t>
  </si>
  <si>
    <t>CACC_01150</t>
  </si>
  <si>
    <t>UQZ26965.1</t>
  </si>
  <si>
    <t>CACC_01155</t>
  </si>
  <si>
    <t>Ultraviolet N-glycosylase/AP lyase</t>
  </si>
  <si>
    <t>pdg</t>
  </si>
  <si>
    <t>UQZ26966.1</t>
  </si>
  <si>
    <t>CACC_01160</t>
  </si>
  <si>
    <t>Thiol-disulfide oxidoreductase ResA</t>
  </si>
  <si>
    <t>resA1</t>
  </si>
  <si>
    <t>UQZ26967.1</t>
  </si>
  <si>
    <t>CACC_01165</t>
  </si>
  <si>
    <t>putative NUDIX hydrolase</t>
  </si>
  <si>
    <t>UQZ26968.1</t>
  </si>
  <si>
    <t>CACC_01170</t>
  </si>
  <si>
    <t>Serine protease</t>
  </si>
  <si>
    <t>UQZ26969.1</t>
  </si>
  <si>
    <t>CACC_01175</t>
  </si>
  <si>
    <t>Soluble epoxide hydrolase</t>
  </si>
  <si>
    <t>UQZ26970.1</t>
  </si>
  <si>
    <t>CACC_01180</t>
  </si>
  <si>
    <t>UQZ26971.1</t>
  </si>
  <si>
    <t>CACC_01185</t>
  </si>
  <si>
    <t>UQZ26972.1</t>
  </si>
  <si>
    <t>CACC_01190</t>
  </si>
  <si>
    <t>UQZ26973.1</t>
  </si>
  <si>
    <t>CACC_01195</t>
  </si>
  <si>
    <t>Putative conjugal transfer protein</t>
  </si>
  <si>
    <t>UQZ26974.1</t>
  </si>
  <si>
    <t>CACC_01200</t>
  </si>
  <si>
    <t>UQZ26975.1</t>
  </si>
  <si>
    <t>CACC_01205</t>
  </si>
  <si>
    <t>Bacterial type II secretion system protein F domain protein</t>
  </si>
  <si>
    <t>UQZ26976.1</t>
  </si>
  <si>
    <t>CACC_01210</t>
  </si>
  <si>
    <t>UQZ26977.1</t>
  </si>
  <si>
    <t>CACC_01215</t>
  </si>
  <si>
    <t>UQZ26978.1</t>
  </si>
  <si>
    <t>CACC_01220</t>
  </si>
  <si>
    <t>UQZ26979.1</t>
  </si>
  <si>
    <t>CACC_01225</t>
  </si>
  <si>
    <t>putative ATP-dependent helicase Lhr</t>
  </si>
  <si>
    <t>UQZ26980.1</t>
  </si>
  <si>
    <t>CACC_01230</t>
  </si>
  <si>
    <t>putative cold shock protein A</t>
  </si>
  <si>
    <t>cspA</t>
  </si>
  <si>
    <t>UQZ26981.1</t>
  </si>
  <si>
    <t>CACC_01235</t>
  </si>
  <si>
    <t>Inner membrane protein YohD</t>
  </si>
  <si>
    <t>yohD</t>
  </si>
  <si>
    <t>UQZ26982.1</t>
  </si>
  <si>
    <t>CACC_01240</t>
  </si>
  <si>
    <t>DNA topoisomerase 1</t>
  </si>
  <si>
    <t>topA</t>
  </si>
  <si>
    <t>UQZ26983.1</t>
  </si>
  <si>
    <t>CACC_01245</t>
  </si>
  <si>
    <t>UQZ26984.1</t>
  </si>
  <si>
    <t>CACC_01250</t>
  </si>
  <si>
    <t>UQZ26985.1</t>
  </si>
  <si>
    <t>CACC_01255</t>
  </si>
  <si>
    <t>UQZ26986.1</t>
  </si>
  <si>
    <t>CACC_01260</t>
  </si>
  <si>
    <t>UQZ26987.1</t>
  </si>
  <si>
    <t>CACC_01265</t>
  </si>
  <si>
    <t>Adenylate cyclase 2</t>
  </si>
  <si>
    <t>cyaB</t>
  </si>
  <si>
    <t>UQZ26988.1</t>
  </si>
  <si>
    <t>CACC_01270</t>
  </si>
  <si>
    <t>dnaX2</t>
  </si>
  <si>
    <t>UQZ26989.1</t>
  </si>
  <si>
    <t>CACC_01275</t>
  </si>
  <si>
    <t>UQZ26990.1</t>
  </si>
  <si>
    <t>CACC_01280</t>
  </si>
  <si>
    <t>UQZ26991.1</t>
  </si>
  <si>
    <t>CACC_01285</t>
  </si>
  <si>
    <t>tRNA-Thr</t>
  </si>
  <si>
    <t>CACC_01290</t>
  </si>
  <si>
    <t>UQZ26992.1</t>
  </si>
  <si>
    <t>CACC_01295</t>
  </si>
  <si>
    <t>Long-chain-fatty-acid--CoA ligase</t>
  </si>
  <si>
    <t>lcfB1</t>
  </si>
  <si>
    <t>UQZ26993.1</t>
  </si>
  <si>
    <t>CACC_01300</t>
  </si>
  <si>
    <t>UQZ26994.1</t>
  </si>
  <si>
    <t>CACC_01305</t>
  </si>
  <si>
    <t>S-(hydroxymethyl)mycothiol dehydrogenase</t>
  </si>
  <si>
    <t>UQZ26995.1</t>
  </si>
  <si>
    <t>CACC_01310</t>
  </si>
  <si>
    <t>baeB2</t>
  </si>
  <si>
    <t>UQZ26996.1</t>
  </si>
  <si>
    <t>CACC_01315</t>
  </si>
  <si>
    <t>Glucose-1-phosphate thymidylyltransferase</t>
  </si>
  <si>
    <t>rmlA</t>
  </si>
  <si>
    <t>UQZ26997.1</t>
  </si>
  <si>
    <t>CACC_01320</t>
  </si>
  <si>
    <t>putative dTDP-4-dehydrorhamnose 3,5-epimerase</t>
  </si>
  <si>
    <t>rfbC</t>
  </si>
  <si>
    <t>UQZ26998.1</t>
  </si>
  <si>
    <t>CACC_01325</t>
  </si>
  <si>
    <t>dTDP-glucose 4,6-dehydratase</t>
  </si>
  <si>
    <t>rmlB</t>
  </si>
  <si>
    <t>UQZ26999.1</t>
  </si>
  <si>
    <t>CACC_01330</t>
  </si>
  <si>
    <t>UQZ27000.1</t>
  </si>
  <si>
    <t>CACC_01335</t>
  </si>
  <si>
    <t>Aminopeptidase N</t>
  </si>
  <si>
    <t>pepN1</t>
  </si>
  <si>
    <t>UQZ27001.1</t>
  </si>
  <si>
    <t>CACC_01340</t>
  </si>
  <si>
    <t>Diacylglycerol acyltransferase/mycolyltransferase Ag85A precursor</t>
  </si>
  <si>
    <t>fbpA1</t>
  </si>
  <si>
    <t>UQZ27002.1</t>
  </si>
  <si>
    <t>CACC_01345</t>
  </si>
  <si>
    <t>UQZ27003.1</t>
  </si>
  <si>
    <t>CACC_01350</t>
  </si>
  <si>
    <t>Dihydrolipoyl dehydrogenase</t>
  </si>
  <si>
    <t>lpd1</t>
  </si>
  <si>
    <t>UQZ27004.1</t>
  </si>
  <si>
    <t>CACC_01355</t>
  </si>
  <si>
    <t>Helix-turn-helix protein</t>
  </si>
  <si>
    <t>UQZ27005.1</t>
  </si>
  <si>
    <t>CACC_01360</t>
  </si>
  <si>
    <t>Succinate dehydrogenase/Fumarate reductase transmembrane subunit</t>
  </si>
  <si>
    <t>UQZ27006.1</t>
  </si>
  <si>
    <t>CACC_01365</t>
  </si>
  <si>
    <t>Fumarate reductase flavoprotein subunit</t>
  </si>
  <si>
    <t>frdA1</t>
  </si>
  <si>
    <t>UQZ27007.1</t>
  </si>
  <si>
    <t>CACC_01370</t>
  </si>
  <si>
    <t>Fumarate reductase iron-sulfur subunit</t>
  </si>
  <si>
    <t>frdB1</t>
  </si>
  <si>
    <t>UQZ27008.1</t>
  </si>
  <si>
    <t>CACC_01375</t>
  </si>
  <si>
    <t>UQZ27009.1</t>
  </si>
  <si>
    <t>CACC_01380</t>
  </si>
  <si>
    <t>UQZ27010.1</t>
  </si>
  <si>
    <t>CACC_01385</t>
  </si>
  <si>
    <t>UQZ27011.1</t>
  </si>
  <si>
    <t>CACC_01390</t>
  </si>
  <si>
    <t>UQZ27012.1</t>
  </si>
  <si>
    <t>CACC_01395</t>
  </si>
  <si>
    <t>UQZ27013.1</t>
  </si>
  <si>
    <t>CACC_01400</t>
  </si>
  <si>
    <t>UQZ27014.1</t>
  </si>
  <si>
    <t>CACC_01405</t>
  </si>
  <si>
    <t>UQZ27015.1</t>
  </si>
  <si>
    <t>CACC_01410</t>
  </si>
  <si>
    <t>UQZ27016.1</t>
  </si>
  <si>
    <t>CACC_01415</t>
  </si>
  <si>
    <t>UQZ27017.1</t>
  </si>
  <si>
    <t>CACC_01420</t>
  </si>
  <si>
    <t>UQZ27018.1</t>
  </si>
  <si>
    <t>CACC_01425</t>
  </si>
  <si>
    <t>UQZ27019.1</t>
  </si>
  <si>
    <t>CACC_01430</t>
  </si>
  <si>
    <t>UQZ27020.1</t>
  </si>
  <si>
    <t>CACC_01435</t>
  </si>
  <si>
    <t>UQZ27021.1</t>
  </si>
  <si>
    <t>CACC_01440</t>
  </si>
  <si>
    <t>CACC_01450</t>
  </si>
  <si>
    <t>UQZ27022.1</t>
  </si>
  <si>
    <t>CACC_01455</t>
  </si>
  <si>
    <t>lpd2</t>
  </si>
  <si>
    <t>UQZ27023.1</t>
  </si>
  <si>
    <t>CACC_01460</t>
  </si>
  <si>
    <t>lpdC</t>
  </si>
  <si>
    <t>UQZ27024.1</t>
  </si>
  <si>
    <t>CACC_01465</t>
  </si>
  <si>
    <t>CACC_01475</t>
  </si>
  <si>
    <t>UQZ27025.1</t>
  </si>
  <si>
    <t>CACC_01480</t>
  </si>
  <si>
    <t>UQZ27026.1</t>
  </si>
  <si>
    <t>CACC_01485</t>
  </si>
  <si>
    <t>UQZ27027.1</t>
  </si>
  <si>
    <t>CACC_01490</t>
  </si>
  <si>
    <t>frdA2</t>
  </si>
  <si>
    <t>UQZ27028.1</t>
  </si>
  <si>
    <t>CACC_01495</t>
  </si>
  <si>
    <t>frdA3</t>
  </si>
  <si>
    <t>UQZ27029.1</t>
  </si>
  <si>
    <t>CACC_01500</t>
  </si>
  <si>
    <t>frdB2</t>
  </si>
  <si>
    <t>UQZ27030.1</t>
  </si>
  <si>
    <t>CACC_01505</t>
  </si>
  <si>
    <t>UQZ27031.1</t>
  </si>
  <si>
    <t>CACC_01510</t>
  </si>
  <si>
    <t>UQZ27032.1</t>
  </si>
  <si>
    <t>CACC_01515</t>
  </si>
  <si>
    <t>UQZ27033.1</t>
  </si>
  <si>
    <t>CACC_01520</t>
  </si>
  <si>
    <t>UQZ27034.1</t>
  </si>
  <si>
    <t>CACC_01525</t>
  </si>
  <si>
    <t>UQZ27035.1</t>
  </si>
  <si>
    <t>CACC_01530</t>
  </si>
  <si>
    <t>UQZ27036.1</t>
  </si>
  <si>
    <t>CACC_01535</t>
  </si>
  <si>
    <t>UQZ27037.1</t>
  </si>
  <si>
    <t>CACC_01540</t>
  </si>
  <si>
    <t>UQZ27038.1</t>
  </si>
  <si>
    <t>CACC_01545</t>
  </si>
  <si>
    <t>UQZ27039.1</t>
  </si>
  <si>
    <t>CACC_01550</t>
  </si>
  <si>
    <t>UQZ27040.1</t>
  </si>
  <si>
    <t>CACC_01555</t>
  </si>
  <si>
    <t>UQZ27041.1</t>
  </si>
  <si>
    <t>CACC_01560</t>
  </si>
  <si>
    <t>UQZ27042.1</t>
  </si>
  <si>
    <t>CACC_01565</t>
  </si>
  <si>
    <t>IS2 transposase TnpB</t>
  </si>
  <si>
    <t>UQZ27043.1</t>
  </si>
  <si>
    <t>CACC_01570</t>
  </si>
  <si>
    <t>UQZ27044.1</t>
  </si>
  <si>
    <t>CACC_01575</t>
  </si>
  <si>
    <t>UQZ27045.1</t>
  </si>
  <si>
    <t>CACC_01580</t>
  </si>
  <si>
    <t>UQZ27046.1</t>
  </si>
  <si>
    <t>CACC_01585</t>
  </si>
  <si>
    <t>Helix-turn-helix domain protein</t>
  </si>
  <si>
    <t>UQZ27047.1</t>
  </si>
  <si>
    <t>CACC_01590</t>
  </si>
  <si>
    <t>tRNA threonylcarbamoyladenosine dehydratase</t>
  </si>
  <si>
    <t>tcdA</t>
  </si>
  <si>
    <t>UQZ27048.1</t>
  </si>
  <si>
    <t>CACC_01595</t>
  </si>
  <si>
    <t>Bifunctional polymyxin resistance protein ArnA</t>
  </si>
  <si>
    <t>arnA</t>
  </si>
  <si>
    <t>UQZ27049.1</t>
  </si>
  <si>
    <t>CACC_01600</t>
  </si>
  <si>
    <t>stp2</t>
  </si>
  <si>
    <t>UQZ27050.1</t>
  </si>
  <si>
    <t>CACC_01605</t>
  </si>
  <si>
    <t>UQZ27051.1</t>
  </si>
  <si>
    <t>CACC_01610</t>
  </si>
  <si>
    <t>UQZ27052.1</t>
  </si>
  <si>
    <t>CACC_01615</t>
  </si>
  <si>
    <t>UQZ27053.1</t>
  </si>
  <si>
    <t>CACC_01620</t>
  </si>
  <si>
    <t>UQZ27054.1</t>
  </si>
  <si>
    <t>CACC_01625</t>
  </si>
  <si>
    <t>UQZ27055.1</t>
  </si>
  <si>
    <t>CACC_01630</t>
  </si>
  <si>
    <t>UQZ27056.1</t>
  </si>
  <si>
    <t>CACC_01635</t>
  </si>
  <si>
    <t>UQZ27057.1</t>
  </si>
  <si>
    <t>CACC_01640</t>
  </si>
  <si>
    <t>UQZ27058.1</t>
  </si>
  <si>
    <t>CACC_01645</t>
  </si>
  <si>
    <t>UQZ27059.1</t>
  </si>
  <si>
    <t>CACC_01650</t>
  </si>
  <si>
    <t>UQZ27060.1</t>
  </si>
  <si>
    <t>CACC_01655</t>
  </si>
  <si>
    <t>UQZ27061.1</t>
  </si>
  <si>
    <t>CACC_01660</t>
  </si>
  <si>
    <t>UQZ27062.1</t>
  </si>
  <si>
    <t>CACC_01665</t>
  </si>
  <si>
    <t>deoxyribose-phosphate aldolase</t>
  </si>
  <si>
    <t>UQZ27063.1</t>
  </si>
  <si>
    <t>CACC_01670</t>
  </si>
  <si>
    <t>UQZ27064.1</t>
  </si>
  <si>
    <t>CACC_01675</t>
  </si>
  <si>
    <t>UQZ27065.1</t>
  </si>
  <si>
    <t>CACC_01680</t>
  </si>
  <si>
    <t>UQZ27066.1</t>
  </si>
  <si>
    <t>CACC_01685</t>
  </si>
  <si>
    <t>UDP-N-acetylenolpyruvoylglucosamine reductase</t>
  </si>
  <si>
    <t>murB</t>
  </si>
  <si>
    <t>UQZ27067.1</t>
  </si>
  <si>
    <t>CACC_01690</t>
  </si>
  <si>
    <t>S-ribosylhomocysteine lyase</t>
  </si>
  <si>
    <t>luxS</t>
  </si>
  <si>
    <t>UQZ27068.1</t>
  </si>
  <si>
    <t>CACC_01695</t>
  </si>
  <si>
    <t>UQZ27069.1</t>
  </si>
  <si>
    <t>CACC_01700</t>
  </si>
  <si>
    <t>lcfB2</t>
  </si>
  <si>
    <t>UQZ27070.1</t>
  </si>
  <si>
    <t>CACC_01705</t>
  </si>
  <si>
    <t>fadD1</t>
  </si>
  <si>
    <t>UQZ27071.1</t>
  </si>
  <si>
    <t>CACC_01710</t>
  </si>
  <si>
    <t>Methylated-DNA--protein-cysteine methyltransferase, constitutive</t>
  </si>
  <si>
    <t>ogt2</t>
  </si>
  <si>
    <t>UQZ27072.1</t>
  </si>
  <si>
    <t>CACC_01715</t>
  </si>
  <si>
    <t>fadD2</t>
  </si>
  <si>
    <t>UQZ27073.1</t>
  </si>
  <si>
    <t>CACC_01720</t>
  </si>
  <si>
    <t>D-inositol 3-phosphate glycosyltransferase</t>
  </si>
  <si>
    <t>mshA</t>
  </si>
  <si>
    <t>UQZ27074.1</t>
  </si>
  <si>
    <t>CACC_01725</t>
  </si>
  <si>
    <t>2,3-bisphosphoglycerate-dependent phosphoglycerate mutase</t>
  </si>
  <si>
    <t>gpmA</t>
  </si>
  <si>
    <t>UQZ27075.1</t>
  </si>
  <si>
    <t>CACC_01730</t>
  </si>
  <si>
    <t>Signal-transduction histidine kinase senX3</t>
  </si>
  <si>
    <t>senX3</t>
  </si>
  <si>
    <t>UQZ27076.1</t>
  </si>
  <si>
    <t>CACC_01735</t>
  </si>
  <si>
    <t>Sensory transduction protein regX3</t>
  </si>
  <si>
    <t>regX3</t>
  </si>
  <si>
    <t>UQZ27077.1</t>
  </si>
  <si>
    <t>CACC_01740</t>
  </si>
  <si>
    <t>UQZ27078.1</t>
  </si>
  <si>
    <t>CACC_01745</t>
  </si>
  <si>
    <t>Exopolyphosphatase</t>
  </si>
  <si>
    <t>ppx</t>
  </si>
  <si>
    <t>UQZ27079.1</t>
  </si>
  <si>
    <t>CACC_01750</t>
  </si>
  <si>
    <t>UQZ27080.1</t>
  </si>
  <si>
    <t>CACC_01755</t>
  </si>
  <si>
    <t>Pyrroline-5-carboxylate reductase</t>
  </si>
  <si>
    <t>proC</t>
  </si>
  <si>
    <t>UQZ27081.1</t>
  </si>
  <si>
    <t>CACC_01760</t>
  </si>
  <si>
    <t>UQZ27082.1</t>
  </si>
  <si>
    <t>CACC_01765</t>
  </si>
  <si>
    <t>UQZ27083.1</t>
  </si>
  <si>
    <t>CACC_01770</t>
  </si>
  <si>
    <t>UQZ27084.1</t>
  </si>
  <si>
    <t>CACC_01775</t>
  </si>
  <si>
    <t>Phosphoserine phosphatase</t>
  </si>
  <si>
    <t>serB1</t>
  </si>
  <si>
    <t>UQZ27085.1</t>
  </si>
  <si>
    <t>CACC_01780</t>
  </si>
  <si>
    <t>Glutaredoxin</t>
  </si>
  <si>
    <t>UQZ27086.1</t>
  </si>
  <si>
    <t>CACC_01785</t>
  </si>
  <si>
    <t>Glutamyl-tRNA reductase</t>
  </si>
  <si>
    <t>hemA</t>
  </si>
  <si>
    <t>UQZ27087.1</t>
  </si>
  <si>
    <t>CACC_01790</t>
  </si>
  <si>
    <t>Porphobilinogen deaminase</t>
  </si>
  <si>
    <t>hemC</t>
  </si>
  <si>
    <t>UQZ27088.1</t>
  </si>
  <si>
    <t>CACC_01795</t>
  </si>
  <si>
    <t>Uroporphyrinogen-III C-methyltransferase</t>
  </si>
  <si>
    <t>nasF</t>
  </si>
  <si>
    <t>UQZ27089.1</t>
  </si>
  <si>
    <t>CACC_01800</t>
  </si>
  <si>
    <t>Delta-aminolevulinic acid dehydratase</t>
  </si>
  <si>
    <t>hemB</t>
  </si>
  <si>
    <t>UQZ27090.1</t>
  </si>
  <si>
    <t>CACC_01805</t>
  </si>
  <si>
    <t>UQZ27091.1</t>
  </si>
  <si>
    <t>CACC_01810</t>
  </si>
  <si>
    <t>UQZ27092.1</t>
  </si>
  <si>
    <t>CACC_01815</t>
  </si>
  <si>
    <t>Uroporphyrinogen decarboxylase</t>
  </si>
  <si>
    <t>hemE</t>
  </si>
  <si>
    <t>UQZ27093.1</t>
  </si>
  <si>
    <t>CACC_01820</t>
  </si>
  <si>
    <t>Protoporphyrinogen oxidase</t>
  </si>
  <si>
    <t>hemY</t>
  </si>
  <si>
    <t>UQZ27094.1</t>
  </si>
  <si>
    <t>CACC_01825</t>
  </si>
  <si>
    <t>UQZ27095.1</t>
  </si>
  <si>
    <t>CACC_01830</t>
  </si>
  <si>
    <t>3-hydroxyisobutyrate dehydrogenase</t>
  </si>
  <si>
    <t>mmsB</t>
  </si>
  <si>
    <t>UQZ27096.1</t>
  </si>
  <si>
    <t>CACC_01835</t>
  </si>
  <si>
    <t>Glutamate-1-semialdehyde 2,1-aminomutase 2</t>
  </si>
  <si>
    <t>hemL2</t>
  </si>
  <si>
    <t>UQZ27097.1</t>
  </si>
  <si>
    <t>CACC_01840</t>
  </si>
  <si>
    <t>bifunctional RNase H/acid phosphatase</t>
  </si>
  <si>
    <t>UQZ27098.1</t>
  </si>
  <si>
    <t>CACC_01845</t>
  </si>
  <si>
    <t>resA2</t>
  </si>
  <si>
    <t>UQZ27099.1</t>
  </si>
  <si>
    <t>CACC_01850</t>
  </si>
  <si>
    <t>Cytochrome C biogenesis protein transmembrane region</t>
  </si>
  <si>
    <t>UQZ27100.1</t>
  </si>
  <si>
    <t>CACC_01855</t>
  </si>
  <si>
    <t>Cytochrome c biogenesis protein Ccs1</t>
  </si>
  <si>
    <t>ccs1</t>
  </si>
  <si>
    <t>UQZ27101.1</t>
  </si>
  <si>
    <t>CACC_01860</t>
  </si>
  <si>
    <t>Cytochrome c biogenesis protein CcsA</t>
  </si>
  <si>
    <t>ccsA</t>
  </si>
  <si>
    <t>UQZ27102.1</t>
  </si>
  <si>
    <t>CACC_01865</t>
  </si>
  <si>
    <t>anaerobic benzoate catabolism transcriptional regulator</t>
  </si>
  <si>
    <t>UQZ27103.1</t>
  </si>
  <si>
    <t>CACC_01870</t>
  </si>
  <si>
    <t>UQZ27104.1</t>
  </si>
  <si>
    <t>CACC_01875</t>
  </si>
  <si>
    <t>UQZ27105.1</t>
  </si>
  <si>
    <t>CACC_01880</t>
  </si>
  <si>
    <t>1,4-dihydroxy-2-naphthoate octaprenyltransferase</t>
  </si>
  <si>
    <t>menA</t>
  </si>
  <si>
    <t>UQZ27106.1</t>
  </si>
  <si>
    <t>CACC_01885</t>
  </si>
  <si>
    <t>2-succinylbenzoate--CoA ligase</t>
  </si>
  <si>
    <t>menE</t>
  </si>
  <si>
    <t>UQZ27107.1</t>
  </si>
  <si>
    <t>CACC_01890</t>
  </si>
  <si>
    <t>UQZ27108.1</t>
  </si>
  <si>
    <t>CACC_01895</t>
  </si>
  <si>
    <t>1,4-Dihydroxy-2-naphthoyl-CoA synthase</t>
  </si>
  <si>
    <t>menB</t>
  </si>
  <si>
    <t>UQZ27109.1</t>
  </si>
  <si>
    <t>CACC_01900</t>
  </si>
  <si>
    <t>UQZ27110.1</t>
  </si>
  <si>
    <t>CACC_01905</t>
  </si>
  <si>
    <t>CRISPR-associated endoribonuclease Cas2</t>
  </si>
  <si>
    <t>cas1</t>
  </si>
  <si>
    <t>UQZ27111.1</t>
  </si>
  <si>
    <t>CACC_01910</t>
  </si>
  <si>
    <t>CRISPR-associated endonuclease Cas1</t>
  </si>
  <si>
    <t>cas2</t>
  </si>
  <si>
    <t>UQZ27112.1</t>
  </si>
  <si>
    <t>CACC_01915</t>
  </si>
  <si>
    <t>CRISPR-associated endonuclease Cas9</t>
  </si>
  <si>
    <t>cas3</t>
  </si>
  <si>
    <t>UQZ27113.1</t>
  </si>
  <si>
    <t>CACC_01920</t>
  </si>
  <si>
    <t>L-Ala-D/L-Glu epimerase</t>
  </si>
  <si>
    <t>ykfB</t>
  </si>
  <si>
    <t>UQZ27114.1</t>
  </si>
  <si>
    <t>CACC_01925</t>
  </si>
  <si>
    <t>OsmC-like protein</t>
  </si>
  <si>
    <t>UQZ27115.1</t>
  </si>
  <si>
    <t>CACC_01930</t>
  </si>
  <si>
    <t>Bicarbonate transport ATP-binding protein CmpC</t>
  </si>
  <si>
    <t>cmpC</t>
  </si>
  <si>
    <t>UQZ27116.1</t>
  </si>
  <si>
    <t>CACC_01935</t>
  </si>
  <si>
    <t>Bicarbonate transport system permease protein CmpB</t>
  </si>
  <si>
    <t>cmpB</t>
  </si>
  <si>
    <t>UQZ27117.1</t>
  </si>
  <si>
    <t>CACC_01940</t>
  </si>
  <si>
    <t>Bicarbonate transport ATP-binding protein CmpD</t>
  </si>
  <si>
    <t>cmpD</t>
  </si>
  <si>
    <t>UQZ27118.1</t>
  </si>
  <si>
    <t>CACC_01945</t>
  </si>
  <si>
    <t>UQZ27119.1</t>
  </si>
  <si>
    <t>CACC_01950</t>
  </si>
  <si>
    <t>UQZ27120.1</t>
  </si>
  <si>
    <t>CACC_01955</t>
  </si>
  <si>
    <t>UQZ27121.1</t>
  </si>
  <si>
    <t>CACC_01960</t>
  </si>
  <si>
    <t>UQZ27122.1</t>
  </si>
  <si>
    <t>CACC_01965</t>
  </si>
  <si>
    <t>UQZ27123.1</t>
  </si>
  <si>
    <t>CACC_01970</t>
  </si>
  <si>
    <t>UQZ27124.1</t>
  </si>
  <si>
    <t>CACC_01975</t>
  </si>
  <si>
    <t>UvrABC system protein A</t>
  </si>
  <si>
    <t>uvrA1</t>
  </si>
  <si>
    <t>UQZ27125.1</t>
  </si>
  <si>
    <t>CACC_01980</t>
  </si>
  <si>
    <t>UQZ27126.1</t>
  </si>
  <si>
    <t>CACC_01985</t>
  </si>
  <si>
    <t>2-succinyl-5-enolpyruvyl-6-hydroxy-3-cyclohexene-1-carboxylate synthase</t>
  </si>
  <si>
    <t>menD</t>
  </si>
  <si>
    <t>UQZ27127.1</t>
  </si>
  <si>
    <t>CACC_01990</t>
  </si>
  <si>
    <t>UQZ27128.1</t>
  </si>
  <si>
    <t>CACC_01995</t>
  </si>
  <si>
    <t>GDP-mannose-dependent alpha-mannosyltransferase</t>
  </si>
  <si>
    <t>mgtA</t>
  </si>
  <si>
    <t>UQZ27129.1</t>
  </si>
  <si>
    <t>CACC_02000</t>
  </si>
  <si>
    <t>Ubiquinone/menaquinone biosynthesis C-methyltransferase UbiE</t>
  </si>
  <si>
    <t>ubiE</t>
  </si>
  <si>
    <t>UQZ27130.1</t>
  </si>
  <si>
    <t>CACC_02005</t>
  </si>
  <si>
    <t>Putative oxidoreductase</t>
  </si>
  <si>
    <t>UQZ27131.1</t>
  </si>
  <si>
    <t>CACC_02010</t>
  </si>
  <si>
    <t>Heptaprenyl diphosphate synthase component 2</t>
  </si>
  <si>
    <t>hepT</t>
  </si>
  <si>
    <t>UQZ27132.1</t>
  </si>
  <si>
    <t>CACC_02015</t>
  </si>
  <si>
    <t>tRNA-Tyr</t>
  </si>
  <si>
    <t>CACC_02020</t>
  </si>
  <si>
    <t>UQZ27133.1</t>
  </si>
  <si>
    <t>CACC_02025</t>
  </si>
  <si>
    <t>UQZ27134.1</t>
  </si>
  <si>
    <t>CACC_02030</t>
  </si>
  <si>
    <t>UQZ27135.1</t>
  </si>
  <si>
    <t>CACC_02035</t>
  </si>
  <si>
    <t>UQZ27136.1</t>
  </si>
  <si>
    <t>CACC_02040</t>
  </si>
  <si>
    <t>UQZ27137.1</t>
  </si>
  <si>
    <t>CACC_02045</t>
  </si>
  <si>
    <t>putative siderophore transport system ATP-binding protein YusV</t>
  </si>
  <si>
    <t>yusV1</t>
  </si>
  <si>
    <t>UQZ27138.1</t>
  </si>
  <si>
    <t>CACC_02050</t>
  </si>
  <si>
    <t>Ferric enterobactin transport system permease protein FepG</t>
  </si>
  <si>
    <t>fepG</t>
  </si>
  <si>
    <t>UQZ27139.1</t>
  </si>
  <si>
    <t>CACC_02055</t>
  </si>
  <si>
    <t>Ferric enterobactin transport system permease protein FepD</t>
  </si>
  <si>
    <t>fepD1</t>
  </si>
  <si>
    <t>UQZ27140.1</t>
  </si>
  <si>
    <t>CACC_02060</t>
  </si>
  <si>
    <t>putative siderophore-binding lipoprotein YfiY precursor</t>
  </si>
  <si>
    <t>yfiY1</t>
  </si>
  <si>
    <t>UQZ27141.1</t>
  </si>
  <si>
    <t>CACC_02065</t>
  </si>
  <si>
    <t>putative phosphomannomutase</t>
  </si>
  <si>
    <t>UQZ27142.1</t>
  </si>
  <si>
    <t>CACC_02070</t>
  </si>
  <si>
    <t>Deoxyribose-phosphate aldolase</t>
  </si>
  <si>
    <t>deoC</t>
  </si>
  <si>
    <t>UQZ27143.1</t>
  </si>
  <si>
    <t>CACC_02075</t>
  </si>
  <si>
    <t>Major Facilitator Superfamily protein</t>
  </si>
  <si>
    <t>UQZ27144.1</t>
  </si>
  <si>
    <t>CACC_02080</t>
  </si>
  <si>
    <t>Purine nucleoside phosphorylase DeoD-type</t>
  </si>
  <si>
    <t>deoD</t>
  </si>
  <si>
    <t>UQZ27145.1</t>
  </si>
  <si>
    <t>CACC_02085</t>
  </si>
  <si>
    <t>Deoxyribonucleoside regulator</t>
  </si>
  <si>
    <t>deoR</t>
  </si>
  <si>
    <t>UQZ27146.1</t>
  </si>
  <si>
    <t>CACC_02090</t>
  </si>
  <si>
    <t>CACC_02095</t>
  </si>
  <si>
    <t>tRNA-Met</t>
  </si>
  <si>
    <t>CACC_02100</t>
  </si>
  <si>
    <t>tRNA-Trp</t>
  </si>
  <si>
    <t>CACC_02105</t>
  </si>
  <si>
    <t>preprotein translocase subunit SecE</t>
  </si>
  <si>
    <t>UQZ27147.1</t>
  </si>
  <si>
    <t>CACC_02110</t>
  </si>
  <si>
    <t>UQZ27148.1</t>
  </si>
  <si>
    <t>CACC_02115</t>
  </si>
  <si>
    <t>50S ribosomal protein L11</t>
  </si>
  <si>
    <t>rplK</t>
  </si>
  <si>
    <t>UQZ27149.1</t>
  </si>
  <si>
    <t>CACC_02120</t>
  </si>
  <si>
    <t>50S ribosomal protein L1</t>
  </si>
  <si>
    <t>rplA</t>
  </si>
  <si>
    <t>UQZ27150.1</t>
  </si>
  <si>
    <t>CACC_02125</t>
  </si>
  <si>
    <t>Deoxyribodipyrimidine photo-lyase</t>
  </si>
  <si>
    <t>phrA</t>
  </si>
  <si>
    <t>UQZ27151.1</t>
  </si>
  <si>
    <t>CACC_02130</t>
  </si>
  <si>
    <t>50S ribosomal protein L10</t>
  </si>
  <si>
    <t>rplJ</t>
  </si>
  <si>
    <t>UQZ27152.1</t>
  </si>
  <si>
    <t>CACC_02135</t>
  </si>
  <si>
    <t>50S ribosomal protein L7/L12</t>
  </si>
  <si>
    <t>rplL</t>
  </si>
  <si>
    <t>UQZ27153.1</t>
  </si>
  <si>
    <t>CACC_02140</t>
  </si>
  <si>
    <t>CACC_02150</t>
  </si>
  <si>
    <t>UQZ27154.1</t>
  </si>
  <si>
    <t>CACC_02155</t>
  </si>
  <si>
    <t>UQZ27155.1</t>
  </si>
  <si>
    <t>CACC_02160</t>
  </si>
  <si>
    <t>RimK-like ATP-grasp domain protein</t>
  </si>
  <si>
    <t>UQZ27156.1</t>
  </si>
  <si>
    <t>CACC_02165</t>
  </si>
  <si>
    <t>UQZ27157.1</t>
  </si>
  <si>
    <t>CACC_02170</t>
  </si>
  <si>
    <t>DNA-directed RNA polymerase subunit beta</t>
  </si>
  <si>
    <t>rpoB</t>
  </si>
  <si>
    <t>UQZ27158.1</t>
  </si>
  <si>
    <t>CACC_02175</t>
  </si>
  <si>
    <t>DNA-directed RNA polymerase subunit beta'</t>
  </si>
  <si>
    <t>rpoC</t>
  </si>
  <si>
    <t>UQZ27159.1</t>
  </si>
  <si>
    <t>CACC_02180</t>
  </si>
  <si>
    <t>Abi-like protein</t>
  </si>
  <si>
    <t>UQZ27160.1</t>
  </si>
  <si>
    <t>CACC_02185</t>
  </si>
  <si>
    <t>Putative HMP/thiamine permease protein YkoE</t>
  </si>
  <si>
    <t>ykoE</t>
  </si>
  <si>
    <t>UQZ27161.1</t>
  </si>
  <si>
    <t>CACC_02190</t>
  </si>
  <si>
    <t>Putative HMP/thiamine import ATP-binding protein YkoD</t>
  </si>
  <si>
    <t>ykoD1</t>
  </si>
  <si>
    <t>UQZ27162.1</t>
  </si>
  <si>
    <t>CACC_02195</t>
  </si>
  <si>
    <t>Putative HMP/thiamine permease protein YkoC</t>
  </si>
  <si>
    <t>ykoC</t>
  </si>
  <si>
    <t>UQZ27163.1</t>
  </si>
  <si>
    <t>CACC_02200</t>
  </si>
  <si>
    <t>UQZ27164.1</t>
  </si>
  <si>
    <t>CACC_02205</t>
  </si>
  <si>
    <t>30S ribosomal protein S12</t>
  </si>
  <si>
    <t>rpsL</t>
  </si>
  <si>
    <t>UQZ27165.1</t>
  </si>
  <si>
    <t>CACC_02210</t>
  </si>
  <si>
    <t>30S ribosomal protein S7</t>
  </si>
  <si>
    <t>rpsG</t>
  </si>
  <si>
    <t>UQZ27166.1</t>
  </si>
  <si>
    <t>CACC_02215</t>
  </si>
  <si>
    <t>Elongation factor G</t>
  </si>
  <si>
    <t>fusA</t>
  </si>
  <si>
    <t>UQZ27167.1</t>
  </si>
  <si>
    <t>CACC_02220</t>
  </si>
  <si>
    <t>Elongation factor Tu</t>
  </si>
  <si>
    <t>tuf</t>
  </si>
  <si>
    <t>UQZ27168.1</t>
  </si>
  <si>
    <t>CACC_02225</t>
  </si>
  <si>
    <t>UQZ27169.1</t>
  </si>
  <si>
    <t>CACC_02230</t>
  </si>
  <si>
    <t>UQZ27170.1</t>
  </si>
  <si>
    <t>CACC_02235</t>
  </si>
  <si>
    <t>putative monoacyl phosphatidylinositol tetramannoside-binding protein LpqW precursor</t>
  </si>
  <si>
    <t>UQZ27171.1</t>
  </si>
  <si>
    <t>CACC_02240</t>
  </si>
  <si>
    <t>Glutathione import ATP-binding protein GsiA</t>
  </si>
  <si>
    <t>gsiA1</t>
  </si>
  <si>
    <t>UQZ27172.1</t>
  </si>
  <si>
    <t>CACC_02245</t>
  </si>
  <si>
    <t>Oligopeptide transport system permease protein OppC</t>
  </si>
  <si>
    <t>oppC</t>
  </si>
  <si>
    <t>UQZ27173.1</t>
  </si>
  <si>
    <t>CACC_02250</t>
  </si>
  <si>
    <t>Dipeptide transport system permease protein DppB</t>
  </si>
  <si>
    <t>dppB</t>
  </si>
  <si>
    <t>UQZ27174.1</t>
  </si>
  <si>
    <t>CACC_02255</t>
  </si>
  <si>
    <t>UQZ27175.1</t>
  </si>
  <si>
    <t>CACC_02260</t>
  </si>
  <si>
    <t>UQZ27176.1</t>
  </si>
  <si>
    <t>CACC_02265</t>
  </si>
  <si>
    <t>UQZ27177.1</t>
  </si>
  <si>
    <t>CACC_02270</t>
  </si>
  <si>
    <t>UQZ27178.1</t>
  </si>
  <si>
    <t>CACC_02275</t>
  </si>
  <si>
    <t>UQZ27179.1</t>
  </si>
  <si>
    <t>CACC_02280</t>
  </si>
  <si>
    <t>UQZ27180.1</t>
  </si>
  <si>
    <t>CACC_02285</t>
  </si>
  <si>
    <t>Alkaline shock protein 23</t>
  </si>
  <si>
    <t>UQZ27181.1</t>
  </si>
  <si>
    <t>CACC_02290</t>
  </si>
  <si>
    <t>30S ribosomal protein S10</t>
  </si>
  <si>
    <t>rpsJ</t>
  </si>
  <si>
    <t>UQZ27182.1</t>
  </si>
  <si>
    <t>CACC_02295</t>
  </si>
  <si>
    <t>50S ribosomal protein L3</t>
  </si>
  <si>
    <t>rplC</t>
  </si>
  <si>
    <t>UQZ27183.1</t>
  </si>
  <si>
    <t>CACC_02300</t>
  </si>
  <si>
    <t>50S ribosomal protein L4</t>
  </si>
  <si>
    <t>rplD</t>
  </si>
  <si>
    <t>UQZ27184.1</t>
  </si>
  <si>
    <t>CACC_02305</t>
  </si>
  <si>
    <t>50S ribosomal protein L23</t>
  </si>
  <si>
    <t>rplW</t>
  </si>
  <si>
    <t>UQZ27185.1</t>
  </si>
  <si>
    <t>CACC_02310</t>
  </si>
  <si>
    <t>50S ribosomal protein L2</t>
  </si>
  <si>
    <t>rplB</t>
  </si>
  <si>
    <t>UQZ27186.1</t>
  </si>
  <si>
    <t>CACC_02315</t>
  </si>
  <si>
    <t>30S ribosomal protein S19</t>
  </si>
  <si>
    <t>rpsS</t>
  </si>
  <si>
    <t>UQZ27187.1</t>
  </si>
  <si>
    <t>CACC_02320</t>
  </si>
  <si>
    <t>50S ribosomal protein L22</t>
  </si>
  <si>
    <t>rplV</t>
  </si>
  <si>
    <t>UQZ27188.1</t>
  </si>
  <si>
    <t>CACC_02325</t>
  </si>
  <si>
    <t>30S ribosomal protein S3</t>
  </si>
  <si>
    <t>rpsC</t>
  </si>
  <si>
    <t>UQZ27189.1</t>
  </si>
  <si>
    <t>CACC_02330</t>
  </si>
  <si>
    <t>50S ribosomal protein L16</t>
  </si>
  <si>
    <t>rplP</t>
  </si>
  <si>
    <t>UQZ27190.1</t>
  </si>
  <si>
    <t>CACC_02335</t>
  </si>
  <si>
    <t>50S ribosomal protein L29</t>
  </si>
  <si>
    <t>rpmC</t>
  </si>
  <si>
    <t>UQZ27191.1</t>
  </si>
  <si>
    <t>CACC_02340</t>
  </si>
  <si>
    <t>30S ribosomal protein S17</t>
  </si>
  <si>
    <t>rpsQ</t>
  </si>
  <si>
    <t>UQZ27192.1</t>
  </si>
  <si>
    <t>CACC_02345</t>
  </si>
  <si>
    <t>Vibriobactin utilization protein ViuB</t>
  </si>
  <si>
    <t>viuB</t>
  </si>
  <si>
    <t>UQZ27193.1</t>
  </si>
  <si>
    <t>CACC_02350</t>
  </si>
  <si>
    <t>Fe(3+)-citrate-binding protein YfmC precursor</t>
  </si>
  <si>
    <t>yfmC1</t>
  </si>
  <si>
    <t>UQZ27194.1</t>
  </si>
  <si>
    <t>CACC_02355</t>
  </si>
  <si>
    <t>fepD2</t>
  </si>
  <si>
    <t>UQZ27195.1</t>
  </si>
  <si>
    <t>CACC_02360</t>
  </si>
  <si>
    <t>putative siderophore transport system permease protein YfhA</t>
  </si>
  <si>
    <t>yfhA1</t>
  </si>
  <si>
    <t>UQZ27196.1</t>
  </si>
  <si>
    <t>CACC_02365</t>
  </si>
  <si>
    <t>yusV2</t>
  </si>
  <si>
    <t>UQZ27197.1</t>
  </si>
  <si>
    <t>CACC_02370</t>
  </si>
  <si>
    <t>UQZ27198.1</t>
  </si>
  <si>
    <t>CACC_02375</t>
  </si>
  <si>
    <t>UQZ27199.1</t>
  </si>
  <si>
    <t>CACC_02380</t>
  </si>
  <si>
    <t>50S ribosomal protein L14</t>
  </si>
  <si>
    <t>rplN</t>
  </si>
  <si>
    <t>UQZ27200.1</t>
  </si>
  <si>
    <t>CACC_02385</t>
  </si>
  <si>
    <t>50S ribosomal protein L24</t>
  </si>
  <si>
    <t>rplX</t>
  </si>
  <si>
    <t>UQZ27201.1</t>
  </si>
  <si>
    <t>CACC_02390</t>
  </si>
  <si>
    <t>50S ribosomal protein L5</t>
  </si>
  <si>
    <t>rplE</t>
  </si>
  <si>
    <t>UQZ27202.1</t>
  </si>
  <si>
    <t>CACC_02395</t>
  </si>
  <si>
    <t>UQZ27203.1</t>
  </si>
  <si>
    <t>CACC_02400</t>
  </si>
  <si>
    <t>UQZ27204.1</t>
  </si>
  <si>
    <t>CACC_02405</t>
  </si>
  <si>
    <t>Nitrite transporter NirC</t>
  </si>
  <si>
    <t>nirC</t>
  </si>
  <si>
    <t>UQZ27205.1</t>
  </si>
  <si>
    <t>CACC_02410</t>
  </si>
  <si>
    <t>Glycine betaine/carnitine transport binding protein GbuC precursor</t>
  </si>
  <si>
    <t>gbuC</t>
  </si>
  <si>
    <t>UQZ27206.1</t>
  </si>
  <si>
    <t>CACC_02415</t>
  </si>
  <si>
    <t>Glycine betaine transport system permease protein OpuAB</t>
  </si>
  <si>
    <t>opuAB</t>
  </si>
  <si>
    <t>UQZ27207.1</t>
  </si>
  <si>
    <t>CACC_02420</t>
  </si>
  <si>
    <t>Glycine betaine transport ATP-binding protein OpuAA</t>
  </si>
  <si>
    <t>opuAA</t>
  </si>
  <si>
    <t>UQZ27208.1</t>
  </si>
  <si>
    <t>CACC_02425</t>
  </si>
  <si>
    <t>formate dehydrogenase accessory protein</t>
  </si>
  <si>
    <t>UQZ27209.1</t>
  </si>
  <si>
    <t>CACC_02430</t>
  </si>
  <si>
    <t>UQZ27210.1</t>
  </si>
  <si>
    <t>CACC_02435</t>
  </si>
  <si>
    <t>30S ribosomal protein S8</t>
  </si>
  <si>
    <t>rpsH</t>
  </si>
  <si>
    <t>UQZ27211.1</t>
  </si>
  <si>
    <t>CACC_02440</t>
  </si>
  <si>
    <t>50S ribosomal protein L6</t>
  </si>
  <si>
    <t>rplF</t>
  </si>
  <si>
    <t>UQZ27212.1</t>
  </si>
  <si>
    <t>CACC_02445</t>
  </si>
  <si>
    <t>50S ribosomal protein L18</t>
  </si>
  <si>
    <t>rplR</t>
  </si>
  <si>
    <t>UQZ27213.1</t>
  </si>
  <si>
    <t>CACC_02450</t>
  </si>
  <si>
    <t>30S ribosomal protein S5</t>
  </si>
  <si>
    <t>rpsE</t>
  </si>
  <si>
    <t>UQZ27214.1</t>
  </si>
  <si>
    <t>CACC_02455</t>
  </si>
  <si>
    <t>50S ribosomal protein L30</t>
  </si>
  <si>
    <t>rpmD</t>
  </si>
  <si>
    <t>UQZ27215.1</t>
  </si>
  <si>
    <t>CACC_02460</t>
  </si>
  <si>
    <t>50S ribosomal protein L15</t>
  </si>
  <si>
    <t>rplO</t>
  </si>
  <si>
    <t>UQZ27216.1</t>
  </si>
  <si>
    <t>CACC_02465</t>
  </si>
  <si>
    <t>UQZ27217.1</t>
  </si>
  <si>
    <t>CACC_02470</t>
  </si>
  <si>
    <t>glycolate oxidase subunit GlcD</t>
  </si>
  <si>
    <t>UQZ27218.1</t>
  </si>
  <si>
    <t>CACC_02475</t>
  </si>
  <si>
    <t>Cyclopropane mycolic acid synthase 2</t>
  </si>
  <si>
    <t>cmaA2</t>
  </si>
  <si>
    <t>UQZ27219.1</t>
  </si>
  <si>
    <t>CACC_02480</t>
  </si>
  <si>
    <t>preprotein translocase subunit SecY</t>
  </si>
  <si>
    <t>UQZ27220.1</t>
  </si>
  <si>
    <t>CACC_02485</t>
  </si>
  <si>
    <t>Adenylate kinase</t>
  </si>
  <si>
    <t>adk</t>
  </si>
  <si>
    <t>UQZ27221.1</t>
  </si>
  <si>
    <t>CACC_02490</t>
  </si>
  <si>
    <t>Methionine aminopeptidase 1</t>
  </si>
  <si>
    <t>map-1</t>
  </si>
  <si>
    <t>UQZ27222.1</t>
  </si>
  <si>
    <t>CACC_02495</t>
  </si>
  <si>
    <t>UQZ27223.1</t>
  </si>
  <si>
    <t>CACC_02500</t>
  </si>
  <si>
    <t>Translation initiation factor IF-1</t>
  </si>
  <si>
    <t>infA</t>
  </si>
  <si>
    <t>UQZ27224.1</t>
  </si>
  <si>
    <t>CACC_02505</t>
  </si>
  <si>
    <t>30S ribosomal protein S13</t>
  </si>
  <si>
    <t>rpsM</t>
  </si>
  <si>
    <t>UQZ27225.1</t>
  </si>
  <si>
    <t>CACC_02510</t>
  </si>
  <si>
    <t>30S ribosomal protein S11</t>
  </si>
  <si>
    <t>rpsK</t>
  </si>
  <si>
    <t>UQZ27226.1</t>
  </si>
  <si>
    <t>CACC_02515</t>
  </si>
  <si>
    <t>30S ribosomal protein S4</t>
  </si>
  <si>
    <t>rpsD</t>
  </si>
  <si>
    <t>UQZ27227.1</t>
  </si>
  <si>
    <t>CACC_02520</t>
  </si>
  <si>
    <t>DNA-directed RNA polymerase subunit alpha</t>
  </si>
  <si>
    <t>rpoA</t>
  </si>
  <si>
    <t>UQZ27228.1</t>
  </si>
  <si>
    <t>CACC_02525</t>
  </si>
  <si>
    <t>50S ribosomal protein L17</t>
  </si>
  <si>
    <t>rplQ</t>
  </si>
  <si>
    <t>UQZ27229.1</t>
  </si>
  <si>
    <t>CACC_02530</t>
  </si>
  <si>
    <t>tRNA pseudouridine synthase A</t>
  </si>
  <si>
    <t>truA</t>
  </si>
  <si>
    <t>UQZ27230.1</t>
  </si>
  <si>
    <t>CACC_02535</t>
  </si>
  <si>
    <t>ESX-1 secretion system protein eccB1</t>
  </si>
  <si>
    <t>eccB1</t>
  </si>
  <si>
    <t>UQZ27231.1</t>
  </si>
  <si>
    <t>CACC_02540</t>
  </si>
  <si>
    <t>Subtilisin BL</t>
  </si>
  <si>
    <t>UQZ27232.1</t>
  </si>
  <si>
    <t>CACC_02545</t>
  </si>
  <si>
    <t>UQZ27233.1</t>
  </si>
  <si>
    <t>CACC_02550</t>
  </si>
  <si>
    <t>ESX-1 secretion system protein EccCa1</t>
  </si>
  <si>
    <t>eccCa1</t>
  </si>
  <si>
    <t>UQZ27234.1</t>
  </si>
  <si>
    <t>CACC_02555</t>
  </si>
  <si>
    <t>UQZ27235.1</t>
  </si>
  <si>
    <t>CACC_02560</t>
  </si>
  <si>
    <t>WXG domain conatining protein</t>
  </si>
  <si>
    <t>UQZ27236.1</t>
  </si>
  <si>
    <t>CACC_02565</t>
  </si>
  <si>
    <t>6 kDa early secretory antigenic target</t>
  </si>
  <si>
    <t>esxA</t>
  </si>
  <si>
    <t>UQZ27237.1</t>
  </si>
  <si>
    <t>CACC_02570</t>
  </si>
  <si>
    <t>UQZ27238.1</t>
  </si>
  <si>
    <t>CACC_02575</t>
  </si>
  <si>
    <t>50S ribosomal protein L13</t>
  </si>
  <si>
    <t>rplM</t>
  </si>
  <si>
    <t>UQZ27239.1</t>
  </si>
  <si>
    <t>CACC_02580</t>
  </si>
  <si>
    <t>30S ribosomal protein S9</t>
  </si>
  <si>
    <t>rpsI</t>
  </si>
  <si>
    <t>UQZ27240.1</t>
  </si>
  <si>
    <t>CACC_02585</t>
  </si>
  <si>
    <t>Glycine betaine transporter BetP</t>
  </si>
  <si>
    <t>betP1</t>
  </si>
  <si>
    <t>UQZ27241.1</t>
  </si>
  <si>
    <t>CACC_02590</t>
  </si>
  <si>
    <t>Phosphoglucosamine mutase</t>
  </si>
  <si>
    <t>glmM</t>
  </si>
  <si>
    <t>UQZ27242.1</t>
  </si>
  <si>
    <t>CACC_02595</t>
  </si>
  <si>
    <t>UQZ27243.1</t>
  </si>
  <si>
    <t>CACC_02600</t>
  </si>
  <si>
    <t>UQZ27244.1</t>
  </si>
  <si>
    <t>CACC_02605</t>
  </si>
  <si>
    <t>UQZ27245.1</t>
  </si>
  <si>
    <t>CACC_02610</t>
  </si>
  <si>
    <t>Alpha/beta hydrolase family protein</t>
  </si>
  <si>
    <t>UQZ27246.1</t>
  </si>
  <si>
    <t>CACC_02615</t>
  </si>
  <si>
    <t>putative FAD-linked oxidoreductase</t>
  </si>
  <si>
    <t>UQZ27247.1</t>
  </si>
  <si>
    <t>CACC_02620</t>
  </si>
  <si>
    <t>Glutamine--fructose-6-phosphate aminotransferase [isomerizing]</t>
  </si>
  <si>
    <t>glmS</t>
  </si>
  <si>
    <t>UQZ27248.1</t>
  </si>
  <si>
    <t>CACC_02625</t>
  </si>
  <si>
    <t>Alanine racemase</t>
  </si>
  <si>
    <t>alr</t>
  </si>
  <si>
    <t>UQZ27249.1</t>
  </si>
  <si>
    <t>CACC_02630</t>
  </si>
  <si>
    <t>tRNA threonylcarbamoyladenosine biosynthesis protein TsaE</t>
  </si>
  <si>
    <t>tsaE</t>
  </si>
  <si>
    <t>UQZ27250.1</t>
  </si>
  <si>
    <t>CACC_02635</t>
  </si>
  <si>
    <t>Aspartate/alanine antiporter</t>
  </si>
  <si>
    <t>aspT</t>
  </si>
  <si>
    <t>UQZ27251.1</t>
  </si>
  <si>
    <t>CACC_02640</t>
  </si>
  <si>
    <t>UQZ27252.1</t>
  </si>
  <si>
    <t>CACC_02645</t>
  </si>
  <si>
    <t>tRNA threonylcarbamoyladenosine biosynthesis protein TsaB</t>
  </si>
  <si>
    <t>tsaB</t>
  </si>
  <si>
    <t>UQZ27253.1</t>
  </si>
  <si>
    <t>CACC_02650</t>
  </si>
  <si>
    <t>ribosomal-protein-alanine N-acetyltransferase</t>
  </si>
  <si>
    <t>UQZ27254.1</t>
  </si>
  <si>
    <t>CACC_02655</t>
  </si>
  <si>
    <t>tRNA N6-adenosine threonylcarbamoyltransferase</t>
  </si>
  <si>
    <t>tsaD</t>
  </si>
  <si>
    <t>UQZ27255.1</t>
  </si>
  <si>
    <t>CACC_02660</t>
  </si>
  <si>
    <t>UQZ27256.1</t>
  </si>
  <si>
    <t>CACC_02665</t>
  </si>
  <si>
    <t>Oxygen regulatory protein NreC</t>
  </si>
  <si>
    <t>nreC1</t>
  </si>
  <si>
    <t>UQZ27257.1</t>
  </si>
  <si>
    <t>CACC_02670</t>
  </si>
  <si>
    <t>Signal transduction histidine-protein kinase/phosphatase DegS</t>
  </si>
  <si>
    <t>degS1</t>
  </si>
  <si>
    <t>UQZ27258.1</t>
  </si>
  <si>
    <t>CACC_02675</t>
  </si>
  <si>
    <t>Macrolide export ATP-binding/permease protein MacB</t>
  </si>
  <si>
    <t>macB</t>
  </si>
  <si>
    <t>UQZ27259.1</t>
  </si>
  <si>
    <t>CACC_02680</t>
  </si>
  <si>
    <t>FtsX-like permease family protein</t>
  </si>
  <si>
    <t>UQZ27260.1</t>
  </si>
  <si>
    <t>CACC_02685</t>
  </si>
  <si>
    <t>UQZ27261.1</t>
  </si>
  <si>
    <t>CACC_02690</t>
  </si>
  <si>
    <t>10 kDa chaperonin</t>
  </si>
  <si>
    <t>groS</t>
  </si>
  <si>
    <t>UQZ27262.1</t>
  </si>
  <si>
    <t>CACC_02695</t>
  </si>
  <si>
    <t>60 kDa chaperonin 1</t>
  </si>
  <si>
    <t>groL1</t>
  </si>
  <si>
    <t>UQZ27263.1</t>
  </si>
  <si>
    <t>CACC_02700</t>
  </si>
  <si>
    <t>Redox-responsive transcriptional regulator WhiB3</t>
  </si>
  <si>
    <t>whiB2</t>
  </si>
  <si>
    <t>UQZ27264.1</t>
  </si>
  <si>
    <t>CACC_02705</t>
  </si>
  <si>
    <t>ECF RNA polymerase sigma factor SigD</t>
  </si>
  <si>
    <t>sigD</t>
  </si>
  <si>
    <t>UQZ27265.1</t>
  </si>
  <si>
    <t>CACC_02710</t>
  </si>
  <si>
    <t>UQZ27266.1</t>
  </si>
  <si>
    <t>CACC_02715</t>
  </si>
  <si>
    <t>UQZ27267.1</t>
  </si>
  <si>
    <t>CACC_02720</t>
  </si>
  <si>
    <t>Inosine-5'-monophosphate dehydrogenase</t>
  </si>
  <si>
    <t>guaB1</t>
  </si>
  <si>
    <t>UQZ27268.1</t>
  </si>
  <si>
    <t>CACC_02725</t>
  </si>
  <si>
    <t>putative oxidoreductase</t>
  </si>
  <si>
    <t>UQZ27269.1</t>
  </si>
  <si>
    <t>CACC_02730</t>
  </si>
  <si>
    <t>GMP synthase [glutamine-hydrolyzing]</t>
  </si>
  <si>
    <t>guaA</t>
  </si>
  <si>
    <t>UQZ27270.1</t>
  </si>
  <si>
    <t>CACC_02735</t>
  </si>
  <si>
    <t>UQZ27271.1</t>
  </si>
  <si>
    <t>CACC_02740</t>
  </si>
  <si>
    <t>UQZ27272.1</t>
  </si>
  <si>
    <t>CACC_02745</t>
  </si>
  <si>
    <t>UQZ27273.1</t>
  </si>
  <si>
    <t>CACC_02750</t>
  </si>
  <si>
    <t>DNA polymerase IV</t>
  </si>
  <si>
    <t>UQZ27274.1</t>
  </si>
  <si>
    <t>CACC_02755</t>
  </si>
  <si>
    <t>UQZ27275.1</t>
  </si>
  <si>
    <t>CACC_02760</t>
  </si>
  <si>
    <t>Sucrase/ferredoxin-like protein</t>
  </si>
  <si>
    <t>UQZ27276.1</t>
  </si>
  <si>
    <t>CACC_02765</t>
  </si>
  <si>
    <t>Methionine import system permease protein MetP</t>
  </si>
  <si>
    <t>metP</t>
  </si>
  <si>
    <t>UQZ27277.1</t>
  </si>
  <si>
    <t>CACC_02770</t>
  </si>
  <si>
    <t>Methionine import ATP-binding protein MetN 2</t>
  </si>
  <si>
    <t>metN1</t>
  </si>
  <si>
    <t>UQZ27278.1</t>
  </si>
  <si>
    <t>CACC_02775</t>
  </si>
  <si>
    <t>D-methionine-binding lipoprotein MetQ precursor</t>
  </si>
  <si>
    <t>metQ</t>
  </si>
  <si>
    <t>UQZ27279.1</t>
  </si>
  <si>
    <t>CACC_02780</t>
  </si>
  <si>
    <t>Error-prone DNA polymerase</t>
  </si>
  <si>
    <t>dnaE1</t>
  </si>
  <si>
    <t>UQZ27280.1</t>
  </si>
  <si>
    <t>CACC_02785</t>
  </si>
  <si>
    <t>UQZ27281.1</t>
  </si>
  <si>
    <t>CACC_02790</t>
  </si>
  <si>
    <t>UQZ27282.1</t>
  </si>
  <si>
    <t>CACC_02795</t>
  </si>
  <si>
    <t>Bacterial membrane flanked domain protein</t>
  </si>
  <si>
    <t>UQZ27283.1</t>
  </si>
  <si>
    <t>CACC_02800</t>
  </si>
  <si>
    <t>UQZ27284.1</t>
  </si>
  <si>
    <t>CACC_02805</t>
  </si>
  <si>
    <t>tRNA (cytidine(34)-2'-O)-methyltransferase</t>
  </si>
  <si>
    <t>trmL</t>
  </si>
  <si>
    <t>UQZ27285.1</t>
  </si>
  <si>
    <t>CACC_02810</t>
  </si>
  <si>
    <t>Bifunctional protein FolD protein</t>
  </si>
  <si>
    <t>folD</t>
  </si>
  <si>
    <t>UQZ27286.1</t>
  </si>
  <si>
    <t>CACC_02815</t>
  </si>
  <si>
    <t>UQZ27287.1</t>
  </si>
  <si>
    <t>CACC_02820</t>
  </si>
  <si>
    <t>UQZ27288.1</t>
  </si>
  <si>
    <t>CACC_02825</t>
  </si>
  <si>
    <t>Homoserine O-acetyltransferase</t>
  </si>
  <si>
    <t>metX</t>
  </si>
  <si>
    <t>UQZ27289.1</t>
  </si>
  <si>
    <t>CACC_02830</t>
  </si>
  <si>
    <t>O-succinylhomoserine sulfhydrylase</t>
  </si>
  <si>
    <t>metZ</t>
  </si>
  <si>
    <t>UQZ27290.1</t>
  </si>
  <si>
    <t>CACC_02835</t>
  </si>
  <si>
    <t>metal-dependent hydrolase</t>
  </si>
  <si>
    <t>UQZ27291.1</t>
  </si>
  <si>
    <t>CACC_02840</t>
  </si>
  <si>
    <t>Thiol-disulfide oxidoreductase YkuV</t>
  </si>
  <si>
    <t>ykuV</t>
  </si>
  <si>
    <t>UQZ27292.1</t>
  </si>
  <si>
    <t>CACC_02845</t>
  </si>
  <si>
    <t>UQZ27293.1</t>
  </si>
  <si>
    <t>CACC_02850</t>
  </si>
  <si>
    <t>ECF RNA polymerase sigma factor SigK</t>
  </si>
  <si>
    <t>sigK</t>
  </si>
  <si>
    <t>UQZ27294.1</t>
  </si>
  <si>
    <t>CACC_02855</t>
  </si>
  <si>
    <t>Anti-sigma-K factor rskA</t>
  </si>
  <si>
    <t>UQZ27295.1</t>
  </si>
  <si>
    <t>CACC_02860</t>
  </si>
  <si>
    <t>UQZ27296.1</t>
  </si>
  <si>
    <t>CACC_02865</t>
  </si>
  <si>
    <t>Nitric oxide reductase subunit B</t>
  </si>
  <si>
    <t>norB</t>
  </si>
  <si>
    <t>UQZ27297.1</t>
  </si>
  <si>
    <t>CACC_02870</t>
  </si>
  <si>
    <t>UQZ27298.1</t>
  </si>
  <si>
    <t>CACC_02875</t>
  </si>
  <si>
    <t>Modulator of FtsH protease HflC</t>
  </si>
  <si>
    <t>hflC</t>
  </si>
  <si>
    <t>UQZ27299.1</t>
  </si>
  <si>
    <t>CACC_02880</t>
  </si>
  <si>
    <t>UQZ27300.1</t>
  </si>
  <si>
    <t>CACC_02885</t>
  </si>
  <si>
    <t>HTH-type transcriptional regulatory protein GabR</t>
  </si>
  <si>
    <t>gabR</t>
  </si>
  <si>
    <t>UQZ27301.1</t>
  </si>
  <si>
    <t>CACC_02890</t>
  </si>
  <si>
    <t>Pyridoxal biosynthesis lyase PdxS</t>
  </si>
  <si>
    <t>pdxS</t>
  </si>
  <si>
    <t>UQZ27302.1</t>
  </si>
  <si>
    <t>CACC_02895</t>
  </si>
  <si>
    <t>Glutamine amidotransferase subunit PdxT</t>
  </si>
  <si>
    <t>pdxT</t>
  </si>
  <si>
    <t>UQZ27303.1</t>
  </si>
  <si>
    <t>CACC_02900</t>
  </si>
  <si>
    <t>Peptidyl-dipeptidase dcp</t>
  </si>
  <si>
    <t>dcp1</t>
  </si>
  <si>
    <t>UQZ27304.1</t>
  </si>
  <si>
    <t>CACC_02905</t>
  </si>
  <si>
    <t>dcp2</t>
  </si>
  <si>
    <t>UQZ27305.1</t>
  </si>
  <si>
    <t>CACC_02910</t>
  </si>
  <si>
    <t>UQZ27306.1</t>
  </si>
  <si>
    <t>CACC_02915</t>
  </si>
  <si>
    <t>Isocitrate dehydrogenase [NADP]</t>
  </si>
  <si>
    <t>icd</t>
  </si>
  <si>
    <t>UQZ27307.1</t>
  </si>
  <si>
    <t>CACC_02920</t>
  </si>
  <si>
    <t>Inner membrane transport protein YdhP</t>
  </si>
  <si>
    <t>ydhP</t>
  </si>
  <si>
    <t>UQZ27308.1</t>
  </si>
  <si>
    <t>CACC_02925</t>
  </si>
  <si>
    <t>Exodeoxyribonuclease</t>
  </si>
  <si>
    <t>exoA</t>
  </si>
  <si>
    <t>UQZ27309.1</t>
  </si>
  <si>
    <t>CACC_02930</t>
  </si>
  <si>
    <t>UQZ27310.1</t>
  </si>
  <si>
    <t>CACC_02935</t>
  </si>
  <si>
    <t>UQZ27311.1</t>
  </si>
  <si>
    <t>CACC_02940</t>
  </si>
  <si>
    <t>DinB superfamily protein</t>
  </si>
  <si>
    <t>UQZ27312.1</t>
  </si>
  <si>
    <t>CACC_02945</t>
  </si>
  <si>
    <t>Tryptophan--tRNA ligase</t>
  </si>
  <si>
    <t>trpS</t>
  </si>
  <si>
    <t>UQZ27313.1</t>
  </si>
  <si>
    <t>CACC_02950</t>
  </si>
  <si>
    <t>Inner membrane protein YhjD</t>
  </si>
  <si>
    <t>yhjD</t>
  </si>
  <si>
    <t>UQZ27314.1</t>
  </si>
  <si>
    <t>CACC_02955</t>
  </si>
  <si>
    <t>RDD family protein</t>
  </si>
  <si>
    <t>UQZ27315.1</t>
  </si>
  <si>
    <t>CACC_02960</t>
  </si>
  <si>
    <t>adenosine deaminase</t>
  </si>
  <si>
    <t>UQZ27316.1</t>
  </si>
  <si>
    <t>CACC_02965</t>
  </si>
  <si>
    <t>Molecular chaperone Hsp31 and glyoxalase 3</t>
  </si>
  <si>
    <t>hchA</t>
  </si>
  <si>
    <t>UQZ27317.1</t>
  </si>
  <si>
    <t>CACC_02970</t>
  </si>
  <si>
    <t>Carboxylesterase NlhH</t>
  </si>
  <si>
    <t>nlhH1</t>
  </si>
  <si>
    <t>UQZ27318.1</t>
  </si>
  <si>
    <t>CACC_02975</t>
  </si>
  <si>
    <t>UQZ27319.1</t>
  </si>
  <si>
    <t>CACC_02980</t>
  </si>
  <si>
    <t>putative endopeptidase precursor</t>
  </si>
  <si>
    <t>UQZ27320.1</t>
  </si>
  <si>
    <t>CACC_02985</t>
  </si>
  <si>
    <t>UQZ27321.1</t>
  </si>
  <si>
    <t>CACC_02990</t>
  </si>
  <si>
    <t>Uracil phosphoribosyltransferase</t>
  </si>
  <si>
    <t>upp</t>
  </si>
  <si>
    <t>UQZ27322.1</t>
  </si>
  <si>
    <t>CACC_02995</t>
  </si>
  <si>
    <t>HTH-type transcriptional repressor RghR</t>
  </si>
  <si>
    <t>rghR</t>
  </si>
  <si>
    <t>UQZ27323.1</t>
  </si>
  <si>
    <t>CACC_03000</t>
  </si>
  <si>
    <t>putative hydrolase YxeP</t>
  </si>
  <si>
    <t>yxeP1</t>
  </si>
  <si>
    <t>UQZ27324.1</t>
  </si>
  <si>
    <t>CACC_03005</t>
  </si>
  <si>
    <t>NAD(P)H dehydrogenase (quinone)</t>
  </si>
  <si>
    <t>lpdA</t>
  </si>
  <si>
    <t>UQZ27325.1</t>
  </si>
  <si>
    <t>CACC_03010</t>
  </si>
  <si>
    <t>UQZ27326.1</t>
  </si>
  <si>
    <t>CACC_03015</t>
  </si>
  <si>
    <t>2-methylcitrate dehydratase</t>
  </si>
  <si>
    <t>prpD</t>
  </si>
  <si>
    <t>UQZ27327.1</t>
  </si>
  <si>
    <t>CACC_03020</t>
  </si>
  <si>
    <t>Carboxyvinyl-carboxyphosphonate phosphorylmutase</t>
  </si>
  <si>
    <t>bcpA</t>
  </si>
  <si>
    <t>UQZ27328.1</t>
  </si>
  <si>
    <t>CACC_03025</t>
  </si>
  <si>
    <t>2-methylcitrate synthase 2</t>
  </si>
  <si>
    <t>prpC2</t>
  </si>
  <si>
    <t>UQZ27329.1</t>
  </si>
  <si>
    <t>CACC_03030</t>
  </si>
  <si>
    <t>2-oxoglutarate carboxylase small subunit</t>
  </si>
  <si>
    <t>cfiB</t>
  </si>
  <si>
    <t>UQZ27330.1</t>
  </si>
  <si>
    <t>CACC_03035</t>
  </si>
  <si>
    <t>Nucleoside permease NupX</t>
  </si>
  <si>
    <t>nupX</t>
  </si>
  <si>
    <t>UQZ27331.1</t>
  </si>
  <si>
    <t>CACC_03040</t>
  </si>
  <si>
    <t>Cytidine deaminase</t>
  </si>
  <si>
    <t>cdd</t>
  </si>
  <si>
    <t>UQZ27332.1</t>
  </si>
  <si>
    <t>CACC_03045</t>
  </si>
  <si>
    <t>Pyrimidine-nucleoside phosphorylase</t>
  </si>
  <si>
    <t>pdp</t>
  </si>
  <si>
    <t>UQZ27333.1</t>
  </si>
  <si>
    <t>CACC_03050</t>
  </si>
  <si>
    <t>UQZ27334.1</t>
  </si>
  <si>
    <t>CACC_03055</t>
  </si>
  <si>
    <t>HTH-type transcriptional repressor YtrA</t>
  </si>
  <si>
    <t>ytrA1</t>
  </si>
  <si>
    <t>UQZ27335.1</t>
  </si>
  <si>
    <t>CACC_03060</t>
  </si>
  <si>
    <t>putative ABC transporter ATP-binding protein YheS</t>
  </si>
  <si>
    <t>yheS1</t>
  </si>
  <si>
    <t>UQZ27336.1</t>
  </si>
  <si>
    <t>CACC_03065</t>
  </si>
  <si>
    <t>UQZ27337.1</t>
  </si>
  <si>
    <t>CACC_03070</t>
  </si>
  <si>
    <t>Acetyl-/propionyl-coenzyme A carboxylase alpha chain</t>
  </si>
  <si>
    <t>accA1</t>
  </si>
  <si>
    <t>UQZ27338.1</t>
  </si>
  <si>
    <t>CACC_03075</t>
  </si>
  <si>
    <t>Putative thiosulfate sulfurtransferase SseA</t>
  </si>
  <si>
    <t>sseA1</t>
  </si>
  <si>
    <t>UQZ27339.1</t>
  </si>
  <si>
    <t>CACC_03080</t>
  </si>
  <si>
    <t>UQZ27340.1</t>
  </si>
  <si>
    <t>CACC_03085</t>
  </si>
  <si>
    <t>UQZ27341.1</t>
  </si>
  <si>
    <t>CACC_03090</t>
  </si>
  <si>
    <t>Maf-like protein YceF</t>
  </si>
  <si>
    <t>yceF</t>
  </si>
  <si>
    <t>UQZ27342.1</t>
  </si>
  <si>
    <t>CACC_03095</t>
  </si>
  <si>
    <t>UQZ27343.1</t>
  </si>
  <si>
    <t>CACC_03100</t>
  </si>
  <si>
    <t>putative propionyl-CoA carboxylase beta chain 5</t>
  </si>
  <si>
    <t>accD1</t>
  </si>
  <si>
    <t>UQZ27344.1</t>
  </si>
  <si>
    <t>CACC_03105</t>
  </si>
  <si>
    <t>UQZ27345.1</t>
  </si>
  <si>
    <t>CACC_03110</t>
  </si>
  <si>
    <t>UQZ27346.1</t>
  </si>
  <si>
    <t>CACC_03115</t>
  </si>
  <si>
    <t>UQZ27347.1</t>
  </si>
  <si>
    <t>CACC_03120</t>
  </si>
  <si>
    <t>Trehalose synthase/amylase TreS</t>
  </si>
  <si>
    <t>treS</t>
  </si>
  <si>
    <t>UQZ27348.1</t>
  </si>
  <si>
    <t>CACC_03125</t>
  </si>
  <si>
    <t>UQZ27349.1</t>
  </si>
  <si>
    <t>CACC_03130</t>
  </si>
  <si>
    <t>Trehalose transport system permease protein SugB</t>
  </si>
  <si>
    <t>sugB</t>
  </si>
  <si>
    <t>UQZ27350.1</t>
  </si>
  <si>
    <t>CACC_03135</t>
  </si>
  <si>
    <t>Trehalose transport system permease protein SugA</t>
  </si>
  <si>
    <t>sugA</t>
  </si>
  <si>
    <t>UQZ27351.1</t>
  </si>
  <si>
    <t>CACC_03140</t>
  </si>
  <si>
    <t>Trehalose-binding lipoprotein LpqY precursor</t>
  </si>
  <si>
    <t>lpqY</t>
  </si>
  <si>
    <t>UQZ27352.1</t>
  </si>
  <si>
    <t>CACC_03145</t>
  </si>
  <si>
    <t>sn-glycerol-3-phosphate import ATP-binding protein UgpC</t>
  </si>
  <si>
    <t>ugpC</t>
  </si>
  <si>
    <t>UQZ27353.1</t>
  </si>
  <si>
    <t>CACC_03150</t>
  </si>
  <si>
    <t>Bifunctional ligase/repressor BirA</t>
  </si>
  <si>
    <t>birA</t>
  </si>
  <si>
    <t>UQZ27354.1</t>
  </si>
  <si>
    <t>CACC_03155</t>
  </si>
  <si>
    <t>UQZ27355.1</t>
  </si>
  <si>
    <t>CACC_03160</t>
  </si>
  <si>
    <t>Alpha-acetolactate decarboxylase</t>
  </si>
  <si>
    <t>alsD</t>
  </si>
  <si>
    <t>UQZ27356.1</t>
  </si>
  <si>
    <t>CACC_03165</t>
  </si>
  <si>
    <t>N5-carboxyaminoimidazole ribonucleotide synthase</t>
  </si>
  <si>
    <t>purK</t>
  </si>
  <si>
    <t>UQZ27357.1</t>
  </si>
  <si>
    <t>CACC_03170</t>
  </si>
  <si>
    <t>N5-carboxyaminoimidazole ribonucleotide mutase</t>
  </si>
  <si>
    <t>purE</t>
  </si>
  <si>
    <t>UQZ27358.1</t>
  </si>
  <si>
    <t>CACC_03175</t>
  </si>
  <si>
    <t>UQZ27359.1</t>
  </si>
  <si>
    <t>CACC_03180</t>
  </si>
  <si>
    <t>Ribokinase</t>
  </si>
  <si>
    <t>rbsK</t>
  </si>
  <si>
    <t>UQZ27360.1</t>
  </si>
  <si>
    <t>CACC_03185</t>
  </si>
  <si>
    <t>D-ribose-binding periplasmic protein precursor</t>
  </si>
  <si>
    <t>rbsB</t>
  </si>
  <si>
    <t>UQZ27361.1</t>
  </si>
  <si>
    <t>CACC_03190</t>
  </si>
  <si>
    <t>Ribose transport system permease protein RbsC</t>
  </si>
  <si>
    <t>rbsC</t>
  </si>
  <si>
    <t>UQZ27362.1</t>
  </si>
  <si>
    <t>CACC_03195</t>
  </si>
  <si>
    <t>Arabinose import ATP-binding protein AraG</t>
  </si>
  <si>
    <t>araG</t>
  </si>
  <si>
    <t>UQZ27363.1</t>
  </si>
  <si>
    <t>CACC_03200</t>
  </si>
  <si>
    <t>HTH-type transcriptional regulator DegA</t>
  </si>
  <si>
    <t>degA</t>
  </si>
  <si>
    <t>UQZ27364.1</t>
  </si>
  <si>
    <t>CACC_03205</t>
  </si>
  <si>
    <t>UQZ27365.1</t>
  </si>
  <si>
    <t>CACC_03210</t>
  </si>
  <si>
    <t>Aldose 1-epimerase</t>
  </si>
  <si>
    <t>galM</t>
  </si>
  <si>
    <t>UQZ27366.1</t>
  </si>
  <si>
    <t>CACC_03215</t>
  </si>
  <si>
    <t>Sodium/glucose cotransporter</t>
  </si>
  <si>
    <t>sglT1</t>
  </si>
  <si>
    <t>UQZ27367.1</t>
  </si>
  <si>
    <t>CACC_03220</t>
  </si>
  <si>
    <t>UQZ27368.1</t>
  </si>
  <si>
    <t>CACC_03225</t>
  </si>
  <si>
    <t>Galactose-1-phosphate uridylyltransferase</t>
  </si>
  <si>
    <t>galT</t>
  </si>
  <si>
    <t>UQZ27369.1</t>
  </si>
  <si>
    <t>CACC_03230</t>
  </si>
  <si>
    <t>Galactokinase</t>
  </si>
  <si>
    <t>galK</t>
  </si>
  <si>
    <t>UQZ27370.1</t>
  </si>
  <si>
    <t>CACC_03235</t>
  </si>
  <si>
    <t>RNase H</t>
  </si>
  <si>
    <t>UQZ27371.1</t>
  </si>
  <si>
    <t>CACC_03240</t>
  </si>
  <si>
    <t>UQZ27372.1</t>
  </si>
  <si>
    <t>CACC_03245</t>
  </si>
  <si>
    <t>Natural resistance-associated macrophage protein</t>
  </si>
  <si>
    <t>UQZ27373.1</t>
  </si>
  <si>
    <t>CACC_03250</t>
  </si>
  <si>
    <t>UQZ27374.1</t>
  </si>
  <si>
    <t>CACC_03255</t>
  </si>
  <si>
    <t>HTH-type transcriptional repressor CsiR</t>
  </si>
  <si>
    <t>csiR</t>
  </si>
  <si>
    <t>UQZ27375.1</t>
  </si>
  <si>
    <t>CACC_03260</t>
  </si>
  <si>
    <t>Archaeal ATPase</t>
  </si>
  <si>
    <t>UQZ27376.1</t>
  </si>
  <si>
    <t>CACC_03265</t>
  </si>
  <si>
    <t>Biotin carboxylase</t>
  </si>
  <si>
    <t>accC1</t>
  </si>
  <si>
    <t>UQZ27377.1</t>
  </si>
  <si>
    <t>CACC_03270</t>
  </si>
  <si>
    <t>KipI antagonist</t>
  </si>
  <si>
    <t>kipA</t>
  </si>
  <si>
    <t>UQZ27378.1</t>
  </si>
  <si>
    <t>CACC_03275</t>
  </si>
  <si>
    <t>LamB/YcsF family protein</t>
  </si>
  <si>
    <t>UQZ27379.1</t>
  </si>
  <si>
    <t>CACC_03280</t>
  </si>
  <si>
    <t>PTS system mannose-specific EIIBCA component</t>
  </si>
  <si>
    <t>manP</t>
  </si>
  <si>
    <t>UQZ27380.1</t>
  </si>
  <si>
    <t>CACC_03285</t>
  </si>
  <si>
    <t>2',5' RNA ligase family</t>
  </si>
  <si>
    <t>UQZ27381.1</t>
  </si>
  <si>
    <t>CACC_03290</t>
  </si>
  <si>
    <t>UQZ27382.1</t>
  </si>
  <si>
    <t>CACC_03295</t>
  </si>
  <si>
    <t>Glutamyl-tRNA(Gln) amidotransferase subunit A</t>
  </si>
  <si>
    <t>gatA1</t>
  </si>
  <si>
    <t>UQZ27383.1</t>
  </si>
  <si>
    <t>CACC_03300</t>
  </si>
  <si>
    <t>Pyrimidine-specific ribonucleoside hydrolase RihB</t>
  </si>
  <si>
    <t>rihB</t>
  </si>
  <si>
    <t>UQZ27384.1</t>
  </si>
  <si>
    <t>CACC_03305</t>
  </si>
  <si>
    <t>5-methylcytosine-specific restriction enzyme subunit McrC</t>
  </si>
  <si>
    <t>UQZ27385.1</t>
  </si>
  <si>
    <t>CACC_03310</t>
  </si>
  <si>
    <t>5-methylcytosine-specific restriction enzyme B</t>
  </si>
  <si>
    <t>mcrB</t>
  </si>
  <si>
    <t>UQZ27386.1</t>
  </si>
  <si>
    <t>CACC_03315</t>
  </si>
  <si>
    <t>Thermoresistant gluconokinase</t>
  </si>
  <si>
    <t>gntK</t>
  </si>
  <si>
    <t>UQZ27387.1</t>
  </si>
  <si>
    <t>CACC_03320</t>
  </si>
  <si>
    <t>Inner membrane permease YgbN</t>
  </si>
  <si>
    <t>ygbN</t>
  </si>
  <si>
    <t>UQZ27388.1</t>
  </si>
  <si>
    <t>CACC_03325</t>
  </si>
  <si>
    <t>UQZ27389.1</t>
  </si>
  <si>
    <t>CACC_03330</t>
  </si>
  <si>
    <t>Inner membrane protein YjjP</t>
  </si>
  <si>
    <t>yjjP</t>
  </si>
  <si>
    <t>UQZ27390.1</t>
  </si>
  <si>
    <t>CACC_03335</t>
  </si>
  <si>
    <t>proP2</t>
  </si>
  <si>
    <t>UQZ27391.1</t>
  </si>
  <si>
    <t>CACC_03340</t>
  </si>
  <si>
    <t>Putative osmoprotectant uptake system substrate-binding protein OsmF precursor</t>
  </si>
  <si>
    <t>osmF</t>
  </si>
  <si>
    <t>UQZ27392.1</t>
  </si>
  <si>
    <t>CACC_03345</t>
  </si>
  <si>
    <t>Choline transport system permease protein OpuBB</t>
  </si>
  <si>
    <t>opuBB1</t>
  </si>
  <si>
    <t>UQZ27393.1</t>
  </si>
  <si>
    <t>CACC_03350</t>
  </si>
  <si>
    <t>Carnitine transport ATP-binding protein OpuCA</t>
  </si>
  <si>
    <t>opuCA</t>
  </si>
  <si>
    <t>UQZ27394.1</t>
  </si>
  <si>
    <t>CACC_03355</t>
  </si>
  <si>
    <t>opuBB2</t>
  </si>
  <si>
    <t>UQZ27395.1</t>
  </si>
  <si>
    <t>CACC_03360</t>
  </si>
  <si>
    <t>Sulfite exporter TauE/SafE</t>
  </si>
  <si>
    <t>UQZ27396.1</t>
  </si>
  <si>
    <t>CACC_03365</t>
  </si>
  <si>
    <t>UQZ27397.1</t>
  </si>
  <si>
    <t>CACC_03370</t>
  </si>
  <si>
    <t>Regulatory protein MsrR</t>
  </si>
  <si>
    <t>msrR1</t>
  </si>
  <si>
    <t>UQZ27398.1</t>
  </si>
  <si>
    <t>CACC_03375</t>
  </si>
  <si>
    <t>N-acetylglucosaminyl-diphospho-decaprenol L-rhamnosyltransferase</t>
  </si>
  <si>
    <t>wbbL</t>
  </si>
  <si>
    <t>UQZ27399.1</t>
  </si>
  <si>
    <t>CACC_03380</t>
  </si>
  <si>
    <t>D-glycero-alpha-D-manno-heptose 1-phosphate guanylyltransferase</t>
  </si>
  <si>
    <t>hddC</t>
  </si>
  <si>
    <t>UQZ27400.1</t>
  </si>
  <si>
    <t>CACC_03385</t>
  </si>
  <si>
    <t>Transcriptional regulator WhiB2</t>
  </si>
  <si>
    <t>whmD</t>
  </si>
  <si>
    <t>UQZ27401.1</t>
  </si>
  <si>
    <t>CACC_03390</t>
  </si>
  <si>
    <t>UQZ27402.1</t>
  </si>
  <si>
    <t>CACC_03395</t>
  </si>
  <si>
    <t>UQZ27403.1</t>
  </si>
  <si>
    <t>CACC_03400</t>
  </si>
  <si>
    <t>Phosphomannomutase/phosphoglucomutase</t>
  </si>
  <si>
    <t>algC</t>
  </si>
  <si>
    <t>UQZ27404.1</t>
  </si>
  <si>
    <t>CACC_03405</t>
  </si>
  <si>
    <t>NADPH-ferredoxin reductase FprA</t>
  </si>
  <si>
    <t>fprA1</t>
  </si>
  <si>
    <t>UQZ27405.1</t>
  </si>
  <si>
    <t>CACC_03410</t>
  </si>
  <si>
    <t>Sulfite reductase [ferredoxin]</t>
  </si>
  <si>
    <t>sir</t>
  </si>
  <si>
    <t>UQZ27406.1</t>
  </si>
  <si>
    <t>CACC_03415</t>
  </si>
  <si>
    <t>UQZ27407.1</t>
  </si>
  <si>
    <t>CACC_03420</t>
  </si>
  <si>
    <t>sirohydrochlorin cobaltochelatase</t>
  </si>
  <si>
    <t>UQZ27408.1</t>
  </si>
  <si>
    <t>CACC_03425</t>
  </si>
  <si>
    <t>UQZ27409.1</t>
  </si>
  <si>
    <t>CACC_03430</t>
  </si>
  <si>
    <t>sumT</t>
  </si>
  <si>
    <t>UQZ27410.1</t>
  </si>
  <si>
    <t>CACC_03435</t>
  </si>
  <si>
    <t>UQZ27411.1</t>
  </si>
  <si>
    <t>CACC_03440</t>
  </si>
  <si>
    <t>Mannose-6-phosphate isomerase</t>
  </si>
  <si>
    <t>manA</t>
  </si>
  <si>
    <t>UQZ27412.1</t>
  </si>
  <si>
    <t>CACC_03445</t>
  </si>
  <si>
    <t>UQZ27413.1</t>
  </si>
  <si>
    <t>CACC_03450</t>
  </si>
  <si>
    <t>UQZ27414.1</t>
  </si>
  <si>
    <t>CACC_03455</t>
  </si>
  <si>
    <t>Thymidylate kinase</t>
  </si>
  <si>
    <t>tmk</t>
  </si>
  <si>
    <t>UQZ27415.1</t>
  </si>
  <si>
    <t>CACC_03460</t>
  </si>
  <si>
    <t>DNA-binding response regulator MtrA</t>
  </si>
  <si>
    <t>mtrA</t>
  </si>
  <si>
    <t>UQZ27416.1</t>
  </si>
  <si>
    <t>CACC_03465</t>
  </si>
  <si>
    <t>Sensor histidine kinase MtrB</t>
  </si>
  <si>
    <t>mtrB</t>
  </si>
  <si>
    <t>UQZ27417.1</t>
  </si>
  <si>
    <t>CACC_03470</t>
  </si>
  <si>
    <t>Lipoprotein LpqB precursor</t>
  </si>
  <si>
    <t>lpqB</t>
  </si>
  <si>
    <t>UQZ27418.1</t>
  </si>
  <si>
    <t>CACC_03475</t>
  </si>
  <si>
    <t>DNA utilization protein GntX</t>
  </si>
  <si>
    <t>UQZ27419.1</t>
  </si>
  <si>
    <t>CACC_03480</t>
  </si>
  <si>
    <t>Light-repressed protein A</t>
  </si>
  <si>
    <t>lrtA</t>
  </si>
  <si>
    <t>UQZ27420.1</t>
  </si>
  <si>
    <t>CACC_03485</t>
  </si>
  <si>
    <t>preprotein translocase subunit SecA</t>
  </si>
  <si>
    <t>UQZ27421.1</t>
  </si>
  <si>
    <t>CACC_03490</t>
  </si>
  <si>
    <t>UQZ27422.1</t>
  </si>
  <si>
    <t>CACC_03495</t>
  </si>
  <si>
    <t>6-phosphogluconate phosphatase</t>
  </si>
  <si>
    <t>UQZ27423.1</t>
  </si>
  <si>
    <t>CACC_03500</t>
  </si>
  <si>
    <t>UQZ27424.1</t>
  </si>
  <si>
    <t>CACC_03505</t>
  </si>
  <si>
    <t>Putative ribosome biogenesis GTPase RsgA</t>
  </si>
  <si>
    <t>rsgA</t>
  </si>
  <si>
    <t>UQZ27425.1</t>
  </si>
  <si>
    <t>CACC_03510</t>
  </si>
  <si>
    <t>3-phosphoshikimate 1-carboxyvinyltransferase</t>
  </si>
  <si>
    <t>aroA</t>
  </si>
  <si>
    <t>UQZ27426.1</t>
  </si>
  <si>
    <t>CACC_03515</t>
  </si>
  <si>
    <t>Putative SOS response-associated peptidase YedK</t>
  </si>
  <si>
    <t>yedK</t>
  </si>
  <si>
    <t>UQZ27427.1</t>
  </si>
  <si>
    <t>CACC_03520</t>
  </si>
  <si>
    <t>Cys-tRNA(Pro)/Cys-tRNA(Cys) deacylase YbaK</t>
  </si>
  <si>
    <t>ybaK</t>
  </si>
  <si>
    <t>UQZ27428.1</t>
  </si>
  <si>
    <t>CACC_03525</t>
  </si>
  <si>
    <t>ECF RNA polymerase sigma factor SigH</t>
  </si>
  <si>
    <t>sigH</t>
  </si>
  <si>
    <t>UQZ27429.1</t>
  </si>
  <si>
    <t>CACC_03530</t>
  </si>
  <si>
    <t>UQZ27430.1</t>
  </si>
  <si>
    <t>CACC_03535</t>
  </si>
  <si>
    <t>Transcriptional regulator WhiB1</t>
  </si>
  <si>
    <t>whiB3</t>
  </si>
  <si>
    <t>UQZ27431.1</t>
  </si>
  <si>
    <t>CACC_03540</t>
  </si>
  <si>
    <t>UQZ27432.1</t>
  </si>
  <si>
    <t>CACC_03545</t>
  </si>
  <si>
    <t>UQZ27433.1</t>
  </si>
  <si>
    <t>CACC_03550</t>
  </si>
  <si>
    <t>DEAD-box ATP-dependent RNA helicase CshA</t>
  </si>
  <si>
    <t>cshA</t>
  </si>
  <si>
    <t>UQZ27434.1</t>
  </si>
  <si>
    <t>CACC_03555</t>
  </si>
  <si>
    <t>UQZ27435.1</t>
  </si>
  <si>
    <t>CACC_03560</t>
  </si>
  <si>
    <t>UQZ27436.1</t>
  </si>
  <si>
    <t>CACC_03565</t>
  </si>
  <si>
    <t>UQZ27437.1</t>
  </si>
  <si>
    <t>CACC_03570</t>
  </si>
  <si>
    <t>ATP-dependent DNA helicase PcrA</t>
  </si>
  <si>
    <t>pcrA1</t>
  </si>
  <si>
    <t>UQZ27438.1</t>
  </si>
  <si>
    <t>CACC_03575</t>
  </si>
  <si>
    <t>pcrA2</t>
  </si>
  <si>
    <t>UQZ27439.1</t>
  </si>
  <si>
    <t>CACC_03580</t>
  </si>
  <si>
    <t>Voltage-gated potassium channel Kch</t>
  </si>
  <si>
    <t>kch</t>
  </si>
  <si>
    <t>UQZ27440.1</t>
  </si>
  <si>
    <t>CACC_03585</t>
  </si>
  <si>
    <t>NADH pyrophosphatase</t>
  </si>
  <si>
    <t>nudC</t>
  </si>
  <si>
    <t>UQZ27441.1</t>
  </si>
  <si>
    <t>CACC_03590</t>
  </si>
  <si>
    <t>ATP-dependent DNA helicase UvrD2</t>
  </si>
  <si>
    <t>uvrD1</t>
  </si>
  <si>
    <t>UQZ27442.1</t>
  </si>
  <si>
    <t>CACC_03595</t>
  </si>
  <si>
    <t>UQZ27443.1</t>
  </si>
  <si>
    <t>CACC_03600</t>
  </si>
  <si>
    <t>UQZ27444.1</t>
  </si>
  <si>
    <t>CACC_03605</t>
  </si>
  <si>
    <t>UQZ27445.1</t>
  </si>
  <si>
    <t>CACC_03610</t>
  </si>
  <si>
    <t>DNA-binding ATP-dependent protease La</t>
  </si>
  <si>
    <t>UQZ27446.1</t>
  </si>
  <si>
    <t>CACC_03615</t>
  </si>
  <si>
    <t>UQZ27447.1</t>
  </si>
  <si>
    <t>CACC_03620</t>
  </si>
  <si>
    <t>UQZ27448.1</t>
  </si>
  <si>
    <t>CACC_03625</t>
  </si>
  <si>
    <t>UQZ27449.1</t>
  </si>
  <si>
    <t>CACC_03630</t>
  </si>
  <si>
    <t>CACC_03635</t>
  </si>
  <si>
    <t>yusV3</t>
  </si>
  <si>
    <t>UQZ27450.1</t>
  </si>
  <si>
    <t>CACC_03640</t>
  </si>
  <si>
    <t>yfhA2</t>
  </si>
  <si>
    <t>UQZ27451.1</t>
  </si>
  <si>
    <t>CACC_03645</t>
  </si>
  <si>
    <t>putative siderophore transport system permease protein YfiZ precursor</t>
  </si>
  <si>
    <t>yfiZ</t>
  </si>
  <si>
    <t>UQZ27452.1</t>
  </si>
  <si>
    <t>CACC_03650</t>
  </si>
  <si>
    <t>yfmC2</t>
  </si>
  <si>
    <t>UQZ27453.1</t>
  </si>
  <si>
    <t>CACC_03655</t>
  </si>
  <si>
    <t>yfiY2</t>
  </si>
  <si>
    <t>UQZ27454.1</t>
  </si>
  <si>
    <t>CACC_03660</t>
  </si>
  <si>
    <t>NADPH-dependent ferric-chelate reductase</t>
  </si>
  <si>
    <t>yqjH</t>
  </si>
  <si>
    <t>UQZ27455.1</t>
  </si>
  <si>
    <t>CACC_03665</t>
  </si>
  <si>
    <t>putative transport protein HsrA</t>
  </si>
  <si>
    <t>hsrA</t>
  </si>
  <si>
    <t>UQZ27456.1</t>
  </si>
  <si>
    <t>CACC_03670</t>
  </si>
  <si>
    <t>MarR family protein</t>
  </si>
  <si>
    <t>UQZ27457.1</t>
  </si>
  <si>
    <t>CACC_03675</t>
  </si>
  <si>
    <t>UQZ27458.1</t>
  </si>
  <si>
    <t>CACC_03680</t>
  </si>
  <si>
    <t>UQZ27459.1</t>
  </si>
  <si>
    <t>CACC_03685</t>
  </si>
  <si>
    <t>UQZ27460.1</t>
  </si>
  <si>
    <t>CACC_03690</t>
  </si>
  <si>
    <t>FeoA domain protein</t>
  </si>
  <si>
    <t>UQZ27461.1</t>
  </si>
  <si>
    <t>CACC_03695</t>
  </si>
  <si>
    <t>feoB2</t>
  </si>
  <si>
    <t>CACC_03705</t>
  </si>
  <si>
    <t>UQZ27462.1</t>
  </si>
  <si>
    <t>CACC_03710</t>
  </si>
  <si>
    <t>Histidinol-phosphatase</t>
  </si>
  <si>
    <t>hisN</t>
  </si>
  <si>
    <t>UQZ27463.1</t>
  </si>
  <si>
    <t>CACC_03715</t>
  </si>
  <si>
    <t>Inositol-1-monophosphatase</t>
  </si>
  <si>
    <t>suhB1</t>
  </si>
  <si>
    <t>UQZ27464.1</t>
  </si>
  <si>
    <t>CACC_03720</t>
  </si>
  <si>
    <t>Peptide chain release factor 2</t>
  </si>
  <si>
    <t>prfB</t>
  </si>
  <si>
    <t>UQZ27465.1</t>
  </si>
  <si>
    <t>CACC_03725</t>
  </si>
  <si>
    <t>p-aminobenzoyl-glutamate transport protein</t>
  </si>
  <si>
    <t>abgT</t>
  </si>
  <si>
    <t>UQZ27466.1</t>
  </si>
  <si>
    <t>CACC_03730</t>
  </si>
  <si>
    <t>Cell division ATP-binding protein FtsE</t>
  </si>
  <si>
    <t>ftsE</t>
  </si>
  <si>
    <t>UQZ27467.1</t>
  </si>
  <si>
    <t>CACC_03735</t>
  </si>
  <si>
    <t>Cell division protein FtsX</t>
  </si>
  <si>
    <t>ftsX</t>
  </si>
  <si>
    <t>UQZ27468.1</t>
  </si>
  <si>
    <t>CACC_03740</t>
  </si>
  <si>
    <t>SsrA-binding protein</t>
  </si>
  <si>
    <t>smpB</t>
  </si>
  <si>
    <t>UQZ27469.1</t>
  </si>
  <si>
    <t>CACC_03745</t>
  </si>
  <si>
    <t>UQZ27470.1</t>
  </si>
  <si>
    <t>CACC_03750</t>
  </si>
  <si>
    <t>putative ABC transporter solute-binding protein YclQ precursor</t>
  </si>
  <si>
    <t>yclQ</t>
  </si>
  <si>
    <t>UQZ27471.1</t>
  </si>
  <si>
    <t>CACC_03755</t>
  </si>
  <si>
    <t>Iron-uptake system permease protein FeuB</t>
  </si>
  <si>
    <t>feuB</t>
  </si>
  <si>
    <t>UQZ27472.1</t>
  </si>
  <si>
    <t>CACC_03760</t>
  </si>
  <si>
    <t>Iron-uptake system permease protein FeuC</t>
  </si>
  <si>
    <t>feuC</t>
  </si>
  <si>
    <t>UQZ27473.1</t>
  </si>
  <si>
    <t>CACC_03765</t>
  </si>
  <si>
    <t>Iron(3+)-hydroxamate import ATP-binding protein FhuC</t>
  </si>
  <si>
    <t>fhuC1</t>
  </si>
  <si>
    <t>UQZ27474.1</t>
  </si>
  <si>
    <t>CACC_03770</t>
  </si>
  <si>
    <t>16S ribosomal RNA</t>
  </si>
  <si>
    <t>rRNA</t>
  </si>
  <si>
    <t>CACC_03775</t>
  </si>
  <si>
    <t>23S ribosomal RNA</t>
  </si>
  <si>
    <t>CACC_03780</t>
  </si>
  <si>
    <t>5S ribosomal RNA</t>
  </si>
  <si>
    <t>CACC_03785</t>
  </si>
  <si>
    <t>UQZ27475.1</t>
  </si>
  <si>
    <t>CACC_03790</t>
  </si>
  <si>
    <t>UQZ27476.1</t>
  </si>
  <si>
    <t>CACC_03795</t>
  </si>
  <si>
    <t>mRNA interferase RelE</t>
  </si>
  <si>
    <t>relE</t>
  </si>
  <si>
    <t>UQZ27477.1</t>
  </si>
  <si>
    <t>CACC_03800</t>
  </si>
  <si>
    <t>UQZ27478.1</t>
  </si>
  <si>
    <t>CACC_03805</t>
  </si>
  <si>
    <t>Type III restriction enzyme, res subunit</t>
  </si>
  <si>
    <t>UQZ27479.1</t>
  </si>
  <si>
    <t>CACC_03810</t>
  </si>
  <si>
    <t>UQZ27480.1</t>
  </si>
  <si>
    <t>CACC_03815</t>
  </si>
  <si>
    <t>UQZ27481.1</t>
  </si>
  <si>
    <t>CACC_03820</t>
  </si>
  <si>
    <t>Resuscitation-promoting factor Rpf2 precursor</t>
  </si>
  <si>
    <t>rpf1</t>
  </si>
  <si>
    <t>UQZ27482.1</t>
  </si>
  <si>
    <t>CACC_03825</t>
  </si>
  <si>
    <t>Cold shock-like protein CspD</t>
  </si>
  <si>
    <t>cspD</t>
  </si>
  <si>
    <t>UQZ27483.1</t>
  </si>
  <si>
    <t>CACC_03830</t>
  </si>
  <si>
    <t>UQZ27484.1</t>
  </si>
  <si>
    <t>CACC_03835</t>
  </si>
  <si>
    <t>Glutamine cyclotransferase</t>
  </si>
  <si>
    <t>UQZ27485.1</t>
  </si>
  <si>
    <t>CACC_03840</t>
  </si>
  <si>
    <t>UQZ27486.1</t>
  </si>
  <si>
    <t>CACC_03845</t>
  </si>
  <si>
    <t>Guanine/hypoxanthine permease PbuG</t>
  </si>
  <si>
    <t>pbuG</t>
  </si>
  <si>
    <t>UQZ27487.1</t>
  </si>
  <si>
    <t>CACC_03850</t>
  </si>
  <si>
    <t>23S rRNA (guanosine-2'-O-)-methyltransferase RlmB</t>
  </si>
  <si>
    <t>rlmB</t>
  </si>
  <si>
    <t>UQZ27488.1</t>
  </si>
  <si>
    <t>CACC_03855</t>
  </si>
  <si>
    <t>UQZ27489.1</t>
  </si>
  <si>
    <t>CACC_03860</t>
  </si>
  <si>
    <t>UQZ27490.1</t>
  </si>
  <si>
    <t>CACC_03865</t>
  </si>
  <si>
    <t>Phosphoserine aminotransferase</t>
  </si>
  <si>
    <t>serC</t>
  </si>
  <si>
    <t>UQZ27491.1</t>
  </si>
  <si>
    <t>CACC_03870</t>
  </si>
  <si>
    <t>Citrate synthase 1</t>
  </si>
  <si>
    <t>gltA2</t>
  </si>
  <si>
    <t>UQZ27492.1</t>
  </si>
  <si>
    <t>CACC_03875</t>
  </si>
  <si>
    <t>FK506-binding protein</t>
  </si>
  <si>
    <t>fkbP</t>
  </si>
  <si>
    <t>UQZ27493.1</t>
  </si>
  <si>
    <t>CACC_03880</t>
  </si>
  <si>
    <t>UQZ27494.1</t>
  </si>
  <si>
    <t>CACC_03885</t>
  </si>
  <si>
    <t>UQZ27495.1</t>
  </si>
  <si>
    <t>CACC_03890</t>
  </si>
  <si>
    <t>Cation/acetate symporter ActP</t>
  </si>
  <si>
    <t>actP</t>
  </si>
  <si>
    <t>UQZ27496.1</t>
  </si>
  <si>
    <t>CACC_03895</t>
  </si>
  <si>
    <t>UQZ27497.1</t>
  </si>
  <si>
    <t>CACC_03900</t>
  </si>
  <si>
    <t>UQZ27498.1</t>
  </si>
  <si>
    <t>CACC_03905</t>
  </si>
  <si>
    <t>UQZ27499.1</t>
  </si>
  <si>
    <t>CACC_03910</t>
  </si>
  <si>
    <t>UQZ27500.1</t>
  </si>
  <si>
    <t>CACC_03915</t>
  </si>
  <si>
    <t>Ammonia channel precursor</t>
  </si>
  <si>
    <t>amt</t>
  </si>
  <si>
    <t>UQZ27501.1</t>
  </si>
  <si>
    <t>CACC_03920</t>
  </si>
  <si>
    <t>Nitrogen regulatory protein P-II</t>
  </si>
  <si>
    <t>glnB1</t>
  </si>
  <si>
    <t>UQZ27502.1</t>
  </si>
  <si>
    <t>CACC_03925</t>
  </si>
  <si>
    <t>UQZ27503.1</t>
  </si>
  <si>
    <t>CACC_03930</t>
  </si>
  <si>
    <t>UQZ27504.1</t>
  </si>
  <si>
    <t>CACC_03935</t>
  </si>
  <si>
    <t>UQZ27505.1</t>
  </si>
  <si>
    <t>CACC_03940</t>
  </si>
  <si>
    <t>UQZ27506.1</t>
  </si>
  <si>
    <t>CACC_03945</t>
  </si>
  <si>
    <t>UQZ27507.1</t>
  </si>
  <si>
    <t>CACC_03950</t>
  </si>
  <si>
    <t>UQZ27508.1</t>
  </si>
  <si>
    <t>CACC_03955</t>
  </si>
  <si>
    <t>UQZ27509.1</t>
  </si>
  <si>
    <t>CACC_03960</t>
  </si>
  <si>
    <t>putative transporter</t>
  </si>
  <si>
    <t>UQZ27510.1</t>
  </si>
  <si>
    <t>CACC_03965</t>
  </si>
  <si>
    <t>Iron import ATP-binding/permease protein IrtB</t>
  </si>
  <si>
    <t>irtB</t>
  </si>
  <si>
    <t>UQZ27511.1</t>
  </si>
  <si>
    <t>CACC_03970</t>
  </si>
  <si>
    <t>Iron import ATP-binding/permease protein IrtA</t>
  </si>
  <si>
    <t>irtA</t>
  </si>
  <si>
    <t>UQZ27512.1</t>
  </si>
  <si>
    <t>CACC_03975</t>
  </si>
  <si>
    <t>ykoD2</t>
  </si>
  <si>
    <t>UQZ27513.1</t>
  </si>
  <si>
    <t>CACC_03980</t>
  </si>
  <si>
    <t>Cobalt transport protein</t>
  </si>
  <si>
    <t>UQZ27514.1</t>
  </si>
  <si>
    <t>CACC_03985</t>
  </si>
  <si>
    <t>UQZ27515.1</t>
  </si>
  <si>
    <t>CACC_03990</t>
  </si>
  <si>
    <t>UQZ27516.1</t>
  </si>
  <si>
    <t>CACC_03995</t>
  </si>
  <si>
    <t>CACC_04000</t>
  </si>
  <si>
    <t>Mycoredoxin 1</t>
  </si>
  <si>
    <t>mrx1</t>
  </si>
  <si>
    <t>UQZ27517.1</t>
  </si>
  <si>
    <t>CACC_04005</t>
  </si>
  <si>
    <t>Dihydrofolate reductase</t>
  </si>
  <si>
    <t>folA</t>
  </si>
  <si>
    <t>UQZ27518.1</t>
  </si>
  <si>
    <t>CACC_04010</t>
  </si>
  <si>
    <t>Thymidylate synthase</t>
  </si>
  <si>
    <t>thyA</t>
  </si>
  <si>
    <t>UQZ27519.1</t>
  </si>
  <si>
    <t>CACC_04015</t>
  </si>
  <si>
    <t>UQZ27520.1</t>
  </si>
  <si>
    <t>CACC_04020</t>
  </si>
  <si>
    <t>putative HTH-type transcriptional regulator</t>
  </si>
  <si>
    <t>UQZ27521.1</t>
  </si>
  <si>
    <t>CACC_04025</t>
  </si>
  <si>
    <t>3'-phosphoadenosine 5'-phosphate phosphatase</t>
  </si>
  <si>
    <t>cysQ</t>
  </si>
  <si>
    <t>UQZ27522.1</t>
  </si>
  <si>
    <t>CACC_04030</t>
  </si>
  <si>
    <t>UQZ27523.1</t>
  </si>
  <si>
    <t>CACC_04035</t>
  </si>
  <si>
    <t>Endonuclease 8 1</t>
  </si>
  <si>
    <t>nei1</t>
  </si>
  <si>
    <t>UQZ27524.1</t>
  </si>
  <si>
    <t>CACC_04040</t>
  </si>
  <si>
    <t>Inner membrane protein YccF</t>
  </si>
  <si>
    <t>yccF</t>
  </si>
  <si>
    <t>UQZ27525.1</t>
  </si>
  <si>
    <t>CACC_04045</t>
  </si>
  <si>
    <t>Glucose-6-phosphate isomerase</t>
  </si>
  <si>
    <t>pgi</t>
  </si>
  <si>
    <t>UQZ27526.1</t>
  </si>
  <si>
    <t>CACC_04050</t>
  </si>
  <si>
    <t>Na+/H+ antiporter family protein</t>
  </si>
  <si>
    <t>UQZ27527.1</t>
  </si>
  <si>
    <t>CACC_04055</t>
  </si>
  <si>
    <t>Intracellular chorismate mutase</t>
  </si>
  <si>
    <t>UQZ27528.1</t>
  </si>
  <si>
    <t>CACC_04060</t>
  </si>
  <si>
    <t>ATP-dependent DNA helicase UvrD1</t>
  </si>
  <si>
    <t>uvrD2</t>
  </si>
  <si>
    <t>UQZ27529.1</t>
  </si>
  <si>
    <t>CACC_04065</t>
  </si>
  <si>
    <t>Glycyl-glycine endopeptidase LytM precursor</t>
  </si>
  <si>
    <t>lytM</t>
  </si>
  <si>
    <t>UQZ27530.1</t>
  </si>
  <si>
    <t>CACC_04070</t>
  </si>
  <si>
    <t>Murein hydrolase activator NlpD precursor</t>
  </si>
  <si>
    <t>nlpD</t>
  </si>
  <si>
    <t>UQZ27531.1</t>
  </si>
  <si>
    <t>CACC_04075</t>
  </si>
  <si>
    <t>UQZ27532.1</t>
  </si>
  <si>
    <t>CACC_04080</t>
  </si>
  <si>
    <t>Phosphoribosylglycinamide formyltransferase</t>
  </si>
  <si>
    <t>purN</t>
  </si>
  <si>
    <t>UQZ27533.1</t>
  </si>
  <si>
    <t>CACC_04085</t>
  </si>
  <si>
    <t>Bifunctional purine biosynthesis protein PurH</t>
  </si>
  <si>
    <t>purH</t>
  </si>
  <si>
    <t>UQZ27534.1</t>
  </si>
  <si>
    <t>CACC_04090</t>
  </si>
  <si>
    <t>UQZ27535.1</t>
  </si>
  <si>
    <t>CACC_04095</t>
  </si>
  <si>
    <t>UQZ27536.1</t>
  </si>
  <si>
    <t>CACC_04100</t>
  </si>
  <si>
    <t>HTH-type transcriptional repressor KstR2</t>
  </si>
  <si>
    <t>kstR2</t>
  </si>
  <si>
    <t>UQZ27537.1</t>
  </si>
  <si>
    <t>CACC_04105</t>
  </si>
  <si>
    <t>Putative nucleotidyltransferase substrate binding domain protein</t>
  </si>
  <si>
    <t>UQZ27538.1</t>
  </si>
  <si>
    <t>CACC_04110</t>
  </si>
  <si>
    <t>30S ribosomal protein S18 1</t>
  </si>
  <si>
    <t>rpsR1</t>
  </si>
  <si>
    <t>UQZ27539.1</t>
  </si>
  <si>
    <t>CACC_04115</t>
  </si>
  <si>
    <t>30S ribosomal protein S14</t>
  </si>
  <si>
    <t>rpsN</t>
  </si>
  <si>
    <t>UQZ27540.1</t>
  </si>
  <si>
    <t>CACC_04120</t>
  </si>
  <si>
    <t>50S ribosomal protein L33 2</t>
  </si>
  <si>
    <t>rpmG2</t>
  </si>
  <si>
    <t>UQZ27541.1</t>
  </si>
  <si>
    <t>CACC_04125</t>
  </si>
  <si>
    <t>50S ribosomal protein L28</t>
  </si>
  <si>
    <t>rpmB</t>
  </si>
  <si>
    <t>UQZ27542.1</t>
  </si>
  <si>
    <t>CACC_04130</t>
  </si>
  <si>
    <t>50S ribosomal protein L31 type B</t>
  </si>
  <si>
    <t>rpmE2</t>
  </si>
  <si>
    <t>UQZ27543.1</t>
  </si>
  <si>
    <t>CACC_04135</t>
  </si>
  <si>
    <t>50S ribosomal protein L32</t>
  </si>
  <si>
    <t>UQZ27544.1</t>
  </si>
  <si>
    <t>CACC_04140</t>
  </si>
  <si>
    <t>Glycerol-3-phosphate transporter</t>
  </si>
  <si>
    <t>glpT1</t>
  </si>
  <si>
    <t>UQZ27545.1</t>
  </si>
  <si>
    <t>CACC_04145</t>
  </si>
  <si>
    <t>glpT2</t>
  </si>
  <si>
    <t>UQZ27546.1</t>
  </si>
  <si>
    <t>CACC_04150</t>
  </si>
  <si>
    <t>putative periplasmic serine endoprotease DegP-like precursor</t>
  </si>
  <si>
    <t>degP1</t>
  </si>
  <si>
    <t>UQZ27547.1</t>
  </si>
  <si>
    <t>CACC_04155</t>
  </si>
  <si>
    <t>moaB2</t>
  </si>
  <si>
    <t>UQZ27548.1</t>
  </si>
  <si>
    <t>CACC_04160</t>
  </si>
  <si>
    <t>UQZ27549.1</t>
  </si>
  <si>
    <t>CACC_04165</t>
  </si>
  <si>
    <t>Large-conductance mechanosensitive channel</t>
  </si>
  <si>
    <t>mscL</t>
  </si>
  <si>
    <t>UQZ27550.1</t>
  </si>
  <si>
    <t>CACC_04170</t>
  </si>
  <si>
    <t>Putative cryptic C4-dicarboxylate transporter DcuD</t>
  </si>
  <si>
    <t>dcuD</t>
  </si>
  <si>
    <t>UQZ27551.1</t>
  </si>
  <si>
    <t>CACC_04175</t>
  </si>
  <si>
    <t>3-carboxy-cis,cis-muconate cycloisomerase</t>
  </si>
  <si>
    <t>pcaB</t>
  </si>
  <si>
    <t>UQZ27552.1</t>
  </si>
  <si>
    <t>CACC_04180</t>
  </si>
  <si>
    <t>SAF domain protein</t>
  </si>
  <si>
    <t>UQZ27553.1</t>
  </si>
  <si>
    <t>CACC_04185</t>
  </si>
  <si>
    <t>5-formyltetrahydrofolate cyclo-ligase family protein</t>
  </si>
  <si>
    <t>UQZ27554.1</t>
  </si>
  <si>
    <t>CACC_04190</t>
  </si>
  <si>
    <t>UTP--glucose-1-phosphate uridylyltransferase</t>
  </si>
  <si>
    <t>gtaB</t>
  </si>
  <si>
    <t>UQZ27555.1</t>
  </si>
  <si>
    <t>CACC_04195</t>
  </si>
  <si>
    <t>moeA2</t>
  </si>
  <si>
    <t>UQZ27556.1</t>
  </si>
  <si>
    <t>CACC_04200</t>
  </si>
  <si>
    <t>Putative ribosomal N-acetyltransferase YdaF</t>
  </si>
  <si>
    <t>ydaF1</t>
  </si>
  <si>
    <t>UQZ27557.1</t>
  </si>
  <si>
    <t>CACC_04205</t>
  </si>
  <si>
    <t>UQZ27558.1</t>
  </si>
  <si>
    <t>CACC_04210</t>
  </si>
  <si>
    <t>DNA-3-methyladenine glycosylase 1</t>
  </si>
  <si>
    <t>tag</t>
  </si>
  <si>
    <t>UQZ27559.1</t>
  </si>
  <si>
    <t>CACC_04215</t>
  </si>
  <si>
    <t>Putative oxidoreductase MhqP</t>
  </si>
  <si>
    <t>mhqP</t>
  </si>
  <si>
    <t>UQZ27560.1</t>
  </si>
  <si>
    <t>CACC_04220</t>
  </si>
  <si>
    <t>UQZ27561.1</t>
  </si>
  <si>
    <t>CACC_04225</t>
  </si>
  <si>
    <t>putative dolichyl-phosphate-mannose--protein mannosyltransferase</t>
  </si>
  <si>
    <t>pmt</t>
  </si>
  <si>
    <t>UQZ27562.1</t>
  </si>
  <si>
    <t>CACC_04230</t>
  </si>
  <si>
    <t>Ribosomal RNA small subunit methyltransferase I</t>
  </si>
  <si>
    <t>rsmI</t>
  </si>
  <si>
    <t>UQZ27563.1</t>
  </si>
  <si>
    <t>CACC_04235</t>
  </si>
  <si>
    <t>betP2</t>
  </si>
  <si>
    <t>UQZ27564.1</t>
  </si>
  <si>
    <t>CACC_04240</t>
  </si>
  <si>
    <t>Methionine--tRNA ligase</t>
  </si>
  <si>
    <t>metG</t>
  </si>
  <si>
    <t>UQZ27565.1</t>
  </si>
  <si>
    <t>CACC_04245</t>
  </si>
  <si>
    <t>N-acyltransferase YncA</t>
  </si>
  <si>
    <t>yncA1</t>
  </si>
  <si>
    <t>UQZ27566.1</t>
  </si>
  <si>
    <t>CACC_04250</t>
  </si>
  <si>
    <t>yncA2</t>
  </si>
  <si>
    <t>UQZ27567.1</t>
  </si>
  <si>
    <t>CACC_04255</t>
  </si>
  <si>
    <t>putative deoxyribonuclease YcfH</t>
  </si>
  <si>
    <t>ycfH</t>
  </si>
  <si>
    <t>UQZ27568.1</t>
  </si>
  <si>
    <t>CACC_04260</t>
  </si>
  <si>
    <t>rpf2</t>
  </si>
  <si>
    <t>UQZ27569.1</t>
  </si>
  <si>
    <t>CACC_04265</t>
  </si>
  <si>
    <t>Ribosomal RNA small subunit methyltransferase A</t>
  </si>
  <si>
    <t>rsmA</t>
  </si>
  <si>
    <t>UQZ27570.1</t>
  </si>
  <si>
    <t>CACC_04270</t>
  </si>
  <si>
    <t>4-diphosphocytidyl-2-C-methyl-D-erythritol kinase</t>
  </si>
  <si>
    <t>ispE</t>
  </si>
  <si>
    <t>UQZ27571.1</t>
  </si>
  <si>
    <t>CACC_04275</t>
  </si>
  <si>
    <t>UQZ27572.1</t>
  </si>
  <si>
    <t>CACC_04280</t>
  </si>
  <si>
    <t>putative ABC transporter ATP-binding protein</t>
  </si>
  <si>
    <t>UQZ27573.1</t>
  </si>
  <si>
    <t>CACC_04285</t>
  </si>
  <si>
    <t>UQZ27574.1</t>
  </si>
  <si>
    <t>CACC_04290</t>
  </si>
  <si>
    <t>UQZ27575.1</t>
  </si>
  <si>
    <t>CACC_04295</t>
  </si>
  <si>
    <t>autoinducer-2 (AI-2) modifying protein LsrG</t>
  </si>
  <si>
    <t>UQZ27576.1</t>
  </si>
  <si>
    <t>CACC_04300</t>
  </si>
  <si>
    <t>O-acetyltransferase OatA</t>
  </si>
  <si>
    <t>oatA1</t>
  </si>
  <si>
    <t>UQZ27577.1</t>
  </si>
  <si>
    <t>CACC_04305</t>
  </si>
  <si>
    <t>Flavin mononucleotide phosphatase YbjI</t>
  </si>
  <si>
    <t>ybjI</t>
  </si>
  <si>
    <t>UQZ27578.1</t>
  </si>
  <si>
    <t>CACC_04310</t>
  </si>
  <si>
    <t>putative enoyl-CoA hydratase echA8</t>
  </si>
  <si>
    <t>echA8</t>
  </si>
  <si>
    <t>UQZ27579.1</t>
  </si>
  <si>
    <t>CACC_04315</t>
  </si>
  <si>
    <t>UQZ27580.1</t>
  </si>
  <si>
    <t>CACC_04320</t>
  </si>
  <si>
    <t>Transcriptional regulator, TetR family</t>
  </si>
  <si>
    <t>UQZ27581.1</t>
  </si>
  <si>
    <t>CACC_04325</t>
  </si>
  <si>
    <t>ydfJ2</t>
  </si>
  <si>
    <t>UQZ27582.1</t>
  </si>
  <si>
    <t>CACC_04330</t>
  </si>
  <si>
    <t>UQZ27583.1</t>
  </si>
  <si>
    <t>CACC_04335</t>
  </si>
  <si>
    <t>UDP-3-O-[3-hydroxymyristoyl] glucosamine N-acyltransferase</t>
  </si>
  <si>
    <t>UQZ27584.1</t>
  </si>
  <si>
    <t>CACC_04340</t>
  </si>
  <si>
    <t>UQZ27585.1</t>
  </si>
  <si>
    <t>CACC_04345</t>
  </si>
  <si>
    <t>Patatin-like phospholipase</t>
  </si>
  <si>
    <t>UQZ27586.1</t>
  </si>
  <si>
    <t>CACC_04350</t>
  </si>
  <si>
    <t>UQZ27587.1</t>
  </si>
  <si>
    <t>CACC_04355</t>
  </si>
  <si>
    <t>Peptide chain release factor 3</t>
  </si>
  <si>
    <t>prfC</t>
  </si>
  <si>
    <t>UQZ27588.1</t>
  </si>
  <si>
    <t>CACC_04360</t>
  </si>
  <si>
    <t>3-oxoacyl-[acyl-carrier-protein] reductase FabG</t>
  </si>
  <si>
    <t>fabG1</t>
  </si>
  <si>
    <t>UQZ27589.1</t>
  </si>
  <si>
    <t>CACC_04365</t>
  </si>
  <si>
    <t>Ktr system potassium uptake protein B</t>
  </si>
  <si>
    <t>ktrB</t>
  </si>
  <si>
    <t>UQZ27590.1</t>
  </si>
  <si>
    <t>CACC_04370</t>
  </si>
  <si>
    <t>Ktr system potassium uptake protein A</t>
  </si>
  <si>
    <t>ktrA</t>
  </si>
  <si>
    <t>UQZ27591.1</t>
  </si>
  <si>
    <t>CACC_04375</t>
  </si>
  <si>
    <t>Peptidyl-tRNA hydrolase</t>
  </si>
  <si>
    <t>pth1</t>
  </si>
  <si>
    <t>UQZ27592.1</t>
  </si>
  <si>
    <t>CACC_04380</t>
  </si>
  <si>
    <t>Nitronate monooxygenase</t>
  </si>
  <si>
    <t>UQZ27593.1</t>
  </si>
  <si>
    <t>CACC_04385</t>
  </si>
  <si>
    <t>Glyceraldehyde-3-phosphate dehydrogenase</t>
  </si>
  <si>
    <t>gap1</t>
  </si>
  <si>
    <t>UQZ27594.1</t>
  </si>
  <si>
    <t>CACC_04390</t>
  </si>
  <si>
    <t>UQZ27595.1</t>
  </si>
  <si>
    <t>CACC_04395</t>
  </si>
  <si>
    <t>UQZ27596.1</t>
  </si>
  <si>
    <t>CACC_04400</t>
  </si>
  <si>
    <t>UQZ27597.1</t>
  </si>
  <si>
    <t>CACC_04405</t>
  </si>
  <si>
    <t>putative ABC transporter ATP-binding protein YxlF</t>
  </si>
  <si>
    <t>yxlF1</t>
  </si>
  <si>
    <t>UQZ27598.1</t>
  </si>
  <si>
    <t>CACC_04410</t>
  </si>
  <si>
    <t>Transcriptional regulatory protein LiaR</t>
  </si>
  <si>
    <t>liaR1</t>
  </si>
  <si>
    <t>UQZ27599.1</t>
  </si>
  <si>
    <t>CACC_04415</t>
  </si>
  <si>
    <t>Sensor histidine kinase DesK</t>
  </si>
  <si>
    <t>desK1</t>
  </si>
  <si>
    <t>UQZ27600.1</t>
  </si>
  <si>
    <t>CACC_04420</t>
  </si>
  <si>
    <t>Polyphosphate kinase 2 (PPK2)</t>
  </si>
  <si>
    <t>UQZ27601.1</t>
  </si>
  <si>
    <t>CACC_04425</t>
  </si>
  <si>
    <t>Ureidoglycolate lyase</t>
  </si>
  <si>
    <t>UQZ27602.1</t>
  </si>
  <si>
    <t>CACC_04430</t>
  </si>
  <si>
    <t>pth2</t>
  </si>
  <si>
    <t>UQZ27603.1</t>
  </si>
  <si>
    <t>CACC_04435</t>
  </si>
  <si>
    <t>UQZ27604.1</t>
  </si>
  <si>
    <t>CACC_04440</t>
  </si>
  <si>
    <t>General stress protein CTC</t>
  </si>
  <si>
    <t>ctc</t>
  </si>
  <si>
    <t>UQZ27605.1</t>
  </si>
  <si>
    <t>CACC_04445</t>
  </si>
  <si>
    <t>Ribose-phosphate pyrophosphokinase</t>
  </si>
  <si>
    <t>prs</t>
  </si>
  <si>
    <t>UQZ27606.1</t>
  </si>
  <si>
    <t>CACC_04450</t>
  </si>
  <si>
    <t>Bifunctional protein GlmU</t>
  </si>
  <si>
    <t>glmU</t>
  </si>
  <si>
    <t>UQZ27607.1</t>
  </si>
  <si>
    <t>CACC_04455</t>
  </si>
  <si>
    <t>UQZ27608.1</t>
  </si>
  <si>
    <t>CACC_04460</t>
  </si>
  <si>
    <t>UQZ27609.1</t>
  </si>
  <si>
    <t>CACC_04465</t>
  </si>
  <si>
    <t>UQZ27610.1</t>
  </si>
  <si>
    <t>CACC_04470</t>
  </si>
  <si>
    <t>Host cell surface-exposed lipoprotein</t>
  </si>
  <si>
    <t>UQZ27611.1</t>
  </si>
  <si>
    <t>CACC_04475</t>
  </si>
  <si>
    <t>UQZ27612.1</t>
  </si>
  <si>
    <t>CACC_04480</t>
  </si>
  <si>
    <t>Alkyl hydroperoxide reductase subunit F</t>
  </si>
  <si>
    <t>ahpF</t>
  </si>
  <si>
    <t>UQZ27613.1</t>
  </si>
  <si>
    <t>CACC_04485</t>
  </si>
  <si>
    <t>UQZ27614.1</t>
  </si>
  <si>
    <t>CACC_04490</t>
  </si>
  <si>
    <t>UQZ27615.1</t>
  </si>
  <si>
    <t>CACC_04495</t>
  </si>
  <si>
    <t>UQZ27616.1</t>
  </si>
  <si>
    <t>CACC_04500</t>
  </si>
  <si>
    <t>tRNA-Gln</t>
  </si>
  <si>
    <t>CACC_04505</t>
  </si>
  <si>
    <t>HTH-type transcriptional repressor BdcR</t>
  </si>
  <si>
    <t>bdcR</t>
  </si>
  <si>
    <t>UQZ27617.1</t>
  </si>
  <si>
    <t>CACC_04510</t>
  </si>
  <si>
    <t>Transcription-repair-coupling factor</t>
  </si>
  <si>
    <t>mfd</t>
  </si>
  <si>
    <t>UQZ27618.1</t>
  </si>
  <si>
    <t>CACC_04515</t>
  </si>
  <si>
    <t>Nicotinate-nucleotide pyrophosphorylase [carboxylating]</t>
  </si>
  <si>
    <t>nadC</t>
  </si>
  <si>
    <t>UQZ27619.1</t>
  </si>
  <si>
    <t>CACC_04520</t>
  </si>
  <si>
    <t>Quinolinate synthase A</t>
  </si>
  <si>
    <t>nadA</t>
  </si>
  <si>
    <t>UQZ27620.1</t>
  </si>
  <si>
    <t>CACC_04525</t>
  </si>
  <si>
    <t>Arginine/ornithine antiporter</t>
  </si>
  <si>
    <t>arcD</t>
  </si>
  <si>
    <t>UQZ27621.1</t>
  </si>
  <si>
    <t>CACC_04530</t>
  </si>
  <si>
    <t>Nucleoside triphosphate pyrophosphohydrolase</t>
  </si>
  <si>
    <t>mazG</t>
  </si>
  <si>
    <t>UQZ27622.1</t>
  </si>
  <si>
    <t>CACC_04535</t>
  </si>
  <si>
    <t>UQZ27623.1</t>
  </si>
  <si>
    <t>CACC_04540</t>
  </si>
  <si>
    <t>Enolase</t>
  </si>
  <si>
    <t>eno</t>
  </si>
  <si>
    <t>UQZ27624.1</t>
  </si>
  <si>
    <t>CACC_04545</t>
  </si>
  <si>
    <t>Cell division protein FtsL</t>
  </si>
  <si>
    <t>ftsL1</t>
  </si>
  <si>
    <t>UQZ27625.1</t>
  </si>
  <si>
    <t>CACC_04550</t>
  </si>
  <si>
    <t>UQZ27626.1</t>
  </si>
  <si>
    <t>CACC_04555</t>
  </si>
  <si>
    <t>Guanosine-5'-triphosphate,3'-diphosphate pyrophosphatase</t>
  </si>
  <si>
    <t>gppA</t>
  </si>
  <si>
    <t>UQZ27627.1</t>
  </si>
  <si>
    <t>CACC_04560</t>
  </si>
  <si>
    <t>tRNA-Leu</t>
  </si>
  <si>
    <t>CACC_04565</t>
  </si>
  <si>
    <t>Bax inhibitor 1 like protein</t>
  </si>
  <si>
    <t>UQZ27628.1</t>
  </si>
  <si>
    <t>CACC_04570</t>
  </si>
  <si>
    <t>UQZ27629.1</t>
  </si>
  <si>
    <t>CACC_04575</t>
  </si>
  <si>
    <t>UQZ27630.1</t>
  </si>
  <si>
    <t>CACC_04580</t>
  </si>
  <si>
    <t>UQZ27631.1</t>
  </si>
  <si>
    <t>CACC_04585</t>
  </si>
  <si>
    <t>Transcription elongation factor GreA</t>
  </si>
  <si>
    <t>greA</t>
  </si>
  <si>
    <t>UQZ27632.1</t>
  </si>
  <si>
    <t>CACC_04590</t>
  </si>
  <si>
    <t>UQZ27633.1</t>
  </si>
  <si>
    <t>CACC_04595</t>
  </si>
  <si>
    <t>Mycothiol S-conjugate amidase</t>
  </si>
  <si>
    <t>mca</t>
  </si>
  <si>
    <t>UQZ27634.1</t>
  </si>
  <si>
    <t>CACC_04600</t>
  </si>
  <si>
    <t>UQZ27635.1</t>
  </si>
  <si>
    <t>CACC_04605</t>
  </si>
  <si>
    <t>(2Z,6E)-farnesyl diphosphate synthase</t>
  </si>
  <si>
    <t>UQZ27636.1</t>
  </si>
  <si>
    <t>CACC_04610</t>
  </si>
  <si>
    <t>Pantothenate kinase</t>
  </si>
  <si>
    <t>coaA</t>
  </si>
  <si>
    <t>UQZ27637.1</t>
  </si>
  <si>
    <t>CACC_04615</t>
  </si>
  <si>
    <t>Serine hydroxymethyltransferase 1</t>
  </si>
  <si>
    <t>glyA1</t>
  </si>
  <si>
    <t>UQZ27638.1</t>
  </si>
  <si>
    <t>CACC_04620</t>
  </si>
  <si>
    <t>UQZ27639.1</t>
  </si>
  <si>
    <t>CACC_04625</t>
  </si>
  <si>
    <t>LysR substrate binding domain protein</t>
  </si>
  <si>
    <t>UQZ27640.1</t>
  </si>
  <si>
    <t>CACC_04630</t>
  </si>
  <si>
    <t>UQZ27641.1</t>
  </si>
  <si>
    <t>CACC_04635</t>
  </si>
  <si>
    <t>PhoH-like protein</t>
  </si>
  <si>
    <t>ybeZ1</t>
  </si>
  <si>
    <t>UQZ27642.1</t>
  </si>
  <si>
    <t>CACC_04640</t>
  </si>
  <si>
    <t>yncA3</t>
  </si>
  <si>
    <t>UQZ27643.1</t>
  </si>
  <si>
    <t>CACC_04645</t>
  </si>
  <si>
    <t>UQZ27644.1</t>
  </si>
  <si>
    <t>CACC_04650</t>
  </si>
  <si>
    <t>Multidrug resistance protein 3</t>
  </si>
  <si>
    <t>bmr3</t>
  </si>
  <si>
    <t>UQZ27645.1</t>
  </si>
  <si>
    <t>CACC_04655</t>
  </si>
  <si>
    <t>UQZ27646.1</t>
  </si>
  <si>
    <t>CACC_04660</t>
  </si>
  <si>
    <t>Fumarate hydratase class II</t>
  </si>
  <si>
    <t>fumC</t>
  </si>
  <si>
    <t>UQZ27647.1</t>
  </si>
  <si>
    <t>CACC_04665</t>
  </si>
  <si>
    <t>Fructose-1,6-bisphosphatase class 2</t>
  </si>
  <si>
    <t>glpX</t>
  </si>
  <si>
    <t>UQZ27648.1</t>
  </si>
  <si>
    <t>CACC_04670</t>
  </si>
  <si>
    <t>UQZ27649.1</t>
  </si>
  <si>
    <t>CACC_04675</t>
  </si>
  <si>
    <t>UQZ27650.1</t>
  </si>
  <si>
    <t>CACC_04680</t>
  </si>
  <si>
    <t>exodeoxyribonuclease VII small subunit</t>
  </si>
  <si>
    <t>UQZ27651.1</t>
  </si>
  <si>
    <t>CACC_04685</t>
  </si>
  <si>
    <t>Exodeoxyribonuclease 7 large subunit</t>
  </si>
  <si>
    <t>xseA</t>
  </si>
  <si>
    <t>UQZ27652.1</t>
  </si>
  <si>
    <t>CACC_04690</t>
  </si>
  <si>
    <t>4-hydroxy-3-methylbut-2-enyl diphosphate reductase</t>
  </si>
  <si>
    <t>ispH</t>
  </si>
  <si>
    <t>UQZ27653.1</t>
  </si>
  <si>
    <t>CACC_04695</t>
  </si>
  <si>
    <t>UQZ27654.1</t>
  </si>
  <si>
    <t>CACC_04700</t>
  </si>
  <si>
    <t>DNA recombination protein RmuC</t>
  </si>
  <si>
    <t>rmuC</t>
  </si>
  <si>
    <t>UQZ27655.1</t>
  </si>
  <si>
    <t>CACC_04705</t>
  </si>
  <si>
    <t>AI-2 transport protein TqsA</t>
  </si>
  <si>
    <t>tqsA1</t>
  </si>
  <si>
    <t>UQZ27656.1</t>
  </si>
  <si>
    <t>CACC_04710</t>
  </si>
  <si>
    <t>Ribosome-binding ATPase YchF</t>
  </si>
  <si>
    <t>ychF</t>
  </si>
  <si>
    <t>UQZ27657.1</t>
  </si>
  <si>
    <t>CACC_04715</t>
  </si>
  <si>
    <t>General stress protein 18</t>
  </si>
  <si>
    <t>yfkM</t>
  </si>
  <si>
    <t>UQZ27658.1</t>
  </si>
  <si>
    <t>CACC_04720</t>
  </si>
  <si>
    <t>Ferrous-iron efflux pump FieF</t>
  </si>
  <si>
    <t>fieF</t>
  </si>
  <si>
    <t>UQZ27659.1</t>
  </si>
  <si>
    <t>CACC_04725</t>
  </si>
  <si>
    <t>Proton glutamate symport protein</t>
  </si>
  <si>
    <t>gltP</t>
  </si>
  <si>
    <t>UQZ27660.1</t>
  </si>
  <si>
    <t>CACC_04730</t>
  </si>
  <si>
    <t>Thermonuclease precursor</t>
  </si>
  <si>
    <t>nucH</t>
  </si>
  <si>
    <t>UQZ27661.1</t>
  </si>
  <si>
    <t>CACC_04735</t>
  </si>
  <si>
    <t>Pyrrolidone-carboxylate peptidase</t>
  </si>
  <si>
    <t>pcp</t>
  </si>
  <si>
    <t>UQZ27662.1</t>
  </si>
  <si>
    <t>CACC_04740</t>
  </si>
  <si>
    <t>Formate dehydrogenase subunit alpha precursor</t>
  </si>
  <si>
    <t>fdhA</t>
  </si>
  <si>
    <t>UQZ27663.1</t>
  </si>
  <si>
    <t>CACC_04745</t>
  </si>
  <si>
    <t>Formate dehydrogenase, nitrate-inducible, major subunit precursor</t>
  </si>
  <si>
    <t>fdnG</t>
  </si>
  <si>
    <t>UQZ27664.1</t>
  </si>
  <si>
    <t>CACC_04750</t>
  </si>
  <si>
    <t>Formate dehydrogenase, nitrate-inducible, iron-sulfur subunit</t>
  </si>
  <si>
    <t>fdnH</t>
  </si>
  <si>
    <t>UQZ27665.1</t>
  </si>
  <si>
    <t>CACC_04755</t>
  </si>
  <si>
    <t>Polysulfide reductase, NrfD</t>
  </si>
  <si>
    <t>UQZ27666.1</t>
  </si>
  <si>
    <t>CACC_04760</t>
  </si>
  <si>
    <t>UQZ27667.1</t>
  </si>
  <si>
    <t>CACC_04765</t>
  </si>
  <si>
    <t>Selenide, water dikinase</t>
  </si>
  <si>
    <t>selD</t>
  </si>
  <si>
    <t>UQZ27668.1</t>
  </si>
  <si>
    <t>CACC_04770</t>
  </si>
  <si>
    <t>tRNA-Sec</t>
  </si>
  <si>
    <t>CACC_04775</t>
  </si>
  <si>
    <t>L-seryl-tRNA(Sec) selenium transferase</t>
  </si>
  <si>
    <t>selA</t>
  </si>
  <si>
    <t>UQZ27669.1</t>
  </si>
  <si>
    <t>CACC_04780</t>
  </si>
  <si>
    <t>Selenocysteine-specific elongation factor</t>
  </si>
  <si>
    <t>selB</t>
  </si>
  <si>
    <t>UQZ27670.1</t>
  </si>
  <si>
    <t>CACC_04785</t>
  </si>
  <si>
    <t>UQZ27671.1</t>
  </si>
  <si>
    <t>CACC_04790</t>
  </si>
  <si>
    <t>betP3</t>
  </si>
  <si>
    <t>UQZ27672.1</t>
  </si>
  <si>
    <t>CACC_04795</t>
  </si>
  <si>
    <t>Zinc transporter ZupT</t>
  </si>
  <si>
    <t>zupT</t>
  </si>
  <si>
    <t>UQZ27673.1</t>
  </si>
  <si>
    <t>CACC_04800</t>
  </si>
  <si>
    <t>Inner membrane protein YedI</t>
  </si>
  <si>
    <t>yedI</t>
  </si>
  <si>
    <t>UQZ27674.1</t>
  </si>
  <si>
    <t>CACC_04805</t>
  </si>
  <si>
    <t>UQZ27675.1</t>
  </si>
  <si>
    <t>CACC_04810</t>
  </si>
  <si>
    <t>UQZ27676.1</t>
  </si>
  <si>
    <t>CACC_04815</t>
  </si>
  <si>
    <t>GTP-binding protein TypA/BipA</t>
  </si>
  <si>
    <t>typA</t>
  </si>
  <si>
    <t>UQZ27677.1</t>
  </si>
  <si>
    <t>CACC_04820</t>
  </si>
  <si>
    <t>UQZ27678.1</t>
  </si>
  <si>
    <t>CACC_04825</t>
  </si>
  <si>
    <t>UQZ27679.1</t>
  </si>
  <si>
    <t>CACC_04830</t>
  </si>
  <si>
    <t>1D-myo-inositol 2-acetamido-2-deoxy-alpha-D-glucopyranoside deacetylase</t>
  </si>
  <si>
    <t>mshB</t>
  </si>
  <si>
    <t>UQZ27680.1</t>
  </si>
  <si>
    <t>CACC_04835</t>
  </si>
  <si>
    <t>UQZ27681.1</t>
  </si>
  <si>
    <t>CACC_04840</t>
  </si>
  <si>
    <t>Ferredoxin</t>
  </si>
  <si>
    <t>fdxA</t>
  </si>
  <si>
    <t>UQZ27682.1</t>
  </si>
  <si>
    <t>CACC_04845</t>
  </si>
  <si>
    <t>LL-diaminopimelate aminotransferase</t>
  </si>
  <si>
    <t>dapL</t>
  </si>
  <si>
    <t>UQZ27683.1</t>
  </si>
  <si>
    <t>CACC_04850</t>
  </si>
  <si>
    <t>Ribosomal large subunit pseudouridine synthase A</t>
  </si>
  <si>
    <t>rluA1</t>
  </si>
  <si>
    <t>UQZ27684.1</t>
  </si>
  <si>
    <t>CACC_04855</t>
  </si>
  <si>
    <t>UQZ27685.1</t>
  </si>
  <si>
    <t>CACC_04860</t>
  </si>
  <si>
    <t>UQZ27686.1</t>
  </si>
  <si>
    <t>CACC_04865</t>
  </si>
  <si>
    <t>UQZ27687.1</t>
  </si>
  <si>
    <t>CACC_04870</t>
  </si>
  <si>
    <t>UQZ27688.1</t>
  </si>
  <si>
    <t>CACC_04875</t>
  </si>
  <si>
    <t>GABA permease</t>
  </si>
  <si>
    <t>gabP1</t>
  </si>
  <si>
    <t>UQZ27689.1</t>
  </si>
  <si>
    <t>CACC_04880</t>
  </si>
  <si>
    <t>2,3,4,5-tetrahydropyridine-2,6-dicarboxylate N-succinyltransferase</t>
  </si>
  <si>
    <t>dapD</t>
  </si>
  <si>
    <t>UQZ27690.1</t>
  </si>
  <si>
    <t>CACC_04885</t>
  </si>
  <si>
    <t>gabP2</t>
  </si>
  <si>
    <t>UQZ27691.1</t>
  </si>
  <si>
    <t>CACC_04890</t>
  </si>
  <si>
    <t>Succinyl-diaminopimelate desuccinylase</t>
  </si>
  <si>
    <t>dapE2</t>
  </si>
  <si>
    <t>UQZ27692.1</t>
  </si>
  <si>
    <t>CACC_04895</t>
  </si>
  <si>
    <t>LOG family protein ORF6 in fasciation locus</t>
  </si>
  <si>
    <t>fas6</t>
  </si>
  <si>
    <t>UQZ27693.1</t>
  </si>
  <si>
    <t>CACC_04900</t>
  </si>
  <si>
    <t>Inactive dihydropteroate synthase 2</t>
  </si>
  <si>
    <t>folP1</t>
  </si>
  <si>
    <t>UQZ27694.1</t>
  </si>
  <si>
    <t>CACC_04905</t>
  </si>
  <si>
    <t>Glucosyl-3-phosphoglycerate synthase</t>
  </si>
  <si>
    <t>gpgS</t>
  </si>
  <si>
    <t>UQZ27695.1</t>
  </si>
  <si>
    <t>CACC_04910</t>
  </si>
  <si>
    <t>UQZ27696.1</t>
  </si>
  <si>
    <t>CACC_04915</t>
  </si>
  <si>
    <t>UQZ27697.1</t>
  </si>
  <si>
    <t>CACC_04920</t>
  </si>
  <si>
    <t>23S rRNA (guanine(748)-N(1))-methyltransferase</t>
  </si>
  <si>
    <t>rlmAII</t>
  </si>
  <si>
    <t>UQZ27698.1</t>
  </si>
  <si>
    <t>CACC_04925</t>
  </si>
  <si>
    <t>Sucrose-6-phosphate hydrolase</t>
  </si>
  <si>
    <t>scrB</t>
  </si>
  <si>
    <t>UQZ27699.1</t>
  </si>
  <si>
    <t>CACC_04930</t>
  </si>
  <si>
    <t>Putative O-methyltransferase</t>
  </si>
  <si>
    <t>UQZ27700.1</t>
  </si>
  <si>
    <t>CACC_04935</t>
  </si>
  <si>
    <t>ECF RNA polymerase sigma factor SigE</t>
  </si>
  <si>
    <t>sigE</t>
  </si>
  <si>
    <t>UQZ27701.1</t>
  </si>
  <si>
    <t>CACC_04940</t>
  </si>
  <si>
    <t>Anti-sigma-E factor RseA</t>
  </si>
  <si>
    <t>rseA</t>
  </si>
  <si>
    <t>UQZ27702.1</t>
  </si>
  <si>
    <t>CACC_04945</t>
  </si>
  <si>
    <t>Sec-independent protein translocase protein TatB</t>
  </si>
  <si>
    <t>tatB</t>
  </si>
  <si>
    <t>UQZ27703.1</t>
  </si>
  <si>
    <t>CACC_04950</t>
  </si>
  <si>
    <t>Flagellum site-determining protein YlxH</t>
  </si>
  <si>
    <t>ylxH</t>
  </si>
  <si>
    <t>UQZ27704.1</t>
  </si>
  <si>
    <t>CACC_04955</t>
  </si>
  <si>
    <t>UQZ27705.1</t>
  </si>
  <si>
    <t>CACC_04960</t>
  </si>
  <si>
    <t>2-oxoglutarate dehydrogenase E1/E2 component</t>
  </si>
  <si>
    <t>odhA</t>
  </si>
  <si>
    <t>UQZ27706.1</t>
  </si>
  <si>
    <t>CACC_04965</t>
  </si>
  <si>
    <t>UQZ27707.1</t>
  </si>
  <si>
    <t>CACC_04970</t>
  </si>
  <si>
    <t>Para-nitrobenzyl esterase</t>
  </si>
  <si>
    <t>pnbA</t>
  </si>
  <si>
    <t>UQZ27708.1</t>
  </si>
  <si>
    <t>CACC_04975</t>
  </si>
  <si>
    <t>UQZ27709.1</t>
  </si>
  <si>
    <t>CACC_04980</t>
  </si>
  <si>
    <t>UQZ27710.1</t>
  </si>
  <si>
    <t>CACC_04985</t>
  </si>
  <si>
    <t>Multidrug efflux protein YfmO</t>
  </si>
  <si>
    <t>yfmO</t>
  </si>
  <si>
    <t>UQZ27711.1</t>
  </si>
  <si>
    <t>CACC_04990</t>
  </si>
  <si>
    <t>UQZ27712.1</t>
  </si>
  <si>
    <t>CACC_04995</t>
  </si>
  <si>
    <t>Divalent metal cation transporter MntH</t>
  </si>
  <si>
    <t>mntH</t>
  </si>
  <si>
    <t>UQZ27713.1</t>
  </si>
  <si>
    <t>CACC_05000</t>
  </si>
  <si>
    <t>CACC_05005</t>
  </si>
  <si>
    <t>CTP pyrophosphohydrolase</t>
  </si>
  <si>
    <t>nudG</t>
  </si>
  <si>
    <t>UQZ27714.1</t>
  </si>
  <si>
    <t>CACC_05015</t>
  </si>
  <si>
    <t>Nucleoside recognition</t>
  </si>
  <si>
    <t>UQZ27715.1</t>
  </si>
  <si>
    <t>CACC_05020</t>
  </si>
  <si>
    <t>Formimidoylglutamase</t>
  </si>
  <si>
    <t>hutG</t>
  </si>
  <si>
    <t>UQZ27716.1</t>
  </si>
  <si>
    <t>CACC_05025</t>
  </si>
  <si>
    <t>Transcriptional regulator KdgR</t>
  </si>
  <si>
    <t>kdgR</t>
  </si>
  <si>
    <t>UQZ27717.1</t>
  </si>
  <si>
    <t>CACC_05030</t>
  </si>
  <si>
    <t>Histidine ammonia-lyase</t>
  </si>
  <si>
    <t>hutH</t>
  </si>
  <si>
    <t>UQZ27718.1</t>
  </si>
  <si>
    <t>CACC_05035</t>
  </si>
  <si>
    <t>Lipase 2 precursor</t>
  </si>
  <si>
    <t>UQZ27719.1</t>
  </si>
  <si>
    <t>CACC_05040</t>
  </si>
  <si>
    <t>Urocanate hydratase</t>
  </si>
  <si>
    <t>hutU</t>
  </si>
  <si>
    <t>UQZ27720.1</t>
  </si>
  <si>
    <t>CACC_05045</t>
  </si>
  <si>
    <t>Imidazolonepropionase</t>
  </si>
  <si>
    <t>hutI</t>
  </si>
  <si>
    <t>UQZ27721.1</t>
  </si>
  <si>
    <t>CACC_05050</t>
  </si>
  <si>
    <t>ATP-dependent RNA helicase DeaD</t>
  </si>
  <si>
    <t>deaD</t>
  </si>
  <si>
    <t>UQZ27722.1</t>
  </si>
  <si>
    <t>CACC_05055</t>
  </si>
  <si>
    <t>UQZ27723.1</t>
  </si>
  <si>
    <t>CACC_05060</t>
  </si>
  <si>
    <t>UQZ27724.1</t>
  </si>
  <si>
    <t>CACC_05065</t>
  </si>
  <si>
    <t>UQZ27725.1</t>
  </si>
  <si>
    <t>CACC_05070</t>
  </si>
  <si>
    <t>Sodium/proline symporter</t>
  </si>
  <si>
    <t>putP</t>
  </si>
  <si>
    <t>UQZ27726.1</t>
  </si>
  <si>
    <t>CACC_05075</t>
  </si>
  <si>
    <t>ATP-dependent helicase HepA</t>
  </si>
  <si>
    <t>UQZ27727.1</t>
  </si>
  <si>
    <t>CACC_05080</t>
  </si>
  <si>
    <t>UQZ27728.1</t>
  </si>
  <si>
    <t>CACC_05085</t>
  </si>
  <si>
    <t>putative metallophosphoesterase YhaO</t>
  </si>
  <si>
    <t>yhaO</t>
  </si>
  <si>
    <t>UQZ27729.1</t>
  </si>
  <si>
    <t>CACC_05090</t>
  </si>
  <si>
    <t>chromosome segregation protein</t>
  </si>
  <si>
    <t>UQZ27730.1</t>
  </si>
  <si>
    <t>CACC_05095</t>
  </si>
  <si>
    <t>UQZ27731.1</t>
  </si>
  <si>
    <t>CACC_05100</t>
  </si>
  <si>
    <t>UQZ27732.1</t>
  </si>
  <si>
    <t>CACC_05105</t>
  </si>
  <si>
    <t>UQZ27733.1</t>
  </si>
  <si>
    <t>CACC_05110</t>
  </si>
  <si>
    <t>ABC-2 family transporter protein</t>
  </si>
  <si>
    <t>UQZ27734.1</t>
  </si>
  <si>
    <t>CACC_05115</t>
  </si>
  <si>
    <t>putative ABC transporter ATP-binding protein YbhF</t>
  </si>
  <si>
    <t>ybhF1</t>
  </si>
  <si>
    <t>UQZ27735.1</t>
  </si>
  <si>
    <t>CACC_05120</t>
  </si>
  <si>
    <t>UQZ27736.1</t>
  </si>
  <si>
    <t>CACC_05125</t>
  </si>
  <si>
    <t>UQZ27737.1</t>
  </si>
  <si>
    <t>CACC_05130</t>
  </si>
  <si>
    <t>CACC_05135</t>
  </si>
  <si>
    <t>Tripeptidyl aminopeptidase precursor</t>
  </si>
  <si>
    <t>tap</t>
  </si>
  <si>
    <t>UQZ27738.1</t>
  </si>
  <si>
    <t>CACC_05140</t>
  </si>
  <si>
    <t>Lactate utilization protein C</t>
  </si>
  <si>
    <t>lutC</t>
  </si>
  <si>
    <t>UQZ27739.1</t>
  </si>
  <si>
    <t>CACC_05145</t>
  </si>
  <si>
    <t>Lactate utilization protein B</t>
  </si>
  <si>
    <t>lutB</t>
  </si>
  <si>
    <t>UQZ27740.1</t>
  </si>
  <si>
    <t>CACC_05150</t>
  </si>
  <si>
    <t>Lactate utilization protein A</t>
  </si>
  <si>
    <t>lutA</t>
  </si>
  <si>
    <t>UQZ27741.1</t>
  </si>
  <si>
    <t>CACC_05155</t>
  </si>
  <si>
    <t>Arginine--tRNA ligase</t>
  </si>
  <si>
    <t>argS</t>
  </si>
  <si>
    <t>UQZ27742.1</t>
  </si>
  <si>
    <t>CACC_05160</t>
  </si>
  <si>
    <t>Diaminopimelate decarboxylase</t>
  </si>
  <si>
    <t>lysA</t>
  </si>
  <si>
    <t>UQZ27743.1</t>
  </si>
  <si>
    <t>CACC_05165</t>
  </si>
  <si>
    <t>Homoserine dehydrogenase</t>
  </si>
  <si>
    <t>hom</t>
  </si>
  <si>
    <t>UQZ27744.1</t>
  </si>
  <si>
    <t>CACC_05170</t>
  </si>
  <si>
    <t>Homoserine kinase</t>
  </si>
  <si>
    <t>thrB</t>
  </si>
  <si>
    <t>UQZ27745.1</t>
  </si>
  <si>
    <t>CACC_05175</t>
  </si>
  <si>
    <t>UQZ27746.1</t>
  </si>
  <si>
    <t>CACC_05180</t>
  </si>
  <si>
    <t>Sulfate transport system permease protein CysW</t>
  </si>
  <si>
    <t>cysW</t>
  </si>
  <si>
    <t>UQZ27747.1</t>
  </si>
  <si>
    <t>CACC_05185</t>
  </si>
  <si>
    <t>Molybdate-binding periplasmic protein precursor</t>
  </si>
  <si>
    <t>modA</t>
  </si>
  <si>
    <t>UQZ27748.1</t>
  </si>
  <si>
    <t>CACC_05190</t>
  </si>
  <si>
    <t>UQZ27749.1</t>
  </si>
  <si>
    <t>CACC_05195</t>
  </si>
  <si>
    <t>UQZ27750.1</t>
  </si>
  <si>
    <t>CACC_05200</t>
  </si>
  <si>
    <t>UQZ27751.1</t>
  </si>
  <si>
    <t>CACC_05205</t>
  </si>
  <si>
    <t>Copper-containing nitrite reductase precursor</t>
  </si>
  <si>
    <t>aniA</t>
  </si>
  <si>
    <t>UQZ27752.1</t>
  </si>
  <si>
    <t>CACC_05210</t>
  </si>
  <si>
    <t>Nitrate reductase-like protein NarX</t>
  </si>
  <si>
    <t>narX1</t>
  </si>
  <si>
    <t>UQZ27753.1</t>
  </si>
  <si>
    <t>CACC_05215</t>
  </si>
  <si>
    <t>narX2</t>
  </si>
  <si>
    <t>UQZ27754.1</t>
  </si>
  <si>
    <t>CACC_05220</t>
  </si>
  <si>
    <t>Respiratory nitrate reductase 2 beta chain</t>
  </si>
  <si>
    <t>narY</t>
  </si>
  <si>
    <t>UQZ27755.1</t>
  </si>
  <si>
    <t>CACC_05225</t>
  </si>
  <si>
    <t>Nitrate reductase alpha subunit</t>
  </si>
  <si>
    <t>narG</t>
  </si>
  <si>
    <t>UQZ27756.1</t>
  </si>
  <si>
    <t>CACC_05230</t>
  </si>
  <si>
    <t>Nitrate/nitrite transporter NarK</t>
  </si>
  <si>
    <t>narK</t>
  </si>
  <si>
    <t>UQZ27757.1</t>
  </si>
  <si>
    <t>CACC_05235</t>
  </si>
  <si>
    <t>bifunctional molybdenum cofactor biosynthesis protein MoaC/MogA</t>
  </si>
  <si>
    <t>UQZ27758.1</t>
  </si>
  <si>
    <t>CACC_05240</t>
  </si>
  <si>
    <t>molybdopterin-guanine dinucleotide biosynthesis protein MobA</t>
  </si>
  <si>
    <t>UQZ27759.1</t>
  </si>
  <si>
    <t>CACC_05245</t>
  </si>
  <si>
    <t>Cyclic pyranopterin monophosphate synthase accessory protein 2</t>
  </si>
  <si>
    <t>moaC2</t>
  </si>
  <si>
    <t>UQZ27760.1</t>
  </si>
  <si>
    <t>CACC_05250</t>
  </si>
  <si>
    <t>moeA3</t>
  </si>
  <si>
    <t>UQZ27761.1</t>
  </si>
  <si>
    <t>CACC_05255</t>
  </si>
  <si>
    <t>Cyclic pyranopterin monophosphate synthase</t>
  </si>
  <si>
    <t>moaA</t>
  </si>
  <si>
    <t>UQZ27762.1</t>
  </si>
  <si>
    <t>CACC_05260</t>
  </si>
  <si>
    <t>UQZ27763.1</t>
  </si>
  <si>
    <t>CACC_05265</t>
  </si>
  <si>
    <t>UQZ27764.1</t>
  </si>
  <si>
    <t>CACC_05270</t>
  </si>
  <si>
    <t>Peptide chain release factor 1</t>
  </si>
  <si>
    <t>prfA</t>
  </si>
  <si>
    <t>UQZ27765.1</t>
  </si>
  <si>
    <t>CACC_05275</t>
  </si>
  <si>
    <t>Release factor glutamine methyltransferase</t>
  </si>
  <si>
    <t>prmC</t>
  </si>
  <si>
    <t>UQZ27766.1</t>
  </si>
  <si>
    <t>CACC_05280</t>
  </si>
  <si>
    <t>Threonylcarbamoyl-AMP synthase</t>
  </si>
  <si>
    <t>ywlC</t>
  </si>
  <si>
    <t>UQZ27767.1</t>
  </si>
  <si>
    <t>CACC_05285</t>
  </si>
  <si>
    <t>Decaprenyl-phosphate N-acetylglucosaminephosphotransferase</t>
  </si>
  <si>
    <t>wecA</t>
  </si>
  <si>
    <t>UQZ27768.1</t>
  </si>
  <si>
    <t>CACC_05290</t>
  </si>
  <si>
    <t>UQZ27769.1</t>
  </si>
  <si>
    <t>CACC_05295</t>
  </si>
  <si>
    <t>ATP synthase subunit a</t>
  </si>
  <si>
    <t>atpB</t>
  </si>
  <si>
    <t>UQZ27770.1</t>
  </si>
  <si>
    <t>CACC_05300</t>
  </si>
  <si>
    <t>ATP synthase subunit c</t>
  </si>
  <si>
    <t>atpE</t>
  </si>
  <si>
    <t>UQZ27771.1</t>
  </si>
  <si>
    <t>CACC_05305</t>
  </si>
  <si>
    <t>ATP synthase subunit b</t>
  </si>
  <si>
    <t>atpF</t>
  </si>
  <si>
    <t>UQZ27772.1</t>
  </si>
  <si>
    <t>CACC_05310</t>
  </si>
  <si>
    <t>ATP synthase subunit delta</t>
  </si>
  <si>
    <t>atpH</t>
  </si>
  <si>
    <t>UQZ27773.1</t>
  </si>
  <si>
    <t>CACC_05315</t>
  </si>
  <si>
    <t>ATP synthase subunit alpha</t>
  </si>
  <si>
    <t>atpA</t>
  </si>
  <si>
    <t>UQZ27774.1</t>
  </si>
  <si>
    <t>CACC_05320</t>
  </si>
  <si>
    <t>ATP synthase gamma chain</t>
  </si>
  <si>
    <t>atpG</t>
  </si>
  <si>
    <t>UQZ27775.1</t>
  </si>
  <si>
    <t>CACC_05325</t>
  </si>
  <si>
    <t>ATP synthase subunit beta</t>
  </si>
  <si>
    <t>atpD</t>
  </si>
  <si>
    <t>UQZ27776.1</t>
  </si>
  <si>
    <t>CACC_05330</t>
  </si>
  <si>
    <t>ATP synthase epsilon chain</t>
  </si>
  <si>
    <t>atpC</t>
  </si>
  <si>
    <t>UQZ27777.1</t>
  </si>
  <si>
    <t>CACC_05335</t>
  </si>
  <si>
    <t>UQZ27778.1</t>
  </si>
  <si>
    <t>CACC_05340</t>
  </si>
  <si>
    <t>UQZ27779.1</t>
  </si>
  <si>
    <t>CACC_05345</t>
  </si>
  <si>
    <t>UQZ27780.1</t>
  </si>
  <si>
    <t>CACC_05350</t>
  </si>
  <si>
    <t>Thioredoxin</t>
  </si>
  <si>
    <t>trxA</t>
  </si>
  <si>
    <t>UQZ27781.1</t>
  </si>
  <si>
    <t>CACC_05355</t>
  </si>
  <si>
    <t>putative ABC transporter ATP-binding protein YlmA</t>
  </si>
  <si>
    <t>ylmA</t>
  </si>
  <si>
    <t>UQZ27782.1</t>
  </si>
  <si>
    <t>CACC_05360</t>
  </si>
  <si>
    <t>NUDIX domain protein</t>
  </si>
  <si>
    <t>UQZ27783.1</t>
  </si>
  <si>
    <t>CACC_05365</t>
  </si>
  <si>
    <t>UQZ27784.1</t>
  </si>
  <si>
    <t>CACC_05370</t>
  </si>
  <si>
    <t>Electron transfer flavoprotein subunit beta</t>
  </si>
  <si>
    <t>etfB</t>
  </si>
  <si>
    <t>UQZ27785.1</t>
  </si>
  <si>
    <t>CACC_05375</t>
  </si>
  <si>
    <t>Electron transfer flavoprotein subunit alpha</t>
  </si>
  <si>
    <t>etfA</t>
  </si>
  <si>
    <t>UQZ27786.1</t>
  </si>
  <si>
    <t>CACC_05380</t>
  </si>
  <si>
    <t>Cysteine desulfurase</t>
  </si>
  <si>
    <t>iscS</t>
  </si>
  <si>
    <t>UQZ27787.1</t>
  </si>
  <si>
    <t>CACC_05385</t>
  </si>
  <si>
    <t>CACC_05390</t>
  </si>
  <si>
    <t>Lysozyme M1 precursor</t>
  </si>
  <si>
    <t>acm</t>
  </si>
  <si>
    <t>UQZ27788.1</t>
  </si>
  <si>
    <t>CACC_05400</t>
  </si>
  <si>
    <t>spermidine synthase</t>
  </si>
  <si>
    <t>UQZ27789.1</t>
  </si>
  <si>
    <t>CACC_05405</t>
  </si>
  <si>
    <t>tRNA-specific 2-thiouridylase MnmA</t>
  </si>
  <si>
    <t>mnmA</t>
  </si>
  <si>
    <t>UQZ27790.1</t>
  </si>
  <si>
    <t>CACC_05410</t>
  </si>
  <si>
    <t>UQZ27791.1</t>
  </si>
  <si>
    <t>CACC_05415</t>
  </si>
  <si>
    <t>UQZ27792.1</t>
  </si>
  <si>
    <t>CACC_05420</t>
  </si>
  <si>
    <t>UQZ27793.1</t>
  </si>
  <si>
    <t>CACC_05425</t>
  </si>
  <si>
    <t>Penicillin-binding protein 4*</t>
  </si>
  <si>
    <t>pbpE</t>
  </si>
  <si>
    <t>UQZ27794.1</t>
  </si>
  <si>
    <t>CACC_05430</t>
  </si>
  <si>
    <t>UQZ27795.1</t>
  </si>
  <si>
    <t>CACC_05435</t>
  </si>
  <si>
    <t>DNA polymerase III PolC-type</t>
  </si>
  <si>
    <t>polC1</t>
  </si>
  <si>
    <t>UQZ27796.1</t>
  </si>
  <si>
    <t>CACC_05440</t>
  </si>
  <si>
    <t>DNA ligase</t>
  </si>
  <si>
    <t>ligA</t>
  </si>
  <si>
    <t>UQZ27797.1</t>
  </si>
  <si>
    <t>CACC_05445</t>
  </si>
  <si>
    <t>UQZ27798.1</t>
  </si>
  <si>
    <t>CACC_05450</t>
  </si>
  <si>
    <t>Aspartyl/glutamyl-tRNA(Asn/Gln) amidotransferase subunit C</t>
  </si>
  <si>
    <t>gatC</t>
  </si>
  <si>
    <t>UQZ27799.1</t>
  </si>
  <si>
    <t>CACC_05455</t>
  </si>
  <si>
    <t>gatA2</t>
  </si>
  <si>
    <t>UQZ27800.1</t>
  </si>
  <si>
    <t>CACC_05460</t>
  </si>
  <si>
    <t>META domain protein</t>
  </si>
  <si>
    <t>UQZ27801.1</t>
  </si>
  <si>
    <t>CACC_05465</t>
  </si>
  <si>
    <t>UQZ27802.1</t>
  </si>
  <si>
    <t>CACC_05470</t>
  </si>
  <si>
    <t>Antiseptic resistance protein</t>
  </si>
  <si>
    <t>qacA1</t>
  </si>
  <si>
    <t>UQZ27803.1</t>
  </si>
  <si>
    <t>CACC_05475</t>
  </si>
  <si>
    <t>6-phosphofructokinase</t>
  </si>
  <si>
    <t>pfkA</t>
  </si>
  <si>
    <t>UQZ27804.1</t>
  </si>
  <si>
    <t>CACC_05480</t>
  </si>
  <si>
    <t>Sodium Bile acid symporter family protein</t>
  </si>
  <si>
    <t>UQZ27805.1</t>
  </si>
  <si>
    <t>CACC_05485</t>
  </si>
  <si>
    <t>UQZ27806.1</t>
  </si>
  <si>
    <t>CACC_05490</t>
  </si>
  <si>
    <t>Aspartyl/glutamyl-tRNA(Asn/Gln) amidotransferase subunit B</t>
  </si>
  <si>
    <t>gatB</t>
  </si>
  <si>
    <t>UQZ27807.1</t>
  </si>
  <si>
    <t>CACC_05495</t>
  </si>
  <si>
    <t>putative formaldehyde dehydrogenase AdhA</t>
  </si>
  <si>
    <t>adhA</t>
  </si>
  <si>
    <t>UQZ27808.1</t>
  </si>
  <si>
    <t>CACC_05500</t>
  </si>
  <si>
    <t>UQZ27809.1</t>
  </si>
  <si>
    <t>CACC_05505</t>
  </si>
  <si>
    <t>Arginine exporter protein ArgO</t>
  </si>
  <si>
    <t>argO</t>
  </si>
  <si>
    <t>UQZ27810.1</t>
  </si>
  <si>
    <t>CACC_05510</t>
  </si>
  <si>
    <t>UQZ27811.1</t>
  </si>
  <si>
    <t>CACC_05515</t>
  </si>
  <si>
    <t>Glutathionyl-hydroquinone reductase YqjG</t>
  </si>
  <si>
    <t>yqjG</t>
  </si>
  <si>
    <t>UQZ27812.1</t>
  </si>
  <si>
    <t>CACC_05520</t>
  </si>
  <si>
    <t>DoxX</t>
  </si>
  <si>
    <t>UQZ27813.1</t>
  </si>
  <si>
    <t>CACC_05525</t>
  </si>
  <si>
    <t>UQZ27814.1</t>
  </si>
  <si>
    <t>CACC_05530</t>
  </si>
  <si>
    <t>UQZ27815.1</t>
  </si>
  <si>
    <t>CACC_05535</t>
  </si>
  <si>
    <t>Polyprenol-phosphate-mannose-dependent alpha-(1-2)-phosphatidylinositol mannoside mannosyltransferase</t>
  </si>
  <si>
    <t>UQZ27816.1</t>
  </si>
  <si>
    <t>CACC_05540</t>
  </si>
  <si>
    <t>Dihydroxy-acid dehydratase</t>
  </si>
  <si>
    <t>ilvD</t>
  </si>
  <si>
    <t>UQZ27817.1</t>
  </si>
  <si>
    <t>CACC_05545</t>
  </si>
  <si>
    <t>Low molecular weight protein antigen 6</t>
  </si>
  <si>
    <t>cfp6</t>
  </si>
  <si>
    <t>UQZ27818.1</t>
  </si>
  <si>
    <t>CACC_05550</t>
  </si>
  <si>
    <t>Acetolactate synthase large subunit</t>
  </si>
  <si>
    <t>ilvB</t>
  </si>
  <si>
    <t>UQZ27819.1</t>
  </si>
  <si>
    <t>CACC_05555</t>
  </si>
  <si>
    <t>Acetolactate synthase small subunit</t>
  </si>
  <si>
    <t>ilvH</t>
  </si>
  <si>
    <t>UQZ27820.1</t>
  </si>
  <si>
    <t>CACC_05560</t>
  </si>
  <si>
    <t>Ketol-acid reductoisomerase</t>
  </si>
  <si>
    <t>ilvC</t>
  </si>
  <si>
    <t>UQZ27821.1</t>
  </si>
  <si>
    <t>CACC_05565</t>
  </si>
  <si>
    <t>UQZ27822.1</t>
  </si>
  <si>
    <t>CACC_05570</t>
  </si>
  <si>
    <t>UQZ27823.1</t>
  </si>
  <si>
    <t>CACC_05575</t>
  </si>
  <si>
    <t>D-3-phosphoglycerate dehydrogenase</t>
  </si>
  <si>
    <t>serA</t>
  </si>
  <si>
    <t>UQZ27824.1</t>
  </si>
  <si>
    <t>CACC_05580</t>
  </si>
  <si>
    <t>3-isopropylmalate dehydrogenase</t>
  </si>
  <si>
    <t>leuB</t>
  </si>
  <si>
    <t>UQZ27825.1</t>
  </si>
  <si>
    <t>CACC_05585</t>
  </si>
  <si>
    <t>UQZ27826.1</t>
  </si>
  <si>
    <t>CACC_05590</t>
  </si>
  <si>
    <t>Thiopurine S-methyltransferase (TPMT)</t>
  </si>
  <si>
    <t>UQZ27827.1</t>
  </si>
  <si>
    <t>CACC_05595</t>
  </si>
  <si>
    <t>Isochorismate synthase DhbC</t>
  </si>
  <si>
    <t>dhbC</t>
  </si>
  <si>
    <t>UQZ27828.1</t>
  </si>
  <si>
    <t>CACC_05600</t>
  </si>
  <si>
    <t>Esterase PHB depolymerase</t>
  </si>
  <si>
    <t>UQZ27829.1</t>
  </si>
  <si>
    <t>CACC_05605</t>
  </si>
  <si>
    <t>UQZ27830.1</t>
  </si>
  <si>
    <t>CACC_05610</t>
  </si>
  <si>
    <t>Manganese transport system membrane protein MntB</t>
  </si>
  <si>
    <t>mntB1</t>
  </si>
  <si>
    <t>UQZ27831.1</t>
  </si>
  <si>
    <t>CACC_05615</t>
  </si>
  <si>
    <t>High-affinity zinc uptake system ATP-binding protein ZnuC</t>
  </si>
  <si>
    <t>znuC1</t>
  </si>
  <si>
    <t>UQZ27832.1</t>
  </si>
  <si>
    <t>CACC_05620</t>
  </si>
  <si>
    <t>UQZ27833.1</t>
  </si>
  <si>
    <t>CACC_05625</t>
  </si>
  <si>
    <t>Manganese ABC transporter substrate-binding lipoprotein precursor</t>
  </si>
  <si>
    <t>fimA</t>
  </si>
  <si>
    <t>UQZ27834.1</t>
  </si>
  <si>
    <t>CACC_05630</t>
  </si>
  <si>
    <t>UQZ27835.1</t>
  </si>
  <si>
    <t>CACC_05635</t>
  </si>
  <si>
    <t>UQZ27836.1</t>
  </si>
  <si>
    <t>CACC_05640</t>
  </si>
  <si>
    <t>Glutamate--tRNA ligase</t>
  </si>
  <si>
    <t>gltX</t>
  </si>
  <si>
    <t>UQZ27837.1</t>
  </si>
  <si>
    <t>CACC_05645</t>
  </si>
  <si>
    <t>CACC_05650</t>
  </si>
  <si>
    <t>tRNA-Glu</t>
  </si>
  <si>
    <t>CACC_05655</t>
  </si>
  <si>
    <t>CACC_05660</t>
  </si>
  <si>
    <t>UQZ27838.1</t>
  </si>
  <si>
    <t>CACC_05665</t>
  </si>
  <si>
    <t>recombination protein F</t>
  </si>
  <si>
    <t>UQZ27839.1</t>
  </si>
  <si>
    <t>CACC_05670</t>
  </si>
  <si>
    <t>DNA helicase II</t>
  </si>
  <si>
    <t>uvrD3</t>
  </si>
  <si>
    <t>UQZ27840.1</t>
  </si>
  <si>
    <t>CACC_05675</t>
  </si>
  <si>
    <t>Chromosome partition protein Smc</t>
  </si>
  <si>
    <t>smc1</t>
  </si>
  <si>
    <t>UQZ27841.1</t>
  </si>
  <si>
    <t>CACC_05680</t>
  </si>
  <si>
    <t>smc2</t>
  </si>
  <si>
    <t>UQZ27842.1</t>
  </si>
  <si>
    <t>CACC_05685</t>
  </si>
  <si>
    <t>UQZ27843.1</t>
  </si>
  <si>
    <t>CACC_05690</t>
  </si>
  <si>
    <t>HTH-type transcriptional repressor AllR</t>
  </si>
  <si>
    <t>allR</t>
  </si>
  <si>
    <t>UQZ27844.1</t>
  </si>
  <si>
    <t>CACC_05695</t>
  </si>
  <si>
    <t>3-isopropylmalate dehydratase large subunit</t>
  </si>
  <si>
    <t>leuC</t>
  </si>
  <si>
    <t>UQZ27845.1</t>
  </si>
  <si>
    <t>CACC_05700</t>
  </si>
  <si>
    <t>3-isopropylmalate dehydratase small subunit</t>
  </si>
  <si>
    <t>leuD</t>
  </si>
  <si>
    <t>UQZ27846.1</t>
  </si>
  <si>
    <t>CACC_05705</t>
  </si>
  <si>
    <t>UQZ27847.1</t>
  </si>
  <si>
    <t>CACC_05710</t>
  </si>
  <si>
    <t>Putative mutator protein MutT4</t>
  </si>
  <si>
    <t>mutT2</t>
  </si>
  <si>
    <t>UQZ27848.1</t>
  </si>
  <si>
    <t>CACC_05715</t>
  </si>
  <si>
    <t>Glycerol-3-phosphate dehydrogenase [NAD(P)+]</t>
  </si>
  <si>
    <t>gpsA</t>
  </si>
  <si>
    <t>UQZ27849.1</t>
  </si>
  <si>
    <t>CACC_05720</t>
  </si>
  <si>
    <t>D-alanine--D-alanine ligase</t>
  </si>
  <si>
    <t>ddl</t>
  </si>
  <si>
    <t>UQZ27850.1</t>
  </si>
  <si>
    <t>CACC_05725</t>
  </si>
  <si>
    <t>UQZ27851.1</t>
  </si>
  <si>
    <t>CACC_05730</t>
  </si>
  <si>
    <t>Thiamine-monophosphate kinase</t>
  </si>
  <si>
    <t>thiL</t>
  </si>
  <si>
    <t>UQZ27852.1</t>
  </si>
  <si>
    <t>CACC_05735</t>
  </si>
  <si>
    <t>Uracil-DNA glycosylase</t>
  </si>
  <si>
    <t>ung</t>
  </si>
  <si>
    <t>UQZ27853.1</t>
  </si>
  <si>
    <t>CACC_05740</t>
  </si>
  <si>
    <t>DAK2 domain protein</t>
  </si>
  <si>
    <t>UQZ27854.1</t>
  </si>
  <si>
    <t>CACC_05745</t>
  </si>
  <si>
    <t>ATP-dependent DNA helicase RecG</t>
  </si>
  <si>
    <t>recG</t>
  </si>
  <si>
    <t>UQZ27855.1</t>
  </si>
  <si>
    <t>CACC_05750</t>
  </si>
  <si>
    <t>Biotin/lipoyl attachment protein</t>
  </si>
  <si>
    <t>yngHB</t>
  </si>
  <si>
    <t>UQZ27856.1</t>
  </si>
  <si>
    <t>CACC_05755</t>
  </si>
  <si>
    <t>Ribosomal RNA small subunit methyltransferase D</t>
  </si>
  <si>
    <t>rsmD</t>
  </si>
  <si>
    <t>UQZ27857.1</t>
  </si>
  <si>
    <t>CACC_05760</t>
  </si>
  <si>
    <t>Phosphopantetheine adenylyltransferase</t>
  </si>
  <si>
    <t>coaD</t>
  </si>
  <si>
    <t>UQZ27858.1</t>
  </si>
  <si>
    <t>CACC_05765</t>
  </si>
  <si>
    <t>UQZ27859.1</t>
  </si>
  <si>
    <t>CACC_05770</t>
  </si>
  <si>
    <t>Glutamine transport ATP-binding protein GlnQ</t>
  </si>
  <si>
    <t>glnQ</t>
  </si>
  <si>
    <t>UQZ27860.1</t>
  </si>
  <si>
    <t>CACC_05775</t>
  </si>
  <si>
    <t>Inner membrane amino-acid ABC transporter permease protein YecS</t>
  </si>
  <si>
    <t>yecS</t>
  </si>
  <si>
    <t>UQZ27861.1</t>
  </si>
  <si>
    <t>CACC_05780</t>
  </si>
  <si>
    <t>Glutamine-binding periplasmic protein precursor</t>
  </si>
  <si>
    <t>glnH1</t>
  </si>
  <si>
    <t>UQZ27862.1</t>
  </si>
  <si>
    <t>CACC_05785</t>
  </si>
  <si>
    <t>UQZ27863.1</t>
  </si>
  <si>
    <t>CACC_05790</t>
  </si>
  <si>
    <t>CACC_05795</t>
  </si>
  <si>
    <t>DNA polymerase I</t>
  </si>
  <si>
    <t>polA</t>
  </si>
  <si>
    <t>UQZ27864.1</t>
  </si>
  <si>
    <t>CACC_05800</t>
  </si>
  <si>
    <t>UQZ27865.1</t>
  </si>
  <si>
    <t>CACC_05805</t>
  </si>
  <si>
    <t>UQZ27866.1</t>
  </si>
  <si>
    <t>CACC_05810</t>
  </si>
  <si>
    <t>UQZ27867.1</t>
  </si>
  <si>
    <t>CACC_05815</t>
  </si>
  <si>
    <t>biotin biosynthesis protein BioC</t>
  </si>
  <si>
    <t>UQZ27868.1</t>
  </si>
  <si>
    <t>CACC_05820</t>
  </si>
  <si>
    <t>30S ribosomal protein S1</t>
  </si>
  <si>
    <t>rpsA</t>
  </si>
  <si>
    <t>UQZ27869.1</t>
  </si>
  <si>
    <t>CACC_05825</t>
  </si>
  <si>
    <t>PTS system beta-glucoside-specific EIIBCA component</t>
  </si>
  <si>
    <t>bglF</t>
  </si>
  <si>
    <t>UQZ27870.1</t>
  </si>
  <si>
    <t>CACC_05830</t>
  </si>
  <si>
    <t>Dephospho-CoA kinase</t>
  </si>
  <si>
    <t>coaE</t>
  </si>
  <si>
    <t>UQZ27871.1</t>
  </si>
  <si>
    <t>CACC_05835</t>
  </si>
  <si>
    <t>UQZ27872.1</t>
  </si>
  <si>
    <t>CACC_05840</t>
  </si>
  <si>
    <t>UvrABC system protein B</t>
  </si>
  <si>
    <t>uvrB</t>
  </si>
  <si>
    <t>UQZ27873.1</t>
  </si>
  <si>
    <t>CACC_05845</t>
  </si>
  <si>
    <t>Universal stress protein</t>
  </si>
  <si>
    <t>UQZ27874.1</t>
  </si>
  <si>
    <t>CACC_05850</t>
  </si>
  <si>
    <t>UQZ27875.1</t>
  </si>
  <si>
    <t>CACC_05855</t>
  </si>
  <si>
    <t>Helicase IV</t>
  </si>
  <si>
    <t>helD</t>
  </si>
  <si>
    <t>UQZ27876.1</t>
  </si>
  <si>
    <t>CACC_05860</t>
  </si>
  <si>
    <t>UQZ27877.1</t>
  </si>
  <si>
    <t>CACC_05865</t>
  </si>
  <si>
    <t>baeB3</t>
  </si>
  <si>
    <t>UQZ27878.1</t>
  </si>
  <si>
    <t>CACC_05870</t>
  </si>
  <si>
    <t>uvrA2</t>
  </si>
  <si>
    <t>UQZ27879.1</t>
  </si>
  <si>
    <t>CACC_05875</t>
  </si>
  <si>
    <t>UQZ27880.1</t>
  </si>
  <si>
    <t>CACC_05880</t>
  </si>
  <si>
    <t>Translation initiation factor IF-3</t>
  </si>
  <si>
    <t>infC</t>
  </si>
  <si>
    <t>UQZ27881.1</t>
  </si>
  <si>
    <t>CACC_05885</t>
  </si>
  <si>
    <t>50S ribosomal protein L35</t>
  </si>
  <si>
    <t>rpmI</t>
  </si>
  <si>
    <t>UQZ27882.1</t>
  </si>
  <si>
    <t>CACC_05890</t>
  </si>
  <si>
    <t>50S ribosomal protein L20</t>
  </si>
  <si>
    <t>rplT</t>
  </si>
  <si>
    <t>UQZ27883.1</t>
  </si>
  <si>
    <t>CACC_05895</t>
  </si>
  <si>
    <t>TM2 domain protein</t>
  </si>
  <si>
    <t>UQZ27884.1</t>
  </si>
  <si>
    <t>CACC_05900</t>
  </si>
  <si>
    <t>Putative TrmH family tRNA/rRNA methyltransferase</t>
  </si>
  <si>
    <t>UQZ27885.1</t>
  </si>
  <si>
    <t>CACC_05905</t>
  </si>
  <si>
    <t>Phenylalanine--tRNA ligase alpha subunit</t>
  </si>
  <si>
    <t>pheS</t>
  </si>
  <si>
    <t>UQZ27886.1</t>
  </si>
  <si>
    <t>CACC_05910</t>
  </si>
  <si>
    <t>Phenylalanine--tRNA ligase beta subunit</t>
  </si>
  <si>
    <t>pheT</t>
  </si>
  <si>
    <t>UQZ27887.1</t>
  </si>
  <si>
    <t>CACC_05915</t>
  </si>
  <si>
    <t>N-acetyl-gamma-glutamyl-phosphate reductase</t>
  </si>
  <si>
    <t>argC</t>
  </si>
  <si>
    <t>UQZ27888.1</t>
  </si>
  <si>
    <t>CACC_05920</t>
  </si>
  <si>
    <t>Arginine biosynthesis bifunctional protein ArgJ</t>
  </si>
  <si>
    <t>argJ</t>
  </si>
  <si>
    <t>UQZ27889.1</t>
  </si>
  <si>
    <t>CACC_05925</t>
  </si>
  <si>
    <t>Acetylglutamate kinase</t>
  </si>
  <si>
    <t>argB</t>
  </si>
  <si>
    <t>UQZ27890.1</t>
  </si>
  <si>
    <t>CACC_05930</t>
  </si>
  <si>
    <t>Acetylornithine aminotransferase</t>
  </si>
  <si>
    <t>argD</t>
  </si>
  <si>
    <t>UQZ27891.1</t>
  </si>
  <si>
    <t>CACC_05935</t>
  </si>
  <si>
    <t>Ornithine carbamoyltransferase</t>
  </si>
  <si>
    <t>argF</t>
  </si>
  <si>
    <t>UQZ27892.1</t>
  </si>
  <si>
    <t>CACC_05940</t>
  </si>
  <si>
    <t>Arginine repressor</t>
  </si>
  <si>
    <t>argR</t>
  </si>
  <si>
    <t>UQZ27893.1</t>
  </si>
  <si>
    <t>CACC_05945</t>
  </si>
  <si>
    <t>Argininosuccinate synthase</t>
  </si>
  <si>
    <t>argG</t>
  </si>
  <si>
    <t>UQZ27894.1</t>
  </si>
  <si>
    <t>CACC_05950</t>
  </si>
  <si>
    <t>Argininosuccinate lyase</t>
  </si>
  <si>
    <t>argH</t>
  </si>
  <si>
    <t>UQZ27895.1</t>
  </si>
  <si>
    <t>CACC_05955</t>
  </si>
  <si>
    <t>Aromatic amino acid transport protein AroP</t>
  </si>
  <si>
    <t>aroP</t>
  </si>
  <si>
    <t>UQZ27896.1</t>
  </si>
  <si>
    <t>CACC_05960</t>
  </si>
  <si>
    <t>L-lysine cyclodeaminase</t>
  </si>
  <si>
    <t>rapL</t>
  </si>
  <si>
    <t>UQZ27897.1</t>
  </si>
  <si>
    <t>CACC_05965</t>
  </si>
  <si>
    <t>moeZ2</t>
  </si>
  <si>
    <t>UQZ27898.1</t>
  </si>
  <si>
    <t>CACC_05970</t>
  </si>
  <si>
    <t>Thiazole synthase</t>
  </si>
  <si>
    <t>thiG</t>
  </si>
  <si>
    <t>UQZ27899.1</t>
  </si>
  <si>
    <t>CACC_05975</t>
  </si>
  <si>
    <t>sulfur carrier protein ThiS</t>
  </si>
  <si>
    <t>UQZ27900.1</t>
  </si>
  <si>
    <t>CACC_05980</t>
  </si>
  <si>
    <t>Hydrogen cyanide synthase subunit HcnC precursor</t>
  </si>
  <si>
    <t>hcnC</t>
  </si>
  <si>
    <t>UQZ27901.1</t>
  </si>
  <si>
    <t>CACC_05985</t>
  </si>
  <si>
    <t>Thiamine-phosphate synthase</t>
  </si>
  <si>
    <t>thiE1</t>
  </si>
  <si>
    <t>UQZ27902.1</t>
  </si>
  <si>
    <t>CACC_05990</t>
  </si>
  <si>
    <t>Phosphomethylpyrimidine synthase</t>
  </si>
  <si>
    <t>thiC</t>
  </si>
  <si>
    <t>UQZ27903.1</t>
  </si>
  <si>
    <t>CACC_05995</t>
  </si>
  <si>
    <t>UQZ27904.1</t>
  </si>
  <si>
    <t>CACC_06000</t>
  </si>
  <si>
    <t>Tyrosine--tRNA ligase</t>
  </si>
  <si>
    <t>tyrS</t>
  </si>
  <si>
    <t>UQZ27905.1</t>
  </si>
  <si>
    <t>CACC_06005</t>
  </si>
  <si>
    <t>CACC_06010</t>
  </si>
  <si>
    <t>CACC_06015</t>
  </si>
  <si>
    <t>CACC_06020</t>
  </si>
  <si>
    <t>UQZ27906.1</t>
  </si>
  <si>
    <t>CACC_06025</t>
  </si>
  <si>
    <t>CACC_06035</t>
  </si>
  <si>
    <t>UQZ27907.1</t>
  </si>
  <si>
    <t>CACC_06040</t>
  </si>
  <si>
    <t>UQZ27908.1</t>
  </si>
  <si>
    <t>CACC_06045</t>
  </si>
  <si>
    <t>UQZ27909.1</t>
  </si>
  <si>
    <t>CACC_06050</t>
  </si>
  <si>
    <t>UQZ27910.1</t>
  </si>
  <si>
    <t>CACC_06055</t>
  </si>
  <si>
    <t>HNH endonuclease</t>
  </si>
  <si>
    <t>UQZ27911.1</t>
  </si>
  <si>
    <t>CACC_06060</t>
  </si>
  <si>
    <t>Tetratricopeptide repeat protein</t>
  </si>
  <si>
    <t>UQZ27912.1</t>
  </si>
  <si>
    <t>CACC_06065</t>
  </si>
  <si>
    <t>putative hydrolase YutF</t>
  </si>
  <si>
    <t>yutF</t>
  </si>
  <si>
    <t>UQZ27913.1</t>
  </si>
  <si>
    <t>CACC_06070</t>
  </si>
  <si>
    <t>UQZ27914.1</t>
  </si>
  <si>
    <t>CACC_06075</t>
  </si>
  <si>
    <t>16S/23S rRNA (cytidine-2'-O)-methyltransferase TlyA</t>
  </si>
  <si>
    <t>tlyA</t>
  </si>
  <si>
    <t>UQZ27915.1</t>
  </si>
  <si>
    <t>CACC_06080</t>
  </si>
  <si>
    <t>Inorganic polyphosphate/ATP-NAD kinase</t>
  </si>
  <si>
    <t>ppnK</t>
  </si>
  <si>
    <t>UQZ27916.1</t>
  </si>
  <si>
    <t>CACC_06085</t>
  </si>
  <si>
    <t>DNA repair protein RecN</t>
  </si>
  <si>
    <t>recN</t>
  </si>
  <si>
    <t>UQZ27917.1</t>
  </si>
  <si>
    <t>CACC_06090</t>
  </si>
  <si>
    <t>UQZ27918.1</t>
  </si>
  <si>
    <t>CACC_06095</t>
  </si>
  <si>
    <t>Copper transporter MctB precursor</t>
  </si>
  <si>
    <t>mctB</t>
  </si>
  <si>
    <t>UQZ27919.1</t>
  </si>
  <si>
    <t>CACC_06100</t>
  </si>
  <si>
    <t>ADP-ribose pyrophosphatase</t>
  </si>
  <si>
    <t>nudF</t>
  </si>
  <si>
    <t>UQZ27920.1</t>
  </si>
  <si>
    <t>CACC_06105</t>
  </si>
  <si>
    <t>Tyrosine recombinase XerD</t>
  </si>
  <si>
    <t>xerD1</t>
  </si>
  <si>
    <t>UQZ27921.1</t>
  </si>
  <si>
    <t>CACC_06110</t>
  </si>
  <si>
    <t>Sporulation initiation inhibitor protein Soj</t>
  </si>
  <si>
    <t>soj1</t>
  </si>
  <si>
    <t>UQZ27922.1</t>
  </si>
  <si>
    <t>CACC_06115</t>
  </si>
  <si>
    <t>Segregation and condensation protein A</t>
  </si>
  <si>
    <t>scpA</t>
  </si>
  <si>
    <t>UQZ27923.1</t>
  </si>
  <si>
    <t>CACC_06120</t>
  </si>
  <si>
    <t>Segregation and condensation protein B</t>
  </si>
  <si>
    <t>scpB</t>
  </si>
  <si>
    <t>UQZ27924.1</t>
  </si>
  <si>
    <t>CACC_06125</t>
  </si>
  <si>
    <t>Ribosomal large subunit pseudouridine synthase B</t>
  </si>
  <si>
    <t>rluB</t>
  </si>
  <si>
    <t>UQZ27925.1</t>
  </si>
  <si>
    <t>CACC_06130</t>
  </si>
  <si>
    <t>Cytidylate kinase</t>
  </si>
  <si>
    <t>cmk</t>
  </si>
  <si>
    <t>UQZ27926.1</t>
  </si>
  <si>
    <t>CACC_06135</t>
  </si>
  <si>
    <t>GTPase Der</t>
  </si>
  <si>
    <t>der</t>
  </si>
  <si>
    <t>UQZ27927.1</t>
  </si>
  <si>
    <t>CACC_06140</t>
  </si>
  <si>
    <t>ydaF2</t>
  </si>
  <si>
    <t>UQZ27928.1</t>
  </si>
  <si>
    <t>CACC_06145</t>
  </si>
  <si>
    <t>Anaerobic C4-dicarboxylate transporter DcuB</t>
  </si>
  <si>
    <t>dcuB</t>
  </si>
  <si>
    <t>UQZ27929.1</t>
  </si>
  <si>
    <t>CACC_06150</t>
  </si>
  <si>
    <t>UQZ27930.1</t>
  </si>
  <si>
    <t>CACC_06155</t>
  </si>
  <si>
    <t>Lipid A export ATP-binding/permease protein MsbA</t>
  </si>
  <si>
    <t>msbA</t>
  </si>
  <si>
    <t>UQZ27931.1</t>
  </si>
  <si>
    <t>CACC_06160</t>
  </si>
  <si>
    <t>Multidrug resistance-like ATP-binding protein MdlB</t>
  </si>
  <si>
    <t>mdlB</t>
  </si>
  <si>
    <t>UQZ27932.1</t>
  </si>
  <si>
    <t>CACC_06165</t>
  </si>
  <si>
    <t>Putative esterase</t>
  </si>
  <si>
    <t>UQZ27933.1</t>
  </si>
  <si>
    <t>CACC_06170</t>
  </si>
  <si>
    <t>putative methyltransferase</t>
  </si>
  <si>
    <t>UQZ27934.1</t>
  </si>
  <si>
    <t>CACC_06175</t>
  </si>
  <si>
    <t>UQZ27935.1</t>
  </si>
  <si>
    <t>CACC_06180</t>
  </si>
  <si>
    <t>Response regulator protein VraR</t>
  </si>
  <si>
    <t>vraR1</t>
  </si>
  <si>
    <t>UQZ27936.1</t>
  </si>
  <si>
    <t>CACC_06185</t>
  </si>
  <si>
    <t>desK2</t>
  </si>
  <si>
    <t>UQZ27937.1</t>
  </si>
  <si>
    <t>CACC_06190</t>
  </si>
  <si>
    <t>UQZ27938.1</t>
  </si>
  <si>
    <t>CACC_06195</t>
  </si>
  <si>
    <t>ybhF2</t>
  </si>
  <si>
    <t>UQZ27939.1</t>
  </si>
  <si>
    <t>CACC_06200</t>
  </si>
  <si>
    <t>Cadmium resistance transporter</t>
  </si>
  <si>
    <t>UQZ27940.1</t>
  </si>
  <si>
    <t>CACC_06205</t>
  </si>
  <si>
    <t>CACC_06210</t>
  </si>
  <si>
    <t>UQZ27941.1</t>
  </si>
  <si>
    <t>CACC_06215</t>
  </si>
  <si>
    <t>UQZ27942.1</t>
  </si>
  <si>
    <t>CACC_06220</t>
  </si>
  <si>
    <t>UQZ27943.1</t>
  </si>
  <si>
    <t>CACC_06225</t>
  </si>
  <si>
    <t>Oxoglutarate dehydrogenase inhibitor</t>
  </si>
  <si>
    <t>odhI</t>
  </si>
  <si>
    <t>UQZ27944.1</t>
  </si>
  <si>
    <t>CACC_06230</t>
  </si>
  <si>
    <t>zinc-responsive transcriptional regulator</t>
  </si>
  <si>
    <t>UQZ27945.1</t>
  </si>
  <si>
    <t>CACC_06235</t>
  </si>
  <si>
    <t>UQZ27946.1</t>
  </si>
  <si>
    <t>CACC_06240</t>
  </si>
  <si>
    <t>UQZ27947.1</t>
  </si>
  <si>
    <t>CACC_06245</t>
  </si>
  <si>
    <t>UQZ27948.1</t>
  </si>
  <si>
    <t>CACC_06250</t>
  </si>
  <si>
    <t>UQZ27949.1</t>
  </si>
  <si>
    <t>CACC_06255</t>
  </si>
  <si>
    <t>ATP-dependent RNA helicase RhlE</t>
  </si>
  <si>
    <t>rhlE</t>
  </si>
  <si>
    <t>UQZ27950.1</t>
  </si>
  <si>
    <t>CACC_06260</t>
  </si>
  <si>
    <t>Citrate carrier</t>
  </si>
  <si>
    <t>citT</t>
  </si>
  <si>
    <t>UQZ27951.1</t>
  </si>
  <si>
    <t>CACC_06265</t>
  </si>
  <si>
    <t>6-phosphogluconate dehydrogenase, NADP(+)-dependent, decarboxylating</t>
  </si>
  <si>
    <t>gndA</t>
  </si>
  <si>
    <t>UQZ27952.1</t>
  </si>
  <si>
    <t>CACC_06270</t>
  </si>
  <si>
    <t>UQZ27953.1</t>
  </si>
  <si>
    <t>CACC_06275</t>
  </si>
  <si>
    <t>Magnesium transport protein CorA</t>
  </si>
  <si>
    <t>corA</t>
  </si>
  <si>
    <t>UQZ27954.1</t>
  </si>
  <si>
    <t>CACC_06280</t>
  </si>
  <si>
    <t>Magnesium-protoporphyrin O-methyltransferase</t>
  </si>
  <si>
    <t>bchM</t>
  </si>
  <si>
    <t>UQZ27955.1</t>
  </si>
  <si>
    <t>CACC_06285</t>
  </si>
  <si>
    <t>Hydroxymethylpyrimidine/phosphomethylpyrimidine kinase</t>
  </si>
  <si>
    <t>thiD</t>
  </si>
  <si>
    <t>UQZ27956.1</t>
  </si>
  <si>
    <t>CACC_06290</t>
  </si>
  <si>
    <t>thiE2</t>
  </si>
  <si>
    <t>UQZ27957.1</t>
  </si>
  <si>
    <t>CACC_06295</t>
  </si>
  <si>
    <t>Hydroxyethylthiazole kinase</t>
  </si>
  <si>
    <t>thiM</t>
  </si>
  <si>
    <t>UQZ27958.1</t>
  </si>
  <si>
    <t>CACC_06300</t>
  </si>
  <si>
    <t>NADH dehydrogenase-like protein</t>
  </si>
  <si>
    <t>UQZ27959.1</t>
  </si>
  <si>
    <t>CACC_06305</t>
  </si>
  <si>
    <t>cyclopropane fatty acyl phospholipid synthase</t>
  </si>
  <si>
    <t>UQZ27960.1</t>
  </si>
  <si>
    <t>CACC_06310</t>
  </si>
  <si>
    <t>putative deferrochelatase/peroxidase YfeX</t>
  </si>
  <si>
    <t>yfeX</t>
  </si>
  <si>
    <t>UQZ27961.1</t>
  </si>
  <si>
    <t>CACC_06315</t>
  </si>
  <si>
    <t>UQZ27962.1</t>
  </si>
  <si>
    <t>CACC_06320</t>
  </si>
  <si>
    <t>YceI-like domain protein</t>
  </si>
  <si>
    <t>UQZ27963.1</t>
  </si>
  <si>
    <t>CACC_06325</t>
  </si>
  <si>
    <t>RNA polymerase-binding protein RbpA</t>
  </si>
  <si>
    <t>rbpA</t>
  </si>
  <si>
    <t>UQZ27964.1</t>
  </si>
  <si>
    <t>CACC_06330</t>
  </si>
  <si>
    <t>Undecaprenyl-phosphate mannosyltransferase</t>
  </si>
  <si>
    <t>UQZ27965.1</t>
  </si>
  <si>
    <t>CACC_06335</t>
  </si>
  <si>
    <t>Apolipoprotein N-acyltransferase</t>
  </si>
  <si>
    <t>lnt</t>
  </si>
  <si>
    <t>UQZ27966.1</t>
  </si>
  <si>
    <t>CACC_06340</t>
  </si>
  <si>
    <t>phage T7 F exclusion suppressor FxsA</t>
  </si>
  <si>
    <t>UQZ27967.1</t>
  </si>
  <si>
    <t>CACC_06345</t>
  </si>
  <si>
    <t>UQZ27968.1</t>
  </si>
  <si>
    <t>CACC_06350</t>
  </si>
  <si>
    <t>UQZ27969.1</t>
  </si>
  <si>
    <t>CACC_06355</t>
  </si>
  <si>
    <t>Xaa-Pro dipeptidase</t>
  </si>
  <si>
    <t>pepQ1</t>
  </si>
  <si>
    <t>UQZ27970.1</t>
  </si>
  <si>
    <t>CACC_06360</t>
  </si>
  <si>
    <t>ski2-like helicase</t>
  </si>
  <si>
    <t>UQZ27971.1</t>
  </si>
  <si>
    <t>CACC_06365</t>
  </si>
  <si>
    <t>Sec-independent protein translocase protein TatC</t>
  </si>
  <si>
    <t>tatC</t>
  </si>
  <si>
    <t>UQZ27972.1</t>
  </si>
  <si>
    <t>CACC_06370</t>
  </si>
  <si>
    <t>Sec-independent protein translocase protein TatAy</t>
  </si>
  <si>
    <t>tatAy</t>
  </si>
  <si>
    <t>UQZ27973.1</t>
  </si>
  <si>
    <t>CACC_06375</t>
  </si>
  <si>
    <t>UQZ27974.1</t>
  </si>
  <si>
    <t>CACC_06380</t>
  </si>
  <si>
    <t>UQZ27975.1</t>
  </si>
  <si>
    <t>CACC_06385</t>
  </si>
  <si>
    <t>Pup--protein ligase</t>
  </si>
  <si>
    <t>pafA</t>
  </si>
  <si>
    <t>UQZ27976.1</t>
  </si>
  <si>
    <t>CACC_06390</t>
  </si>
  <si>
    <t>Prokaryotic ubiquitin-like protein Pup</t>
  </si>
  <si>
    <t>pup</t>
  </si>
  <si>
    <t>UQZ27977.1</t>
  </si>
  <si>
    <t>CACC_06395</t>
  </si>
  <si>
    <t>Pup deamidase/depupylase</t>
  </si>
  <si>
    <t>dop</t>
  </si>
  <si>
    <t>UQZ27978.1</t>
  </si>
  <si>
    <t>CACC_06400</t>
  </si>
  <si>
    <t>Proteasome-associated ATPase</t>
  </si>
  <si>
    <t>mpa</t>
  </si>
  <si>
    <t>UQZ27979.1</t>
  </si>
  <si>
    <t>CACC_06405</t>
  </si>
  <si>
    <t>tRNA (adenine(58)-N(1))-methyltransferase TrmI</t>
  </si>
  <si>
    <t>trmI</t>
  </si>
  <si>
    <t>UQZ27980.1</t>
  </si>
  <si>
    <t>CACC_06410</t>
  </si>
  <si>
    <t>putative M18 family aminopeptidase 2</t>
  </si>
  <si>
    <t>apeB</t>
  </si>
  <si>
    <t>UQZ27981.1</t>
  </si>
  <si>
    <t>CACC_06415</t>
  </si>
  <si>
    <t>PD-(D/E)XK nuclease superfamily protein</t>
  </si>
  <si>
    <t>UQZ27982.1</t>
  </si>
  <si>
    <t>CACC_06420</t>
  </si>
  <si>
    <t>Formate--tetrahydrofolate ligase</t>
  </si>
  <si>
    <t>fhs</t>
  </si>
  <si>
    <t>UQZ27983.1</t>
  </si>
  <si>
    <t>CACC_06425</t>
  </si>
  <si>
    <t>Anaerobic C4-dicarboxylate transporter DcuA</t>
  </si>
  <si>
    <t>dcuA</t>
  </si>
  <si>
    <t>UQZ27984.1</t>
  </si>
  <si>
    <t>CACC_06430</t>
  </si>
  <si>
    <t>Aspartate ammonia-lyase</t>
  </si>
  <si>
    <t>aspA</t>
  </si>
  <si>
    <t>UQZ27985.1</t>
  </si>
  <si>
    <t>CACC_06435</t>
  </si>
  <si>
    <t>ATP phosphoribosyltransferase</t>
  </si>
  <si>
    <t>hisG</t>
  </si>
  <si>
    <t>UQZ27986.1</t>
  </si>
  <si>
    <t>CACC_06440</t>
  </si>
  <si>
    <t>Phosphoribosyl-ATP pyrophosphatase</t>
  </si>
  <si>
    <t>hisE</t>
  </si>
  <si>
    <t>UQZ27987.1</t>
  </si>
  <si>
    <t>CACC_06445</t>
  </si>
  <si>
    <t>Phosphorylated carbohydrates phosphatase</t>
  </si>
  <si>
    <t>UQZ27988.1</t>
  </si>
  <si>
    <t>CACC_06450</t>
  </si>
  <si>
    <t>UQZ27989.1</t>
  </si>
  <si>
    <t>CACC_06455</t>
  </si>
  <si>
    <t>L-cysteine:1D-myo-inositol 2-amino-2-deoxy-alpha-D-glucopyranoside ligase</t>
  </si>
  <si>
    <t>mshC</t>
  </si>
  <si>
    <t>UQZ27990.1</t>
  </si>
  <si>
    <t>CACC_06460</t>
  </si>
  <si>
    <t>Undecaprenyl-diphosphatase</t>
  </si>
  <si>
    <t>uppP</t>
  </si>
  <si>
    <t>UQZ27991.1</t>
  </si>
  <si>
    <t>CACC_06465</t>
  </si>
  <si>
    <t>UQZ27992.1</t>
  </si>
  <si>
    <t>CACC_06470</t>
  </si>
  <si>
    <t>Dihydroorotate dehydrogenase (quinone)</t>
  </si>
  <si>
    <t>pyrD</t>
  </si>
  <si>
    <t>UQZ27993.1</t>
  </si>
  <si>
    <t>CACC_06475</t>
  </si>
  <si>
    <t>UQZ27994.1</t>
  </si>
  <si>
    <t>CACC_06480</t>
  </si>
  <si>
    <t>putative kinase inhibitor protein</t>
  </si>
  <si>
    <t>UQZ27995.1</t>
  </si>
  <si>
    <t>CACC_06485</t>
  </si>
  <si>
    <t>CACC_06490</t>
  </si>
  <si>
    <t>TVP38/TMEM64 family inner membrane protein YdjZ</t>
  </si>
  <si>
    <t>ydjZ</t>
  </si>
  <si>
    <t>UQZ27996.1</t>
  </si>
  <si>
    <t>CACC_06495</t>
  </si>
  <si>
    <t>UQZ27997.1</t>
  </si>
  <si>
    <t>CACC_06500</t>
  </si>
  <si>
    <t>UQZ27998.1</t>
  </si>
  <si>
    <t>CACC_06505</t>
  </si>
  <si>
    <t>UQZ27999.1</t>
  </si>
  <si>
    <t>CACC_06510</t>
  </si>
  <si>
    <t>Ferrochelatase</t>
  </si>
  <si>
    <t>hemH</t>
  </si>
  <si>
    <t>UQZ28000.1</t>
  </si>
  <si>
    <t>CACC_06515</t>
  </si>
  <si>
    <t>Peptidoglycan endopeptidase RipA precursor</t>
  </si>
  <si>
    <t>ripA</t>
  </si>
  <si>
    <t>UQZ28001.1</t>
  </si>
  <si>
    <t>CACC_06520</t>
  </si>
  <si>
    <t>UQZ28002.1</t>
  </si>
  <si>
    <t>CACC_06525</t>
  </si>
  <si>
    <t>UQZ28003.1</t>
  </si>
  <si>
    <t>CACC_06530</t>
  </si>
  <si>
    <t>Aconitate hydratase</t>
  </si>
  <si>
    <t>acn</t>
  </si>
  <si>
    <t>UQZ28004.1</t>
  </si>
  <si>
    <t>CACC_06535</t>
  </si>
  <si>
    <t>HTH-type transcriptional repressor AcnR</t>
  </si>
  <si>
    <t>acnR</t>
  </si>
  <si>
    <t>UQZ28005.1</t>
  </si>
  <si>
    <t>CACC_06540</t>
  </si>
  <si>
    <t>ykoD3</t>
  </si>
  <si>
    <t>UQZ28006.1</t>
  </si>
  <si>
    <t>CACC_06545</t>
  </si>
  <si>
    <t>UQZ28007.1</t>
  </si>
  <si>
    <t>CACC_06550</t>
  </si>
  <si>
    <t>UQZ28008.1</t>
  </si>
  <si>
    <t>CACC_06555</t>
  </si>
  <si>
    <t>Pyrimidine-specific ribonucleoside hydrolase RihA</t>
  </si>
  <si>
    <t>rihA1</t>
  </si>
  <si>
    <t>UQZ28009.1</t>
  </si>
  <si>
    <t>CACC_06560</t>
  </si>
  <si>
    <t>putative sugar epimerase YhfK</t>
  </si>
  <si>
    <t>yhfK</t>
  </si>
  <si>
    <t>UQZ28010.1</t>
  </si>
  <si>
    <t>CACC_06565</t>
  </si>
  <si>
    <t>UQZ28011.1</t>
  </si>
  <si>
    <t>CACC_06570</t>
  </si>
  <si>
    <t>UQZ28012.1</t>
  </si>
  <si>
    <t>CACC_06575</t>
  </si>
  <si>
    <t>UQZ28013.1</t>
  </si>
  <si>
    <t>CACC_06580</t>
  </si>
  <si>
    <t>yheS2</t>
  </si>
  <si>
    <t>UQZ28014.1</t>
  </si>
  <si>
    <t>CACC_06585</t>
  </si>
  <si>
    <t>UQZ28015.1</t>
  </si>
  <si>
    <t>CACC_06590</t>
  </si>
  <si>
    <t>NifU-like protein</t>
  </si>
  <si>
    <t>nifU</t>
  </si>
  <si>
    <t>UQZ28016.1</t>
  </si>
  <si>
    <t>CACC_06595</t>
  </si>
  <si>
    <t>putative cysteine desulfurase</t>
  </si>
  <si>
    <t>csd</t>
  </si>
  <si>
    <t>UQZ28017.1</t>
  </si>
  <si>
    <t>CACC_06600</t>
  </si>
  <si>
    <t>UQZ28018.1</t>
  </si>
  <si>
    <t>CACC_06605</t>
  </si>
  <si>
    <t>FeS cluster assembly protein SufD</t>
  </si>
  <si>
    <t>sufD</t>
  </si>
  <si>
    <t>UQZ28019.1</t>
  </si>
  <si>
    <t>CACC_06610</t>
  </si>
  <si>
    <t>FeS cluster assembly protein SufB</t>
  </si>
  <si>
    <t>sufB</t>
  </si>
  <si>
    <t>UQZ28020.1</t>
  </si>
  <si>
    <t>CACC_06615</t>
  </si>
  <si>
    <t>UQZ28021.1</t>
  </si>
  <si>
    <t>CACC_06620</t>
  </si>
  <si>
    <t>UQZ28022.1</t>
  </si>
  <si>
    <t>CACC_06625</t>
  </si>
  <si>
    <t>Daunorubicin/doxorubicin resistance ATP-binding protein DrrA</t>
  </si>
  <si>
    <t>drrA</t>
  </si>
  <si>
    <t>UQZ28023.1</t>
  </si>
  <si>
    <t>CACC_06630</t>
  </si>
  <si>
    <t>UQZ28024.1</t>
  </si>
  <si>
    <t>CACC_06635</t>
  </si>
  <si>
    <t>Heme A synthase</t>
  </si>
  <si>
    <t>ctaA</t>
  </si>
  <si>
    <t>UQZ28025.1</t>
  </si>
  <si>
    <t>CACC_06640</t>
  </si>
  <si>
    <t>qorA2</t>
  </si>
  <si>
    <t>UQZ28026.1</t>
  </si>
  <si>
    <t>CACC_06645</t>
  </si>
  <si>
    <t>Protoheme IX farnesyltransferase</t>
  </si>
  <si>
    <t>ctaB</t>
  </si>
  <si>
    <t>UQZ28027.1</t>
  </si>
  <si>
    <t>CACC_06650</t>
  </si>
  <si>
    <t>Transketolase</t>
  </si>
  <si>
    <t>tkt</t>
  </si>
  <si>
    <t>UQZ28028.1</t>
  </si>
  <si>
    <t>CACC_06655</t>
  </si>
  <si>
    <t>Transaldolase</t>
  </si>
  <si>
    <t>tal</t>
  </si>
  <si>
    <t>UQZ28029.1</t>
  </si>
  <si>
    <t>CACC_06660</t>
  </si>
  <si>
    <t>Glucose-6-phosphate 1-dehydrogenase</t>
  </si>
  <si>
    <t>zwf</t>
  </si>
  <si>
    <t>UQZ28030.1</t>
  </si>
  <si>
    <t>CACC_06665</t>
  </si>
  <si>
    <t>Glucose-6-phosphate dehydrogenase subunit</t>
  </si>
  <si>
    <t>UQZ28031.1</t>
  </si>
  <si>
    <t>CACC_06670</t>
  </si>
  <si>
    <t>6-phosphogluconolactonase</t>
  </si>
  <si>
    <t>pgl</t>
  </si>
  <si>
    <t>UQZ28032.1</t>
  </si>
  <si>
    <t>CACC_06675</t>
  </si>
  <si>
    <t>preprotein translocase subunit SecG</t>
  </si>
  <si>
    <t>UQZ28033.1</t>
  </si>
  <si>
    <t>CACC_06680</t>
  </si>
  <si>
    <t>Triosephosphate isomerase</t>
  </si>
  <si>
    <t>tpiA</t>
  </si>
  <si>
    <t>UQZ28034.1</t>
  </si>
  <si>
    <t>CACC_06685</t>
  </si>
  <si>
    <t>Phosphoglycerate kinase</t>
  </si>
  <si>
    <t>pgk</t>
  </si>
  <si>
    <t>UQZ28035.1</t>
  </si>
  <si>
    <t>CACC_06690</t>
  </si>
  <si>
    <t>gap2</t>
  </si>
  <si>
    <t>UQZ28036.1</t>
  </si>
  <si>
    <t>CACC_06695</t>
  </si>
  <si>
    <t>L-lactate permease</t>
  </si>
  <si>
    <t>lutP</t>
  </si>
  <si>
    <t>UQZ28037.1</t>
  </si>
  <si>
    <t>CACC_06700</t>
  </si>
  <si>
    <t>Putative sporulation transcription regulator WhiA</t>
  </si>
  <si>
    <t>whiA</t>
  </si>
  <si>
    <t>UQZ28038.1</t>
  </si>
  <si>
    <t>CACC_06705</t>
  </si>
  <si>
    <t>Putative gluconeogenesis factor</t>
  </si>
  <si>
    <t>UQZ28039.1</t>
  </si>
  <si>
    <t>CACC_06710</t>
  </si>
  <si>
    <t>glmZ(sRNA)-inactivating NTPase</t>
  </si>
  <si>
    <t>UQZ28040.1</t>
  </si>
  <si>
    <t>CACC_06715</t>
  </si>
  <si>
    <t>UvrABC system protein C</t>
  </si>
  <si>
    <t>uvrC</t>
  </si>
  <si>
    <t>UQZ28041.1</t>
  </si>
  <si>
    <t>CACC_06720</t>
  </si>
  <si>
    <t>UQZ28042.1</t>
  </si>
  <si>
    <t>CACC_06725</t>
  </si>
  <si>
    <t>6,7-dimethyl-8-ribityllumazine synthase</t>
  </si>
  <si>
    <t>ribH</t>
  </si>
  <si>
    <t>UQZ28043.1</t>
  </si>
  <si>
    <t>CACC_06730</t>
  </si>
  <si>
    <t>Riboflavin biosynthesis protein RibBA</t>
  </si>
  <si>
    <t>ribBA</t>
  </si>
  <si>
    <t>UQZ28044.1</t>
  </si>
  <si>
    <t>CACC_06735</t>
  </si>
  <si>
    <t>Riboflavin synthase</t>
  </si>
  <si>
    <t>ribE</t>
  </si>
  <si>
    <t>UQZ28045.1</t>
  </si>
  <si>
    <t>CACC_06740</t>
  </si>
  <si>
    <t>Riboflavin biosynthesis protein RibD</t>
  </si>
  <si>
    <t>ribD</t>
  </si>
  <si>
    <t>UQZ28046.1</t>
  </si>
  <si>
    <t>CACC_06745</t>
  </si>
  <si>
    <t>Ribulose-phosphate 3-epimerase</t>
  </si>
  <si>
    <t>rpe</t>
  </si>
  <si>
    <t>UQZ28047.1</t>
  </si>
  <si>
    <t>CACC_06750</t>
  </si>
  <si>
    <t>Ribosomal RNA small subunit methyltransferase B</t>
  </si>
  <si>
    <t>rsmB</t>
  </si>
  <si>
    <t>UQZ28048.1</t>
  </si>
  <si>
    <t>CACC_06755</t>
  </si>
  <si>
    <t>Methionyl-tRNA formyltransferase</t>
  </si>
  <si>
    <t>fmt</t>
  </si>
  <si>
    <t>UQZ28049.1</t>
  </si>
  <si>
    <t>CACC_06760</t>
  </si>
  <si>
    <t>Peptide deformylase</t>
  </si>
  <si>
    <t>def1</t>
  </si>
  <si>
    <t>UQZ28050.1</t>
  </si>
  <si>
    <t>CACC_06765</t>
  </si>
  <si>
    <t>Primosomal protein N'</t>
  </si>
  <si>
    <t>priA</t>
  </si>
  <si>
    <t>UQZ28051.1</t>
  </si>
  <si>
    <t>CACC_06770</t>
  </si>
  <si>
    <t>S-adenosylmethionine synthase</t>
  </si>
  <si>
    <t>metK</t>
  </si>
  <si>
    <t>UQZ28052.1</t>
  </si>
  <si>
    <t>CACC_06775</t>
  </si>
  <si>
    <t>Coenzyme A biosynthesis bifunctional protein CoaBC</t>
  </si>
  <si>
    <t>coaBC</t>
  </si>
  <si>
    <t>UQZ28053.1</t>
  </si>
  <si>
    <t>CACC_06780</t>
  </si>
  <si>
    <t>DNA-directed RNA polymerase subunit omega</t>
  </si>
  <si>
    <t>rpoZ</t>
  </si>
  <si>
    <t>UQZ28054.1</t>
  </si>
  <si>
    <t>CACC_06785</t>
  </si>
  <si>
    <t>Guanylate kinase</t>
  </si>
  <si>
    <t>gmk</t>
  </si>
  <si>
    <t>UQZ28055.1</t>
  </si>
  <si>
    <t>CACC_06790</t>
  </si>
  <si>
    <t>UQZ28056.1</t>
  </si>
  <si>
    <t>CACC_06795</t>
  </si>
  <si>
    <t>orotidine 5'-phosphate decarboxylase</t>
  </si>
  <si>
    <t>UQZ28057.1</t>
  </si>
  <si>
    <t>CACC_06800</t>
  </si>
  <si>
    <t>Carbamoyl-phosphate synthase large chain</t>
  </si>
  <si>
    <t>carB</t>
  </si>
  <si>
    <t>UQZ28058.1</t>
  </si>
  <si>
    <t>CACC_06805</t>
  </si>
  <si>
    <t>Carbamoyl-phosphate synthase small chain</t>
  </si>
  <si>
    <t>carA</t>
  </si>
  <si>
    <t>UQZ28059.1</t>
  </si>
  <si>
    <t>CACC_06810</t>
  </si>
  <si>
    <t>Dihydroorotase</t>
  </si>
  <si>
    <t>pyrC</t>
  </si>
  <si>
    <t>UQZ28060.1</t>
  </si>
  <si>
    <t>CACC_06815</t>
  </si>
  <si>
    <t>Aspartate carbamoyltransferase</t>
  </si>
  <si>
    <t>pyrB</t>
  </si>
  <si>
    <t>UQZ28061.1</t>
  </si>
  <si>
    <t>CACC_06820</t>
  </si>
  <si>
    <t>Bifunctional protein PyrR</t>
  </si>
  <si>
    <t>pyrR</t>
  </si>
  <si>
    <t>UQZ28062.1</t>
  </si>
  <si>
    <t>CACC_06825</t>
  </si>
  <si>
    <t>Epimerase family protein</t>
  </si>
  <si>
    <t>UQZ28063.1</t>
  </si>
  <si>
    <t>CACC_06830</t>
  </si>
  <si>
    <t>UQZ28064.1</t>
  </si>
  <si>
    <t>CACC_06835</t>
  </si>
  <si>
    <t>UQZ28065.1</t>
  </si>
  <si>
    <t>CACC_06840</t>
  </si>
  <si>
    <t>UQZ28066.1</t>
  </si>
  <si>
    <t>CACC_06845</t>
  </si>
  <si>
    <t>UQZ28067.1</t>
  </si>
  <si>
    <t>CACC_06850</t>
  </si>
  <si>
    <t>Elongation factor P</t>
  </si>
  <si>
    <t>efp</t>
  </si>
  <si>
    <t>UQZ28068.1</t>
  </si>
  <si>
    <t>CACC_06855</t>
  </si>
  <si>
    <t>pepQ2</t>
  </si>
  <si>
    <t>UQZ28069.1</t>
  </si>
  <si>
    <t>CACC_06860</t>
  </si>
  <si>
    <t>3-dehydroquinate dehydratase</t>
  </si>
  <si>
    <t>aroQ</t>
  </si>
  <si>
    <t>UQZ28070.1</t>
  </si>
  <si>
    <t>CACC_06865</t>
  </si>
  <si>
    <t>3-dehydroquinate synthase</t>
  </si>
  <si>
    <t>aroB</t>
  </si>
  <si>
    <t>UQZ28071.1</t>
  </si>
  <si>
    <t>CACC_06870</t>
  </si>
  <si>
    <t>Shikimate kinase</t>
  </si>
  <si>
    <t>aroK</t>
  </si>
  <si>
    <t>UQZ28072.1</t>
  </si>
  <si>
    <t>CACC_06875</t>
  </si>
  <si>
    <t>Chorismate synthase</t>
  </si>
  <si>
    <t>aroC</t>
  </si>
  <si>
    <t>UQZ28073.1</t>
  </si>
  <si>
    <t>CACC_06880</t>
  </si>
  <si>
    <t>Type IV leader peptidase family protein</t>
  </si>
  <si>
    <t>UQZ28074.1</t>
  </si>
  <si>
    <t>CACC_06885</t>
  </si>
  <si>
    <t>Shikimate dehydrogenase</t>
  </si>
  <si>
    <t>aroE</t>
  </si>
  <si>
    <t>UQZ28075.1</t>
  </si>
  <si>
    <t>CACC_06890</t>
  </si>
  <si>
    <t>putative aminodeoxychorismate lyase</t>
  </si>
  <si>
    <t>UQZ28076.1</t>
  </si>
  <si>
    <t>CACC_06895</t>
  </si>
  <si>
    <t>Putative Holliday junction resolvase</t>
  </si>
  <si>
    <t>yrrK</t>
  </si>
  <si>
    <t>UQZ28077.1</t>
  </si>
  <si>
    <t>CACC_06900</t>
  </si>
  <si>
    <t>Alanine--tRNA ligase</t>
  </si>
  <si>
    <t>alaS</t>
  </si>
  <si>
    <t>UQZ28078.1</t>
  </si>
  <si>
    <t>CACC_06905</t>
  </si>
  <si>
    <t>Replication-associated recombination protein A</t>
  </si>
  <si>
    <t>rarA</t>
  </si>
  <si>
    <t>UQZ28079.1</t>
  </si>
  <si>
    <t>CACC_06910</t>
  </si>
  <si>
    <t>Phosphotransferase enzyme family protein</t>
  </si>
  <si>
    <t>UQZ28080.1</t>
  </si>
  <si>
    <t>CACC_06915</t>
  </si>
  <si>
    <t>Aspartate--tRNA ligase</t>
  </si>
  <si>
    <t>aspS</t>
  </si>
  <si>
    <t>UQZ28081.1</t>
  </si>
  <si>
    <t>CACC_06920</t>
  </si>
  <si>
    <t>Putative neutral zinc metallopeptidase</t>
  </si>
  <si>
    <t>UQZ28082.1</t>
  </si>
  <si>
    <t>CACC_06925</t>
  </si>
  <si>
    <t>Alkanal monooxygenase alpha chain</t>
  </si>
  <si>
    <t>luxA</t>
  </si>
  <si>
    <t>UQZ28083.1</t>
  </si>
  <si>
    <t>CACC_06930</t>
  </si>
  <si>
    <t>FMN reductase (NADPH)</t>
  </si>
  <si>
    <t>ssuE</t>
  </si>
  <si>
    <t>UQZ28084.1</t>
  </si>
  <si>
    <t>CACC_06935</t>
  </si>
  <si>
    <t>L-serine dehydratase TdcG</t>
  </si>
  <si>
    <t>tdcG</t>
  </si>
  <si>
    <t>UQZ28085.1</t>
  </si>
  <si>
    <t>CACC_06940</t>
  </si>
  <si>
    <t>Histidine--tRNA ligase</t>
  </si>
  <si>
    <t>hisS</t>
  </si>
  <si>
    <t>UQZ28086.1</t>
  </si>
  <si>
    <t>CACC_06945</t>
  </si>
  <si>
    <t>putative metallo-hydrolase</t>
  </si>
  <si>
    <t>UQZ28087.1</t>
  </si>
  <si>
    <t>CACC_06950</t>
  </si>
  <si>
    <t>putative thiol peroxidase</t>
  </si>
  <si>
    <t>tpx</t>
  </si>
  <si>
    <t>UQZ28088.1</t>
  </si>
  <si>
    <t>CACC_06955</t>
  </si>
  <si>
    <t>Peptidyl-prolyl cis-trans isomerase B</t>
  </si>
  <si>
    <t>cypB</t>
  </si>
  <si>
    <t>UQZ28089.1</t>
  </si>
  <si>
    <t>CACC_06960</t>
  </si>
  <si>
    <t>Superoxide dismutase [Mn]</t>
  </si>
  <si>
    <t>sodA1</t>
  </si>
  <si>
    <t>UQZ28090.1</t>
  </si>
  <si>
    <t>CACC_06965</t>
  </si>
  <si>
    <t>UQZ28091.1</t>
  </si>
  <si>
    <t>CACC_06970</t>
  </si>
  <si>
    <t>UQZ28092.1</t>
  </si>
  <si>
    <t>CACC_06975</t>
  </si>
  <si>
    <t>UQZ28093.1</t>
  </si>
  <si>
    <t>CACC_06980</t>
  </si>
  <si>
    <t>UQZ28094.1</t>
  </si>
  <si>
    <t>CACC_06985</t>
  </si>
  <si>
    <t>Endonuclease YhcR precursor</t>
  </si>
  <si>
    <t>yhcR</t>
  </si>
  <si>
    <t>UQZ28095.1</t>
  </si>
  <si>
    <t>CACC_06990</t>
  </si>
  <si>
    <t>Bifunctional (p)ppGpp synthase/hydrolase relA</t>
  </si>
  <si>
    <t>relA</t>
  </si>
  <si>
    <t>UQZ28096.1</t>
  </si>
  <si>
    <t>CACC_06995</t>
  </si>
  <si>
    <t>Adenine phosphoribosyltransferase</t>
  </si>
  <si>
    <t>apt</t>
  </si>
  <si>
    <t>UQZ28097.1</t>
  </si>
  <si>
    <t>CACC_07000</t>
  </si>
  <si>
    <t>Bacterial extracellular solute-binding protein, family 5</t>
  </si>
  <si>
    <t>UQZ28098.1</t>
  </si>
  <si>
    <t>CACC_07005</t>
  </si>
  <si>
    <t>preprotein translocase subunit SecF</t>
  </si>
  <si>
    <t>UQZ28099.1</t>
  </si>
  <si>
    <t>CACC_07010</t>
  </si>
  <si>
    <t>preprotein translocase subunit SecD</t>
  </si>
  <si>
    <t>UQZ28100.1</t>
  </si>
  <si>
    <t>CACC_07015</t>
  </si>
  <si>
    <t>preprotein translocase subunit YajC</t>
  </si>
  <si>
    <t>UQZ28101.1</t>
  </si>
  <si>
    <t>CACC_07020</t>
  </si>
  <si>
    <t>Holliday junction ATP-dependent DNA helicase RuvB</t>
  </si>
  <si>
    <t>ruvB</t>
  </si>
  <si>
    <t>UQZ28102.1</t>
  </si>
  <si>
    <t>CACC_07025</t>
  </si>
  <si>
    <t>Holliday junction ATP-dependent DNA helicase RuvA</t>
  </si>
  <si>
    <t>ruvA</t>
  </si>
  <si>
    <t>UQZ28103.1</t>
  </si>
  <si>
    <t>CACC_07030</t>
  </si>
  <si>
    <t>Crossover junction endodeoxyribonuclease RuvC</t>
  </si>
  <si>
    <t>ruvC</t>
  </si>
  <si>
    <t>UQZ28104.1</t>
  </si>
  <si>
    <t>CACC_07035</t>
  </si>
  <si>
    <t>putative transcriptional regulatory protein</t>
  </si>
  <si>
    <t>UQZ28105.1</t>
  </si>
  <si>
    <t>CACC_07040</t>
  </si>
  <si>
    <t>Acyl-CoA thioesterase 2</t>
  </si>
  <si>
    <t>tesB</t>
  </si>
  <si>
    <t>UQZ28106.1</t>
  </si>
  <si>
    <t>CACC_07045</t>
  </si>
  <si>
    <t>UQZ28107.1</t>
  </si>
  <si>
    <t>CACC_07050</t>
  </si>
  <si>
    <t>UQZ28108.1</t>
  </si>
  <si>
    <t>CACC_07055</t>
  </si>
  <si>
    <t>GDP-mannose-dependent alpha-(1-2)-phosphatidylinositol mannosyltransferase</t>
  </si>
  <si>
    <t>pimA</t>
  </si>
  <si>
    <t>UQZ28109.1</t>
  </si>
  <si>
    <t>CACC_07060</t>
  </si>
  <si>
    <t>Phosphatidylinositol mannoside acyltransferase</t>
  </si>
  <si>
    <t>UQZ28110.1</t>
  </si>
  <si>
    <t>CACC_07065</t>
  </si>
  <si>
    <t>CDP-diacylglycerol--inositol 3-phosphatidyltransferase</t>
  </si>
  <si>
    <t>pgsA1</t>
  </si>
  <si>
    <t>UQZ28111.1</t>
  </si>
  <si>
    <t>CACC_07070</t>
  </si>
  <si>
    <t>AP-4-A phosphorylase</t>
  </si>
  <si>
    <t>UQZ28112.1</t>
  </si>
  <si>
    <t>CACC_07075</t>
  </si>
  <si>
    <t>Threonine--tRNA ligase</t>
  </si>
  <si>
    <t>thrS</t>
  </si>
  <si>
    <t>UQZ28113.1</t>
  </si>
  <si>
    <t>CACC_07080</t>
  </si>
  <si>
    <t>putative deferrochelatase/peroxidase EfeN precursor</t>
  </si>
  <si>
    <t>efeN</t>
  </si>
  <si>
    <t>UQZ28114.1</t>
  </si>
  <si>
    <t>CACC_07085</t>
  </si>
  <si>
    <t>UQZ28115.1</t>
  </si>
  <si>
    <t>CACC_07090</t>
  </si>
  <si>
    <t>UQZ28116.1</t>
  </si>
  <si>
    <t>CACC_07095</t>
  </si>
  <si>
    <t>tRNA-Gly</t>
  </si>
  <si>
    <t>CACC_07100</t>
  </si>
  <si>
    <t>tRNA-Val</t>
  </si>
  <si>
    <t>CACC_07105</t>
  </si>
  <si>
    <t>tRNA-Cys</t>
  </si>
  <si>
    <t>CACC_07110</t>
  </si>
  <si>
    <t>CACC_07115</t>
  </si>
  <si>
    <t>CACC_07120</t>
  </si>
  <si>
    <t>CACC_07125</t>
  </si>
  <si>
    <t>CACC_07130</t>
  </si>
  <si>
    <t>UQZ28117.1</t>
  </si>
  <si>
    <t>CACC_07135</t>
  </si>
  <si>
    <t>5-amino-6-(5-phosphoribosylamino)uracil reductase</t>
  </si>
  <si>
    <t>UQZ28118.1</t>
  </si>
  <si>
    <t>CACC_07140</t>
  </si>
  <si>
    <t>Alpha-(1-&gt;3)-arabinofuranosyltransferase</t>
  </si>
  <si>
    <t>UQZ28119.1</t>
  </si>
  <si>
    <t>CACC_07145</t>
  </si>
  <si>
    <t>Peptide methionine sulfoxide reductase MsrB</t>
  </si>
  <si>
    <t>msrB</t>
  </si>
  <si>
    <t>UQZ28120.1</t>
  </si>
  <si>
    <t>CACC_07150</t>
  </si>
  <si>
    <t>Chlorite dismutase precursor</t>
  </si>
  <si>
    <t>cld</t>
  </si>
  <si>
    <t>UQZ28121.1</t>
  </si>
  <si>
    <t>CACC_07155</t>
  </si>
  <si>
    <t>UQZ28122.1</t>
  </si>
  <si>
    <t>CACC_07160</t>
  </si>
  <si>
    <t>Ribonuclease D</t>
  </si>
  <si>
    <t>rnd</t>
  </si>
  <si>
    <t>UQZ28123.1</t>
  </si>
  <si>
    <t>CACC_07165</t>
  </si>
  <si>
    <t>1-deoxy-D-xylulose-5-phosphate synthase</t>
  </si>
  <si>
    <t>dxs</t>
  </si>
  <si>
    <t>UQZ28124.1</t>
  </si>
  <si>
    <t>CACC_07170</t>
  </si>
  <si>
    <t>putative RNA methyltransferase</t>
  </si>
  <si>
    <t>UQZ28125.1</t>
  </si>
  <si>
    <t>CACC_07175</t>
  </si>
  <si>
    <t>UQZ28126.1</t>
  </si>
  <si>
    <t>CACC_07180</t>
  </si>
  <si>
    <t>UQZ28127.1</t>
  </si>
  <si>
    <t>CACC_07185</t>
  </si>
  <si>
    <t>Deoxyuridine 5'-triphosphate nucleotidohydrolase</t>
  </si>
  <si>
    <t>dut</t>
  </si>
  <si>
    <t>UQZ28128.1</t>
  </si>
  <si>
    <t>CACC_07190</t>
  </si>
  <si>
    <t>UQZ28129.1</t>
  </si>
  <si>
    <t>CACC_07195</t>
  </si>
  <si>
    <t>UQZ28130.1</t>
  </si>
  <si>
    <t>CACC_07200</t>
  </si>
  <si>
    <t>UQZ28131.1</t>
  </si>
  <si>
    <t>CACC_07205</t>
  </si>
  <si>
    <t>Inositol-1-monophosphatase SuhB</t>
  </si>
  <si>
    <t>suhB2</t>
  </si>
  <si>
    <t>UQZ28132.1</t>
  </si>
  <si>
    <t>CACC_07210</t>
  </si>
  <si>
    <t>Polyphosphate glucokinase</t>
  </si>
  <si>
    <t>ppgK</t>
  </si>
  <si>
    <t>UQZ28133.1</t>
  </si>
  <si>
    <t>CACC_07215</t>
  </si>
  <si>
    <t>RNA polymerase sigma factor SigA</t>
  </si>
  <si>
    <t>sigA</t>
  </si>
  <si>
    <t>UQZ28134.1</t>
  </si>
  <si>
    <t>CACC_07220</t>
  </si>
  <si>
    <t>UQZ28135.1</t>
  </si>
  <si>
    <t>CACC_07225</t>
  </si>
  <si>
    <t>UQZ28136.1</t>
  </si>
  <si>
    <t>CACC_07230</t>
  </si>
  <si>
    <t>UQZ28137.1</t>
  </si>
  <si>
    <t>CACC_07235</t>
  </si>
  <si>
    <t>N5-glutamine S-adenosyl-L-methionine-dependent methyltransferase</t>
  </si>
  <si>
    <t>UQZ28138.1</t>
  </si>
  <si>
    <t>CACC_07240</t>
  </si>
  <si>
    <t>D-tyrosyl-tRNA(Tyr) deacylase</t>
  </si>
  <si>
    <t>dtd</t>
  </si>
  <si>
    <t>UQZ28139.1</t>
  </si>
  <si>
    <t>CACC_07245</t>
  </si>
  <si>
    <t>sdaC3</t>
  </si>
  <si>
    <t>UQZ28140.1</t>
  </si>
  <si>
    <t>CACC_07250</t>
  </si>
  <si>
    <t>L-serine dehydratase 1</t>
  </si>
  <si>
    <t>sdaA</t>
  </si>
  <si>
    <t>UQZ28141.1</t>
  </si>
  <si>
    <t>CACC_07255</t>
  </si>
  <si>
    <t>YheO-like PAS domain protein</t>
  </si>
  <si>
    <t>UQZ28142.1</t>
  </si>
  <si>
    <t>CACC_07260</t>
  </si>
  <si>
    <t>RNA polymerase sigma factor SigB</t>
  </si>
  <si>
    <t>sigB</t>
  </si>
  <si>
    <t>UQZ28143.1</t>
  </si>
  <si>
    <t>CACC_07265</t>
  </si>
  <si>
    <t>Diphtheria toxin repressor</t>
  </si>
  <si>
    <t>dtxR</t>
  </si>
  <si>
    <t>UQZ28144.1</t>
  </si>
  <si>
    <t>CACC_07270</t>
  </si>
  <si>
    <t>UDP-glucose 4-epimerase</t>
  </si>
  <si>
    <t>galE1</t>
  </si>
  <si>
    <t>UQZ28145.1</t>
  </si>
  <si>
    <t>CACC_07275</t>
  </si>
  <si>
    <t>UQZ28146.1</t>
  </si>
  <si>
    <t>CACC_07280</t>
  </si>
  <si>
    <t>PAC2 family protein</t>
  </si>
  <si>
    <t>UQZ28147.1</t>
  </si>
  <si>
    <t>CACC_07285</t>
  </si>
  <si>
    <t>UQZ28148.1</t>
  </si>
  <si>
    <t>CACC_07290</t>
  </si>
  <si>
    <t>Alkyl hydroperoxide reductase AhpD</t>
  </si>
  <si>
    <t>ahpD</t>
  </si>
  <si>
    <t>UQZ28149.1</t>
  </si>
  <si>
    <t>CACC_07295</t>
  </si>
  <si>
    <t>Alkyl hydroperoxide reductase subunit C</t>
  </si>
  <si>
    <t>UQZ28150.1</t>
  </si>
  <si>
    <t>CACC_07300</t>
  </si>
  <si>
    <t>putative hydrogen peroxide-inducible genes activator</t>
  </si>
  <si>
    <t>oxyR</t>
  </si>
  <si>
    <t>UQZ28151.1</t>
  </si>
  <si>
    <t>CACC_07305</t>
  </si>
  <si>
    <t>UQZ28152.1</t>
  </si>
  <si>
    <t>CACC_07310</t>
  </si>
  <si>
    <t>hrpB2</t>
  </si>
  <si>
    <t>UQZ28153.1</t>
  </si>
  <si>
    <t>CACC_07315</t>
  </si>
  <si>
    <t>Transcriptional repressor NrdR</t>
  </si>
  <si>
    <t>nrdR</t>
  </si>
  <si>
    <t>UQZ28154.1</t>
  </si>
  <si>
    <t>CACC_07320</t>
  </si>
  <si>
    <t>UQZ28155.1</t>
  </si>
  <si>
    <t>CACC_07325</t>
  </si>
  <si>
    <t>LexA repressor</t>
  </si>
  <si>
    <t>lexA</t>
  </si>
  <si>
    <t>UQZ28156.1</t>
  </si>
  <si>
    <t>CACC_07330</t>
  </si>
  <si>
    <t>Glucitol operon repressor</t>
  </si>
  <si>
    <t>srlR</t>
  </si>
  <si>
    <t>UQZ28157.1</t>
  </si>
  <si>
    <t>CACC_07335</t>
  </si>
  <si>
    <t>Phosphoenolpyruvate-protein phosphotransferase</t>
  </si>
  <si>
    <t>ptsI</t>
  </si>
  <si>
    <t>UQZ28158.1</t>
  </si>
  <si>
    <t>CACC_07340</t>
  </si>
  <si>
    <t>Tagatose-6-phosphate kinase</t>
  </si>
  <si>
    <t>lacC</t>
  </si>
  <si>
    <t>UQZ28159.1</t>
  </si>
  <si>
    <t>CACC_07345</t>
  </si>
  <si>
    <t>PTS system fructose-specific EIIABC component</t>
  </si>
  <si>
    <t>fruA</t>
  </si>
  <si>
    <t>UQZ28160.1</t>
  </si>
  <si>
    <t>CACC_07350</t>
  </si>
  <si>
    <t>Phosphocarrier protein HPr</t>
  </si>
  <si>
    <t>ptsH</t>
  </si>
  <si>
    <t>UQZ28161.1</t>
  </si>
  <si>
    <t>CACC_07355</t>
  </si>
  <si>
    <t>UQZ28162.1</t>
  </si>
  <si>
    <t>CACC_07360</t>
  </si>
  <si>
    <t>Putative pyrimidine permease RutG</t>
  </si>
  <si>
    <t>rutG</t>
  </si>
  <si>
    <t>UQZ28163.1</t>
  </si>
  <si>
    <t>CACC_07365</t>
  </si>
  <si>
    <t>GTPase HflX</t>
  </si>
  <si>
    <t>hflX</t>
  </si>
  <si>
    <t>UQZ28164.1</t>
  </si>
  <si>
    <t>CACC_07370</t>
  </si>
  <si>
    <t>UQZ28165.1</t>
  </si>
  <si>
    <t>CACC_07375</t>
  </si>
  <si>
    <t>UQZ28166.1</t>
  </si>
  <si>
    <t>CACC_07380</t>
  </si>
  <si>
    <t>Diaminopimelate epimerase</t>
  </si>
  <si>
    <t>dapF</t>
  </si>
  <si>
    <t>UQZ28167.1</t>
  </si>
  <si>
    <t>CACC_07385</t>
  </si>
  <si>
    <t>tRNA dimethylallyltransferase</t>
  </si>
  <si>
    <t>miaA</t>
  </si>
  <si>
    <t>UQZ28168.1</t>
  </si>
  <si>
    <t>CACC_07390</t>
  </si>
  <si>
    <t>UQZ28169.1</t>
  </si>
  <si>
    <t>CACC_07395</t>
  </si>
  <si>
    <t>UQZ28170.1</t>
  </si>
  <si>
    <t>CACC_07400</t>
  </si>
  <si>
    <t>UQZ28171.1</t>
  </si>
  <si>
    <t>CACC_07405</t>
  </si>
  <si>
    <t>UQZ28172.1</t>
  </si>
  <si>
    <t>CACC_07410</t>
  </si>
  <si>
    <t>(Dimethylallyl)adenosine tRNA methylthiotransferase MiaB</t>
  </si>
  <si>
    <t>miaB</t>
  </si>
  <si>
    <t>UQZ28173.1</t>
  </si>
  <si>
    <t>CACC_07415</t>
  </si>
  <si>
    <t>Regulatory protein RecX</t>
  </si>
  <si>
    <t>recX</t>
  </si>
  <si>
    <t>UQZ28174.1</t>
  </si>
  <si>
    <t>CACC_07420</t>
  </si>
  <si>
    <t>recombinase A</t>
  </si>
  <si>
    <t>UQZ28175.1</t>
  </si>
  <si>
    <t>CACC_07425</t>
  </si>
  <si>
    <t>UQZ28176.1</t>
  </si>
  <si>
    <t>CACC_07430</t>
  </si>
  <si>
    <t>Biotin transporter BioY</t>
  </si>
  <si>
    <t>bioY</t>
  </si>
  <si>
    <t>UQZ28177.1</t>
  </si>
  <si>
    <t>CACC_07435</t>
  </si>
  <si>
    <t>Biotin transport ATP-binding protein BioM</t>
  </si>
  <si>
    <t>bioM</t>
  </si>
  <si>
    <t>UQZ28178.1</t>
  </si>
  <si>
    <t>CACC_07440</t>
  </si>
  <si>
    <t>Energy-coupling factor transporter transmembrane protein BioN</t>
  </si>
  <si>
    <t>bioN</t>
  </si>
  <si>
    <t>UQZ28179.1</t>
  </si>
  <si>
    <t>CACC_07445</t>
  </si>
  <si>
    <t>PspA/IM30 family protein</t>
  </si>
  <si>
    <t>UQZ28180.1</t>
  </si>
  <si>
    <t>CACC_07450</t>
  </si>
  <si>
    <t>Transcriptional regulator ClgR</t>
  </si>
  <si>
    <t>clgR</t>
  </si>
  <si>
    <t>UQZ28181.1</t>
  </si>
  <si>
    <t>CACC_07455</t>
  </si>
  <si>
    <t>Putative competence-damage inducible protein</t>
  </si>
  <si>
    <t>cinA</t>
  </si>
  <si>
    <t>UQZ28182.1</t>
  </si>
  <si>
    <t>CACC_07460</t>
  </si>
  <si>
    <t>Putative CDP-diacylglycerol--glycerol-3-phosphate 3-phosphatidyl-transferase 2</t>
  </si>
  <si>
    <t>pgsA2</t>
  </si>
  <si>
    <t>UQZ28183.1</t>
  </si>
  <si>
    <t>CACC_07465</t>
  </si>
  <si>
    <t>YciI-like protein</t>
  </si>
  <si>
    <t>UQZ28184.1</t>
  </si>
  <si>
    <t>CACC_07470</t>
  </si>
  <si>
    <t>Inner membrane protein alx</t>
  </si>
  <si>
    <t>alx</t>
  </si>
  <si>
    <t>UQZ28185.1</t>
  </si>
  <si>
    <t>CACC_07475</t>
  </si>
  <si>
    <t>DNA translocase SpoIIIE</t>
  </si>
  <si>
    <t>spoIIIE</t>
  </si>
  <si>
    <t>UQZ28186.1</t>
  </si>
  <si>
    <t>CACC_07480</t>
  </si>
  <si>
    <t>UQZ28187.1</t>
  </si>
  <si>
    <t>CACC_07485</t>
  </si>
  <si>
    <t>Putative ribonuclease J</t>
  </si>
  <si>
    <t>UQZ28188.1</t>
  </si>
  <si>
    <t>CACC_07490</t>
  </si>
  <si>
    <t>4-hydroxy-tetrahydrodipicolinate synthase</t>
  </si>
  <si>
    <t>dapA1</t>
  </si>
  <si>
    <t>UQZ28189.1</t>
  </si>
  <si>
    <t>CACC_07495</t>
  </si>
  <si>
    <t>Thymidylate synthase ThyX</t>
  </si>
  <si>
    <t>thyX</t>
  </si>
  <si>
    <t>UQZ28190.1</t>
  </si>
  <si>
    <t>CACC_07500</t>
  </si>
  <si>
    <t>4-hydroxy-tetrahydrodipicolinate reductase</t>
  </si>
  <si>
    <t>dapB</t>
  </si>
  <si>
    <t>UQZ28191.1</t>
  </si>
  <si>
    <t>CACC_07505</t>
  </si>
  <si>
    <t>Glyoxalase/Bleomycin resistance protein/Dioxygenase superfamily protein</t>
  </si>
  <si>
    <t>UQZ28192.1</t>
  </si>
  <si>
    <t>CACC_07510</t>
  </si>
  <si>
    <t>UQZ28193.1</t>
  </si>
  <si>
    <t>CACC_07515</t>
  </si>
  <si>
    <t>Polyribonucleotide nucleotidyltransferase</t>
  </si>
  <si>
    <t>pnp</t>
  </si>
  <si>
    <t>UQZ28194.1</t>
  </si>
  <si>
    <t>CACC_07520</t>
  </si>
  <si>
    <t>30S ribosomal protein S15</t>
  </si>
  <si>
    <t>rpsO</t>
  </si>
  <si>
    <t>UQZ28195.1</t>
  </si>
  <si>
    <t>CACC_07525</t>
  </si>
  <si>
    <t>rihA2</t>
  </si>
  <si>
    <t>UQZ28196.1</t>
  </si>
  <si>
    <t>CACC_07530</t>
  </si>
  <si>
    <t>Riboflavin biosynthesis protein RibF</t>
  </si>
  <si>
    <t>ribF</t>
  </si>
  <si>
    <t>UQZ28197.1</t>
  </si>
  <si>
    <t>CACC_07535</t>
  </si>
  <si>
    <t>tRNA pseudouridine synthase B</t>
  </si>
  <si>
    <t>truB</t>
  </si>
  <si>
    <t>UQZ28198.1</t>
  </si>
  <si>
    <t>CACC_07540</t>
  </si>
  <si>
    <t>4'-phosphopantetheinyl transferase Npt</t>
  </si>
  <si>
    <t>npt</t>
  </si>
  <si>
    <t>UQZ28199.1</t>
  </si>
  <si>
    <t>CACC_07545</t>
  </si>
  <si>
    <t>Calcineurin-like phosphoesterase</t>
  </si>
  <si>
    <t>UQZ28200.1</t>
  </si>
  <si>
    <t>CACC_07550</t>
  </si>
  <si>
    <t>DNA-damage-inducible protein F</t>
  </si>
  <si>
    <t>dinF</t>
  </si>
  <si>
    <t>UQZ28201.1</t>
  </si>
  <si>
    <t>CACC_07555</t>
  </si>
  <si>
    <t>Bifunctional oligoribonuclease and PAP phosphatase NrnA</t>
  </si>
  <si>
    <t>nrnA</t>
  </si>
  <si>
    <t>UQZ28202.1</t>
  </si>
  <si>
    <t>CACC_07560</t>
  </si>
  <si>
    <t>Ribosome-binding factor A</t>
  </si>
  <si>
    <t>rbfA</t>
  </si>
  <si>
    <t>UQZ28203.1</t>
  </si>
  <si>
    <t>CACC_07565</t>
  </si>
  <si>
    <t>Translation initiation factor IF-2</t>
  </si>
  <si>
    <t>infB</t>
  </si>
  <si>
    <t>UQZ28204.1</t>
  </si>
  <si>
    <t>CACC_07570</t>
  </si>
  <si>
    <t>UQZ28205.1</t>
  </si>
  <si>
    <t>CACC_07575</t>
  </si>
  <si>
    <t>UQZ28206.1</t>
  </si>
  <si>
    <t>CACC_07580</t>
  </si>
  <si>
    <t>Ribosome maturation factor RimP</t>
  </si>
  <si>
    <t>rimP</t>
  </si>
  <si>
    <t>UQZ28207.1</t>
  </si>
  <si>
    <t>CACC_07585</t>
  </si>
  <si>
    <t>UQZ28208.1</t>
  </si>
  <si>
    <t>CACC_07590</t>
  </si>
  <si>
    <t>Resuscitation-promoting factor RpfA precursor</t>
  </si>
  <si>
    <t>rpfA</t>
  </si>
  <si>
    <t>UQZ28209.1</t>
  </si>
  <si>
    <t>CACC_07595</t>
  </si>
  <si>
    <t>UQZ28210.1</t>
  </si>
  <si>
    <t>CACC_07600</t>
  </si>
  <si>
    <t>Proline--tRNA ligase</t>
  </si>
  <si>
    <t>proS</t>
  </si>
  <si>
    <t>UQZ28211.1</t>
  </si>
  <si>
    <t>CACC_07605</t>
  </si>
  <si>
    <t>UQZ28212.1</t>
  </si>
  <si>
    <t>CACC_07610</t>
  </si>
  <si>
    <t>UQZ28213.1</t>
  </si>
  <si>
    <t>CACC_07615</t>
  </si>
  <si>
    <t>yxlF2</t>
  </si>
  <si>
    <t>UQZ28214.1</t>
  </si>
  <si>
    <t>CACC_07620</t>
  </si>
  <si>
    <t>liaR2</t>
  </si>
  <si>
    <t>UQZ28215.1</t>
  </si>
  <si>
    <t>CACC_07625</t>
  </si>
  <si>
    <t>desK3</t>
  </si>
  <si>
    <t>UQZ28216.1</t>
  </si>
  <si>
    <t>CACC_07630</t>
  </si>
  <si>
    <t>putative isomerase YddE</t>
  </si>
  <si>
    <t>yddE</t>
  </si>
  <si>
    <t>UQZ28217.1</t>
  </si>
  <si>
    <t>CACC_07635</t>
  </si>
  <si>
    <t>UQZ28218.1</t>
  </si>
  <si>
    <t>CACC_07640</t>
  </si>
  <si>
    <t>Malate:quinone oxidoreductase</t>
  </si>
  <si>
    <t>mqo</t>
  </si>
  <si>
    <t>UQZ28219.1</t>
  </si>
  <si>
    <t>CACC_07645</t>
  </si>
  <si>
    <t>UQZ28220.1</t>
  </si>
  <si>
    <t>CACC_07650</t>
  </si>
  <si>
    <t>Mycothione reductase</t>
  </si>
  <si>
    <t>mtr</t>
  </si>
  <si>
    <t>UQZ28221.1</t>
  </si>
  <si>
    <t>CACC_07655</t>
  </si>
  <si>
    <t>Methionine aminopeptidase 2</t>
  </si>
  <si>
    <t>map</t>
  </si>
  <si>
    <t>UQZ28222.1</t>
  </si>
  <si>
    <t>CACC_07660</t>
  </si>
  <si>
    <t>Beta-lactam-inducible penicillin-binding protein</t>
  </si>
  <si>
    <t>pbp</t>
  </si>
  <si>
    <t>UQZ28223.1</t>
  </si>
  <si>
    <t>CACC_07665</t>
  </si>
  <si>
    <t>4-hydroxy-3-methylbut-2-en-1-yl diphosphate synthase</t>
  </si>
  <si>
    <t>ispG</t>
  </si>
  <si>
    <t>UQZ28224.1</t>
  </si>
  <si>
    <t>CACC_07670</t>
  </si>
  <si>
    <t>Zinc metalloprotease Rip1</t>
  </si>
  <si>
    <t>rip1</t>
  </si>
  <si>
    <t>UQZ28225.1</t>
  </si>
  <si>
    <t>CACC_07675</t>
  </si>
  <si>
    <t>1-deoxy-D-xylulose 5-phosphate reductoisomerase</t>
  </si>
  <si>
    <t>dxr</t>
  </si>
  <si>
    <t>UQZ28226.1</t>
  </si>
  <si>
    <t>CACC_07680</t>
  </si>
  <si>
    <t>UQZ28227.1</t>
  </si>
  <si>
    <t>CACC_07685</t>
  </si>
  <si>
    <t>putative dual-specificity RNA methyltransferase RlmN</t>
  </si>
  <si>
    <t>rlmN</t>
  </si>
  <si>
    <t>UQZ28228.1</t>
  </si>
  <si>
    <t>CACC_07690</t>
  </si>
  <si>
    <t>UQZ28229.1</t>
  </si>
  <si>
    <t>CACC_07695</t>
  </si>
  <si>
    <t>Phosphatidate cytidylyltransferase</t>
  </si>
  <si>
    <t>cdsA</t>
  </si>
  <si>
    <t>UQZ28230.1</t>
  </si>
  <si>
    <t>CACC_07700</t>
  </si>
  <si>
    <t>Ribosome-recycling factor</t>
  </si>
  <si>
    <t>frr</t>
  </si>
  <si>
    <t>UQZ28231.1</t>
  </si>
  <si>
    <t>CACC_07705</t>
  </si>
  <si>
    <t>Uridylate kinase</t>
  </si>
  <si>
    <t>pyrH</t>
  </si>
  <si>
    <t>UQZ28232.1</t>
  </si>
  <si>
    <t>CACC_07710</t>
  </si>
  <si>
    <t>Elongation factor Ts</t>
  </si>
  <si>
    <t>tsf</t>
  </si>
  <si>
    <t>UQZ28233.1</t>
  </si>
  <si>
    <t>CACC_07715</t>
  </si>
  <si>
    <t>30S ribosomal protein S2</t>
  </si>
  <si>
    <t>rpsB</t>
  </si>
  <si>
    <t>UQZ28234.1</t>
  </si>
  <si>
    <t>CACC_07720</t>
  </si>
  <si>
    <t>Peptidase family M23</t>
  </si>
  <si>
    <t>UQZ28235.1</t>
  </si>
  <si>
    <t>CACC_07725</t>
  </si>
  <si>
    <t>xerD2</t>
  </si>
  <si>
    <t>UQZ28236.1</t>
  </si>
  <si>
    <t>CACC_07730</t>
  </si>
  <si>
    <t>UQZ28237.1</t>
  </si>
  <si>
    <t>CACC_07735</t>
  </si>
  <si>
    <t>Competence protein ComM</t>
  </si>
  <si>
    <t>comM</t>
  </si>
  <si>
    <t>UQZ28238.1</t>
  </si>
  <si>
    <t>CACC_07740</t>
  </si>
  <si>
    <t>UQZ28239.1</t>
  </si>
  <si>
    <t>CACC_07745</t>
  </si>
  <si>
    <t>UQZ28240.1</t>
  </si>
  <si>
    <t>CACC_07750</t>
  </si>
  <si>
    <t>Ribonuclease HII</t>
  </si>
  <si>
    <t>rnhB</t>
  </si>
  <si>
    <t>UQZ28241.1</t>
  </si>
  <si>
    <t>CACC_07755</t>
  </si>
  <si>
    <t>Signal peptidase I</t>
  </si>
  <si>
    <t>lepB1</t>
  </si>
  <si>
    <t>UQZ28242.1</t>
  </si>
  <si>
    <t>CACC_07760</t>
  </si>
  <si>
    <t>lepB2</t>
  </si>
  <si>
    <t>UQZ28243.1</t>
  </si>
  <si>
    <t>CACC_07765</t>
  </si>
  <si>
    <t>50S ribosomal protein L19</t>
  </si>
  <si>
    <t>rplS</t>
  </si>
  <si>
    <t>UQZ28244.1</t>
  </si>
  <si>
    <t>CACC_07770</t>
  </si>
  <si>
    <t>UQZ28245.1</t>
  </si>
  <si>
    <t>CACC_07775</t>
  </si>
  <si>
    <t>UQZ28246.1</t>
  </si>
  <si>
    <t>CACC_07780</t>
  </si>
  <si>
    <t>UQZ28247.1</t>
  </si>
  <si>
    <t>CACC_07785</t>
  </si>
  <si>
    <t>UQZ28248.1</t>
  </si>
  <si>
    <t>CACC_07790</t>
  </si>
  <si>
    <t>tRNA (guanine-N(1)-)-methyltransferase</t>
  </si>
  <si>
    <t>trmD</t>
  </si>
  <si>
    <t>UQZ28249.1</t>
  </si>
  <si>
    <t>CACC_07795</t>
  </si>
  <si>
    <t>Ribosome maturation factor RimM</t>
  </si>
  <si>
    <t>rimM</t>
  </si>
  <si>
    <t>UQZ28250.1</t>
  </si>
  <si>
    <t>CACC_07800</t>
  </si>
  <si>
    <t>Cupin domain protein</t>
  </si>
  <si>
    <t>UQZ28251.1</t>
  </si>
  <si>
    <t>CACC_07805</t>
  </si>
  <si>
    <t>DNA-binding transcriptional repressor FabR</t>
  </si>
  <si>
    <t>UQZ28252.1</t>
  </si>
  <si>
    <t>CACC_07810</t>
  </si>
  <si>
    <t>30S ribosomal protein S16</t>
  </si>
  <si>
    <t>rpsP</t>
  </si>
  <si>
    <t>UQZ28253.1</t>
  </si>
  <si>
    <t>CACC_07815</t>
  </si>
  <si>
    <t>oatA2</t>
  </si>
  <si>
    <t>UQZ28254.1</t>
  </si>
  <si>
    <t>CACC_07820</t>
  </si>
  <si>
    <t>Signal recognition particle protein</t>
  </si>
  <si>
    <t>ffh</t>
  </si>
  <si>
    <t>UQZ28255.1</t>
  </si>
  <si>
    <t>CACC_07825</t>
  </si>
  <si>
    <t>Bifunctional uridylyltransferase/uridylyl-removing enzyme</t>
  </si>
  <si>
    <t>glnD</t>
  </si>
  <si>
    <t>UQZ28256.1</t>
  </si>
  <si>
    <t>CACC_07830</t>
  </si>
  <si>
    <t>glnB2</t>
  </si>
  <si>
    <t>UQZ28257.1</t>
  </si>
  <si>
    <t>CACC_07835</t>
  </si>
  <si>
    <t>putative monovalent cation/H+ antiporter subunit G</t>
  </si>
  <si>
    <t>UQZ28258.1</t>
  </si>
  <si>
    <t>CACC_07840</t>
  </si>
  <si>
    <t>putative monovalent cation/H+ antiporter subunit F</t>
  </si>
  <si>
    <t>UQZ28259.1</t>
  </si>
  <si>
    <t>CACC_07845</t>
  </si>
  <si>
    <t>putative monovalent cation/H+ antiporter subunit E</t>
  </si>
  <si>
    <t>UQZ28260.1</t>
  </si>
  <si>
    <t>CACC_07850</t>
  </si>
  <si>
    <t>Na(+)/H(+) antiporter subunit D</t>
  </si>
  <si>
    <t>mrpD1</t>
  </si>
  <si>
    <t>UQZ28261.1</t>
  </si>
  <si>
    <t>CACC_07855</t>
  </si>
  <si>
    <t>Na(+)/H(+) antiporter subunit C</t>
  </si>
  <si>
    <t>mrpC1</t>
  </si>
  <si>
    <t>UQZ28262.1</t>
  </si>
  <si>
    <t>CACC_07860</t>
  </si>
  <si>
    <t>Na(+)/H(+) antiporter subunit A</t>
  </si>
  <si>
    <t>mrpA1</t>
  </si>
  <si>
    <t>UQZ28263.1</t>
  </si>
  <si>
    <t>CACC_07865</t>
  </si>
  <si>
    <t>Signal recognition particle receptor FtsY</t>
  </si>
  <si>
    <t>ftsY</t>
  </si>
  <si>
    <t>UQZ28264.1</t>
  </si>
  <si>
    <t>CACC_07870</t>
  </si>
  <si>
    <t>smc3</t>
  </si>
  <si>
    <t>UQZ28265.1</t>
  </si>
  <si>
    <t>CACC_07875</t>
  </si>
  <si>
    <t>Acylphosphatase</t>
  </si>
  <si>
    <t>acyP</t>
  </si>
  <si>
    <t>UQZ28266.1</t>
  </si>
  <si>
    <t>CACC_07880</t>
  </si>
  <si>
    <t>Amino-acid carrier protein AlsT</t>
  </si>
  <si>
    <t>alsT1</t>
  </si>
  <si>
    <t>UQZ28267.1</t>
  </si>
  <si>
    <t>CACC_07885</t>
  </si>
  <si>
    <t>Formamidopyrimidine-DNA glycosylase 1</t>
  </si>
  <si>
    <t>fpg1</t>
  </si>
  <si>
    <t>UQZ28268.1</t>
  </si>
  <si>
    <t>CACC_07890</t>
  </si>
  <si>
    <t>Ribonuclease 3</t>
  </si>
  <si>
    <t>rnc</t>
  </si>
  <si>
    <t>UQZ28269.1</t>
  </si>
  <si>
    <t>CACC_07895</t>
  </si>
  <si>
    <t>UQZ28270.1</t>
  </si>
  <si>
    <t>CACC_07900</t>
  </si>
  <si>
    <t>UQZ28271.1</t>
  </si>
  <si>
    <t>CACC_07905</t>
  </si>
  <si>
    <t>Cell wall synthesis protein Wag31</t>
  </si>
  <si>
    <t>UQZ28272.1</t>
  </si>
  <si>
    <t>CACC_07910</t>
  </si>
  <si>
    <t>NAD(P)-specific glutamate dehydrogenase</t>
  </si>
  <si>
    <t>gdhA</t>
  </si>
  <si>
    <t>UQZ28273.1</t>
  </si>
  <si>
    <t>CACC_07915</t>
  </si>
  <si>
    <t>Glycerate 2-kinase</t>
  </si>
  <si>
    <t>garK</t>
  </si>
  <si>
    <t>UQZ28274.1</t>
  </si>
  <si>
    <t>CACC_07920</t>
  </si>
  <si>
    <t>UQZ28275.1</t>
  </si>
  <si>
    <t>CACC_07925</t>
  </si>
  <si>
    <t>yxeP2</t>
  </si>
  <si>
    <t>UQZ28276.1</t>
  </si>
  <si>
    <t>CACC_07930</t>
  </si>
  <si>
    <t>Pyruvate kinase</t>
  </si>
  <si>
    <t>pyk</t>
  </si>
  <si>
    <t>UQZ28277.1</t>
  </si>
  <si>
    <t>CACC_07935</t>
  </si>
  <si>
    <t>Prolipoprotein diacylglyceryl transferase</t>
  </si>
  <si>
    <t>lgt</t>
  </si>
  <si>
    <t>UQZ28278.1</t>
  </si>
  <si>
    <t>CACC_07940</t>
  </si>
  <si>
    <t>Indole-3-glycerol phosphate synthase</t>
  </si>
  <si>
    <t>trpC1</t>
  </si>
  <si>
    <t>UQZ28279.1</t>
  </si>
  <si>
    <t>CACC_07945</t>
  </si>
  <si>
    <t>Tryptophan-associated transmembrane protein</t>
  </si>
  <si>
    <t>UQZ28280.1</t>
  </si>
  <si>
    <t>CACC_07950</t>
  </si>
  <si>
    <t>phosphoribosyl-AMP cyclohydrolase</t>
  </si>
  <si>
    <t>UQZ28281.1</t>
  </si>
  <si>
    <t>CACC_07955</t>
  </si>
  <si>
    <t>Imidazole glycerol phosphate synthase subunit HisF</t>
  </si>
  <si>
    <t>hisF</t>
  </si>
  <si>
    <t>UQZ28282.1</t>
  </si>
  <si>
    <t>CACC_07960</t>
  </si>
  <si>
    <t>Inositol-1-monophosphatase ImpA</t>
  </si>
  <si>
    <t>impA</t>
  </si>
  <si>
    <t>UQZ28283.1</t>
  </si>
  <si>
    <t>CACC_07965</t>
  </si>
  <si>
    <t>1-(5-phosphoribosyl)-5-[(5-phosphoribosylamino)methylideneamino] imidazole-4-carboxamide isomerase</t>
  </si>
  <si>
    <t>hisA</t>
  </si>
  <si>
    <t>UQZ28284.1</t>
  </si>
  <si>
    <t>CACC_07970</t>
  </si>
  <si>
    <t>Imidazole glycerol phosphate synthase subunit HisH</t>
  </si>
  <si>
    <t>hisH</t>
  </si>
  <si>
    <t>UQZ28285.1</t>
  </si>
  <si>
    <t>CACC_07975</t>
  </si>
  <si>
    <t>UQZ28286.1</t>
  </si>
  <si>
    <t>CACC_07980</t>
  </si>
  <si>
    <t>UQZ28287.1</t>
  </si>
  <si>
    <t>CACC_07985</t>
  </si>
  <si>
    <t>Imidazoleglycerol-phosphate dehydratase</t>
  </si>
  <si>
    <t>hisB</t>
  </si>
  <si>
    <t>UQZ28288.1</t>
  </si>
  <si>
    <t>CACC_07990</t>
  </si>
  <si>
    <t>Histidinol-phosphate aminotransferase</t>
  </si>
  <si>
    <t>hisC</t>
  </si>
  <si>
    <t>UQZ28289.1</t>
  </si>
  <si>
    <t>CACC_07995</t>
  </si>
  <si>
    <t>Histidinol dehydrogenase</t>
  </si>
  <si>
    <t>hisD</t>
  </si>
  <si>
    <t>UQZ28290.1</t>
  </si>
  <si>
    <t>CACC_08000</t>
  </si>
  <si>
    <t>UQZ28291.1</t>
  </si>
  <si>
    <t>CACC_08005</t>
  </si>
  <si>
    <t>UQZ28292.1</t>
  </si>
  <si>
    <t>CACC_08010</t>
  </si>
  <si>
    <t>UQZ28293.1</t>
  </si>
  <si>
    <t>CACC_08015</t>
  </si>
  <si>
    <t>Tetracycline repressor protein class H</t>
  </si>
  <si>
    <t>tetR</t>
  </si>
  <si>
    <t>UQZ28294.1</t>
  </si>
  <si>
    <t>CACC_08020</t>
  </si>
  <si>
    <t>polC2</t>
  </si>
  <si>
    <t>UQZ28295.1</t>
  </si>
  <si>
    <t>CACC_08025</t>
  </si>
  <si>
    <t>UQZ28296.1</t>
  </si>
  <si>
    <t>CACC_08030</t>
  </si>
  <si>
    <t>GTP pyrophosphokinase YwaC</t>
  </si>
  <si>
    <t>ywaC</t>
  </si>
  <si>
    <t>UQZ28297.1</t>
  </si>
  <si>
    <t>CACC_08035</t>
  </si>
  <si>
    <t>Heat shock protein 15</t>
  </si>
  <si>
    <t>hslR</t>
  </si>
  <si>
    <t>UQZ28298.1</t>
  </si>
  <si>
    <t>CACC_08040</t>
  </si>
  <si>
    <t>UQZ28299.1</t>
  </si>
  <si>
    <t>CACC_08045</t>
  </si>
  <si>
    <t>IMPACT family member YigZ</t>
  </si>
  <si>
    <t>yigZ</t>
  </si>
  <si>
    <t>UQZ28300.1</t>
  </si>
  <si>
    <t>CACC_08050</t>
  </si>
  <si>
    <t>L-threonine dehydratase biosynthetic IlvA</t>
  </si>
  <si>
    <t>ilvA</t>
  </si>
  <si>
    <t>UQZ28301.1</t>
  </si>
  <si>
    <t>CACC_08055</t>
  </si>
  <si>
    <t>UQZ28302.1</t>
  </si>
  <si>
    <t>CACC_08060</t>
  </si>
  <si>
    <t>UQZ28303.1</t>
  </si>
  <si>
    <t>CACC_08065</t>
  </si>
  <si>
    <t>DNA polymerase III subunit alpha</t>
  </si>
  <si>
    <t>dnaE2</t>
  </si>
  <si>
    <t>UQZ28304.1</t>
  </si>
  <si>
    <t>CACC_08070</t>
  </si>
  <si>
    <t>EamA-like transporter family protein</t>
  </si>
  <si>
    <t>UQZ28305.1</t>
  </si>
  <si>
    <t>CACC_08075</t>
  </si>
  <si>
    <t>UQZ28306.1</t>
  </si>
  <si>
    <t>CACC_08080</t>
  </si>
  <si>
    <t>UQZ28307.1</t>
  </si>
  <si>
    <t>CACC_08085</t>
  </si>
  <si>
    <t>Ribosomal large subunit pseudouridine synthase D</t>
  </si>
  <si>
    <t>rluD</t>
  </si>
  <si>
    <t>UQZ28308.1</t>
  </si>
  <si>
    <t>CACC_08090</t>
  </si>
  <si>
    <t>Lipoprotein signal peptidase</t>
  </si>
  <si>
    <t>lspA</t>
  </si>
  <si>
    <t>UQZ28309.1</t>
  </si>
  <si>
    <t>CACC_08095</t>
  </si>
  <si>
    <t>UQZ28310.1</t>
  </si>
  <si>
    <t>CACC_08100</t>
  </si>
  <si>
    <t>UQZ28311.1</t>
  </si>
  <si>
    <t>CACC_08105</t>
  </si>
  <si>
    <t>L-asparaginase</t>
  </si>
  <si>
    <t>ansA</t>
  </si>
  <si>
    <t>UQZ28312.1</t>
  </si>
  <si>
    <t>CACC_08110</t>
  </si>
  <si>
    <t>dinB</t>
  </si>
  <si>
    <t>UQZ28313.1</t>
  </si>
  <si>
    <t>CACC_08115</t>
  </si>
  <si>
    <t>putative HTH-type transcriptional regulator YdfH</t>
  </si>
  <si>
    <t>ydfH</t>
  </si>
  <si>
    <t>UQZ28314.1</t>
  </si>
  <si>
    <t>CACC_08120</t>
  </si>
  <si>
    <t>multidrug resistance protein D</t>
  </si>
  <si>
    <t>UQZ28315.1</t>
  </si>
  <si>
    <t>CACC_08125</t>
  </si>
  <si>
    <t>UQZ28316.1</t>
  </si>
  <si>
    <t>CACC_08130</t>
  </si>
  <si>
    <t>UQZ28317.1</t>
  </si>
  <si>
    <t>CACC_08135</t>
  </si>
  <si>
    <t>UQZ28318.1</t>
  </si>
  <si>
    <t>CACC_08140</t>
  </si>
  <si>
    <t>Isoleucine--tRNA ligase</t>
  </si>
  <si>
    <t>ileS</t>
  </si>
  <si>
    <t>UQZ28319.1</t>
  </si>
  <si>
    <t>CACC_08145</t>
  </si>
  <si>
    <t>UQZ28320.1</t>
  </si>
  <si>
    <t>CACC_08150</t>
  </si>
  <si>
    <t>UQZ28321.1</t>
  </si>
  <si>
    <t>CACC_08155</t>
  </si>
  <si>
    <t>UQZ28322.1</t>
  </si>
  <si>
    <t>CACC_08160</t>
  </si>
  <si>
    <t>YGGT family protein</t>
  </si>
  <si>
    <t>UQZ28323.1</t>
  </si>
  <si>
    <t>CACC_08165</t>
  </si>
  <si>
    <t>Cell division protein SepF</t>
  </si>
  <si>
    <t>sepF</t>
  </si>
  <si>
    <t>UQZ28324.1</t>
  </si>
  <si>
    <t>CACC_08170</t>
  </si>
  <si>
    <t>UQZ28325.1</t>
  </si>
  <si>
    <t>CACC_08175</t>
  </si>
  <si>
    <t>Laccase domain protein YfiH</t>
  </si>
  <si>
    <t>yfiH</t>
  </si>
  <si>
    <t>UQZ28326.1</t>
  </si>
  <si>
    <t>CACC_08180</t>
  </si>
  <si>
    <t>Cell division protein FtsZ</t>
  </si>
  <si>
    <t>ftsZ</t>
  </si>
  <si>
    <t>UQZ28327.1</t>
  </si>
  <si>
    <t>CACC_08185</t>
  </si>
  <si>
    <t>Cell division protein FtsQ</t>
  </si>
  <si>
    <t>ftsQ</t>
  </si>
  <si>
    <t>UQZ28328.1</t>
  </si>
  <si>
    <t>CACC_08190</t>
  </si>
  <si>
    <t>UDP-N-acetylmuramate--L-alanine ligase</t>
  </si>
  <si>
    <t>murC</t>
  </si>
  <si>
    <t>UQZ28329.1</t>
  </si>
  <si>
    <t>CACC_08195</t>
  </si>
  <si>
    <t>UDP-N-acetylglucosamine--N-acetylmuramyl-(pentapeptide) pyrophosphoryl-undecaprenol N-acetylglucosamine transferase</t>
  </si>
  <si>
    <t>murG</t>
  </si>
  <si>
    <t>UQZ28330.1</t>
  </si>
  <si>
    <t>CACC_08200</t>
  </si>
  <si>
    <t>ftsW2</t>
  </si>
  <si>
    <t>UQZ28331.1</t>
  </si>
  <si>
    <t>CACC_08205</t>
  </si>
  <si>
    <t>UDP-N-acetylmuramoylalanine--D-glutamate ligase</t>
  </si>
  <si>
    <t>murD</t>
  </si>
  <si>
    <t>UQZ28332.1</t>
  </si>
  <si>
    <t>CACC_08210</t>
  </si>
  <si>
    <t>Phospho-N-acetylmuramoyl-pentapeptide-transferase</t>
  </si>
  <si>
    <t>mraY</t>
  </si>
  <si>
    <t>UQZ28333.1</t>
  </si>
  <si>
    <t>CACC_08215</t>
  </si>
  <si>
    <t>UDP-N-acetylmuramoyl-tripeptide--D-alanyl-D-alanine ligase</t>
  </si>
  <si>
    <t>murF</t>
  </si>
  <si>
    <t>UQZ28334.1</t>
  </si>
  <si>
    <t>CACC_08220</t>
  </si>
  <si>
    <t>UDP-N-acetylmuramoyl-L-alanyl-D-glutamate--2,6-diaminopimelate ligase</t>
  </si>
  <si>
    <t>murE</t>
  </si>
  <si>
    <t>UQZ28335.1</t>
  </si>
  <si>
    <t>CACC_08225</t>
  </si>
  <si>
    <t>Penicillin-binding protein PbpB</t>
  </si>
  <si>
    <t>pbpB</t>
  </si>
  <si>
    <t>UQZ28336.1</t>
  </si>
  <si>
    <t>CACC_08230</t>
  </si>
  <si>
    <t>ftsL2</t>
  </si>
  <si>
    <t>UQZ28337.1</t>
  </si>
  <si>
    <t>CACC_08235</t>
  </si>
  <si>
    <t>Ribosomal RNA small subunit methyltransferase H</t>
  </si>
  <si>
    <t>rsmH</t>
  </si>
  <si>
    <t>UQZ28338.1</t>
  </si>
  <si>
    <t>CACC_08240</t>
  </si>
  <si>
    <t>cell division protein MraZ</t>
  </si>
  <si>
    <t>UQZ28339.1</t>
  </si>
  <si>
    <t>CACC_08245</t>
  </si>
  <si>
    <t>UQZ28340.1</t>
  </si>
  <si>
    <t>CACC_08250</t>
  </si>
  <si>
    <t>UQZ28341.1</t>
  </si>
  <si>
    <t>CACC_08255</t>
  </si>
  <si>
    <t>UQZ28342.1</t>
  </si>
  <si>
    <t>CACC_08260</t>
  </si>
  <si>
    <t>(2E,6E)-farnesyl diphosphate synthase</t>
  </si>
  <si>
    <t>UQZ28343.1</t>
  </si>
  <si>
    <t>CACC_08265</t>
  </si>
  <si>
    <t>UQZ28344.1</t>
  </si>
  <si>
    <t>CACC_08270</t>
  </si>
  <si>
    <t>DNA-binding protein</t>
  </si>
  <si>
    <t>UQZ28345.1</t>
  </si>
  <si>
    <t>CACC_08275</t>
  </si>
  <si>
    <t>Serine/threonine-protein kinase PknL</t>
  </si>
  <si>
    <t>pknL</t>
  </si>
  <si>
    <t>UQZ28346.1</t>
  </si>
  <si>
    <t>CACC_08280</t>
  </si>
  <si>
    <t>Phospho-2-dehydro-3-deoxyheptonate aldolase AroG</t>
  </si>
  <si>
    <t>aroG</t>
  </si>
  <si>
    <t>UQZ28347.1</t>
  </si>
  <si>
    <t>CACC_08285</t>
  </si>
  <si>
    <t>3'-5' exoribonuclease.1</t>
  </si>
  <si>
    <t>UQZ28348.1</t>
  </si>
  <si>
    <t>CACC_08290</t>
  </si>
  <si>
    <t>UQZ28349.1</t>
  </si>
  <si>
    <t>CACC_08295</t>
  </si>
  <si>
    <t>UQZ28350.1</t>
  </si>
  <si>
    <t>CACC_08300</t>
  </si>
  <si>
    <t>2-acyl-glycerophospho-ethanolamine acyltransferase</t>
  </si>
  <si>
    <t>UQZ28351.1</t>
  </si>
  <si>
    <t>CACC_08305</t>
  </si>
  <si>
    <t>Glucokinase</t>
  </si>
  <si>
    <t>glkA1</t>
  </si>
  <si>
    <t>UQZ28352.1</t>
  </si>
  <si>
    <t>CACC_08310</t>
  </si>
  <si>
    <t>GDP-mannose-dependent alpha-(1-6)-phosphatidylinositol monomannoside mannosyltransferase</t>
  </si>
  <si>
    <t>pimB</t>
  </si>
  <si>
    <t>UQZ28353.1</t>
  </si>
  <si>
    <t>CACC_08315</t>
  </si>
  <si>
    <t>UQZ28354.1</t>
  </si>
  <si>
    <t>CACC_08320</t>
  </si>
  <si>
    <t>UQZ28355.1</t>
  </si>
  <si>
    <t>CACC_08325</t>
  </si>
  <si>
    <t>Menaquinol-cytochrome c reductase cytochrome b subunit</t>
  </si>
  <si>
    <t>qcrB</t>
  </si>
  <si>
    <t>UQZ28356.1</t>
  </si>
  <si>
    <t>CACC_08330</t>
  </si>
  <si>
    <t>Arsenite oxidase subunit AioB precursor</t>
  </si>
  <si>
    <t>aioB</t>
  </si>
  <si>
    <t>UQZ28357.1</t>
  </si>
  <si>
    <t>CACC_08335</t>
  </si>
  <si>
    <t>Menaquinol-cytochrome c reductase cytochrome c subunit</t>
  </si>
  <si>
    <t>qcrC</t>
  </si>
  <si>
    <t>UQZ28358.1</t>
  </si>
  <si>
    <t>CACC_08340</t>
  </si>
  <si>
    <t>Cytochrome c oxidase subunit 3</t>
  </si>
  <si>
    <t>ctaE</t>
  </si>
  <si>
    <t>UQZ28359.1</t>
  </si>
  <si>
    <t>CACC_08345</t>
  </si>
  <si>
    <t>Cytochrome c oxidase polypeptide 4</t>
  </si>
  <si>
    <t>ctaF</t>
  </si>
  <si>
    <t>UQZ28360.1</t>
  </si>
  <si>
    <t>CACC_08350</t>
  </si>
  <si>
    <t>Cytochrome c oxidase subunit 2 precursor</t>
  </si>
  <si>
    <t>ctaC</t>
  </si>
  <si>
    <t>UQZ28361.1</t>
  </si>
  <si>
    <t>CACC_08355</t>
  </si>
  <si>
    <t>Putative asparagine synthetase [glutamine-hydrolyzing]</t>
  </si>
  <si>
    <t>asnB</t>
  </si>
  <si>
    <t>UQZ28362.1</t>
  </si>
  <si>
    <t>CACC_08360</t>
  </si>
  <si>
    <t>Iron-sulfur cluster insertion protein ErpA</t>
  </si>
  <si>
    <t>erpA</t>
  </si>
  <si>
    <t>UQZ28363.1</t>
  </si>
  <si>
    <t>CACC_08365</t>
  </si>
  <si>
    <t>UQZ28364.1</t>
  </si>
  <si>
    <t>CACC_08370</t>
  </si>
  <si>
    <t>Nicotinate-nucleotide--dimethylbenzimidazole phosphoribosyltransferase</t>
  </si>
  <si>
    <t>cobT</t>
  </si>
  <si>
    <t>UQZ28365.1</t>
  </si>
  <si>
    <t>CACC_08375</t>
  </si>
  <si>
    <t>Branched-chain-amino-acid aminotransferase</t>
  </si>
  <si>
    <t>ilvE</t>
  </si>
  <si>
    <t>UQZ28366.1</t>
  </si>
  <si>
    <t>CACC_08380</t>
  </si>
  <si>
    <t>Cytosol aminopeptidase</t>
  </si>
  <si>
    <t>pepA</t>
  </si>
  <si>
    <t>UQZ28367.1</t>
  </si>
  <si>
    <t>CACC_08385</t>
  </si>
  <si>
    <t>nicotinamidase/pyrazinamidase</t>
  </si>
  <si>
    <t>UQZ28368.1</t>
  </si>
  <si>
    <t>CACC_08390</t>
  </si>
  <si>
    <t>UQZ28369.1</t>
  </si>
  <si>
    <t>CACC_08395</t>
  </si>
  <si>
    <t>Dihydrolipoyllysine-residue acetyltransferase component of pyruvate dehydrogenase complex</t>
  </si>
  <si>
    <t>aceF</t>
  </si>
  <si>
    <t>UQZ28370.1</t>
  </si>
  <si>
    <t>CACC_08400</t>
  </si>
  <si>
    <t>Glycine dehydrogenase (decarboxylating)</t>
  </si>
  <si>
    <t>gcvP</t>
  </si>
  <si>
    <t>UQZ28371.1</t>
  </si>
  <si>
    <t>CACC_08405</t>
  </si>
  <si>
    <t>Aminomethyltransferase</t>
  </si>
  <si>
    <t>gcvT</t>
  </si>
  <si>
    <t>UQZ28372.1</t>
  </si>
  <si>
    <t>CACC_08410</t>
  </si>
  <si>
    <t>Glycine cleavage system H protein</t>
  </si>
  <si>
    <t>gcvH</t>
  </si>
  <si>
    <t>UQZ28373.1</t>
  </si>
  <si>
    <t>CACC_08415</t>
  </si>
  <si>
    <t>Octanoyltransferase</t>
  </si>
  <si>
    <t>lipB</t>
  </si>
  <si>
    <t>UQZ28374.1</t>
  </si>
  <si>
    <t>CACC_08420</t>
  </si>
  <si>
    <t>Lipoyl synthase</t>
  </si>
  <si>
    <t>lipA</t>
  </si>
  <si>
    <t>UQZ28375.1</t>
  </si>
  <si>
    <t>CACC_08425</t>
  </si>
  <si>
    <t>UQZ28376.1</t>
  </si>
  <si>
    <t>CACC_08430</t>
  </si>
  <si>
    <t>UQZ28377.1</t>
  </si>
  <si>
    <t>CACC_08435</t>
  </si>
  <si>
    <t>Glutamine synthetase 1</t>
  </si>
  <si>
    <t>glnA1</t>
  </si>
  <si>
    <t>UQZ28378.1</t>
  </si>
  <si>
    <t>CACC_08440</t>
  </si>
  <si>
    <t>UQZ28379.1</t>
  </si>
  <si>
    <t>CACC_08445</t>
  </si>
  <si>
    <t>C4-dicarboxylate transporter/malic acid transport protein</t>
  </si>
  <si>
    <t>UQZ28380.1</t>
  </si>
  <si>
    <t>CACC_08450</t>
  </si>
  <si>
    <t>UQZ28381.1</t>
  </si>
  <si>
    <t>CACC_08455</t>
  </si>
  <si>
    <t>dihydroneopterin triphosphate pyrophosphatase</t>
  </si>
  <si>
    <t>UQZ28382.1</t>
  </si>
  <si>
    <t>CACC_08460</t>
  </si>
  <si>
    <t>UQZ28383.1</t>
  </si>
  <si>
    <t>CACC_08465</t>
  </si>
  <si>
    <t>UQZ28384.1</t>
  </si>
  <si>
    <t>CACC_08470</t>
  </si>
  <si>
    <t>Threonine synthase</t>
  </si>
  <si>
    <t>thrC</t>
  </si>
  <si>
    <t>UQZ28385.1</t>
  </si>
  <si>
    <t>CACC_08475</t>
  </si>
  <si>
    <t>putative sulfoacetate transporter SauU</t>
  </si>
  <si>
    <t>sauU</t>
  </si>
  <si>
    <t>UQZ28386.1</t>
  </si>
  <si>
    <t>CACC_08480</t>
  </si>
  <si>
    <t>Vitamin B12 import ATP-binding protein BtuD</t>
  </si>
  <si>
    <t>btuD</t>
  </si>
  <si>
    <t>UQZ28387.1</t>
  </si>
  <si>
    <t>CACC_08485</t>
  </si>
  <si>
    <t>UQZ28388.1</t>
  </si>
  <si>
    <t>CACC_08490</t>
  </si>
  <si>
    <t>UQZ28389.1</t>
  </si>
  <si>
    <t>CACC_08495</t>
  </si>
  <si>
    <t>UQZ28390.1</t>
  </si>
  <si>
    <t>CACC_08500</t>
  </si>
  <si>
    <t>Glutamate-ammonia-ligase adenylyltransferase</t>
  </si>
  <si>
    <t>glnE</t>
  </si>
  <si>
    <t>UQZ28391.1</t>
  </si>
  <si>
    <t>CACC_08505</t>
  </si>
  <si>
    <t>putative glutamine synthetase 2</t>
  </si>
  <si>
    <t>glnA2</t>
  </si>
  <si>
    <t>UQZ28392.1</t>
  </si>
  <si>
    <t>CACC_08510</t>
  </si>
  <si>
    <t>UQZ28393.1</t>
  </si>
  <si>
    <t>CACC_08515</t>
  </si>
  <si>
    <t>CHAD domain protein</t>
  </si>
  <si>
    <t>UQZ28394.1</t>
  </si>
  <si>
    <t>CACC_08520</t>
  </si>
  <si>
    <t>UQZ28395.1</t>
  </si>
  <si>
    <t>CACC_08525</t>
  </si>
  <si>
    <t>galactokinase</t>
  </si>
  <si>
    <t>UQZ28396.1</t>
  </si>
  <si>
    <t>CACC_08530</t>
  </si>
  <si>
    <t>Bacterial RNase P class A</t>
  </si>
  <si>
    <t>rnpA</t>
  </si>
  <si>
    <t>RNase_P_RNA</t>
  </si>
  <si>
    <t>CACC_08535</t>
  </si>
  <si>
    <t>Alcohol dehydrogenase</t>
  </si>
  <si>
    <t>adh</t>
  </si>
  <si>
    <t>UQZ28397.1</t>
  </si>
  <si>
    <t>CACC_08540</t>
  </si>
  <si>
    <t>Phosphoserine phosphatase 1</t>
  </si>
  <si>
    <t>pspA</t>
  </si>
  <si>
    <t>UQZ28398.1</t>
  </si>
  <si>
    <t>CACC_08545</t>
  </si>
  <si>
    <t>Putative zinc ribbon domain protein</t>
  </si>
  <si>
    <t>UQZ28399.1</t>
  </si>
  <si>
    <t>CACC_08550</t>
  </si>
  <si>
    <t>Putative GTP cyclohydrolase 1 type 2</t>
  </si>
  <si>
    <t>UQZ28400.1</t>
  </si>
  <si>
    <t>CACC_08555</t>
  </si>
  <si>
    <t>putative low molecular weight protein-tyrosine-phosphatase</t>
  </si>
  <si>
    <t>ptpA</t>
  </si>
  <si>
    <t>UQZ28401.1</t>
  </si>
  <si>
    <t>CACC_08560</t>
  </si>
  <si>
    <t>SURF1 family protein</t>
  </si>
  <si>
    <t>UQZ28402.1</t>
  </si>
  <si>
    <t>CACC_08565</t>
  </si>
  <si>
    <t>CACC_08570</t>
  </si>
  <si>
    <t>UQZ28403.1</t>
  </si>
  <si>
    <t>CACC_08575</t>
  </si>
  <si>
    <t>Pyruvate dehydrogenase E1 component</t>
  </si>
  <si>
    <t>aceE</t>
  </si>
  <si>
    <t>UQZ28404.1</t>
  </si>
  <si>
    <t>CACC_08580</t>
  </si>
  <si>
    <t>acyl carrier protein</t>
  </si>
  <si>
    <t>UQZ28405.1</t>
  </si>
  <si>
    <t>CACC_08585</t>
  </si>
  <si>
    <t>Ribonucleotide monophosphatase NagD</t>
  </si>
  <si>
    <t>nagD</t>
  </si>
  <si>
    <t>UQZ28406.1</t>
  </si>
  <si>
    <t>CACC_08590</t>
  </si>
  <si>
    <t>UQZ28407.1</t>
  </si>
  <si>
    <t>CACC_08595</t>
  </si>
  <si>
    <t>UQZ28408.1</t>
  </si>
  <si>
    <t>CACC_08600</t>
  </si>
  <si>
    <t>Beta-lactamase</t>
  </si>
  <si>
    <t>UQZ28409.1</t>
  </si>
  <si>
    <t>CACC_08605</t>
  </si>
  <si>
    <t>N-ethylmaleimide reductase</t>
  </si>
  <si>
    <t>nemA</t>
  </si>
  <si>
    <t>UQZ28410.1</t>
  </si>
  <si>
    <t>CACC_08610</t>
  </si>
  <si>
    <t>putative MscS family protein YkuT</t>
  </si>
  <si>
    <t>ykuT1</t>
  </si>
  <si>
    <t>UQZ28411.1</t>
  </si>
  <si>
    <t>CACC_08615</t>
  </si>
  <si>
    <t>UQZ28412.1</t>
  </si>
  <si>
    <t>CACC_08620</t>
  </si>
  <si>
    <t>UQZ28413.1</t>
  </si>
  <si>
    <t>CACC_08625</t>
  </si>
  <si>
    <t>CACC_08630</t>
  </si>
  <si>
    <t>UQZ28414.1</t>
  </si>
  <si>
    <t>CACC_08635</t>
  </si>
  <si>
    <t>ygbT</t>
  </si>
  <si>
    <t>UQZ28415.1</t>
  </si>
  <si>
    <t>CACC_08640</t>
  </si>
  <si>
    <t>CRISPR-associated endoribonuclease Cse3</t>
  </si>
  <si>
    <t>cse1</t>
  </si>
  <si>
    <t>UQZ28416.1</t>
  </si>
  <si>
    <t>CACC_08645</t>
  </si>
  <si>
    <t>CRISPR-associated protein</t>
  </si>
  <si>
    <t>UQZ28417.1</t>
  </si>
  <si>
    <t>CACC_08650</t>
  </si>
  <si>
    <t>CRISPR system Cascade subunit CasC</t>
  </si>
  <si>
    <t>casC</t>
  </si>
  <si>
    <t>UQZ28418.1</t>
  </si>
  <si>
    <t>CACC_08655</t>
  </si>
  <si>
    <t>CRISPR-associated protein Cse2</t>
  </si>
  <si>
    <t>UQZ28419.1</t>
  </si>
  <si>
    <t>CACC_08660</t>
  </si>
  <si>
    <t>CRISPR-associated protein CasA/Cse1</t>
  </si>
  <si>
    <t>cse2</t>
  </si>
  <si>
    <t>UQZ28420.1</t>
  </si>
  <si>
    <t>CACC_08665</t>
  </si>
  <si>
    <t>CRISPR-associated nuclease/helicase Cas3</t>
  </si>
  <si>
    <t>cas4</t>
  </si>
  <si>
    <t>UQZ28421.1</t>
  </si>
  <si>
    <t>CACC_08670</t>
  </si>
  <si>
    <t>Organic hydroperoxide resistance protein OhrB</t>
  </si>
  <si>
    <t>ohrB</t>
  </si>
  <si>
    <t>UQZ28422.1</t>
  </si>
  <si>
    <t>CACC_08675</t>
  </si>
  <si>
    <t>UQZ28423.1</t>
  </si>
  <si>
    <t>CACC_08680</t>
  </si>
  <si>
    <t>UQZ28424.1</t>
  </si>
  <si>
    <t>CACC_08685</t>
  </si>
  <si>
    <t>smc4</t>
  </si>
  <si>
    <t>UQZ28425.1</t>
  </si>
  <si>
    <t>CACC_08690</t>
  </si>
  <si>
    <t>UQZ28426.1</t>
  </si>
  <si>
    <t>CACC_08695</t>
  </si>
  <si>
    <t>UQZ28427.1</t>
  </si>
  <si>
    <t>CACC_08700</t>
  </si>
  <si>
    <t>8-amino-7-oxononanoate synthase</t>
  </si>
  <si>
    <t>bioF</t>
  </si>
  <si>
    <t>UQZ28428.1</t>
  </si>
  <si>
    <t>CACC_08705</t>
  </si>
  <si>
    <t>6-carboxyhexanoate--CoA ligase</t>
  </si>
  <si>
    <t>bioW</t>
  </si>
  <si>
    <t>UQZ28429.1</t>
  </si>
  <si>
    <t>CACC_08710</t>
  </si>
  <si>
    <t>tRNA-Asn</t>
  </si>
  <si>
    <t>CACC_08715</t>
  </si>
  <si>
    <t>UQZ28430.1</t>
  </si>
  <si>
    <t>CACC_08720</t>
  </si>
  <si>
    <t>UQZ28431.1</t>
  </si>
  <si>
    <t>CACC_08725</t>
  </si>
  <si>
    <t>UQZ28432.1</t>
  </si>
  <si>
    <t>CACC_08730</t>
  </si>
  <si>
    <t>UQZ28433.1</t>
  </si>
  <si>
    <t>CACC_08735</t>
  </si>
  <si>
    <t>Succinate-semialdehyde dehydrogenase [NADP(+)] 1</t>
  </si>
  <si>
    <t>gabD1</t>
  </si>
  <si>
    <t>UQZ28434.1</t>
  </si>
  <si>
    <t>CACC_08740</t>
  </si>
  <si>
    <t>Latex clearing protein precursor</t>
  </si>
  <si>
    <t>lcp</t>
  </si>
  <si>
    <t>UQZ28435.1</t>
  </si>
  <si>
    <t>CACC_08745</t>
  </si>
  <si>
    <t>UQZ28436.1</t>
  </si>
  <si>
    <t>CACC_08750</t>
  </si>
  <si>
    <t>Phthalate dioxygenase reductase</t>
  </si>
  <si>
    <t>ophA1</t>
  </si>
  <si>
    <t>UQZ28437.1</t>
  </si>
  <si>
    <t>CACC_08755</t>
  </si>
  <si>
    <t>UQZ28438.1</t>
  </si>
  <si>
    <t>CACC_08760</t>
  </si>
  <si>
    <t>accC2</t>
  </si>
  <si>
    <t>UQZ28439.1</t>
  </si>
  <si>
    <t>CACC_08765</t>
  </si>
  <si>
    <t>Biotin carboxyl carrier protein of acetyl-CoA carboxylase</t>
  </si>
  <si>
    <t>accB</t>
  </si>
  <si>
    <t>UQZ28440.1</t>
  </si>
  <si>
    <t>CACC_08770</t>
  </si>
  <si>
    <t>2-oxoglutarate carboxylase large subunit</t>
  </si>
  <si>
    <t>cfiA</t>
  </si>
  <si>
    <t>UQZ28441.1</t>
  </si>
  <si>
    <t>CACC_08775</t>
  </si>
  <si>
    <t>Alpha-ketoglutarate permease</t>
  </si>
  <si>
    <t>kgtP</t>
  </si>
  <si>
    <t>UQZ28442.1</t>
  </si>
  <si>
    <t>CACC_08780</t>
  </si>
  <si>
    <t>putative succinyl-CoA:3-ketoacid coenzyme A transferase subunit B</t>
  </si>
  <si>
    <t>scoB</t>
  </si>
  <si>
    <t>UQZ28443.1</t>
  </si>
  <si>
    <t>CACC_08785</t>
  </si>
  <si>
    <t>putative succinyl-CoA:3-ketoacid coenzyme A transferase subunit A</t>
  </si>
  <si>
    <t>scoA</t>
  </si>
  <si>
    <t>UQZ28444.1</t>
  </si>
  <si>
    <t>CACC_08790</t>
  </si>
  <si>
    <t>Pca regulon regulatory protein</t>
  </si>
  <si>
    <t>pcaR</t>
  </si>
  <si>
    <t>UQZ28445.1</t>
  </si>
  <si>
    <t>CACC_08795</t>
  </si>
  <si>
    <t>putative acetyl-CoA acyltransferase</t>
  </si>
  <si>
    <t>UQZ28446.1</t>
  </si>
  <si>
    <t>CACC_08800</t>
  </si>
  <si>
    <t>UQZ28447.1</t>
  </si>
  <si>
    <t>CACC_08805</t>
  </si>
  <si>
    <t>UQZ28448.1</t>
  </si>
  <si>
    <t>CACC_08810</t>
  </si>
  <si>
    <t>DNA primase</t>
  </si>
  <si>
    <t>dnaG</t>
  </si>
  <si>
    <t>UQZ28449.1</t>
  </si>
  <si>
    <t>CACC_08815</t>
  </si>
  <si>
    <t>Guanyl-specific ribonuclease St</t>
  </si>
  <si>
    <t>UQZ28450.1</t>
  </si>
  <si>
    <t>CACC_08820</t>
  </si>
  <si>
    <t>UQZ28451.1</t>
  </si>
  <si>
    <t>CACC_08825</t>
  </si>
  <si>
    <t>Deoxyguanosinetriphosphate triphosphohydrolase</t>
  </si>
  <si>
    <t>dgt</t>
  </si>
  <si>
    <t>UQZ28452.1</t>
  </si>
  <si>
    <t>CACC_08830</t>
  </si>
  <si>
    <t>UQZ28453.1</t>
  </si>
  <si>
    <t>CACC_08835</t>
  </si>
  <si>
    <t>UQZ28454.1</t>
  </si>
  <si>
    <t>CACC_08840</t>
  </si>
  <si>
    <t>UQZ28455.1</t>
  </si>
  <si>
    <t>CACC_08845</t>
  </si>
  <si>
    <t>UQZ28456.1</t>
  </si>
  <si>
    <t>CACC_08850</t>
  </si>
  <si>
    <t>Glycine--tRNA ligase</t>
  </si>
  <si>
    <t>glyQS</t>
  </si>
  <si>
    <t>UQZ28457.1</t>
  </si>
  <si>
    <t>CACC_08855</t>
  </si>
  <si>
    <t>HTH-type transcriptional repressor SmtB</t>
  </si>
  <si>
    <t>smtB</t>
  </si>
  <si>
    <t>UQZ28458.1</t>
  </si>
  <si>
    <t>CACC_08860</t>
  </si>
  <si>
    <t>Zinc uptake regulation protein</t>
  </si>
  <si>
    <t>zur</t>
  </si>
  <si>
    <t>UQZ28459.1</t>
  </si>
  <si>
    <t>CACC_08865</t>
  </si>
  <si>
    <t>Trans,polycis-polyprenyl diphosphate synthase ((2Z,6E)-farnesyl diphosphate specific)</t>
  </si>
  <si>
    <t>UQZ28460.1</t>
  </si>
  <si>
    <t>CACC_08870</t>
  </si>
  <si>
    <t>DNA repair protein RecO</t>
  </si>
  <si>
    <t>recO</t>
  </si>
  <si>
    <t>UQZ28461.1</t>
  </si>
  <si>
    <t>CACC_08875</t>
  </si>
  <si>
    <t>GTPase Era</t>
  </si>
  <si>
    <t>era</t>
  </si>
  <si>
    <t>UQZ28462.1</t>
  </si>
  <si>
    <t>CACC_08880</t>
  </si>
  <si>
    <t>UQZ28463.1</t>
  </si>
  <si>
    <t>CACC_08885</t>
  </si>
  <si>
    <t>Formamidase</t>
  </si>
  <si>
    <t>amiF</t>
  </si>
  <si>
    <t>UQZ28464.1</t>
  </si>
  <si>
    <t>CACC_08890</t>
  </si>
  <si>
    <t>Pyridoxamine kinase</t>
  </si>
  <si>
    <t>pdxY</t>
  </si>
  <si>
    <t>UQZ28465.1</t>
  </si>
  <si>
    <t>CACC_08895</t>
  </si>
  <si>
    <t>Endoribonuclease YbeY</t>
  </si>
  <si>
    <t>ybeY</t>
  </si>
  <si>
    <t>UQZ28466.1</t>
  </si>
  <si>
    <t>CACC_08900</t>
  </si>
  <si>
    <t>ybeZ2</t>
  </si>
  <si>
    <t>UQZ28467.1</t>
  </si>
  <si>
    <t>CACC_08905</t>
  </si>
  <si>
    <t>Ribosomal RNA small subunit methyltransferase E</t>
  </si>
  <si>
    <t>rsmE</t>
  </si>
  <si>
    <t>UQZ28468.1</t>
  </si>
  <si>
    <t>CACC_08910</t>
  </si>
  <si>
    <t>Chaperone protein DnaJ</t>
  </si>
  <si>
    <t>dnaJ1</t>
  </si>
  <si>
    <t>UQZ28469.1</t>
  </si>
  <si>
    <t>CACC_08915</t>
  </si>
  <si>
    <t>Heat-inducible transcription repressor HrcA</t>
  </si>
  <si>
    <t>hrcA</t>
  </si>
  <si>
    <t>UQZ28470.1</t>
  </si>
  <si>
    <t>CACC_08920</t>
  </si>
  <si>
    <t>Oxygen-independent coproporphyrinogen-III oxidase 1</t>
  </si>
  <si>
    <t>hemN</t>
  </si>
  <si>
    <t>UQZ28471.1</t>
  </si>
  <si>
    <t>CACC_08925</t>
  </si>
  <si>
    <t>Magnesium and cobalt efflux protein CorC</t>
  </si>
  <si>
    <t>corC</t>
  </si>
  <si>
    <t>UQZ28472.1</t>
  </si>
  <si>
    <t>CACC_08930</t>
  </si>
  <si>
    <t>UQZ28473.1</t>
  </si>
  <si>
    <t>CACC_08935</t>
  </si>
  <si>
    <t>UQZ28474.1</t>
  </si>
  <si>
    <t>CACC_08940</t>
  </si>
  <si>
    <t>UQZ28475.1</t>
  </si>
  <si>
    <t>CACC_08945</t>
  </si>
  <si>
    <t>UQZ28476.1</t>
  </si>
  <si>
    <t>CACC_08950</t>
  </si>
  <si>
    <t>Long-chain-fatty-acid--CoA ligase FadD15</t>
  </si>
  <si>
    <t>UQZ28477.1</t>
  </si>
  <si>
    <t>CACC_08955</t>
  </si>
  <si>
    <t>UQZ28478.1</t>
  </si>
  <si>
    <t>CACC_08960</t>
  </si>
  <si>
    <t>UQZ28479.1</t>
  </si>
  <si>
    <t>CACC_08965</t>
  </si>
  <si>
    <t>Carboxylesterase</t>
  </si>
  <si>
    <t>UQZ28480.1</t>
  </si>
  <si>
    <t>CACC_08970</t>
  </si>
  <si>
    <t>Isopentenyl-diphosphate Delta-isomerase</t>
  </si>
  <si>
    <t>idi</t>
  </si>
  <si>
    <t>UQZ28481.1</t>
  </si>
  <si>
    <t>CACC_08975</t>
  </si>
  <si>
    <t>UQZ28482.1</t>
  </si>
  <si>
    <t>CACC_08980</t>
  </si>
  <si>
    <t>Putative multidrug export ATP-binding/permease protein</t>
  </si>
  <si>
    <t>UQZ28483.1</t>
  </si>
  <si>
    <t>CACC_08985</t>
  </si>
  <si>
    <t>Cystathionine beta-lyase PatB</t>
  </si>
  <si>
    <t>patB</t>
  </si>
  <si>
    <t>UQZ28484.1</t>
  </si>
  <si>
    <t>CACC_08990</t>
  </si>
  <si>
    <t>Branched-chain amino acid transport system 2 carrier protein</t>
  </si>
  <si>
    <t>brnQ</t>
  </si>
  <si>
    <t>UQZ28485.1</t>
  </si>
  <si>
    <t>CACC_08995</t>
  </si>
  <si>
    <t>Limonene 1,2-monooxygenase</t>
  </si>
  <si>
    <t>limB1</t>
  </si>
  <si>
    <t>UQZ28486.1</t>
  </si>
  <si>
    <t>CACC_09000</t>
  </si>
  <si>
    <t>Nickel-binding periplasmic protein precursor</t>
  </si>
  <si>
    <t>nikA</t>
  </si>
  <si>
    <t>UQZ28487.1</t>
  </si>
  <si>
    <t>CACC_09005</t>
  </si>
  <si>
    <t>Glutathione transport system permease protein GsiC</t>
  </si>
  <si>
    <t>gsiC</t>
  </si>
  <si>
    <t>UQZ28488.1</t>
  </si>
  <si>
    <t>CACC_09010</t>
  </si>
  <si>
    <t>Glutathione transport system permease protein GsiD</t>
  </si>
  <si>
    <t>gsiD</t>
  </si>
  <si>
    <t>UQZ28489.1</t>
  </si>
  <si>
    <t>CACC_09015</t>
  </si>
  <si>
    <t>gsiA2</t>
  </si>
  <si>
    <t>UQZ28490.1</t>
  </si>
  <si>
    <t>CACC_09020</t>
  </si>
  <si>
    <t>UQZ28491.1</t>
  </si>
  <si>
    <t>CACC_09025</t>
  </si>
  <si>
    <t>betP4</t>
  </si>
  <si>
    <t>UQZ28492.1</t>
  </si>
  <si>
    <t>CACC_09030</t>
  </si>
  <si>
    <t>betP5</t>
  </si>
  <si>
    <t>UQZ28493.1</t>
  </si>
  <si>
    <t>CACC_09035</t>
  </si>
  <si>
    <t>UQZ28494.1</t>
  </si>
  <si>
    <t>CACC_09040</t>
  </si>
  <si>
    <t>yxeP3</t>
  </si>
  <si>
    <t>UQZ28495.1</t>
  </si>
  <si>
    <t>CACC_09045</t>
  </si>
  <si>
    <t>UQZ28496.1</t>
  </si>
  <si>
    <t>CACC_09050</t>
  </si>
  <si>
    <t>Deferrochelatase/peroxidase EfeB precursor</t>
  </si>
  <si>
    <t>efeB</t>
  </si>
  <si>
    <t>UQZ28497.1</t>
  </si>
  <si>
    <t>CACC_09055</t>
  </si>
  <si>
    <t>UQZ28498.1</t>
  </si>
  <si>
    <t>CACC_09060</t>
  </si>
  <si>
    <t>Non-hemolytic phospholipase C precursor</t>
  </si>
  <si>
    <t>plcN</t>
  </si>
  <si>
    <t>UQZ28499.1</t>
  </si>
  <si>
    <t>CACC_09065</t>
  </si>
  <si>
    <t>Elongation factor 4</t>
  </si>
  <si>
    <t>lepA</t>
  </si>
  <si>
    <t>UQZ28500.1</t>
  </si>
  <si>
    <t>CACC_09070</t>
  </si>
  <si>
    <t>UQZ28501.1</t>
  </si>
  <si>
    <t>CACC_09075</t>
  </si>
  <si>
    <t>30S ribosomal protein S20</t>
  </si>
  <si>
    <t>rpsT</t>
  </si>
  <si>
    <t>UQZ28502.1</t>
  </si>
  <si>
    <t>CACC_09080</t>
  </si>
  <si>
    <t>UQZ28503.1</t>
  </si>
  <si>
    <t>CACC_09085</t>
  </si>
  <si>
    <t>Modification methylase DpnIIA</t>
  </si>
  <si>
    <t>dpnM</t>
  </si>
  <si>
    <t>UQZ28504.1</t>
  </si>
  <si>
    <t>CACC_09090</t>
  </si>
  <si>
    <t>UQZ28505.1</t>
  </si>
  <si>
    <t>CACC_09095</t>
  </si>
  <si>
    <t>rhtC3</t>
  </si>
  <si>
    <t>UQZ28506.1</t>
  </si>
  <si>
    <t>CACC_09100</t>
  </si>
  <si>
    <t>Ankyrin repeats (3 copies)</t>
  </si>
  <si>
    <t>UQZ28507.1</t>
  </si>
  <si>
    <t>CACC_09105</t>
  </si>
  <si>
    <t>UQZ28508.1</t>
  </si>
  <si>
    <t>CACC_09110</t>
  </si>
  <si>
    <t>ComEC family competence protein</t>
  </si>
  <si>
    <t>UQZ28509.1</t>
  </si>
  <si>
    <t>CACC_09115</t>
  </si>
  <si>
    <t>ComE operon protein 1</t>
  </si>
  <si>
    <t>comEA</t>
  </si>
  <si>
    <t>UQZ28510.1</t>
  </si>
  <si>
    <t>CACC_09120</t>
  </si>
  <si>
    <t>DegV domain-containing protein</t>
  </si>
  <si>
    <t>UQZ28511.1</t>
  </si>
  <si>
    <t>CACC_09125</t>
  </si>
  <si>
    <t>Glucosyl-3-phosphoglycerate phosphatase</t>
  </si>
  <si>
    <t>gpgP</t>
  </si>
  <si>
    <t>UQZ28512.1</t>
  </si>
  <si>
    <t>CACC_09130</t>
  </si>
  <si>
    <t>Ribosomal silencing factor RsfS</t>
  </si>
  <si>
    <t>rsfS</t>
  </si>
  <si>
    <t>UQZ28513.1</t>
  </si>
  <si>
    <t>CACC_09135</t>
  </si>
  <si>
    <t>Nicotinate-nucleotide adenylyltransferase</t>
  </si>
  <si>
    <t>nadD</t>
  </si>
  <si>
    <t>UQZ28514.1</t>
  </si>
  <si>
    <t>CACC_09140</t>
  </si>
  <si>
    <t>Cutinase</t>
  </si>
  <si>
    <t>UQZ28515.1</t>
  </si>
  <si>
    <t>CACC_09145</t>
  </si>
  <si>
    <t>Gamma-glutamyl phosphate reductase</t>
  </si>
  <si>
    <t>proA</t>
  </si>
  <si>
    <t>UQZ28516.1</t>
  </si>
  <si>
    <t>CACC_09150</t>
  </si>
  <si>
    <t>putative periplasmic iron-binding protein precursor</t>
  </si>
  <si>
    <t>UQZ28517.1</t>
  </si>
  <si>
    <t>CACC_09155</t>
  </si>
  <si>
    <t>znuC2</t>
  </si>
  <si>
    <t>UQZ28518.1</t>
  </si>
  <si>
    <t>CACC_09160</t>
  </si>
  <si>
    <t>mntB2</t>
  </si>
  <si>
    <t>UQZ28519.1</t>
  </si>
  <si>
    <t>CACC_09165</t>
  </si>
  <si>
    <t>High-affinity zinc uptake system membrane protein ZnuB</t>
  </si>
  <si>
    <t>znuB1</t>
  </si>
  <si>
    <t>UQZ28520.1</t>
  </si>
  <si>
    <t>CACC_09170</t>
  </si>
  <si>
    <t>Iron-dependent repressor IdeR</t>
  </si>
  <si>
    <t>ideR1</t>
  </si>
  <si>
    <t>UQZ28521.1</t>
  </si>
  <si>
    <t>CACC_09175</t>
  </si>
  <si>
    <t>Glyoxylate/hydroxypyruvate reductase B</t>
  </si>
  <si>
    <t>ghrB</t>
  </si>
  <si>
    <t>UQZ28522.1</t>
  </si>
  <si>
    <t>CACC_09180</t>
  </si>
  <si>
    <t>Glutamate 5-kinase</t>
  </si>
  <si>
    <t>proB</t>
  </si>
  <si>
    <t>UQZ28523.1</t>
  </si>
  <si>
    <t>CACC_09185</t>
  </si>
  <si>
    <t>GTPase Obg</t>
  </si>
  <si>
    <t>obg</t>
  </si>
  <si>
    <t>UQZ28524.1</t>
  </si>
  <si>
    <t>CACC_09190</t>
  </si>
  <si>
    <t>UQZ28525.1</t>
  </si>
  <si>
    <t>CACC_09195</t>
  </si>
  <si>
    <t>UQZ28526.1</t>
  </si>
  <si>
    <t>CACC_09200</t>
  </si>
  <si>
    <t>UQZ28527.1</t>
  </si>
  <si>
    <t>CACC_09205</t>
  </si>
  <si>
    <t>50S ribosomal protein L27</t>
  </si>
  <si>
    <t>rpmA</t>
  </si>
  <si>
    <t>UQZ28528.1</t>
  </si>
  <si>
    <t>CACC_09210</t>
  </si>
  <si>
    <t>50S ribosomal protein L21</t>
  </si>
  <si>
    <t>rplU</t>
  </si>
  <si>
    <t>UQZ28529.1</t>
  </si>
  <si>
    <t>CACC_09215</t>
  </si>
  <si>
    <t>Ribonuclease E</t>
  </si>
  <si>
    <t>rne</t>
  </si>
  <si>
    <t>UQZ28530.1</t>
  </si>
  <si>
    <t>CACC_09220</t>
  </si>
  <si>
    <t>UQZ28531.1</t>
  </si>
  <si>
    <t>CACC_09225</t>
  </si>
  <si>
    <t>UQZ28532.1</t>
  </si>
  <si>
    <t>CACC_09230</t>
  </si>
  <si>
    <t>HTH-type transcriptional regulator KmtR</t>
  </si>
  <si>
    <t>kmtR</t>
  </si>
  <si>
    <t>UQZ28533.1</t>
  </si>
  <si>
    <t>CACC_09235</t>
  </si>
  <si>
    <t>Nucleoside diphosphate kinase</t>
  </si>
  <si>
    <t>ndk</t>
  </si>
  <si>
    <t>UQZ28534.1</t>
  </si>
  <si>
    <t>CACC_09240</t>
  </si>
  <si>
    <t>UQZ28535.1</t>
  </si>
  <si>
    <t>CACC_09245</t>
  </si>
  <si>
    <t>UQZ28536.1</t>
  </si>
  <si>
    <t>CACC_09250</t>
  </si>
  <si>
    <t>Folylpolyglutamate synthase</t>
  </si>
  <si>
    <t>fgs</t>
  </si>
  <si>
    <t>UQZ28537.1</t>
  </si>
  <si>
    <t>CACC_09255</t>
  </si>
  <si>
    <t>Valine--tRNA ligase</t>
  </si>
  <si>
    <t>valS</t>
  </si>
  <si>
    <t>UQZ28538.1</t>
  </si>
  <si>
    <t>CACC_09260</t>
  </si>
  <si>
    <t>3-methyl-2-oxobutanoate hydroxymethyltransferase</t>
  </si>
  <si>
    <t>panB</t>
  </si>
  <si>
    <t>UQZ28539.1</t>
  </si>
  <si>
    <t>CACC_09265</t>
  </si>
  <si>
    <t>Pantothenate synthetase</t>
  </si>
  <si>
    <t>panC1</t>
  </si>
  <si>
    <t>UQZ28540.1</t>
  </si>
  <si>
    <t>CACC_09270</t>
  </si>
  <si>
    <t>Malate dehydrogenase</t>
  </si>
  <si>
    <t>mdh</t>
  </si>
  <si>
    <t>UQZ28541.1</t>
  </si>
  <si>
    <t>CACC_09275</t>
  </si>
  <si>
    <t>HTH-type transcriptional repressor NicS</t>
  </si>
  <si>
    <t>nicS</t>
  </si>
  <si>
    <t>UQZ28542.1</t>
  </si>
  <si>
    <t>CACC_09280</t>
  </si>
  <si>
    <t>ATP-dependent Clp protease ATP-binding subunit ClpX</t>
  </si>
  <si>
    <t>clpX</t>
  </si>
  <si>
    <t>UQZ28543.1</t>
  </si>
  <si>
    <t>CACC_09285</t>
  </si>
  <si>
    <t>(S)-1-Phenylethanol dehydrogenase</t>
  </si>
  <si>
    <t>ped</t>
  </si>
  <si>
    <t>UQZ28544.1</t>
  </si>
  <si>
    <t>CACC_09290</t>
  </si>
  <si>
    <t>UQZ28545.1</t>
  </si>
  <si>
    <t>CACC_09295</t>
  </si>
  <si>
    <t>UQZ28546.1</t>
  </si>
  <si>
    <t>CACC_09300</t>
  </si>
  <si>
    <t>Low-affinity inorganic phosphate transporter 1</t>
  </si>
  <si>
    <t>pitA</t>
  </si>
  <si>
    <t>UQZ28547.1</t>
  </si>
  <si>
    <t>CACC_09305</t>
  </si>
  <si>
    <t>Di-/tripeptide transporter</t>
  </si>
  <si>
    <t>dtpT1</t>
  </si>
  <si>
    <t>UQZ28548.1</t>
  </si>
  <si>
    <t>CACC_09310</t>
  </si>
  <si>
    <t>ATP-dependent Clp protease proteolytic subunit 1</t>
  </si>
  <si>
    <t>clpP1</t>
  </si>
  <si>
    <t>UQZ28549.1</t>
  </si>
  <si>
    <t>CACC_09315</t>
  </si>
  <si>
    <t>ATP-dependent Clp protease proteolytic subunit 2</t>
  </si>
  <si>
    <t>clpP2</t>
  </si>
  <si>
    <t>UQZ28550.1</t>
  </si>
  <si>
    <t>CACC_09320</t>
  </si>
  <si>
    <t>Trigger factor</t>
  </si>
  <si>
    <t>tig</t>
  </si>
  <si>
    <t>UQZ28551.1</t>
  </si>
  <si>
    <t>CACC_09325</t>
  </si>
  <si>
    <t>CACC_09330</t>
  </si>
  <si>
    <t>UQZ28552.1</t>
  </si>
  <si>
    <t>CACC_09335</t>
  </si>
  <si>
    <t>CACC_09340</t>
  </si>
  <si>
    <t>UQZ28553.1</t>
  </si>
  <si>
    <t>CACC_09345</t>
  </si>
  <si>
    <t>2,5-diketo-D-gluconic acid reductase A</t>
  </si>
  <si>
    <t>dkgA</t>
  </si>
  <si>
    <t>UQZ28554.1</t>
  </si>
  <si>
    <t>CACC_09350</t>
  </si>
  <si>
    <t>Ribose-5-phosphate isomerase B</t>
  </si>
  <si>
    <t>rpiB</t>
  </si>
  <si>
    <t>UQZ28555.1</t>
  </si>
  <si>
    <t>CACC_09355</t>
  </si>
  <si>
    <t>UQZ28556.1</t>
  </si>
  <si>
    <t>CACC_09360</t>
  </si>
  <si>
    <t>DSBA-like thioredoxin domain protein</t>
  </si>
  <si>
    <t>UQZ28557.1</t>
  </si>
  <si>
    <t>CACC_09365</t>
  </si>
  <si>
    <t>pepN2</t>
  </si>
  <si>
    <t>UQZ28558.1</t>
  </si>
  <si>
    <t>CACC_09370</t>
  </si>
  <si>
    <t>UQZ28559.1</t>
  </si>
  <si>
    <t>CACC_09375</t>
  </si>
  <si>
    <t>UQZ28560.1</t>
  </si>
  <si>
    <t>CACC_09380</t>
  </si>
  <si>
    <t>Cystathionine gamma-synthase</t>
  </si>
  <si>
    <t>metB</t>
  </si>
  <si>
    <t>UQZ28561.1</t>
  </si>
  <si>
    <t>CACC_09385</t>
  </si>
  <si>
    <t>ykuT2</t>
  </si>
  <si>
    <t>UQZ28562.1</t>
  </si>
  <si>
    <t>CACC_09390</t>
  </si>
  <si>
    <t>Group 2 truncated hemoglobin GlbO</t>
  </si>
  <si>
    <t>glbO</t>
  </si>
  <si>
    <t>UQZ28563.1</t>
  </si>
  <si>
    <t>CACC_09395</t>
  </si>
  <si>
    <t>Alanine dehydrogenase</t>
  </si>
  <si>
    <t>ald</t>
  </si>
  <si>
    <t>UQZ28564.1</t>
  </si>
  <si>
    <t>CACC_09400</t>
  </si>
  <si>
    <t>UQZ28565.1</t>
  </si>
  <si>
    <t>CACC_09405</t>
  </si>
  <si>
    <t>Thioesterase superfamily protein</t>
  </si>
  <si>
    <t>UQZ28566.1</t>
  </si>
  <si>
    <t>CACC_09410</t>
  </si>
  <si>
    <t>UQZ28567.1</t>
  </si>
  <si>
    <t>CACC_09415</t>
  </si>
  <si>
    <t>Single-stranded DNA-binding protein</t>
  </si>
  <si>
    <t>ssb1</t>
  </si>
  <si>
    <t>UQZ28568.1</t>
  </si>
  <si>
    <t>CACC_09420</t>
  </si>
  <si>
    <t>Cytochrome c oxidase caa3 assembly factor</t>
  </si>
  <si>
    <t>UQZ28569.1</t>
  </si>
  <si>
    <t>CACC_09425</t>
  </si>
  <si>
    <t>benM2</t>
  </si>
  <si>
    <t>UQZ28570.1</t>
  </si>
  <si>
    <t>CACC_09430</t>
  </si>
  <si>
    <t>CACC_09435</t>
  </si>
  <si>
    <t>fabG2</t>
  </si>
  <si>
    <t>UQZ28571.1</t>
  </si>
  <si>
    <t>CACC_09440</t>
  </si>
  <si>
    <t>alsT2</t>
  </si>
  <si>
    <t>UQZ28572.1</t>
  </si>
  <si>
    <t>CACC_09445</t>
  </si>
  <si>
    <t>Oligoribonuclease</t>
  </si>
  <si>
    <t>orn</t>
  </si>
  <si>
    <t>UQZ28573.1</t>
  </si>
  <si>
    <t>CACC_09450</t>
  </si>
  <si>
    <t>tRNA-His</t>
  </si>
  <si>
    <t>CACC_09455</t>
  </si>
  <si>
    <t>limB2</t>
  </si>
  <si>
    <t>UQZ28574.1</t>
  </si>
  <si>
    <t>CACC_09460</t>
  </si>
  <si>
    <t>Putative L,D-transpeptidase LppS precursor</t>
  </si>
  <si>
    <t>lppS</t>
  </si>
  <si>
    <t>UQZ28575.1</t>
  </si>
  <si>
    <t>CACC_09465</t>
  </si>
  <si>
    <t>tRNA-Lys</t>
  </si>
  <si>
    <t>CACC_09470</t>
  </si>
  <si>
    <t>fhuC2</t>
  </si>
  <si>
    <t>UQZ28576.1</t>
  </si>
  <si>
    <t>CACC_09475</t>
  </si>
  <si>
    <t>hmuU2</t>
  </si>
  <si>
    <t>UQZ28577.1</t>
  </si>
  <si>
    <t>CACC_09480</t>
  </si>
  <si>
    <t>corrinoid ABC transporter substrate-binding protein</t>
  </si>
  <si>
    <t>UQZ28578.1</t>
  </si>
  <si>
    <t>CACC_09485</t>
  </si>
  <si>
    <t>Glutaminase</t>
  </si>
  <si>
    <t>glsA</t>
  </si>
  <si>
    <t>UQZ28579.1</t>
  </si>
  <si>
    <t>CACC_09490</t>
  </si>
  <si>
    <t>UQZ28580.1</t>
  </si>
  <si>
    <t>CACC_09495</t>
  </si>
  <si>
    <t>Putative peroxiredoxin</t>
  </si>
  <si>
    <t>bcp</t>
  </si>
  <si>
    <t>UQZ28581.1</t>
  </si>
  <si>
    <t>CACC_09500</t>
  </si>
  <si>
    <t>UQZ28582.1</t>
  </si>
  <si>
    <t>CACC_09505</t>
  </si>
  <si>
    <t>UQZ28583.1</t>
  </si>
  <si>
    <t>CACC_09510</t>
  </si>
  <si>
    <t>ATP-dependent dethiobiotin synthetase BioD</t>
  </si>
  <si>
    <t>bioD</t>
  </si>
  <si>
    <t>UQZ28584.1</t>
  </si>
  <si>
    <t>CACC_09515</t>
  </si>
  <si>
    <t>Adenosylmethionine-8-amino-7-oxononanoate aminotransferase</t>
  </si>
  <si>
    <t>bioA</t>
  </si>
  <si>
    <t>UQZ28585.1</t>
  </si>
  <si>
    <t>CACC_09520</t>
  </si>
  <si>
    <t>dtpT2</t>
  </si>
  <si>
    <t>UQZ28586.1</t>
  </si>
  <si>
    <t>CACC_09525</t>
  </si>
  <si>
    <t>Modulator of FtsH protease HflK</t>
  </si>
  <si>
    <t>hflK</t>
  </si>
  <si>
    <t>UQZ28587.1</t>
  </si>
  <si>
    <t>CACC_09530</t>
  </si>
  <si>
    <t>Proline iminopeptidase</t>
  </si>
  <si>
    <t>pip</t>
  </si>
  <si>
    <t>UQZ28588.1</t>
  </si>
  <si>
    <t>CACC_09535</t>
  </si>
  <si>
    <t>Pyruvate formate-lyase 1-activating enzyme</t>
  </si>
  <si>
    <t>pflA</t>
  </si>
  <si>
    <t>UQZ28589.1</t>
  </si>
  <si>
    <t>CACC_09540</t>
  </si>
  <si>
    <t>Formate acetyltransferase</t>
  </si>
  <si>
    <t>pflB1</t>
  </si>
  <si>
    <t>UQZ28590.1</t>
  </si>
  <si>
    <t>CACC_09545</t>
  </si>
  <si>
    <t>Formate acetyltransferase 1</t>
  </si>
  <si>
    <t>pflB2</t>
  </si>
  <si>
    <t>UQZ28591.1</t>
  </si>
  <si>
    <t>CACC_09550</t>
  </si>
  <si>
    <t>Uric acid transporter UacT</t>
  </si>
  <si>
    <t>uacT</t>
  </si>
  <si>
    <t>UQZ28592.1</t>
  </si>
  <si>
    <t>CACC_09555</t>
  </si>
  <si>
    <t>CACC_09560</t>
  </si>
  <si>
    <t>UQZ28593.1</t>
  </si>
  <si>
    <t>CACC_09565</t>
  </si>
  <si>
    <t>UQZ28594.1</t>
  </si>
  <si>
    <t>CACC_09570</t>
  </si>
  <si>
    <t>Non-canonical purine NTP pyrophosphatase</t>
  </si>
  <si>
    <t>UQZ28595.1</t>
  </si>
  <si>
    <t>CACC_09575</t>
  </si>
  <si>
    <t>Ribonuclease PH</t>
  </si>
  <si>
    <t>rph</t>
  </si>
  <si>
    <t>UQZ28596.1</t>
  </si>
  <si>
    <t>CACC_09580</t>
  </si>
  <si>
    <t>Ribonuclease BN</t>
  </si>
  <si>
    <t>rbn</t>
  </si>
  <si>
    <t>UQZ28597.1</t>
  </si>
  <si>
    <t>CACC_09585</t>
  </si>
  <si>
    <t>Glutamate racemase</t>
  </si>
  <si>
    <t>murI</t>
  </si>
  <si>
    <t>UQZ28598.1</t>
  </si>
  <si>
    <t>CACC_09590</t>
  </si>
  <si>
    <t>Rhomboid family protein</t>
  </si>
  <si>
    <t>UQZ28599.1</t>
  </si>
  <si>
    <t>CACC_09595</t>
  </si>
  <si>
    <t>Peptidase family S58</t>
  </si>
  <si>
    <t>UQZ28600.1</t>
  </si>
  <si>
    <t>CACC_09600</t>
  </si>
  <si>
    <t>UQZ28601.1</t>
  </si>
  <si>
    <t>CACC_09605</t>
  </si>
  <si>
    <t>ATP-dependent Clp protease adaptor protein ClpS</t>
  </si>
  <si>
    <t>UQZ28602.1</t>
  </si>
  <si>
    <t>CACC_09610</t>
  </si>
  <si>
    <t>Nicotinate phosphoribosyltransferase pncB1</t>
  </si>
  <si>
    <t>pncB1</t>
  </si>
  <si>
    <t>UQZ28603.1</t>
  </si>
  <si>
    <t>CACC_09615</t>
  </si>
  <si>
    <t>putative ATP-dependent helicase DinG</t>
  </si>
  <si>
    <t>dinG</t>
  </si>
  <si>
    <t>UQZ28604.1</t>
  </si>
  <si>
    <t>CACC_09620</t>
  </si>
  <si>
    <t>peptidyl-tRNA hydrolase</t>
  </si>
  <si>
    <t>UQZ28605.1</t>
  </si>
  <si>
    <t>CACC_09625</t>
  </si>
  <si>
    <t>serB2</t>
  </si>
  <si>
    <t>UQZ28606.1</t>
  </si>
  <si>
    <t>CACC_09630</t>
  </si>
  <si>
    <t>Cytochrome c oxidase subunit 1</t>
  </si>
  <si>
    <t>ctaD</t>
  </si>
  <si>
    <t>UQZ28607.1</t>
  </si>
  <si>
    <t>CACC_09635</t>
  </si>
  <si>
    <t>Ribonucleoside-diphosphate reductase subunit beta nrdF2</t>
  </si>
  <si>
    <t>nrdF1</t>
  </si>
  <si>
    <t>UQZ28608.1</t>
  </si>
  <si>
    <t>CACC_09640</t>
  </si>
  <si>
    <t>transcriptional regulator NanR</t>
  </si>
  <si>
    <t>UQZ28609.1</t>
  </si>
  <si>
    <t>CACC_09645</t>
  </si>
  <si>
    <t>Ribonucleoside-diphosphate reductase subunit alpha 2</t>
  </si>
  <si>
    <t>nrdE2</t>
  </si>
  <si>
    <t>UQZ28610.1</t>
  </si>
  <si>
    <t>CACC_09650</t>
  </si>
  <si>
    <t>ribonucleotide reductase stimulatory protein</t>
  </si>
  <si>
    <t>UQZ28611.1</t>
  </si>
  <si>
    <t>CACC_09655</t>
  </si>
  <si>
    <t>Glutaredoxin-like protein NrdH</t>
  </si>
  <si>
    <t>nrdH</t>
  </si>
  <si>
    <t>UQZ28612.1</t>
  </si>
  <si>
    <t>CACC_09660</t>
  </si>
  <si>
    <t>50S ribosomal protein L36 2</t>
  </si>
  <si>
    <t>ykgO</t>
  </si>
  <si>
    <t>UQZ28613.1</t>
  </si>
  <si>
    <t>CACC_09665</t>
  </si>
  <si>
    <t>putative metabolite transport protein CsbC</t>
  </si>
  <si>
    <t>csbC</t>
  </si>
  <si>
    <t>UQZ28614.1</t>
  </si>
  <si>
    <t>CACC_09670</t>
  </si>
  <si>
    <t>NH(3)-dependent NAD(+) synthetase</t>
  </si>
  <si>
    <t>nadE</t>
  </si>
  <si>
    <t>UQZ28615.1</t>
  </si>
  <si>
    <t>CACC_09675</t>
  </si>
  <si>
    <t>Fructosamine kinase</t>
  </si>
  <si>
    <t>UQZ28616.1</t>
  </si>
  <si>
    <t>CACC_09680</t>
  </si>
  <si>
    <t>UQZ28617.1</t>
  </si>
  <si>
    <t>CACC_09685</t>
  </si>
  <si>
    <t>CACC_09690</t>
  </si>
  <si>
    <t>Serine/threonine-protein kinase PknE</t>
  </si>
  <si>
    <t>pknE</t>
  </si>
  <si>
    <t>UQZ28618.1</t>
  </si>
  <si>
    <t>CACC_09695</t>
  </si>
  <si>
    <t>UQZ28619.1</t>
  </si>
  <si>
    <t>CACC_09700</t>
  </si>
  <si>
    <t>camphor resistance protein CrcB</t>
  </si>
  <si>
    <t>UQZ28620.1</t>
  </si>
  <si>
    <t>CACC_09705</t>
  </si>
  <si>
    <t>Putative fluoride ion transporter CrcB</t>
  </si>
  <si>
    <t>crcB</t>
  </si>
  <si>
    <t>UQZ28621.1</t>
  </si>
  <si>
    <t>CACC_09710</t>
  </si>
  <si>
    <t>ABC transporter permease YtrF precursor</t>
  </si>
  <si>
    <t>ytrF</t>
  </si>
  <si>
    <t>UQZ28622.1</t>
  </si>
  <si>
    <t>CACC_09715</t>
  </si>
  <si>
    <t>Bacitracin export ATP-binding protein BceA</t>
  </si>
  <si>
    <t>bceA</t>
  </si>
  <si>
    <t>UQZ28623.1</t>
  </si>
  <si>
    <t>CACC_09720</t>
  </si>
  <si>
    <t>HTH-type transcriptional regulator CysL</t>
  </si>
  <si>
    <t>cysL</t>
  </si>
  <si>
    <t>UQZ28624.1</t>
  </si>
  <si>
    <t>CACC_09725</t>
  </si>
  <si>
    <t>UQZ28625.1</t>
  </si>
  <si>
    <t>CACC_09730</t>
  </si>
  <si>
    <t>Putative DNA-invertase</t>
  </si>
  <si>
    <t>pinR</t>
  </si>
  <si>
    <t>UQZ28626.1</t>
  </si>
  <si>
    <t>CACC_09735</t>
  </si>
  <si>
    <t>UQZ28627.1</t>
  </si>
  <si>
    <t>CACC_09740</t>
  </si>
  <si>
    <t>UQZ28628.1</t>
  </si>
  <si>
    <t>CACC_09745</t>
  </si>
  <si>
    <t>UQZ28629.1</t>
  </si>
  <si>
    <t>CACC_09750</t>
  </si>
  <si>
    <t>UQZ28630.1</t>
  </si>
  <si>
    <t>CACC_09755</t>
  </si>
  <si>
    <t>UQZ28631.1</t>
  </si>
  <si>
    <t>CACC_09760</t>
  </si>
  <si>
    <t>CACC_09765</t>
  </si>
  <si>
    <t>CACC_09770</t>
  </si>
  <si>
    <t>CACC_09775</t>
  </si>
  <si>
    <t>UDP-N-acetylglucosamine 1-carboxyvinyltransferase</t>
  </si>
  <si>
    <t>murA</t>
  </si>
  <si>
    <t>UQZ28632.1</t>
  </si>
  <si>
    <t>CACC_09780</t>
  </si>
  <si>
    <t>transcriptional regulator MalT</t>
  </si>
  <si>
    <t>UQZ28633.1</t>
  </si>
  <si>
    <t>CACC_09785</t>
  </si>
  <si>
    <t>O-acetylserine sulfhydrylase</t>
  </si>
  <si>
    <t>cysK1</t>
  </si>
  <si>
    <t>UQZ28634.1</t>
  </si>
  <si>
    <t>CACC_09790</t>
  </si>
  <si>
    <t>Serine acetyltransferase</t>
  </si>
  <si>
    <t>cysE</t>
  </si>
  <si>
    <t>UQZ28635.1</t>
  </si>
  <si>
    <t>CACC_09795</t>
  </si>
  <si>
    <t>UQZ28636.1</t>
  </si>
  <si>
    <t>CACC_09800</t>
  </si>
  <si>
    <t>tRNA-Phe</t>
  </si>
  <si>
    <t>CACC_09805</t>
  </si>
  <si>
    <t>tRNA-Asp</t>
  </si>
  <si>
    <t>CACC_09810</t>
  </si>
  <si>
    <t>CACC_09815</t>
  </si>
  <si>
    <t>CACC_09820</t>
  </si>
  <si>
    <t>Copper-sensing transcriptional repressor CsoR</t>
  </si>
  <si>
    <t>csoR</t>
  </si>
  <si>
    <t>UQZ28637.1</t>
  </si>
  <si>
    <t>CACC_09825</t>
  </si>
  <si>
    <t>CACC_09830</t>
  </si>
  <si>
    <t>Succinyl-CoA:coenzyme A transferase</t>
  </si>
  <si>
    <t>cat1</t>
  </si>
  <si>
    <t>UQZ28638.1</t>
  </si>
  <si>
    <t>CACC_09835</t>
  </si>
  <si>
    <t>putative tRNA-dihydrouridine synthase</t>
  </si>
  <si>
    <t>dus</t>
  </si>
  <si>
    <t>UQZ28639.1</t>
  </si>
  <si>
    <t>CACC_09840</t>
  </si>
  <si>
    <t>UQZ28640.1</t>
  </si>
  <si>
    <t>CACC_09845</t>
  </si>
  <si>
    <t>Phosphate import ATP-binding protein PstB 3</t>
  </si>
  <si>
    <t>pstB3</t>
  </si>
  <si>
    <t>UQZ28641.1</t>
  </si>
  <si>
    <t>CACC_09850</t>
  </si>
  <si>
    <t>Phosphate transport system permease protein PstA</t>
  </si>
  <si>
    <t>pstA</t>
  </si>
  <si>
    <t>UQZ28642.1</t>
  </si>
  <si>
    <t>CACC_09855</t>
  </si>
  <si>
    <t>Phosphate transport system permease protein PstC</t>
  </si>
  <si>
    <t>pstC</t>
  </si>
  <si>
    <t>UQZ28643.1</t>
  </si>
  <si>
    <t>CACC_09860</t>
  </si>
  <si>
    <t>Phosphate-binding protein PstS 2 precursor</t>
  </si>
  <si>
    <t>pstS2</t>
  </si>
  <si>
    <t>UQZ28644.1</t>
  </si>
  <si>
    <t>CACC_09865</t>
  </si>
  <si>
    <t>Mycothiol acetyltransferase</t>
  </si>
  <si>
    <t>mshD</t>
  </si>
  <si>
    <t>UQZ28645.1</t>
  </si>
  <si>
    <t>CACC_09870</t>
  </si>
  <si>
    <t>UQZ28646.1</t>
  </si>
  <si>
    <t>CACC_09875</t>
  </si>
  <si>
    <t>Diacylglycerol kinase</t>
  </si>
  <si>
    <t>dagK</t>
  </si>
  <si>
    <t>UQZ28647.1</t>
  </si>
  <si>
    <t>CACC_09880</t>
  </si>
  <si>
    <t>UQZ28648.1</t>
  </si>
  <si>
    <t>CACC_09885</t>
  </si>
  <si>
    <t>D-alanine aminotransferase</t>
  </si>
  <si>
    <t>dat</t>
  </si>
  <si>
    <t>UQZ28649.1</t>
  </si>
  <si>
    <t>CACC_09890</t>
  </si>
  <si>
    <t>putative global regulator</t>
  </si>
  <si>
    <t>UQZ28650.1</t>
  </si>
  <si>
    <t>CACC_09895</t>
  </si>
  <si>
    <t>UQZ28651.1</t>
  </si>
  <si>
    <t>CACC_09900</t>
  </si>
  <si>
    <t>Phosphoribosylformylglycinamidine cyclo-ligase</t>
  </si>
  <si>
    <t>purM</t>
  </si>
  <si>
    <t>UQZ28652.1</t>
  </si>
  <si>
    <t>CACC_09905</t>
  </si>
  <si>
    <t>Amidophosphoribosyltransferase precursor</t>
  </si>
  <si>
    <t>purF</t>
  </si>
  <si>
    <t>UQZ28653.1</t>
  </si>
  <si>
    <t>CACC_09910</t>
  </si>
  <si>
    <t>UQZ28654.1</t>
  </si>
  <si>
    <t>CACC_09915</t>
  </si>
  <si>
    <t>putative acyl-CoA thioester hydrolase</t>
  </si>
  <si>
    <t>UQZ28655.1</t>
  </si>
  <si>
    <t>CACC_09920</t>
  </si>
  <si>
    <t>L-asparaginase 2 precursor</t>
  </si>
  <si>
    <t>ansZ</t>
  </si>
  <si>
    <t>UQZ28656.1</t>
  </si>
  <si>
    <t>CACC_09925</t>
  </si>
  <si>
    <t>UQZ28657.1</t>
  </si>
  <si>
    <t>CACC_09930</t>
  </si>
  <si>
    <t>hemeolysin-III related</t>
  </si>
  <si>
    <t>UQZ28658.1</t>
  </si>
  <si>
    <t>CACC_09935</t>
  </si>
  <si>
    <t>UQZ28659.1</t>
  </si>
  <si>
    <t>CACC_09940</t>
  </si>
  <si>
    <t>UQZ28660.1</t>
  </si>
  <si>
    <t>CACC_09945</t>
  </si>
  <si>
    <t>Z1 domain protein</t>
  </si>
  <si>
    <t>UQZ28661.1</t>
  </si>
  <si>
    <t>CACC_09950</t>
  </si>
  <si>
    <t>DNA mismatch repair protein</t>
  </si>
  <si>
    <t>UQZ28662.1</t>
  </si>
  <si>
    <t>CACC_09955</t>
  </si>
  <si>
    <t>UQZ28663.1</t>
  </si>
  <si>
    <t>CACC_09960</t>
  </si>
  <si>
    <t>UQZ28664.1</t>
  </si>
  <si>
    <t>CACC_09965</t>
  </si>
  <si>
    <t>nlhH2</t>
  </si>
  <si>
    <t>UQZ28665.1</t>
  </si>
  <si>
    <t>CACC_09970</t>
  </si>
  <si>
    <t>UQZ28666.1</t>
  </si>
  <si>
    <t>CACC_09975</t>
  </si>
  <si>
    <t>UQZ28667.1</t>
  </si>
  <si>
    <t>CACC_09980</t>
  </si>
  <si>
    <t>UQZ28668.1</t>
  </si>
  <si>
    <t>CACC_09985</t>
  </si>
  <si>
    <t>Phosphoribosylformylglycinamidine synthase 2</t>
  </si>
  <si>
    <t>purL</t>
  </si>
  <si>
    <t>UQZ28669.1</t>
  </si>
  <si>
    <t>CACC_09990</t>
  </si>
  <si>
    <t>Phosphoribosylformylglycinamidine synthase 1</t>
  </si>
  <si>
    <t>purQ</t>
  </si>
  <si>
    <t>UQZ28670.1</t>
  </si>
  <si>
    <t>CACC_09995</t>
  </si>
  <si>
    <t>phosphoribosylformylglycinamidine synthase subunit PurS</t>
  </si>
  <si>
    <t>UQZ28671.1</t>
  </si>
  <si>
    <t>CACC_10000</t>
  </si>
  <si>
    <t>UQZ28672.1</t>
  </si>
  <si>
    <t>CACC_10005</t>
  </si>
  <si>
    <t>Endonuclease/Exonuclease/phosphatase family protein</t>
  </si>
  <si>
    <t>UQZ28673.1</t>
  </si>
  <si>
    <t>CACC_10010</t>
  </si>
  <si>
    <t>UQZ28674.1</t>
  </si>
  <si>
    <t>CACC_10015</t>
  </si>
  <si>
    <t>Protease 2</t>
  </si>
  <si>
    <t>ptrB</t>
  </si>
  <si>
    <t>UQZ28675.1</t>
  </si>
  <si>
    <t>CACC_10020</t>
  </si>
  <si>
    <t>Phosphoribosylaminoimidazole-succinocarboxamide synthase</t>
  </si>
  <si>
    <t>purC</t>
  </si>
  <si>
    <t>UQZ28676.1</t>
  </si>
  <si>
    <t>CACC_10025</t>
  </si>
  <si>
    <t>Adenylosuccinate lyase</t>
  </si>
  <si>
    <t>purB</t>
  </si>
  <si>
    <t>UQZ28677.1</t>
  </si>
  <si>
    <t>CACC_10030</t>
  </si>
  <si>
    <t>Phosphoribosylamine--glycine ligase</t>
  </si>
  <si>
    <t>purD</t>
  </si>
  <si>
    <t>UQZ28678.1</t>
  </si>
  <si>
    <t>CACC_10035</t>
  </si>
  <si>
    <t>HIT-like protein</t>
  </si>
  <si>
    <t>UQZ28679.1</t>
  </si>
  <si>
    <t>CACC_10040</t>
  </si>
  <si>
    <t>putative sensor histidine kinase TcrY</t>
  </si>
  <si>
    <t>tcrY</t>
  </si>
  <si>
    <t>UQZ28680.1</t>
  </si>
  <si>
    <t>CACC_10045</t>
  </si>
  <si>
    <t>putative transcriptional regulatory protein TcrX</t>
  </si>
  <si>
    <t>tcrX</t>
  </si>
  <si>
    <t>UQZ28681.1</t>
  </si>
  <si>
    <t>CACC_10050</t>
  </si>
  <si>
    <t>Pyruvate dehydrogenase [ubiquinone]</t>
  </si>
  <si>
    <t>poxB</t>
  </si>
  <si>
    <t>UQZ28682.1</t>
  </si>
  <si>
    <t>CACC_10055</t>
  </si>
  <si>
    <t>qacA2</t>
  </si>
  <si>
    <t>UQZ28683.1</t>
  </si>
  <si>
    <t>CACC_10060</t>
  </si>
  <si>
    <t>CACC_10065</t>
  </si>
  <si>
    <t>UQZ28684.1</t>
  </si>
  <si>
    <t>CACC_10070</t>
  </si>
  <si>
    <t>UQZ28685.1</t>
  </si>
  <si>
    <t>CACC_10075</t>
  </si>
  <si>
    <t>Trehalose-phosphate synthase</t>
  </si>
  <si>
    <t>otsA</t>
  </si>
  <si>
    <t>UQZ28686.1</t>
  </si>
  <si>
    <t>CACC_10080</t>
  </si>
  <si>
    <t>UQZ28687.1</t>
  </si>
  <si>
    <t>CACC_10085</t>
  </si>
  <si>
    <t>Trehalose-6-phosphate phosphatase</t>
  </si>
  <si>
    <t>otsB</t>
  </si>
  <si>
    <t>UQZ28688.1</t>
  </si>
  <si>
    <t>CACC_10090</t>
  </si>
  <si>
    <t>HTH-type transcriptional repressor CytR</t>
  </si>
  <si>
    <t>cytR</t>
  </si>
  <si>
    <t>UQZ28689.1</t>
  </si>
  <si>
    <t>CACC_10095</t>
  </si>
  <si>
    <t>psaA</t>
  </si>
  <si>
    <t>UQZ28690.1</t>
  </si>
  <si>
    <t>CACC_10100</t>
  </si>
  <si>
    <t>UQZ28691.1</t>
  </si>
  <si>
    <t>CACC_10105</t>
  </si>
  <si>
    <t>znuB2</t>
  </si>
  <si>
    <t>UQZ28692.1</t>
  </si>
  <si>
    <t>CACC_10110</t>
  </si>
  <si>
    <t>UQZ28693.1</t>
  </si>
  <si>
    <t>CACC_10115</t>
  </si>
  <si>
    <t>UQZ28694.1</t>
  </si>
  <si>
    <t>CACC_10120</t>
  </si>
  <si>
    <t>UQZ28695.1</t>
  </si>
  <si>
    <t>CACC_10125</t>
  </si>
  <si>
    <t>Cysteine--tRNA ligase</t>
  </si>
  <si>
    <t>cysS</t>
  </si>
  <si>
    <t>UQZ28696.1</t>
  </si>
  <si>
    <t>CACC_10130</t>
  </si>
  <si>
    <t>2-C-methyl-D-erythritol 2,4-cyclodiphosphate synthase</t>
  </si>
  <si>
    <t>ispF</t>
  </si>
  <si>
    <t>UQZ28697.1</t>
  </si>
  <si>
    <t>CACC_10135</t>
  </si>
  <si>
    <t>2-C-methyl-D-erythritol 4-phosphate cytidylyltransferase</t>
  </si>
  <si>
    <t>ispD</t>
  </si>
  <si>
    <t>UQZ28698.1</t>
  </si>
  <si>
    <t>CACC_10140</t>
  </si>
  <si>
    <t>RNA polymerase-binding transcription factor CarD</t>
  </si>
  <si>
    <t>carD</t>
  </si>
  <si>
    <t>UQZ28699.1</t>
  </si>
  <si>
    <t>CACC_10145</t>
  </si>
  <si>
    <t>UQZ28700.1</t>
  </si>
  <si>
    <t>CACC_10150</t>
  </si>
  <si>
    <t>UQZ28701.1</t>
  </si>
  <si>
    <t>CACC_10155</t>
  </si>
  <si>
    <t>UQZ28702.1</t>
  </si>
  <si>
    <t>CACC_10160</t>
  </si>
  <si>
    <t>Carbonic anhydrase 2</t>
  </si>
  <si>
    <t>mtcA2</t>
  </si>
  <si>
    <t>UQZ28703.1</t>
  </si>
  <si>
    <t>CACC_10165</t>
  </si>
  <si>
    <t>A/G-specific adenine glycosylase</t>
  </si>
  <si>
    <t>mutY</t>
  </si>
  <si>
    <t>UQZ28704.1</t>
  </si>
  <si>
    <t>CACC_10170</t>
  </si>
  <si>
    <t>UQZ28705.1</t>
  </si>
  <si>
    <t>CACC_10175</t>
  </si>
  <si>
    <t>ATP-dependent Clp protease ATP-binding subunit ClpC1</t>
  </si>
  <si>
    <t>clpC1</t>
  </si>
  <si>
    <t>UQZ28706.1</t>
  </si>
  <si>
    <t>CACC_10180</t>
  </si>
  <si>
    <t>UQZ28707.1</t>
  </si>
  <si>
    <t>CACC_10185</t>
  </si>
  <si>
    <t>putative multidrug resistance protein EmrY</t>
  </si>
  <si>
    <t>emrY</t>
  </si>
  <si>
    <t>UQZ28708.1</t>
  </si>
  <si>
    <t>CACC_10190</t>
  </si>
  <si>
    <t>guaB2</t>
  </si>
  <si>
    <t>UQZ28709.1</t>
  </si>
  <si>
    <t>CACC_10195</t>
  </si>
  <si>
    <t>15-cis-phytoene synthase</t>
  </si>
  <si>
    <t>crtB</t>
  </si>
  <si>
    <t>UQZ28710.1</t>
  </si>
  <si>
    <t>CACC_10200</t>
  </si>
  <si>
    <t>Dehydrosqualene desaturase</t>
  </si>
  <si>
    <t>crtN</t>
  </si>
  <si>
    <t>UQZ28711.1</t>
  </si>
  <si>
    <t>CACC_10205</t>
  </si>
  <si>
    <t>Lysine--tRNA ligase, heat inducible</t>
  </si>
  <si>
    <t>lysU</t>
  </si>
  <si>
    <t>UQZ28712.1</t>
  </si>
  <si>
    <t>CACC_10210</t>
  </si>
  <si>
    <t>ASCH domain protein</t>
  </si>
  <si>
    <t>UQZ28713.1</t>
  </si>
  <si>
    <t>CACC_10215</t>
  </si>
  <si>
    <t>Carbon starvation protein A</t>
  </si>
  <si>
    <t>cstA</t>
  </si>
  <si>
    <t>UQZ28714.1</t>
  </si>
  <si>
    <t>CACC_10220</t>
  </si>
  <si>
    <t>UQZ28715.1</t>
  </si>
  <si>
    <t>CACC_10225</t>
  </si>
  <si>
    <t>Arsenical pump-driving ATPase</t>
  </si>
  <si>
    <t>arsA</t>
  </si>
  <si>
    <t>UQZ28716.1</t>
  </si>
  <si>
    <t>CACC_10230</t>
  </si>
  <si>
    <t>Aminopeptidase C</t>
  </si>
  <si>
    <t>pepC1</t>
  </si>
  <si>
    <t>UQZ28717.1</t>
  </si>
  <si>
    <t>CACC_10235</t>
  </si>
  <si>
    <t>pepC2</t>
  </si>
  <si>
    <t>UQZ28718.1</t>
  </si>
  <si>
    <t>CACC_10240</t>
  </si>
  <si>
    <t>UQZ28719.1</t>
  </si>
  <si>
    <t>CACC_10245</t>
  </si>
  <si>
    <t>panC2</t>
  </si>
  <si>
    <t>UQZ28720.1</t>
  </si>
  <si>
    <t>CACC_10250</t>
  </si>
  <si>
    <t>Rossmann-like domain protein</t>
  </si>
  <si>
    <t>UQZ28721.1</t>
  </si>
  <si>
    <t>CACC_10255</t>
  </si>
  <si>
    <t>UQZ28722.1</t>
  </si>
  <si>
    <t>CACC_10260</t>
  </si>
  <si>
    <t>UQZ28723.1</t>
  </si>
  <si>
    <t>CACC_10265</t>
  </si>
  <si>
    <t>2-amino-4-hydroxy-6-hydroxymethyldihydropteridine pyrophosphokinase</t>
  </si>
  <si>
    <t>folK</t>
  </si>
  <si>
    <t>UQZ28724.1</t>
  </si>
  <si>
    <t>CACC_10270</t>
  </si>
  <si>
    <t>putative dihydroneopterin aldolase</t>
  </si>
  <si>
    <t>folB</t>
  </si>
  <si>
    <t>UQZ28725.1</t>
  </si>
  <si>
    <t>CACC_10275</t>
  </si>
  <si>
    <t>Dihydropteroate synthase 1</t>
  </si>
  <si>
    <t>folP2</t>
  </si>
  <si>
    <t>UQZ28726.1</t>
  </si>
  <si>
    <t>CACC_10280</t>
  </si>
  <si>
    <t>GTP cyclohydrolase 1</t>
  </si>
  <si>
    <t>folE</t>
  </si>
  <si>
    <t>UQZ28727.1</t>
  </si>
  <si>
    <t>CACC_10285</t>
  </si>
  <si>
    <t>ATP-dependent zinc metalloprotease FtsH</t>
  </si>
  <si>
    <t>ftsH</t>
  </si>
  <si>
    <t>UQZ28728.1</t>
  </si>
  <si>
    <t>CACC_10290</t>
  </si>
  <si>
    <t>Hypoxanthine phosphoribosyltransferase</t>
  </si>
  <si>
    <t>hpt</t>
  </si>
  <si>
    <t>UQZ28729.1</t>
  </si>
  <si>
    <t>CACC_10295</t>
  </si>
  <si>
    <t>tRNA(Ile)-lysidine synthase</t>
  </si>
  <si>
    <t>tilS</t>
  </si>
  <si>
    <t>UQZ28730.1</t>
  </si>
  <si>
    <t>CACC_10300</t>
  </si>
  <si>
    <t>D-alanyl-D-alanine carboxypeptidase DacB precursor</t>
  </si>
  <si>
    <t>dacB</t>
  </si>
  <si>
    <t>UQZ28731.1</t>
  </si>
  <si>
    <t>CACC_10305</t>
  </si>
  <si>
    <t>Inorganic pyrophosphatase</t>
  </si>
  <si>
    <t>ppa</t>
  </si>
  <si>
    <t>UQZ28732.1</t>
  </si>
  <si>
    <t>CACC_10310</t>
  </si>
  <si>
    <t>UQZ28733.1</t>
  </si>
  <si>
    <t>CACC_10315</t>
  </si>
  <si>
    <t>UQZ28734.1</t>
  </si>
  <si>
    <t>CACC_10320</t>
  </si>
  <si>
    <t>ABC transporter ATP-binding protein YtrE</t>
  </si>
  <si>
    <t>ytrE</t>
  </si>
  <si>
    <t>UQZ28735.1</t>
  </si>
  <si>
    <t>CACC_10325</t>
  </si>
  <si>
    <t>degS2</t>
  </si>
  <si>
    <t>UQZ28736.1</t>
  </si>
  <si>
    <t>CACC_10330</t>
  </si>
  <si>
    <t>nreC2</t>
  </si>
  <si>
    <t>UQZ28737.1</t>
  </si>
  <si>
    <t>CACC_10335</t>
  </si>
  <si>
    <t>Thiosulfate sulfurtransferase GlpE</t>
  </si>
  <si>
    <t>glpE</t>
  </si>
  <si>
    <t>UQZ28738.1</t>
  </si>
  <si>
    <t>CACC_10340</t>
  </si>
  <si>
    <t>transcriptional regulator SlyA</t>
  </si>
  <si>
    <t>UQZ28739.1</t>
  </si>
  <si>
    <t>CACC_10345</t>
  </si>
  <si>
    <t>Linear gramicidin synthase subunit D</t>
  </si>
  <si>
    <t>lgrD</t>
  </si>
  <si>
    <t>UQZ28740.1</t>
  </si>
  <si>
    <t>CACC_10350</t>
  </si>
  <si>
    <t>UQZ28741.1</t>
  </si>
  <si>
    <t>CACC_10355</t>
  </si>
  <si>
    <t>Phospholipase YtpA</t>
  </si>
  <si>
    <t>ytpA</t>
  </si>
  <si>
    <t>UQZ28742.1</t>
  </si>
  <si>
    <t>CACC_10360</t>
  </si>
  <si>
    <t>UQZ28743.1</t>
  </si>
  <si>
    <t>CACC_10365</t>
  </si>
  <si>
    <t>UQZ28744.1</t>
  </si>
  <si>
    <t>CACC_10370</t>
  </si>
  <si>
    <t>UQZ28745.1</t>
  </si>
  <si>
    <t>CACC_10375</t>
  </si>
  <si>
    <t>groL2</t>
  </si>
  <si>
    <t>UQZ28746.1</t>
  </si>
  <si>
    <t>CACC_10380</t>
  </si>
  <si>
    <t>OPT oligopeptide transporter protein</t>
  </si>
  <si>
    <t>UQZ28747.1</t>
  </si>
  <si>
    <t>CACC_10385</t>
  </si>
  <si>
    <t>dapE3</t>
  </si>
  <si>
    <t>UQZ28748.1</t>
  </si>
  <si>
    <t>CACC_10390</t>
  </si>
  <si>
    <t>mrpA2</t>
  </si>
  <si>
    <t>UQZ28749.1</t>
  </si>
  <si>
    <t>CACC_10395</t>
  </si>
  <si>
    <t>mrpC2</t>
  </si>
  <si>
    <t>UQZ28750.1</t>
  </si>
  <si>
    <t>CACC_10400</t>
  </si>
  <si>
    <t>mrpD2</t>
  </si>
  <si>
    <t>UQZ28751.1</t>
  </si>
  <si>
    <t>CACC_10405</t>
  </si>
  <si>
    <t>UQZ28752.1</t>
  </si>
  <si>
    <t>CACC_10410</t>
  </si>
  <si>
    <t>UQZ28753.1</t>
  </si>
  <si>
    <t>CACC_10415</t>
  </si>
  <si>
    <t>Na(+)/H(+) antiporter subunit G</t>
  </si>
  <si>
    <t>mrpG</t>
  </si>
  <si>
    <t>UQZ28754.1</t>
  </si>
  <si>
    <t>CACC_10420</t>
  </si>
  <si>
    <t>Polyprenol-phosphate-mannose-dependent alpha-(1-2)-phosphatidylinositol pentamannoside mannosyltransferase</t>
  </si>
  <si>
    <t>pimE</t>
  </si>
  <si>
    <t>UQZ28755.1</t>
  </si>
  <si>
    <t>CACC_10425</t>
  </si>
  <si>
    <t>Carboxylate-amine ligase YbdK</t>
  </si>
  <si>
    <t>ybdK</t>
  </si>
  <si>
    <t>UQZ28756.1</t>
  </si>
  <si>
    <t>CACC_10430</t>
  </si>
  <si>
    <t>UQZ28757.1</t>
  </si>
  <si>
    <t>CACC_10435</t>
  </si>
  <si>
    <t>UQZ28758.1</t>
  </si>
  <si>
    <t>CACC_10440</t>
  </si>
  <si>
    <t>def2</t>
  </si>
  <si>
    <t>UQZ28759.1</t>
  </si>
  <si>
    <t>CACC_10445</t>
  </si>
  <si>
    <t>Phosphinothricin N-acetyltransferase</t>
  </si>
  <si>
    <t>bar</t>
  </si>
  <si>
    <t>UQZ28760.1</t>
  </si>
  <si>
    <t>CACC_10450</t>
  </si>
  <si>
    <t>Exodeoxyribonuclease III</t>
  </si>
  <si>
    <t>xthA</t>
  </si>
  <si>
    <t>UQZ28761.1</t>
  </si>
  <si>
    <t>CACC_10455</t>
  </si>
  <si>
    <t>Cardiolipin synthase</t>
  </si>
  <si>
    <t>cls</t>
  </si>
  <si>
    <t>UQZ28762.1</t>
  </si>
  <si>
    <t>CACC_10460</t>
  </si>
  <si>
    <t>UQZ28763.1</t>
  </si>
  <si>
    <t>CACC_10465</t>
  </si>
  <si>
    <t>yxlF3</t>
  </si>
  <si>
    <t>UQZ28764.1</t>
  </si>
  <si>
    <t>CACC_10470</t>
  </si>
  <si>
    <t>UQZ28765.1</t>
  </si>
  <si>
    <t>CACC_10475</t>
  </si>
  <si>
    <t>UQZ28766.1</t>
  </si>
  <si>
    <t>CACC_10480</t>
  </si>
  <si>
    <t>ABC transporter glutamine-binding protein GlnH precursor</t>
  </si>
  <si>
    <t>glnH2</t>
  </si>
  <si>
    <t>UQZ28767.1</t>
  </si>
  <si>
    <t>CACC_10485</t>
  </si>
  <si>
    <t>Serine/threonine-protein kinase PknG</t>
  </si>
  <si>
    <t>pknG</t>
  </si>
  <si>
    <t>UQZ28768.1</t>
  </si>
  <si>
    <t>CACC_10490</t>
  </si>
  <si>
    <t>Acetate kinase</t>
  </si>
  <si>
    <t>ackA</t>
  </si>
  <si>
    <t>UQZ28769.1</t>
  </si>
  <si>
    <t>CACC_10495</t>
  </si>
  <si>
    <t>Phosphate acetyltransferase</t>
  </si>
  <si>
    <t>pta</t>
  </si>
  <si>
    <t>UQZ28770.1</t>
  </si>
  <si>
    <t>CACC_10500</t>
  </si>
  <si>
    <t>fprA2</t>
  </si>
  <si>
    <t>UQZ28771.1</t>
  </si>
  <si>
    <t>CACC_10505</t>
  </si>
  <si>
    <t>Phosphoribosylglycinamide formyltransferase 2</t>
  </si>
  <si>
    <t>purT</t>
  </si>
  <si>
    <t>UQZ28772.1</t>
  </si>
  <si>
    <t>CACC_10510</t>
  </si>
  <si>
    <t>Sortase family protein</t>
  </si>
  <si>
    <t>UQZ28773.1</t>
  </si>
  <si>
    <t>CACC_10515</t>
  </si>
  <si>
    <t>UQZ28774.1</t>
  </si>
  <si>
    <t>CACC_10520</t>
  </si>
  <si>
    <t>UQZ28775.1</t>
  </si>
  <si>
    <t>CACC_10525</t>
  </si>
  <si>
    <t>Adenylosuccinate synthetase</t>
  </si>
  <si>
    <t>purA</t>
  </si>
  <si>
    <t>UQZ28776.1</t>
  </si>
  <si>
    <t>CACC_10530</t>
  </si>
  <si>
    <t>UQZ28777.1</t>
  </si>
  <si>
    <t>CACC_10535</t>
  </si>
  <si>
    <t>UQZ28778.1</t>
  </si>
  <si>
    <t>CACC_10540</t>
  </si>
  <si>
    <t>UQZ28779.1</t>
  </si>
  <si>
    <t>CACC_10545</t>
  </si>
  <si>
    <t>Fructose-bisphosphate aldolase</t>
  </si>
  <si>
    <t>fba</t>
  </si>
  <si>
    <t>UQZ28780.1</t>
  </si>
  <si>
    <t>CACC_10550</t>
  </si>
  <si>
    <t>Glycosyl hydrolase family 76</t>
  </si>
  <si>
    <t>UQZ28781.1</t>
  </si>
  <si>
    <t>CACC_10555</t>
  </si>
  <si>
    <t>tRNA (guanosine(18)-2'-O)-methyltransferase</t>
  </si>
  <si>
    <t>trmH</t>
  </si>
  <si>
    <t>UQZ28782.1</t>
  </si>
  <si>
    <t>CACC_10560</t>
  </si>
  <si>
    <t>Orotate phosphoribosyltransferase</t>
  </si>
  <si>
    <t>pyrE</t>
  </si>
  <si>
    <t>UQZ28783.1</t>
  </si>
  <si>
    <t>CACC_10565</t>
  </si>
  <si>
    <t>UQZ28784.1</t>
  </si>
  <si>
    <t>CACC_10570</t>
  </si>
  <si>
    <t>3-mercaptopyruvate sulfurtransferase</t>
  </si>
  <si>
    <t>sseA2</t>
  </si>
  <si>
    <t>UQZ28785.1</t>
  </si>
  <si>
    <t>CACC_10575</t>
  </si>
  <si>
    <t>Chaperone protein ClpB</t>
  </si>
  <si>
    <t>clpB</t>
  </si>
  <si>
    <t>UQZ28786.1</t>
  </si>
  <si>
    <t>CACC_10580</t>
  </si>
  <si>
    <t>UQZ28787.1</t>
  </si>
  <si>
    <t>CACC_10585</t>
  </si>
  <si>
    <t>putative oxidoreductase CzcO</t>
  </si>
  <si>
    <t>czcO1</t>
  </si>
  <si>
    <t>UQZ28788.1</t>
  </si>
  <si>
    <t>CACC_10590</t>
  </si>
  <si>
    <t>Ferredoxin--NAD(P)(+) reductase (naphthalene dioxygenase ferredoxin-specific)</t>
  </si>
  <si>
    <t>ndoR</t>
  </si>
  <si>
    <t>UQZ28789.1</t>
  </si>
  <si>
    <t>CACC_10595</t>
  </si>
  <si>
    <t>2-oxoglutaramate amidase</t>
  </si>
  <si>
    <t>UQZ28790.1</t>
  </si>
  <si>
    <t>CACC_10600</t>
  </si>
  <si>
    <t>UQZ28791.1</t>
  </si>
  <si>
    <t>CACC_10605</t>
  </si>
  <si>
    <t>UQZ28792.1</t>
  </si>
  <si>
    <t>CACC_10610</t>
  </si>
  <si>
    <t>EPTC-inducible aldehyde dehydrogenase</t>
  </si>
  <si>
    <t>thcA</t>
  </si>
  <si>
    <t>UQZ28793.1</t>
  </si>
  <si>
    <t>CACC_10615</t>
  </si>
  <si>
    <t>Putative heat shock protein HspR</t>
  </si>
  <si>
    <t>hspR</t>
  </si>
  <si>
    <t>UQZ28794.1</t>
  </si>
  <si>
    <t>CACC_10620</t>
  </si>
  <si>
    <t>dnaJ2</t>
  </si>
  <si>
    <t>UQZ28795.1</t>
  </si>
  <si>
    <t>CACC_10625</t>
  </si>
  <si>
    <t>heat shock protein GrpE</t>
  </si>
  <si>
    <t>UQZ28796.1</t>
  </si>
  <si>
    <t>CACC_10630</t>
  </si>
  <si>
    <t>Chaperone protein DnaK</t>
  </si>
  <si>
    <t>dnaK</t>
  </si>
  <si>
    <t>UQZ28797.1</t>
  </si>
  <si>
    <t>CACC_10635</t>
  </si>
  <si>
    <t>UQZ28798.1</t>
  </si>
  <si>
    <t>CACC_10640</t>
  </si>
  <si>
    <t>Histidine kinase</t>
  </si>
  <si>
    <t>UQZ28799.1</t>
  </si>
  <si>
    <t>CACC_10645</t>
  </si>
  <si>
    <t>UQZ28800.1</t>
  </si>
  <si>
    <t>CACC_10650</t>
  </si>
  <si>
    <t>vraR2</t>
  </si>
  <si>
    <t>UQZ28801.1</t>
  </si>
  <si>
    <t>CACC_10655</t>
  </si>
  <si>
    <t>UQZ28802.1</t>
  </si>
  <si>
    <t>CACC_10660</t>
  </si>
  <si>
    <t>Bifunctional protein PutA</t>
  </si>
  <si>
    <t>putA</t>
  </si>
  <si>
    <t>UQZ28803.1</t>
  </si>
  <si>
    <t>CACC_10665</t>
  </si>
  <si>
    <t>tqsA2</t>
  </si>
  <si>
    <t>UQZ28804.1</t>
  </si>
  <si>
    <t>CACC_10670</t>
  </si>
  <si>
    <t>Fimbrial subunit type 1 precursor</t>
  </si>
  <si>
    <t>UQZ28805.1</t>
  </si>
  <si>
    <t>CACC_10675</t>
  </si>
  <si>
    <t>UQZ28806.1</t>
  </si>
  <si>
    <t>CACC_10680</t>
  </si>
  <si>
    <t>UQZ28807.1</t>
  </si>
  <si>
    <t>CACC_10685</t>
  </si>
  <si>
    <t>Cna protein B-type domain protein</t>
  </si>
  <si>
    <t>UQZ28808.1</t>
  </si>
  <si>
    <t>CACC_10690</t>
  </si>
  <si>
    <t>Aminodeoxyfutalosine nucleosidase</t>
  </si>
  <si>
    <t>mtnN</t>
  </si>
  <si>
    <t>UQZ28809.1</t>
  </si>
  <si>
    <t>CACC_10695</t>
  </si>
  <si>
    <t>Bifunctional enzyme CysN/CysC</t>
  </si>
  <si>
    <t>cysNC</t>
  </si>
  <si>
    <t>UQZ28810.1</t>
  </si>
  <si>
    <t>CACC_10700</t>
  </si>
  <si>
    <t>Sulfate adenylyltransferase subunit 2</t>
  </si>
  <si>
    <t>cysD</t>
  </si>
  <si>
    <t>UQZ28811.1</t>
  </si>
  <si>
    <t>CACC_10705</t>
  </si>
  <si>
    <t>Phosphoadenosine phosphosulfate reductase</t>
  </si>
  <si>
    <t>cysH</t>
  </si>
  <si>
    <t>UQZ28812.1</t>
  </si>
  <si>
    <t>CACC_10710</t>
  </si>
  <si>
    <t>UQZ28813.1</t>
  </si>
  <si>
    <t>CACC_10715</t>
  </si>
  <si>
    <t>UQZ28814.1</t>
  </si>
  <si>
    <t>CACC_10720</t>
  </si>
  <si>
    <t>UQZ28815.1</t>
  </si>
  <si>
    <t>CACC_10725</t>
  </si>
  <si>
    <t>UQZ28816.1</t>
  </si>
  <si>
    <t>CACC_10730</t>
  </si>
  <si>
    <t>UQZ28817.1</t>
  </si>
  <si>
    <t>CACC_10735</t>
  </si>
  <si>
    <t>UQZ28818.1</t>
  </si>
  <si>
    <t>CACC_10740</t>
  </si>
  <si>
    <t>UQZ28819.1</t>
  </si>
  <si>
    <t>CACC_10745</t>
  </si>
  <si>
    <t>Putative succinate-semialdehyde dehydrogenase [NADP(+)] 2</t>
  </si>
  <si>
    <t>gabD2</t>
  </si>
  <si>
    <t>UQZ28820.1</t>
  </si>
  <si>
    <t>CACC_10750</t>
  </si>
  <si>
    <t>UQZ28821.1</t>
  </si>
  <si>
    <t>CACC_10755</t>
  </si>
  <si>
    <t>UQZ28822.1</t>
  </si>
  <si>
    <t>CACC_10760</t>
  </si>
  <si>
    <t>IgA FC receptor precursor</t>
  </si>
  <si>
    <t>bag</t>
  </si>
  <si>
    <t>UQZ28823.1</t>
  </si>
  <si>
    <t>CACC_10765</t>
  </si>
  <si>
    <t>Glutathione-regulated potassium-efflux system protein KefC</t>
  </si>
  <si>
    <t>kefC</t>
  </si>
  <si>
    <t>UQZ28824.1</t>
  </si>
  <si>
    <t>CACC_10770</t>
  </si>
  <si>
    <t>UQZ28825.1</t>
  </si>
  <si>
    <t>CACC_10775</t>
  </si>
  <si>
    <t>Glutamate-pyruvate aminotransferase AlaA</t>
  </si>
  <si>
    <t>alaA</t>
  </si>
  <si>
    <t>UQZ28826.1</t>
  </si>
  <si>
    <t>CACC_10780</t>
  </si>
  <si>
    <t>YibE/F-like protein</t>
  </si>
  <si>
    <t>UQZ28827.1</t>
  </si>
  <si>
    <t>CACC_10785</t>
  </si>
  <si>
    <t>UDP-glucose 6-dehydrogenase TuaD</t>
  </si>
  <si>
    <t>tuaD</t>
  </si>
  <si>
    <t>UQZ28828.1</t>
  </si>
  <si>
    <t>CACC_10790</t>
  </si>
  <si>
    <t>CACC_10795</t>
  </si>
  <si>
    <t>Transposon Tn3 resolvase</t>
  </si>
  <si>
    <t>tnpR</t>
  </si>
  <si>
    <t>UQZ28829.1</t>
  </si>
  <si>
    <t>CACC_10800</t>
  </si>
  <si>
    <t>UQZ28830.1</t>
  </si>
  <si>
    <t>CACC_10805</t>
  </si>
  <si>
    <t>UQZ28831.1</t>
  </si>
  <si>
    <t>CACC_10810</t>
  </si>
  <si>
    <t>VanW like protein</t>
  </si>
  <si>
    <t>UQZ28832.1</t>
  </si>
  <si>
    <t>CACC_10815</t>
  </si>
  <si>
    <t>Beta-hexosaminidase</t>
  </si>
  <si>
    <t>nagZ</t>
  </si>
  <si>
    <t>UQZ28833.1</t>
  </si>
  <si>
    <t>CACC_10820</t>
  </si>
  <si>
    <t>Universal stress protein family protein</t>
  </si>
  <si>
    <t>UQZ28834.1</t>
  </si>
  <si>
    <t>CACC_10825</t>
  </si>
  <si>
    <t>UQZ28835.1</t>
  </si>
  <si>
    <t>CACC_10830</t>
  </si>
  <si>
    <t>aftD</t>
  </si>
  <si>
    <t>UQZ28836.1</t>
  </si>
  <si>
    <t>CACC_10835</t>
  </si>
  <si>
    <t>oatA3</t>
  </si>
  <si>
    <t>UQZ28837.1</t>
  </si>
  <si>
    <t>CACC_10840</t>
  </si>
  <si>
    <t>UQZ28838.1</t>
  </si>
  <si>
    <t>CACC_10845</t>
  </si>
  <si>
    <t>UQZ28839.1</t>
  </si>
  <si>
    <t>CACC_10850</t>
  </si>
  <si>
    <t>Glycogen synthase</t>
  </si>
  <si>
    <t>UQZ28840.1</t>
  </si>
  <si>
    <t>CACC_10855</t>
  </si>
  <si>
    <t>UQZ28841.1</t>
  </si>
  <si>
    <t>CACC_10860</t>
  </si>
  <si>
    <t>CAAX amino terminal protease self- immunity</t>
  </si>
  <si>
    <t>UQZ28842.1</t>
  </si>
  <si>
    <t>CACC_10865</t>
  </si>
  <si>
    <t>UQZ28843.1</t>
  </si>
  <si>
    <t>CACC_10870</t>
  </si>
  <si>
    <t>UQZ28844.1</t>
  </si>
  <si>
    <t>CACC_10875</t>
  </si>
  <si>
    <t>Arginine deiminase</t>
  </si>
  <si>
    <t>arcA</t>
  </si>
  <si>
    <t>UQZ28845.1</t>
  </si>
  <si>
    <t>CACC_10880</t>
  </si>
  <si>
    <t>sdaC4</t>
  </si>
  <si>
    <t>UQZ28846.1</t>
  </si>
  <si>
    <t>CACC_10885</t>
  </si>
  <si>
    <t>UQZ28847.1</t>
  </si>
  <si>
    <t>CACC_10890</t>
  </si>
  <si>
    <t>Ascorbate-specific permease IIC component UlaA</t>
  </si>
  <si>
    <t>ulaA</t>
  </si>
  <si>
    <t>UQZ28848.1</t>
  </si>
  <si>
    <t>CACC_10895</t>
  </si>
  <si>
    <t>Ascorbate-specific phosphotransferase enzyme IIA component</t>
  </si>
  <si>
    <t>ulaC</t>
  </si>
  <si>
    <t>UQZ28849.1</t>
  </si>
  <si>
    <t>CACC_10900</t>
  </si>
  <si>
    <t>Adenosine monophosphate-protein transferase SoFic</t>
  </si>
  <si>
    <t>UQZ28850.1</t>
  </si>
  <si>
    <t>CACC_10905</t>
  </si>
  <si>
    <t>dnaQ</t>
  </si>
  <si>
    <t>UQZ28851.1</t>
  </si>
  <si>
    <t>CACC_10910</t>
  </si>
  <si>
    <t>UQZ28852.1</t>
  </si>
  <si>
    <t>CACC_10915</t>
  </si>
  <si>
    <t>UQZ28853.1</t>
  </si>
  <si>
    <t>CACC_10920</t>
  </si>
  <si>
    <t>UQZ28854.1</t>
  </si>
  <si>
    <t>CACC_10925</t>
  </si>
  <si>
    <t>dapA2</t>
  </si>
  <si>
    <t>UQZ28855.1</t>
  </si>
  <si>
    <t>CACC_10930</t>
  </si>
  <si>
    <t>glkA2</t>
  </si>
  <si>
    <t>UQZ28856.1</t>
  </si>
  <si>
    <t>CACC_10935</t>
  </si>
  <si>
    <t>Putative N-acetylmannosamine-6-phosphate 2-epimerase</t>
  </si>
  <si>
    <t>nanE</t>
  </si>
  <si>
    <t>UQZ28857.1</t>
  </si>
  <si>
    <t>CACC_10940</t>
  </si>
  <si>
    <t>HTH-type transcriptional regulator LutR</t>
  </si>
  <si>
    <t>lutR</t>
  </si>
  <si>
    <t>UQZ28858.1</t>
  </si>
  <si>
    <t>CACC_10945</t>
  </si>
  <si>
    <t>sglT2</t>
  </si>
  <si>
    <t>UQZ28859.1</t>
  </si>
  <si>
    <t>CACC_10950</t>
  </si>
  <si>
    <t>nagA2</t>
  </si>
  <si>
    <t>UQZ28860.1</t>
  </si>
  <si>
    <t>CACC_10955</t>
  </si>
  <si>
    <t>nagB2</t>
  </si>
  <si>
    <t>UQZ28861.1</t>
  </si>
  <si>
    <t>CACC_10960</t>
  </si>
  <si>
    <t>UQZ28862.1</t>
  </si>
  <si>
    <t>CACC_10965</t>
  </si>
  <si>
    <t>UQZ28863.1</t>
  </si>
  <si>
    <t>CACC_10970</t>
  </si>
  <si>
    <t>UQZ28864.1</t>
  </si>
  <si>
    <t>CACC_10975</t>
  </si>
  <si>
    <t>UQZ28865.1</t>
  </si>
  <si>
    <t>CACC_10980</t>
  </si>
  <si>
    <t>Phosphoenolpyruvate carboxykinase [GTP]</t>
  </si>
  <si>
    <t>pckG</t>
  </si>
  <si>
    <t>UQZ28866.1</t>
  </si>
  <si>
    <t>CACC_10985</t>
  </si>
  <si>
    <t>tRNA (guanine-N(7)-)-methyltransferase</t>
  </si>
  <si>
    <t>trmB</t>
  </si>
  <si>
    <t>UQZ28867.1</t>
  </si>
  <si>
    <t>CACC_10990</t>
  </si>
  <si>
    <t>UQZ28868.1</t>
  </si>
  <si>
    <t>CACC_10995</t>
  </si>
  <si>
    <t>ydfJ3</t>
  </si>
  <si>
    <t>UQZ28869.1</t>
  </si>
  <si>
    <t>CACC_11000</t>
  </si>
  <si>
    <t>UQZ28870.1</t>
  </si>
  <si>
    <t>CACC_11005</t>
  </si>
  <si>
    <t>UQZ28871.1</t>
  </si>
  <si>
    <t>CACC_11010</t>
  </si>
  <si>
    <t>putative inactive lipase</t>
  </si>
  <si>
    <t>UQZ28872.1</t>
  </si>
  <si>
    <t>CACC_11015</t>
  </si>
  <si>
    <t>UQZ28873.1</t>
  </si>
  <si>
    <t>CACC_11020</t>
  </si>
  <si>
    <t>UQZ28874.1</t>
  </si>
  <si>
    <t>CACC_11025</t>
  </si>
  <si>
    <t>UQZ28875.1</t>
  </si>
  <si>
    <t>CACC_11030</t>
  </si>
  <si>
    <t>UQZ28876.1</t>
  </si>
  <si>
    <t>CACC_11035</t>
  </si>
  <si>
    <t>accD2</t>
  </si>
  <si>
    <t>UQZ28877.1</t>
  </si>
  <si>
    <t>CACC_11040</t>
  </si>
  <si>
    <t>Phthiocerol/phenolphthiocerol synthesis polyketide synthase type I PpsA</t>
  </si>
  <si>
    <t>ppsA</t>
  </si>
  <si>
    <t>UQZ28878.1</t>
  </si>
  <si>
    <t>CACC_11045</t>
  </si>
  <si>
    <t>Long-chain-fatty-acid--AMP ligase FadD32</t>
  </si>
  <si>
    <t>UQZ28879.1</t>
  </si>
  <si>
    <t>CACC_11050</t>
  </si>
  <si>
    <t>UQZ28880.1</t>
  </si>
  <si>
    <t>CACC_11055</t>
  </si>
  <si>
    <t>UQZ28881.1</t>
  </si>
  <si>
    <t>CACC_11060</t>
  </si>
  <si>
    <t>fbpA2</t>
  </si>
  <si>
    <t>UQZ28882.1</t>
  </si>
  <si>
    <t>CACC_11065</t>
  </si>
  <si>
    <t>Diacylglycerol acyltransferase/mycolyltransferase Ag85C precursor</t>
  </si>
  <si>
    <t>fbpC</t>
  </si>
  <si>
    <t>UQZ28883.1</t>
  </si>
  <si>
    <t>CACC_11070</t>
  </si>
  <si>
    <t>UQZ28884.1</t>
  </si>
  <si>
    <t>CACC_11075</t>
  </si>
  <si>
    <t>Decaprenyl-phosphate phosphoribosyltransferase</t>
  </si>
  <si>
    <t>UQZ28885.1</t>
  </si>
  <si>
    <t>CACC_11080</t>
  </si>
  <si>
    <t>PAP2 superfamily protein</t>
  </si>
  <si>
    <t>UQZ28886.1</t>
  </si>
  <si>
    <t>CACC_11085</t>
  </si>
  <si>
    <t>Galactofuranosyl transferase GlfT2</t>
  </si>
  <si>
    <t>glfT2</t>
  </si>
  <si>
    <t>UQZ28887.1</t>
  </si>
  <si>
    <t>CACC_11090</t>
  </si>
  <si>
    <t>UQZ28888.1</t>
  </si>
  <si>
    <t>CACC_11095</t>
  </si>
  <si>
    <t>Aminodeoxychorismate synthase component 1</t>
  </si>
  <si>
    <t>pabB</t>
  </si>
  <si>
    <t>UQZ28889.1</t>
  </si>
  <si>
    <t>CACC_11100</t>
  </si>
  <si>
    <t>UQZ28890.1</t>
  </si>
  <si>
    <t>CACC_11105</t>
  </si>
  <si>
    <t>nlhH3</t>
  </si>
  <si>
    <t>UQZ28891.1</t>
  </si>
  <si>
    <t>CACC_11110</t>
  </si>
  <si>
    <t>UQZ28892.1</t>
  </si>
  <si>
    <t>CACC_11115</t>
  </si>
  <si>
    <t>UDP-galactopyranose mutase</t>
  </si>
  <si>
    <t>glf</t>
  </si>
  <si>
    <t>UQZ28893.1</t>
  </si>
  <si>
    <t>CACC_11120</t>
  </si>
  <si>
    <t>N-acetylmuramoyl-L-alanine amidase</t>
  </si>
  <si>
    <t>UQZ28894.1</t>
  </si>
  <si>
    <t>CACC_11125</t>
  </si>
  <si>
    <t>Sugar phosphatase YidA</t>
  </si>
  <si>
    <t>yidA</t>
  </si>
  <si>
    <t>UQZ28895.1</t>
  </si>
  <si>
    <t>CACC_11130</t>
  </si>
  <si>
    <t>Glycerol kinase</t>
  </si>
  <si>
    <t>glpK</t>
  </si>
  <si>
    <t>UQZ28896.1</t>
  </si>
  <si>
    <t>CACC_11135</t>
  </si>
  <si>
    <t>putative glycerol uptake facilitator protein</t>
  </si>
  <si>
    <t>glpF</t>
  </si>
  <si>
    <t>UQZ28897.1</t>
  </si>
  <si>
    <t>CACC_11140</t>
  </si>
  <si>
    <t>Aerobic glycerol-3-phosphate dehydrogenase</t>
  </si>
  <si>
    <t>glpD</t>
  </si>
  <si>
    <t>UQZ28898.1</t>
  </si>
  <si>
    <t>CACC_11145</t>
  </si>
  <si>
    <t>1-acyl-sn-glycerol-3-phosphate acyltransferase</t>
  </si>
  <si>
    <t>plsC</t>
  </si>
  <si>
    <t>UQZ28899.1</t>
  </si>
  <si>
    <t>CACC_11150</t>
  </si>
  <si>
    <t>Serine--tRNA ligase</t>
  </si>
  <si>
    <t>serS</t>
  </si>
  <si>
    <t>UQZ28900.1</t>
  </si>
  <si>
    <t>CACC_11155</t>
  </si>
  <si>
    <t>HTH-type transcriptional repressor DasR</t>
  </si>
  <si>
    <t>dasR</t>
  </si>
  <si>
    <t>UQZ28901.1</t>
  </si>
  <si>
    <t>CACC_11160</t>
  </si>
  <si>
    <t>putative membrane protein</t>
  </si>
  <si>
    <t>UQZ28902.1</t>
  </si>
  <si>
    <t>CACC_11165</t>
  </si>
  <si>
    <t>Possibl zinc metallo-peptidase</t>
  </si>
  <si>
    <t>UQZ28903.1</t>
  </si>
  <si>
    <t>CACC_11170</t>
  </si>
  <si>
    <t>Alpha-ribazole phosphatase</t>
  </si>
  <si>
    <t>cobC</t>
  </si>
  <si>
    <t>UQZ28904.1</t>
  </si>
  <si>
    <t>CACC_11175</t>
  </si>
  <si>
    <t>Prephenate dehydratase</t>
  </si>
  <si>
    <t>pheA</t>
  </si>
  <si>
    <t>UQZ28905.1</t>
  </si>
  <si>
    <t>CACC_11180</t>
  </si>
  <si>
    <t>Acylamidase</t>
  </si>
  <si>
    <t>aam</t>
  </si>
  <si>
    <t>UQZ28906.1</t>
  </si>
  <si>
    <t>CACC_11185</t>
  </si>
  <si>
    <t>UQZ28907.1</t>
  </si>
  <si>
    <t>CACC_11190</t>
  </si>
  <si>
    <t>msrR2</t>
  </si>
  <si>
    <t>UQZ28908.1</t>
  </si>
  <si>
    <t>CACC_11195</t>
  </si>
  <si>
    <t>UQZ28909.1</t>
  </si>
  <si>
    <t>CACC_11200</t>
  </si>
  <si>
    <t>putative glycerophosphoryl diester phosphodiesterase 1</t>
  </si>
  <si>
    <t>glpQ1</t>
  </si>
  <si>
    <t>UQZ28910.1</t>
  </si>
  <si>
    <t>CACC_11205</t>
  </si>
  <si>
    <t>L-lactate dehydrogenase 1</t>
  </si>
  <si>
    <t>ldhA</t>
  </si>
  <si>
    <t>UQZ28911.1</t>
  </si>
  <si>
    <t>CACC_11210</t>
  </si>
  <si>
    <t>UQZ28912.1</t>
  </si>
  <si>
    <t>CACC_11215</t>
  </si>
  <si>
    <t>Peptide methionine sulfoxide reductase MsrA</t>
  </si>
  <si>
    <t>msrA</t>
  </si>
  <si>
    <t>UQZ28913.1</t>
  </si>
  <si>
    <t>CACC_11220</t>
  </si>
  <si>
    <t>sodA2</t>
  </si>
  <si>
    <t>UQZ28914.1</t>
  </si>
  <si>
    <t>CACC_11225</t>
  </si>
  <si>
    <t>Inner membrane transport protein YnfM</t>
  </si>
  <si>
    <t>ynfM</t>
  </si>
  <si>
    <t>UQZ28915.1</t>
  </si>
  <si>
    <t>CACC_11230</t>
  </si>
  <si>
    <t>UQZ28916.1</t>
  </si>
  <si>
    <t>CACC_11235</t>
  </si>
  <si>
    <t>UQZ28917.1</t>
  </si>
  <si>
    <t>CACC_11240</t>
  </si>
  <si>
    <t>UQZ28918.1</t>
  </si>
  <si>
    <t>CACC_11245</t>
  </si>
  <si>
    <t>Nucleoid-associated protein Lsr2</t>
  </si>
  <si>
    <t>lsr2</t>
  </si>
  <si>
    <t>UQZ28919.1</t>
  </si>
  <si>
    <t>CACC_11250</t>
  </si>
  <si>
    <t>liaR3</t>
  </si>
  <si>
    <t>UQZ28920.1</t>
  </si>
  <si>
    <t>CACC_11255</t>
  </si>
  <si>
    <t>Sensor histidine kinase LiaS</t>
  </si>
  <si>
    <t>liaS1</t>
  </si>
  <si>
    <t>UQZ28921.1</t>
  </si>
  <si>
    <t>CACC_11260</t>
  </si>
  <si>
    <t>UQZ28922.1</t>
  </si>
  <si>
    <t>CACC_11265</t>
  </si>
  <si>
    <t>UQZ28923.1</t>
  </si>
  <si>
    <t>CACC_11270</t>
  </si>
  <si>
    <t>UQZ28924.1</t>
  </si>
  <si>
    <t>CACC_11275</t>
  </si>
  <si>
    <t>Membrane protein insertase MisCB precursor</t>
  </si>
  <si>
    <t>misCB</t>
  </si>
  <si>
    <t>UQZ28925.1</t>
  </si>
  <si>
    <t>CACC_11280</t>
  </si>
  <si>
    <t>putative transcriptional regulator</t>
  </si>
  <si>
    <t>UQZ28926.1</t>
  </si>
  <si>
    <t>CACC_11285</t>
  </si>
  <si>
    <t>UQZ28927.1</t>
  </si>
  <si>
    <t>CACC_11290</t>
  </si>
  <si>
    <t>UQZ28928.1</t>
  </si>
  <si>
    <t>CACC_11295</t>
  </si>
  <si>
    <t>rluA2</t>
  </si>
  <si>
    <t>UQZ28929.1</t>
  </si>
  <si>
    <t>CACC_11300</t>
  </si>
  <si>
    <t>UQZ28930.1</t>
  </si>
  <si>
    <t>CACC_11305</t>
  </si>
  <si>
    <t>UQZ28931.1</t>
  </si>
  <si>
    <t>CACC_11310</t>
  </si>
  <si>
    <t>CACC_11315</t>
  </si>
  <si>
    <t>UQZ28932.1</t>
  </si>
  <si>
    <t>CACC_11325</t>
  </si>
  <si>
    <t>CACC_11330</t>
  </si>
  <si>
    <t>CACC_11335</t>
  </si>
  <si>
    <t>CACC_11340</t>
  </si>
  <si>
    <t>UQZ28933.1</t>
  </si>
  <si>
    <t>CACC_11345</t>
  </si>
  <si>
    <t>ABC transporter ATP-binding protein YtrB</t>
  </si>
  <si>
    <t>ytrB</t>
  </si>
  <si>
    <t>UQZ28934.1</t>
  </si>
  <si>
    <t>CACC_11350</t>
  </si>
  <si>
    <t>ytrA2</t>
  </si>
  <si>
    <t>UQZ28935.1</t>
  </si>
  <si>
    <t>CACC_11355</t>
  </si>
  <si>
    <t>NYN domain protein</t>
  </si>
  <si>
    <t>UQZ28936.1</t>
  </si>
  <si>
    <t>CACC_11360</t>
  </si>
  <si>
    <t>UQZ28937.1</t>
  </si>
  <si>
    <t>CACC_11365</t>
  </si>
  <si>
    <t>Putative thioredoxin-2</t>
  </si>
  <si>
    <t>trxC</t>
  </si>
  <si>
    <t>UQZ28938.1</t>
  </si>
  <si>
    <t>CACC_11370</t>
  </si>
  <si>
    <t>Copper chaperone CopZ</t>
  </si>
  <si>
    <t>copZ</t>
  </si>
  <si>
    <t>UQZ28939.1</t>
  </si>
  <si>
    <t>CACC_11375</t>
  </si>
  <si>
    <t>Copper-exporting P-type ATPase A</t>
  </si>
  <si>
    <t>copA2</t>
  </si>
  <si>
    <t>UQZ28940.1</t>
  </si>
  <si>
    <t>CACC_11380</t>
  </si>
  <si>
    <t>Putative niacin/nicotinamide transporter NaiP</t>
  </si>
  <si>
    <t>naiP</t>
  </si>
  <si>
    <t>UQZ28941.1</t>
  </si>
  <si>
    <t>CACC_11385</t>
  </si>
  <si>
    <t>VanZ like family protein</t>
  </si>
  <si>
    <t>UQZ28942.1</t>
  </si>
  <si>
    <t>CACC_11390</t>
  </si>
  <si>
    <t>Replicative DNA helicase</t>
  </si>
  <si>
    <t>dnaB</t>
  </si>
  <si>
    <t>UQZ28943.1</t>
  </si>
  <si>
    <t>CACC_11395</t>
  </si>
  <si>
    <t>50S ribosomal protein L9</t>
  </si>
  <si>
    <t>rplI</t>
  </si>
  <si>
    <t>UQZ28944.1</t>
  </si>
  <si>
    <t>CACC_11400</t>
  </si>
  <si>
    <t>ssb2</t>
  </si>
  <si>
    <t>UQZ28945.1</t>
  </si>
  <si>
    <t>CACC_11405</t>
  </si>
  <si>
    <t>30S ribosomal protein S6</t>
  </si>
  <si>
    <t>rpsF</t>
  </si>
  <si>
    <t>UQZ28946.1</t>
  </si>
  <si>
    <t>CACC_11410</t>
  </si>
  <si>
    <t>UQZ28947.1</t>
  </si>
  <si>
    <t>CACC_11415</t>
  </si>
  <si>
    <t>UQZ28948.1</t>
  </si>
  <si>
    <t>CACC_11420</t>
  </si>
  <si>
    <t>Penicillin-binding protein 1A</t>
  </si>
  <si>
    <t>ponA1</t>
  </si>
  <si>
    <t>UQZ28949.1</t>
  </si>
  <si>
    <t>CACC_11425</t>
  </si>
  <si>
    <t>UQZ28950.1</t>
  </si>
  <si>
    <t>CACC_11430</t>
  </si>
  <si>
    <t>Inositol-3-phosphate synthase</t>
  </si>
  <si>
    <t>ino1</t>
  </si>
  <si>
    <t>UQZ28951.1</t>
  </si>
  <si>
    <t>CACC_11435</t>
  </si>
  <si>
    <t>UQZ28952.1</t>
  </si>
  <si>
    <t>CACC_11440</t>
  </si>
  <si>
    <t>UQZ28953.1</t>
  </si>
  <si>
    <t>CACC_11445</t>
  </si>
  <si>
    <t>UQZ28954.1</t>
  </si>
  <si>
    <t>CACC_11450</t>
  </si>
  <si>
    <t>putative rhodanese-related sulfurtransferase</t>
  </si>
  <si>
    <t>UQZ28955.1</t>
  </si>
  <si>
    <t>CACC_11455</t>
  </si>
  <si>
    <t>UQZ28956.1</t>
  </si>
  <si>
    <t>CACC_11460</t>
  </si>
  <si>
    <t>nei2</t>
  </si>
  <si>
    <t>UQZ28957.1</t>
  </si>
  <si>
    <t>CACC_11465</t>
  </si>
  <si>
    <t>Bifunctional NAD(P)H-hydrate repair enzyme Nnr</t>
  </si>
  <si>
    <t>nnr</t>
  </si>
  <si>
    <t>UQZ28958.1</t>
  </si>
  <si>
    <t>CACC_11470</t>
  </si>
  <si>
    <t>metN2</t>
  </si>
  <si>
    <t>UQZ28959.1</t>
  </si>
  <si>
    <t>CACC_11475</t>
  </si>
  <si>
    <t>UQZ28960.1</t>
  </si>
  <si>
    <t>CACC_11480</t>
  </si>
  <si>
    <t>liaS2</t>
  </si>
  <si>
    <t>UQZ28961.1</t>
  </si>
  <si>
    <t>CACC_11485</t>
  </si>
  <si>
    <t>liaR4</t>
  </si>
  <si>
    <t>UQZ28962.1</t>
  </si>
  <si>
    <t>CACC_11490</t>
  </si>
  <si>
    <t>czcO2</t>
  </si>
  <si>
    <t>UQZ28963.1</t>
  </si>
  <si>
    <t>CACC_11495</t>
  </si>
  <si>
    <t>Acrylyl-CoA reductase AcuI</t>
  </si>
  <si>
    <t>acuI</t>
  </si>
  <si>
    <t>UQZ28964.1</t>
  </si>
  <si>
    <t>CACC_11500</t>
  </si>
  <si>
    <t>UQZ28965.1</t>
  </si>
  <si>
    <t>CACC_11505</t>
  </si>
  <si>
    <t>UQZ28966.1</t>
  </si>
  <si>
    <t>CACC_11510</t>
  </si>
  <si>
    <t>NADPH-dependent FMN reductase</t>
  </si>
  <si>
    <t>UQZ28967.1</t>
  </si>
  <si>
    <t>CACC_11515</t>
  </si>
  <si>
    <t>Ribonucleoside-diphosphate reductase 2 subunit beta</t>
  </si>
  <si>
    <t>nrdF2</t>
  </si>
  <si>
    <t>UQZ28968.1</t>
  </si>
  <si>
    <t>CACC_11520</t>
  </si>
  <si>
    <t>Putative NrdI-like protein</t>
  </si>
  <si>
    <t>UQZ28969.1</t>
  </si>
  <si>
    <t>CACC_11525</t>
  </si>
  <si>
    <t>ideR2</t>
  </si>
  <si>
    <t>UQZ28970.1</t>
  </si>
  <si>
    <t>CACC_11530</t>
  </si>
  <si>
    <t>Leucine--tRNA ligase</t>
  </si>
  <si>
    <t>leuS</t>
  </si>
  <si>
    <t>UQZ28971.1</t>
  </si>
  <si>
    <t>CACC_11535</t>
  </si>
  <si>
    <t>Alkaline phosphatase 4 precursor</t>
  </si>
  <si>
    <t>phoA</t>
  </si>
  <si>
    <t>UQZ28972.1</t>
  </si>
  <si>
    <t>CACC_11540</t>
  </si>
  <si>
    <t>UQZ28973.1</t>
  </si>
  <si>
    <t>CACC_11545</t>
  </si>
  <si>
    <t>6-N-hydroxylaminopurine resistance protein</t>
  </si>
  <si>
    <t>UQZ28974.1</t>
  </si>
  <si>
    <t>CACC_11550</t>
  </si>
  <si>
    <t>D-galactonate transporter</t>
  </si>
  <si>
    <t>dgoT</t>
  </si>
  <si>
    <t>UQZ28975.1</t>
  </si>
  <si>
    <t>CACC_11555</t>
  </si>
  <si>
    <t>Succinate-semialdehyde dehydrogenase [NADP(+)] GabD</t>
  </si>
  <si>
    <t>gabD3</t>
  </si>
  <si>
    <t>UQZ28976.1</t>
  </si>
  <si>
    <t>CACC_11560</t>
  </si>
  <si>
    <t>Anthranilate synthase component 1</t>
  </si>
  <si>
    <t>trpE</t>
  </si>
  <si>
    <t>UQZ28977.1</t>
  </si>
  <si>
    <t>CACC_11565</t>
  </si>
  <si>
    <t>Anthranilate synthase component 2</t>
  </si>
  <si>
    <t>trpG</t>
  </si>
  <si>
    <t>UQZ28978.1</t>
  </si>
  <si>
    <t>CACC_11570</t>
  </si>
  <si>
    <t>Bifunctional protein TrpGD</t>
  </si>
  <si>
    <t>trpGD</t>
  </si>
  <si>
    <t>UQZ28979.1</t>
  </si>
  <si>
    <t>CACC_11575</t>
  </si>
  <si>
    <t>Tryptophan biosynthesis protein TrpCF</t>
  </si>
  <si>
    <t>trpC2</t>
  </si>
  <si>
    <t>UQZ28980.1</t>
  </si>
  <si>
    <t>CACC_11580</t>
  </si>
  <si>
    <t>Tryptophan synthase beta chain</t>
  </si>
  <si>
    <t>trpB</t>
  </si>
  <si>
    <t>UQZ28981.1</t>
  </si>
  <si>
    <t>CACC_11585</t>
  </si>
  <si>
    <t>Tryptophan synthase alpha chain</t>
  </si>
  <si>
    <t>trpA</t>
  </si>
  <si>
    <t>UQZ28982.1</t>
  </si>
  <si>
    <t>CACC_11590</t>
  </si>
  <si>
    <t>C4-dicarboxylate transport protein</t>
  </si>
  <si>
    <t>dctA</t>
  </si>
  <si>
    <t>UQZ28983.1</t>
  </si>
  <si>
    <t>CACC_11595</t>
  </si>
  <si>
    <t>UQZ28984.1</t>
  </si>
  <si>
    <t>CACC_11600</t>
  </si>
  <si>
    <t>UQZ28985.1</t>
  </si>
  <si>
    <t>CACC_11605</t>
  </si>
  <si>
    <t>3-phenylpropionate/cinnamic acid dioxygenase ferredoxin subunit</t>
  </si>
  <si>
    <t>hcaC</t>
  </si>
  <si>
    <t>UQZ28986.1</t>
  </si>
  <si>
    <t>CACC_11610</t>
  </si>
  <si>
    <t>UQZ28987.1</t>
  </si>
  <si>
    <t>CACC_11615</t>
  </si>
  <si>
    <t>UQZ28988.1</t>
  </si>
  <si>
    <t>CACC_11620</t>
  </si>
  <si>
    <t>Branched-chain amino acid transport protein (AzlD)</t>
  </si>
  <si>
    <t>UQZ28989.1</t>
  </si>
  <si>
    <t>CACC_11625</t>
  </si>
  <si>
    <t>Inner membrane protein YgaZ</t>
  </si>
  <si>
    <t>ygaZ</t>
  </si>
  <si>
    <t>UQZ28990.1</t>
  </si>
  <si>
    <t>CACC_11630</t>
  </si>
  <si>
    <t>UQZ28991.1</t>
  </si>
  <si>
    <t>CACC_11635</t>
  </si>
  <si>
    <t>CCA-adding enzyme</t>
  </si>
  <si>
    <t>cca</t>
  </si>
  <si>
    <t>UQZ28992.1</t>
  </si>
  <si>
    <t>CACC_11640</t>
  </si>
  <si>
    <t>mutT3</t>
  </si>
  <si>
    <t>UQZ28993.1</t>
  </si>
  <si>
    <t>CACC_11645</t>
  </si>
  <si>
    <t>UQZ28994.1</t>
  </si>
  <si>
    <t>CACC_11650</t>
  </si>
  <si>
    <t>putative peptidoglycan biosynthesis protein MviN</t>
  </si>
  <si>
    <t>mviN</t>
  </si>
  <si>
    <t>UQZ28995.1</t>
  </si>
  <si>
    <t>CACC_11655</t>
  </si>
  <si>
    <t>UQZ28996.1</t>
  </si>
  <si>
    <t>CACC_11660</t>
  </si>
  <si>
    <t>galE2</t>
  </si>
  <si>
    <t>UQZ28997.1</t>
  </si>
  <si>
    <t>CACC_11665</t>
  </si>
  <si>
    <t>UQZ28998.1</t>
  </si>
  <si>
    <t>CACC_11670</t>
  </si>
  <si>
    <t>UQZ28999.1</t>
  </si>
  <si>
    <t>CACC_11675</t>
  </si>
  <si>
    <t>UQZ29000.1</t>
  </si>
  <si>
    <t>CACC_11680</t>
  </si>
  <si>
    <t>UQZ29001.1</t>
  </si>
  <si>
    <t>CACC_11685</t>
  </si>
  <si>
    <t>pepN3</t>
  </si>
  <si>
    <t>UQZ29002.1</t>
  </si>
  <si>
    <t>CACC_11690</t>
  </si>
  <si>
    <t>ECF RNA polymerase sigma-E factor</t>
  </si>
  <si>
    <t>rpoE</t>
  </si>
  <si>
    <t>UQZ29003.1</t>
  </si>
  <si>
    <t>CACC_11695</t>
  </si>
  <si>
    <t>Thioredoxin reductase</t>
  </si>
  <si>
    <t>trxB</t>
  </si>
  <si>
    <t>UQZ29004.1</t>
  </si>
  <si>
    <t>CACC_11700</t>
  </si>
  <si>
    <t>Thioredoxin C-1</t>
  </si>
  <si>
    <t>UQZ29005.1</t>
  </si>
  <si>
    <t>CACC_11705</t>
  </si>
  <si>
    <t>Germination-specific N-acetylmuramoyl-L-alanine amidase precursor</t>
  </si>
  <si>
    <t>cwlD</t>
  </si>
  <si>
    <t>UQZ29006.1</t>
  </si>
  <si>
    <t>CACC_11710</t>
  </si>
  <si>
    <t>Inner membrane metabolite transport protein YhjE</t>
  </si>
  <si>
    <t>yhjE</t>
  </si>
  <si>
    <t>UQZ29007.1</t>
  </si>
  <si>
    <t>CACC_11715</t>
  </si>
  <si>
    <t>putative chromosome-partitioning protein ParB</t>
  </si>
  <si>
    <t>parB</t>
  </si>
  <si>
    <t>UQZ29008.1</t>
  </si>
  <si>
    <t>CACC_11720</t>
  </si>
  <si>
    <t>soj2</t>
  </si>
  <si>
    <t>UQZ29009.1</t>
  </si>
  <si>
    <t>CACC_11725</t>
  </si>
  <si>
    <t>Ribosomal RNA small subunit methyltransferase G</t>
  </si>
  <si>
    <t>rsmG</t>
  </si>
  <si>
    <t>UQZ29010.1</t>
  </si>
  <si>
    <t>CACC_11730</t>
  </si>
  <si>
    <t>Membrane protein insertase YidC</t>
  </si>
  <si>
    <t>yidC</t>
  </si>
  <si>
    <t>UQZ29011.1</t>
  </si>
  <si>
    <t>CACC_11735</t>
  </si>
  <si>
    <t>ribonuclease P</t>
  </si>
  <si>
    <t>UQZ29012.1</t>
  </si>
  <si>
    <t>CACC_11740</t>
  </si>
  <si>
    <t>50S ribosomal protein L34</t>
  </si>
  <si>
    <t>rpmH</t>
  </si>
  <si>
    <t>UQZ29013.1</t>
  </si>
  <si>
    <t>CACC_11745</t>
  </si>
  <si>
    <t>EC number</t>
  </si>
  <si>
    <t>2.7.7.7</t>
  </si>
  <si>
    <t>5.6.2.2</t>
  </si>
  <si>
    <t>7.2.2.8</t>
  </si>
  <si>
    <t>3.5.1.-</t>
  </si>
  <si>
    <t>2.3.1.-</t>
  </si>
  <si>
    <t>1.5.1.20</t>
  </si>
  <si>
    <t>2.1.1.14</t>
  </si>
  <si>
    <t>2.7.-.-</t>
  </si>
  <si>
    <t>5.2.1.8</t>
  </si>
  <si>
    <t>3.4.21.105</t>
  </si>
  <si>
    <t>3.5.1.25</t>
  </si>
  <si>
    <t>3.5.99.6</t>
  </si>
  <si>
    <t>2.7.11.1</t>
  </si>
  <si>
    <t>3.1.3.16</t>
  </si>
  <si>
    <t>2.7.13.3</t>
  </si>
  <si>
    <t>3.5.1.18</t>
  </si>
  <si>
    <t>2.8.1.6</t>
  </si>
  <si>
    <t>3.1.1.3</t>
  </si>
  <si>
    <t>3.2.2.4</t>
  </si>
  <si>
    <t>1.16.3.1</t>
  </si>
  <si>
    <t>3.1.-.-</t>
  </si>
  <si>
    <t>3.6.4.13</t>
  </si>
  <si>
    <t>1.14.11.33</t>
  </si>
  <si>
    <t>1.7.-.-</t>
  </si>
  <si>
    <t>1.1.1.-</t>
  </si>
  <si>
    <t>1.2.1.8</t>
  </si>
  <si>
    <t>1.1.99.1</t>
  </si>
  <si>
    <t>2.1.1.63</t>
  </si>
  <si>
    <t>2.6.1.48</t>
  </si>
  <si>
    <t>2.6.1.-</t>
  </si>
  <si>
    <t>3.5.-.-</t>
  </si>
  <si>
    <t>2.2.1.6</t>
  </si>
  <si>
    <t>3.4.24.-</t>
  </si>
  <si>
    <t>2.4.2.-</t>
  </si>
  <si>
    <t>1.1.1.36</t>
  </si>
  <si>
    <t>1.-.-.-</t>
  </si>
  <si>
    <t>2.4.1.287</t>
  </si>
  <si>
    <t>2.8.3.-</t>
  </si>
  <si>
    <t>7.5.2.4</t>
  </si>
  <si>
    <t>1.6.5.5</t>
  </si>
  <si>
    <t>2.8.1.12</t>
  </si>
  <si>
    <t>2.10.1.1</t>
  </si>
  <si>
    <t>3.6.1.55</t>
  </si>
  <si>
    <t>1.14.14.18</t>
  </si>
  <si>
    <t>3.5.4.33</t>
  </si>
  <si>
    <t>3.6.3.-</t>
  </si>
  <si>
    <t>2.4.2.29</t>
  </si>
  <si>
    <t>6.1.1.-</t>
  </si>
  <si>
    <t>2.3.3.13</t>
  </si>
  <si>
    <t>2.7.2.4</t>
  </si>
  <si>
    <t>1.2.1.11</t>
  </si>
  <si>
    <t>1.11.1.6</t>
  </si>
  <si>
    <t>3.5.4.-</t>
  </si>
  <si>
    <t>3.-.-.-</t>
  </si>
  <si>
    <t>3.4.21.-</t>
  </si>
  <si>
    <t>3.3.2.10</t>
  </si>
  <si>
    <t>4.6.1.1</t>
  </si>
  <si>
    <t>6.2.1.3</t>
  </si>
  <si>
    <t>1.1.1.306</t>
  </si>
  <si>
    <t>2.7.7.24</t>
  </si>
  <si>
    <t>5.1.3.13</t>
  </si>
  <si>
    <t>4.2.1.46</t>
  </si>
  <si>
    <t>3.4.11.2</t>
  </si>
  <si>
    <t>2.3.1.122</t>
  </si>
  <si>
    <t>1.8.1.4</t>
  </si>
  <si>
    <t>1.3.5.4</t>
  </si>
  <si>
    <t>1.3.5.1</t>
  </si>
  <si>
    <t>6.1.-.-</t>
  </si>
  <si>
    <t>1.3.1.98</t>
  </si>
  <si>
    <t>4.4.1.21</t>
  </si>
  <si>
    <t>2.4.1.250</t>
  </si>
  <si>
    <t>5.4.2.11</t>
  </si>
  <si>
    <t>3.6.1.11</t>
  </si>
  <si>
    <t>1.5.1.2</t>
  </si>
  <si>
    <t>3.1.3.3</t>
  </si>
  <si>
    <t>1.2.1.70</t>
  </si>
  <si>
    <t>2.5.1.61</t>
  </si>
  <si>
    <t>2.1.1.107</t>
  </si>
  <si>
    <t>4.2.1.24</t>
  </si>
  <si>
    <t>4.1.1.37</t>
  </si>
  <si>
    <t>1.3.3.4</t>
  </si>
  <si>
    <t>1.1.1.31</t>
  </si>
  <si>
    <t>5.4.3.8</t>
  </si>
  <si>
    <t>2.5.1.74</t>
  </si>
  <si>
    <t>6.2.1.26</t>
  </si>
  <si>
    <t>4.1.3.36</t>
  </si>
  <si>
    <t>5.1.1.-</t>
  </si>
  <si>
    <t>2.2.1.9</t>
  </si>
  <si>
    <t>2.4.1.-</t>
  </si>
  <si>
    <t>2.1.1.163</t>
  </si>
  <si>
    <t>2.5.1.30</t>
  </si>
  <si>
    <t>5.4.2.8</t>
  </si>
  <si>
    <t>4.1.2.4</t>
  </si>
  <si>
    <t>2.4.2.1</t>
  </si>
  <si>
    <t>4.1.99.3</t>
  </si>
  <si>
    <t>2.7.7.6</t>
  </si>
  <si>
    <t>7.6.2.9</t>
  </si>
  <si>
    <t>2.1.1.79</t>
  </si>
  <si>
    <t>2.7.4.3</t>
  </si>
  <si>
    <t>3.4.11.18</t>
  </si>
  <si>
    <t>5.4.99.12</t>
  </si>
  <si>
    <t>3.4.21.62</t>
  </si>
  <si>
    <t>5.4.2.10</t>
  </si>
  <si>
    <t>2.6.1.16</t>
  </si>
  <si>
    <t>5.1.1.1</t>
  </si>
  <si>
    <t>1.1.1.205</t>
  </si>
  <si>
    <t>6.3.5.2</t>
  </si>
  <si>
    <t>2.1.1.207</t>
  </si>
  <si>
    <t>2.3.1.31</t>
  </si>
  <si>
    <t>2.5.1.-</t>
  </si>
  <si>
    <t>1.8.-.-</t>
  </si>
  <si>
    <t>1.7.2.5</t>
  </si>
  <si>
    <t>4.-.-.-</t>
  </si>
  <si>
    <t>2.6.-.-</t>
  </si>
  <si>
    <t>3.4.15.5</t>
  </si>
  <si>
    <t>1.1.1.42</t>
  </si>
  <si>
    <t>3.1.11.2</t>
  </si>
  <si>
    <t>6.1.1.2</t>
  </si>
  <si>
    <t>4.2.1.130</t>
  </si>
  <si>
    <t>3.1.1.1</t>
  </si>
  <si>
    <t>3.4.-.-</t>
  </si>
  <si>
    <t>2.4.2.9</t>
  </si>
  <si>
    <t>1.6.5.2</t>
  </si>
  <si>
    <t>4.2.1.79</t>
  </si>
  <si>
    <t>2.7.8.23</t>
  </si>
  <si>
    <t>6.4.1.7</t>
  </si>
  <si>
    <t>3.5.4.5</t>
  </si>
  <si>
    <t>2.4.2.2</t>
  </si>
  <si>
    <t>2.8.1.1</t>
  </si>
  <si>
    <t>6.4.1.3</t>
  </si>
  <si>
    <t>3.5.1.91</t>
  </si>
  <si>
    <t>3.2.1.1</t>
  </si>
  <si>
    <t>7.6.2.10</t>
  </si>
  <si>
    <t>6.3.4.15</t>
  </si>
  <si>
    <t>4.1.1.5</t>
  </si>
  <si>
    <t>6.3.4.18</t>
  </si>
  <si>
    <t>5.4.99.18</t>
  </si>
  <si>
    <t>2.7.1.15</t>
  </si>
  <si>
    <t>5.1.3.3</t>
  </si>
  <si>
    <t>2.7.7.12</t>
  </si>
  <si>
    <t>2.7.1.6</t>
  </si>
  <si>
    <t>6.3.4.14</t>
  </si>
  <si>
    <t>6.3.5.-</t>
  </si>
  <si>
    <t>3.2.2.8</t>
  </si>
  <si>
    <t>3.1.21.-</t>
  </si>
  <si>
    <t>2.7.1.12</t>
  </si>
  <si>
    <t>2.4.1.289</t>
  </si>
  <si>
    <t>2.7.7.71</t>
  </si>
  <si>
    <t>5.4.2.2</t>
  </si>
  <si>
    <t>1.18.1.2</t>
  </si>
  <si>
    <t>1.8.7.1</t>
  </si>
  <si>
    <t>5.3.1.8</t>
  </si>
  <si>
    <t>2.7.4.9</t>
  </si>
  <si>
    <t>3.6.1.-</t>
  </si>
  <si>
    <t>2.5.1.19</t>
  </si>
  <si>
    <t>4.2.-.-</t>
  </si>
  <si>
    <t>3.6.4.12</t>
  </si>
  <si>
    <t>3.6.1.22</t>
  </si>
  <si>
    <t>1.16.1.9</t>
  </si>
  <si>
    <t>3.1.3.15</t>
  </si>
  <si>
    <t>3.1.3.25</t>
  </si>
  <si>
    <t>7.2.2.16</t>
  </si>
  <si>
    <t>2.1.1.185</t>
  </si>
  <si>
    <t>2.6.1.52</t>
  </si>
  <si>
    <t>2.3.3.1</t>
  </si>
  <si>
    <t>1.20.4.3</t>
  </si>
  <si>
    <t>1.5.1.3</t>
  </si>
  <si>
    <t>2.1.1.45</t>
  </si>
  <si>
    <t>3.1.3.7</t>
  </si>
  <si>
    <t>3.2.2.-</t>
  </si>
  <si>
    <t>5.3.1.9</t>
  </si>
  <si>
    <t>5.4.99.5</t>
  </si>
  <si>
    <t>3.4.24.75</t>
  </si>
  <si>
    <t>2.1.2.2</t>
  </si>
  <si>
    <t>3.4.21.107</t>
  </si>
  <si>
    <t>5.5.1.2</t>
  </si>
  <si>
    <t>2.7.7.9</t>
  </si>
  <si>
    <t>3.2.2.20</t>
  </si>
  <si>
    <t>2.4.1.109</t>
  </si>
  <si>
    <t>2.1.1.198</t>
  </si>
  <si>
    <t>6.1.1.10</t>
  </si>
  <si>
    <t>2.1.1.182</t>
  </si>
  <si>
    <t>2.7.1.148</t>
  </si>
  <si>
    <t>3.1.3.-</t>
  </si>
  <si>
    <t>4.2.1.17</t>
  </si>
  <si>
    <t>1.1.1.100</t>
  </si>
  <si>
    <t>3.1.1.29</t>
  </si>
  <si>
    <t>1.2.1.12</t>
  </si>
  <si>
    <t>4.3.2.3</t>
  </si>
  <si>
    <t>2.7.6.1</t>
  </si>
  <si>
    <t>1.8.1.-</t>
  </si>
  <si>
    <t>3.6.4.-</t>
  </si>
  <si>
    <t>2.4.2.19</t>
  </si>
  <si>
    <t>2.5.1.72</t>
  </si>
  <si>
    <t>3.6.1.8</t>
  </si>
  <si>
    <t>4.2.1.11</t>
  </si>
  <si>
    <t>3.6.1.40</t>
  </si>
  <si>
    <t>3.5.1.115</t>
  </si>
  <si>
    <t xml:space="preserve">New EC number </t>
  </si>
  <si>
    <t xml:space="preserve">KEGG Enzyme URL </t>
  </si>
  <si>
    <t xml:space="preserve">KEGG Reaction URL </t>
  </si>
  <si>
    <t>2.5.1.68</t>
  </si>
  <si>
    <t>2.7.1.33</t>
  </si>
  <si>
    <t>2.1.2.1</t>
  </si>
  <si>
    <t>4.2.1.2</t>
  </si>
  <si>
    <t>3.1.3.11</t>
  </si>
  <si>
    <t>3.1.11.6</t>
  </si>
  <si>
    <t>1.17.7.4</t>
  </si>
  <si>
    <t>3.2.-.-</t>
  </si>
  <si>
    <t>3.1.31.1</t>
  </si>
  <si>
    <t>3.4.19.3</t>
  </si>
  <si>
    <t>1.17.1.9</t>
  </si>
  <si>
    <t>1.17.5.3</t>
  </si>
  <si>
    <t>2.7.9.3</t>
  </si>
  <si>
    <t>2.9.1.1</t>
  </si>
  <si>
    <t>3.5.1.103</t>
  </si>
  <si>
    <t>2.6.1.83</t>
  </si>
  <si>
    <t>5.4.99.28</t>
  </si>
  <si>
    <t>2.3.1.117</t>
  </si>
  <si>
    <t>2.4.1.266</t>
  </si>
  <si>
    <t>2.1.1.188</t>
  </si>
  <si>
    <t>3.2.1.26</t>
  </si>
  <si>
    <t>2.1.1.-</t>
  </si>
  <si>
    <t>3.1.1.-</t>
  </si>
  <si>
    <t>3.6.1.65</t>
  </si>
  <si>
    <t>3.5.3.8</t>
  </si>
  <si>
    <t>4.3.1.3</t>
  </si>
  <si>
    <t>4.2.1.49</t>
  </si>
  <si>
    <t>3.5.2.7</t>
  </si>
  <si>
    <t>3.4.14.-</t>
  </si>
  <si>
    <t>6.1.1.19</t>
  </si>
  <si>
    <t>4.1.1.20</t>
  </si>
  <si>
    <t>1.1.1.3</t>
  </si>
  <si>
    <t>2.7.1.39</t>
  </si>
  <si>
    <t>1.7.2.1</t>
  </si>
  <si>
    <t>1.7.99.4</t>
  </si>
  <si>
    <t>2.7.7.87</t>
  </si>
  <si>
    <t>2.7.8.35</t>
  </si>
  <si>
    <t>7.1.2.2</t>
  </si>
  <si>
    <t>2.8.1.7</t>
  </si>
  <si>
    <t>3.2.1.17</t>
  </si>
  <si>
    <t>2.8.1.-</t>
  </si>
  <si>
    <t>6.5.1.2</t>
  </si>
  <si>
    <t>2.7.1.11</t>
  </si>
  <si>
    <t>4.2.1.9</t>
  </si>
  <si>
    <t>1.1.1.86</t>
  </si>
  <si>
    <t>1.1.1.95</t>
  </si>
  <si>
    <t>1.1.1.85</t>
  </si>
  <si>
    <t>5.4.4.2</t>
  </si>
  <si>
    <t>6.1.1.17</t>
  </si>
  <si>
    <t>4.2.1.33</t>
  </si>
  <si>
    <t>1.1.1.94</t>
  </si>
  <si>
    <t>6.3.2.4</t>
  </si>
  <si>
    <t>2.7.4.16</t>
  </si>
  <si>
    <t>3.2.2.27</t>
  </si>
  <si>
    <t>2.1.1.171</t>
  </si>
  <si>
    <t>2.7.7.3</t>
  </si>
  <si>
    <t>2.7.1.24</t>
  </si>
  <si>
    <t>6.1.1.20</t>
  </si>
  <si>
    <t>1.2.1.38</t>
  </si>
  <si>
    <t>2.7.2.8</t>
  </si>
  <si>
    <t>2.6.1.11</t>
  </si>
  <si>
    <t>2.1.3.3</t>
  </si>
  <si>
    <t>6.3.4.5</t>
  </si>
  <si>
    <t>4.3.2.1</t>
  </si>
  <si>
    <t>4.3.1.28</t>
  </si>
  <si>
    <t>2.8.1.10</t>
  </si>
  <si>
    <t>1.4.99.5</t>
  </si>
  <si>
    <t>2.5.1.3</t>
  </si>
  <si>
    <t>4.1.99.17</t>
  </si>
  <si>
    <t>6.1.1.1</t>
  </si>
  <si>
    <t>2.1.1.226</t>
  </si>
  <si>
    <t>2.7.1.23</t>
  </si>
  <si>
    <t>3.6.1.13</t>
  </si>
  <si>
    <t>3.6.-.-</t>
  </si>
  <si>
    <t>5.4.99.22</t>
  </si>
  <si>
    <t>2.7.4.25</t>
  </si>
  <si>
    <t>7.6.2.2</t>
  </si>
  <si>
    <t>1.1.1.44</t>
  </si>
  <si>
    <t>3.1.2.-</t>
  </si>
  <si>
    <t>2.1.1.11</t>
  </si>
  <si>
    <t>2.7.1.49</t>
  </si>
  <si>
    <t>2.7.1.50</t>
  </si>
  <si>
    <t>1.6.99.-</t>
  </si>
  <si>
    <t>1.11.1.-</t>
  </si>
  <si>
    <t>2.4.1.54</t>
  </si>
  <si>
    <t>3.4.13.9</t>
  </si>
  <si>
    <t>6.3.2.-</t>
  </si>
  <si>
    <t>2.1.1.220</t>
  </si>
  <si>
    <t>3.4.11.-</t>
  </si>
  <si>
    <t>6.3.4.3</t>
  </si>
  <si>
    <t>4.3.1.1</t>
  </si>
  <si>
    <t>2.4.2.17</t>
  </si>
  <si>
    <t>3.6.1.31</t>
  </si>
  <si>
    <t>6.3.1.13</t>
  </si>
  <si>
    <t>3.6.1.27</t>
  </si>
  <si>
    <t>1.3.5.2</t>
  </si>
  <si>
    <t>4.99.1.1</t>
  </si>
  <si>
    <t>4.2.1.3</t>
  </si>
  <si>
    <t>2.2.1.1</t>
  </si>
  <si>
    <t>2.2.1.2</t>
  </si>
  <si>
    <t>1.1.1.49</t>
  </si>
  <si>
    <t>3.1.1.31</t>
  </si>
  <si>
    <t>5.3.1.1</t>
  </si>
  <si>
    <t>2.7.2.3</t>
  </si>
  <si>
    <t>2.5.1.78</t>
  </si>
  <si>
    <t>2.5.1.9</t>
  </si>
  <si>
    <t>5.1.3.1</t>
  </si>
  <si>
    <t>2.1.1.176</t>
  </si>
  <si>
    <t>2.1.2.9</t>
  </si>
  <si>
    <t>3.5.1.88</t>
  </si>
  <si>
    <t>2.7.4.8</t>
  </si>
  <si>
    <t>6.3.5.5</t>
  </si>
  <si>
    <t>3.5.2.3</t>
  </si>
  <si>
    <t>2.1.3.2</t>
  </si>
  <si>
    <t>4.2.1.10</t>
  </si>
  <si>
    <t>4.2.3.4</t>
  </si>
  <si>
    <t>2.7.1.71</t>
  </si>
  <si>
    <t>4.2.3.5</t>
  </si>
  <si>
    <t>1.1.1.25</t>
  </si>
  <si>
    <t>6.1.1.7</t>
  </si>
  <si>
    <t>6.1.1.12</t>
  </si>
  <si>
    <t>1.14.14.3</t>
  </si>
  <si>
    <t>1.5.1.38</t>
  </si>
  <si>
    <t>4.3.1.17</t>
  </si>
  <si>
    <t>6.1.1.21</t>
  </si>
  <si>
    <t>1.15.1.1</t>
  </si>
  <si>
    <t>3.1.31.-</t>
  </si>
  <si>
    <t>2.4.2.7</t>
  </si>
  <si>
    <t>3.1.22.4</t>
  </si>
  <si>
    <t>2.4.1.345</t>
  </si>
  <si>
    <t>2.7.8.11</t>
  </si>
  <si>
    <t>2.7.7.53</t>
  </si>
  <si>
    <t>6.1.1.3</t>
  </si>
  <si>
    <t>2.4.2.47</t>
  </si>
  <si>
    <t>1.8.4.12</t>
  </si>
  <si>
    <t>1.13.11.49</t>
  </si>
  <si>
    <t>3.1.13.5</t>
  </si>
  <si>
    <t>2.2.1.7</t>
  </si>
  <si>
    <t>3.6.1.23</t>
  </si>
  <si>
    <t>2.7.1.63</t>
  </si>
  <si>
    <t>5.1.3.2</t>
  </si>
  <si>
    <t>1.11.1.24</t>
  </si>
  <si>
    <t>3.4.21.88</t>
  </si>
  <si>
    <t>2.7.3.9</t>
  </si>
  <si>
    <t>2.7.1.144</t>
  </si>
  <si>
    <t>2.7.11.-</t>
  </si>
  <si>
    <t>5.1.1.7</t>
  </si>
  <si>
    <t>2.5.1.75</t>
  </si>
  <si>
    <t>2.-.-.-</t>
  </si>
  <si>
    <t>2.7.8.5</t>
  </si>
  <si>
    <t>4.3.3.7</t>
  </si>
  <si>
    <t>2.1.1.148</t>
  </si>
  <si>
    <t>1.17.1.8</t>
  </si>
  <si>
    <t>2.7.7.8</t>
  </si>
  <si>
    <t>5.4.99.25</t>
  </si>
  <si>
    <t>2.7.8.7</t>
  </si>
  <si>
    <t>6.1.1.15</t>
  </si>
  <si>
    <t>5.1.-.-</t>
  </si>
  <si>
    <t>1.1.5.4</t>
  </si>
  <si>
    <t>1.8.1.15</t>
  </si>
  <si>
    <t>1.17.7.1</t>
  </si>
  <si>
    <t>1.1.1.267</t>
  </si>
  <si>
    <t>2.7.7.41</t>
  </si>
  <si>
    <t>2.7.4.22</t>
  </si>
  <si>
    <t>3.1.26.4</t>
  </si>
  <si>
    <t>3.4.21.89</t>
  </si>
  <si>
    <t>2.1.1.228</t>
  </si>
  <si>
    <t>3.6.1.7</t>
  </si>
  <si>
    <t>3.2.2.23</t>
  </si>
  <si>
    <t>3.1.26.3</t>
  </si>
  <si>
    <t>1.4.1.2</t>
  </si>
  <si>
    <t>2.7.1.165</t>
  </si>
  <si>
    <t>2.7.1.40</t>
  </si>
  <si>
    <t>2.4.99.-</t>
  </si>
  <si>
    <t>4.1.1.48</t>
  </si>
  <si>
    <t>4.1.3.-</t>
  </si>
  <si>
    <t>5.3.1.16</t>
  </si>
  <si>
    <t>4.2.1.19</t>
  </si>
  <si>
    <t>2.6.1.9</t>
  </si>
  <si>
    <t>1.1.1.23</t>
  </si>
  <si>
    <t>2.7.6.5</t>
  </si>
  <si>
    <t>4.3.1.19</t>
  </si>
  <si>
    <t>5.4.99.23</t>
  </si>
  <si>
    <t>3.4.23.36</t>
  </si>
  <si>
    <t>3.5.1.1</t>
  </si>
  <si>
    <t>6.1.1.5</t>
  </si>
  <si>
    <t>6.3.2.8</t>
  </si>
  <si>
    <t>2.4.1.227</t>
  </si>
  <si>
    <t>6.3.2.9</t>
  </si>
  <si>
    <t>2.7.8.13</t>
  </si>
  <si>
    <t>6.3.2.10</t>
  </si>
  <si>
    <t>6.3.2.13</t>
  </si>
  <si>
    <t>2.4.1.129</t>
  </si>
  <si>
    <t>2.1.1.199</t>
  </si>
  <si>
    <t>2.5.1.10</t>
  </si>
  <si>
    <t>2.5.1.54</t>
  </si>
  <si>
    <t>3.1.13.-</t>
  </si>
  <si>
    <t>2.7.1.2</t>
  </si>
  <si>
    <t>1.20.9.1</t>
  </si>
  <si>
    <t>7.1.1.9</t>
  </si>
  <si>
    <t>6.3.5.4</t>
  </si>
  <si>
    <t>2.4.2.21</t>
  </si>
  <si>
    <t>2.6.1.42</t>
  </si>
  <si>
    <t>3.4.11.1</t>
  </si>
  <si>
    <t>2.3.1.12</t>
  </si>
  <si>
    <t>1.4.4.2</t>
  </si>
  <si>
    <t>2.1.2.10</t>
  </si>
  <si>
    <t>2.3.1.181</t>
  </si>
  <si>
    <t>2.8.1.8</t>
  </si>
  <si>
    <t>6.3.1.2</t>
  </si>
  <si>
    <t>4.2.3.1</t>
  </si>
  <si>
    <t>7.6.2.8</t>
  </si>
  <si>
    <t>2.7.7.42</t>
  </si>
  <si>
    <t>1.1.1.1</t>
  </si>
  <si>
    <t>3.5.4.16</t>
  </si>
  <si>
    <t>3.1.3.48</t>
  </si>
  <si>
    <t>1.2.4.1</t>
  </si>
  <si>
    <t>3.1.3.5</t>
  </si>
  <si>
    <t>2.3.1.47</t>
  </si>
  <si>
    <t>6.2.1.14</t>
  </si>
  <si>
    <t>1.2.1.79</t>
  </si>
  <si>
    <t>2.8.3.5</t>
  </si>
  <si>
    <t>2.3.1.9</t>
  </si>
  <si>
    <t>2.7.7.-</t>
  </si>
  <si>
    <t>4.6.1.24</t>
  </si>
  <si>
    <t>3.1.5.1</t>
  </si>
  <si>
    <t>6.1.1.14</t>
  </si>
  <si>
    <t>2.5.1.88</t>
  </si>
  <si>
    <t>3.5.1.49</t>
  </si>
  <si>
    <t>2.7.1.35</t>
  </si>
  <si>
    <t>2.1.1.193</t>
  </si>
  <si>
    <t>1.3.98.3</t>
  </si>
  <si>
    <t>5.3.3.2</t>
  </si>
  <si>
    <t>4.4.1.8</t>
  </si>
  <si>
    <t>1.14.13.107</t>
  </si>
  <si>
    <t>3.1.4.3</t>
  </si>
  <si>
    <t>3.6.5.-</t>
  </si>
  <si>
    <t>2.1.1.72</t>
  </si>
  <si>
    <t>2.7.7.18</t>
  </si>
  <si>
    <t>1.2.1.41</t>
  </si>
  <si>
    <t>1.1.1.79</t>
  </si>
  <si>
    <t>2.7.2.11</t>
  </si>
  <si>
    <t>3.1.26.12</t>
  </si>
  <si>
    <t>2.7.4.6</t>
  </si>
  <si>
    <t>6.3.2.17</t>
  </si>
  <si>
    <t>6.1.1.9</t>
  </si>
  <si>
    <t>2.1.2.11</t>
  </si>
  <si>
    <t>6.3.2.1</t>
  </si>
  <si>
    <t>1.1.1.37</t>
  </si>
  <si>
    <t>1.1.1.311</t>
  </si>
  <si>
    <t>3.4.21.92</t>
  </si>
  <si>
    <t>1.1.1.346</t>
  </si>
  <si>
    <t>5.3.1.6</t>
  </si>
  <si>
    <t>2.5.1.48</t>
  </si>
  <si>
    <t>1.4.1.1</t>
  </si>
  <si>
    <t>3.5.1.2</t>
  </si>
  <si>
    <t>6.3.3.3</t>
  </si>
  <si>
    <t>2.6.1.62</t>
  </si>
  <si>
    <t>3.4.11.5</t>
  </si>
  <si>
    <t>1.97.1.4</t>
  </si>
  <si>
    <t>2.3.1.54</t>
  </si>
  <si>
    <t>3.6.1.9</t>
  </si>
  <si>
    <t>2.7.7.56</t>
  </si>
  <si>
    <t>5.1.1.3</t>
  </si>
  <si>
    <t>6.3.4.21</t>
  </si>
  <si>
    <t>1.17.4.1</t>
  </si>
  <si>
    <t>6.3.1.5</t>
  </si>
  <si>
    <t>2.5.1.7</t>
  </si>
  <si>
    <t>2.5.1.47</t>
  </si>
  <si>
    <t>2.3.1.30</t>
  </si>
  <si>
    <t>7.3.2.1</t>
  </si>
  <si>
    <t>2.3.1.189</t>
  </si>
  <si>
    <t>2.7.1.107</t>
  </si>
  <si>
    <t>2.6.1.21</t>
  </si>
  <si>
    <t>6.3.3.1</t>
  </si>
  <si>
    <t>2.4.2.14</t>
  </si>
  <si>
    <t>6.3.5.3</t>
  </si>
  <si>
    <t>3.4.21.83</t>
  </si>
  <si>
    <t>6.3.2.6</t>
  </si>
  <si>
    <t>4.3.2.2</t>
  </si>
  <si>
    <t>6.3.4.13</t>
  </si>
  <si>
    <t>1.2.5.1</t>
  </si>
  <si>
    <t>3.1.3.12</t>
  </si>
  <si>
    <t>6.1.1.16</t>
  </si>
  <si>
    <t>4.6.1.12</t>
  </si>
  <si>
    <t>2.7.7.60</t>
  </si>
  <si>
    <t>4.2.1.1</t>
  </si>
  <si>
    <t>2.5.1.32</t>
  </si>
  <si>
    <t>1.3.8.2</t>
  </si>
  <si>
    <t>6.1.1.6</t>
  </si>
  <si>
    <t>3.4.22.40</t>
  </si>
  <si>
    <t>2.7.6.3</t>
  </si>
  <si>
    <t>4.1.2.25</t>
  </si>
  <si>
    <t>2.5.1.15</t>
  </si>
  <si>
    <t>2.4.2.8</t>
  </si>
  <si>
    <t>6.3.4.19</t>
  </si>
  <si>
    <t>3.4.16.4</t>
  </si>
  <si>
    <t>3.6.1.1</t>
  </si>
  <si>
    <t>6.3.-.-</t>
  </si>
  <si>
    <t>2.3.1.183</t>
  </si>
  <si>
    <t>2.7.8.-</t>
  </si>
  <si>
    <t>2.7.2.1</t>
  </si>
  <si>
    <t>2.3.1.8</t>
  </si>
  <si>
    <t>3.5.1.28</t>
  </si>
  <si>
    <t>1.8.1.9</t>
  </si>
  <si>
    <t>2.7.7.72</t>
  </si>
  <si>
    <t>4.2.1.20</t>
  </si>
  <si>
    <t>4.1.3.27</t>
  </si>
  <si>
    <t>3.1.3.1</t>
  </si>
  <si>
    <t>6.1.1.4</t>
  </si>
  <si>
    <t>1.3.1.84</t>
  </si>
  <si>
    <t>5.5.1.4</t>
  </si>
  <si>
    <t>1.8.4.11</t>
  </si>
  <si>
    <t>1.1.1.27</t>
  </si>
  <si>
    <t>3.1.4.46</t>
  </si>
  <si>
    <t>3.5.1.13</t>
  </si>
  <si>
    <t>4.2.1.51</t>
  </si>
  <si>
    <t>3.1.3.73</t>
  </si>
  <si>
    <t>6.1.1.11</t>
  </si>
  <si>
    <t>1.1.5.3</t>
  </si>
  <si>
    <t>2.7.1.30</t>
  </si>
  <si>
    <t>3.1.3.23</t>
  </si>
  <si>
    <t>5.4.99.9</t>
  </si>
  <si>
    <t>2.6.1.85</t>
  </si>
  <si>
    <t>2.4.1.288</t>
  </si>
  <si>
    <t>2.4.2.45</t>
  </si>
  <si>
    <t>6.2.1.-</t>
  </si>
  <si>
    <t>2.3.1.41</t>
  </si>
  <si>
    <t>2.1.1.33</t>
  </si>
  <si>
    <t>4.1.1.32</t>
  </si>
  <si>
    <t>5.1.3.9</t>
  </si>
  <si>
    <t>2.7.1.-</t>
  </si>
  <si>
    <t>3.5.3.6</t>
  </si>
  <si>
    <t>2.4.1.11</t>
  </si>
  <si>
    <t>3.2.1.52</t>
  </si>
  <si>
    <t>1.1.1.22</t>
  </si>
  <si>
    <t>2.6.1.2</t>
  </si>
  <si>
    <t>1.8.4.8</t>
  </si>
  <si>
    <t>2.7.7.4</t>
  </si>
  <si>
    <t>1.2.1.3</t>
  </si>
  <si>
    <t>3.5.1.111</t>
  </si>
  <si>
    <t>1.18.1.7</t>
  </si>
  <si>
    <t>2.8.1.2</t>
  </si>
  <si>
    <t>2.4.2.10</t>
  </si>
  <si>
    <t>2.1.1.34</t>
  </si>
  <si>
    <t>4.1.2.13</t>
  </si>
  <si>
    <t>6.3.4.4</t>
  </si>
  <si>
    <t>2.1.2.-</t>
  </si>
  <si>
    <t>https://www.genome.jp/dbget-bin/www_bget?ec:2.7.7.7</t>
  </si>
  <si>
    <t>https://www.genome.jp/entry/R00379/R00375/R00376/R00377/R00378/R11029</t>
  </si>
  <si>
    <t>C00677 | C00039(n)</t>
  </si>
  <si>
    <t>C00013 | C00039(n+1)</t>
  </si>
  <si>
    <t xml:space="preserve">C00677 | C00039(n) </t>
  </si>
  <si>
    <t>https://www.genome.jp/dbget-bin/www_bget?ec:5.6.2.2</t>
  </si>
  <si>
    <t>https://www.genome.jp/dbget-bin/www_bget?ec:7.2.2.8</t>
  </si>
  <si>
    <t>https://www.genome.jp/dbget-bin/www_bget?ec:1.5.1.20</t>
  </si>
  <si>
    <t>https://www.genome.jp/entry/R01224/R07168</t>
  </si>
  <si>
    <t>C00440 | C00006</t>
  </si>
  <si>
    <t>C00143 | C00005 | C00080</t>
  </si>
  <si>
    <t>https://www.genome.jp/dbget-bin/www_bget?ec:2.1.1.14</t>
  </si>
  <si>
    <t>https://www.genome.jp/entry/R04405/R09365</t>
  </si>
  <si>
    <t>C04489 | C00155</t>
  </si>
  <si>
    <t>C04144 | C00073</t>
  </si>
  <si>
    <t>https://www.genome.jp/dbget-bin/www_bget?ec:5.2.1.8</t>
  </si>
  <si>
    <t>https://www.genome.jp/entry/R04273</t>
  </si>
  <si>
    <t>C03798</t>
  </si>
  <si>
    <t>C03633</t>
  </si>
  <si>
    <t>https://www.genome.jp/dbget-bin/www_bget?ec:3.4.21.105</t>
  </si>
  <si>
    <t>https://www.genome.jp/dbget-bin/www_bget?ec:3.5.1.25</t>
  </si>
  <si>
    <t>https://www.genome.jp/entry/R02059</t>
  </si>
  <si>
    <t>C00357 | C00001</t>
  </si>
  <si>
    <t>C00352 |C00033</t>
  </si>
  <si>
    <t>https://www.genome.jp/dbget-bin/www_bget?ec:2.7.11.1</t>
  </si>
  <si>
    <t xml:space="preserve">https://www.genome.jp/dbget-bin/www_bget?ec:2.7.11.1 </t>
  </si>
  <si>
    <t>https://www.genome.jp/entry/R00162/R03632</t>
  </si>
  <si>
    <t>C00002 |C00017</t>
  </si>
  <si>
    <t>C00008 | C00562</t>
  </si>
  <si>
    <t xml:space="preserve">https://www.genome.jp/entry/R00162/R03632 </t>
  </si>
  <si>
    <t>https://www.genome.jp/dbget-bin/www_bget?ec:3.1.3.16</t>
  </si>
  <si>
    <t>https://www.genome.jp/entry/R00164</t>
  </si>
  <si>
    <t>C00562 | C00001</t>
  </si>
  <si>
    <t>C00017 | C00009</t>
  </si>
  <si>
    <t xml:space="preserve">https://www.genome.jp/dbget-bin/www_bget?ec:7.2.2.8 </t>
  </si>
  <si>
    <t>https://www.genome.jp/dbget-bin/www_bget?ec:2.7.13.3</t>
  </si>
  <si>
    <t>https://www.genome.jp/dbget-bin/www_bget?ec:3.5.1.18</t>
  </si>
  <si>
    <t>https://www.genome.jp/entry/R02734</t>
  </si>
  <si>
    <t>C04421 | C00001</t>
  </si>
  <si>
    <t>C00042 | C00666</t>
  </si>
  <si>
    <t xml:space="preserve">C04421 | C00001 </t>
  </si>
  <si>
    <t>https://www.genome.jp/dbget-bin/www_bget?ec:2.8.1.6</t>
  </si>
  <si>
    <t>https://www.genome.jp/entry/R01078</t>
  </si>
  <si>
    <t>https://www.genome.jp/dbget-bin/www_bget?ec:3.1.1.3</t>
  </si>
  <si>
    <t>https://www.genome.jp/dbget-bin/www_bget?ec:3.2.2.4</t>
  </si>
  <si>
    <t>https://www.genome.jp/entry/R00182</t>
  </si>
  <si>
    <t>C00020 | C00001</t>
  </si>
  <si>
    <t>C00147 | C00117</t>
  </si>
  <si>
    <t>https://www.genome.jp/dbget-bin/www_bget?ec:1.16.3.1</t>
  </si>
  <si>
    <t>https://www.genome.jp/entry/R00078</t>
  </si>
  <si>
    <t>https://www.genome.jp/dbget-bin/www_bget?ec:1.2.1.8</t>
  </si>
  <si>
    <t>https://www.genome.jp/entry/R02565/R02566</t>
  </si>
  <si>
    <t>C00576 | C00003 | C00001</t>
  </si>
  <si>
    <t>C00719 | C00004 | 2 C00080</t>
  </si>
  <si>
    <t>C01909 | C17023 | 2 C00019 | 2 C05359 | 2 C00080</t>
  </si>
  <si>
    <t>C00120 | 2 C00073 | 2 C05198</t>
  </si>
  <si>
    <t>C00007 | 4 C14818 | 4 C00080</t>
  </si>
  <si>
    <t>4 C14819 | 2 C00001</t>
  </si>
  <si>
    <t>https://www.genome.jp/dbget-bin/www_bget?ec:1.1.99.1</t>
  </si>
  <si>
    <t>https://www.genome.jp/entry/R01025</t>
  </si>
  <si>
    <t>C00114 | C00028</t>
  </si>
  <si>
    <t>C00576 | C00030</t>
  </si>
  <si>
    <t>https://www.genome.jp/dbget-bin/www_bget?ec:2.1.1.63</t>
  </si>
  <si>
    <t>https://www.genome.jp/entry/R04314</t>
  </si>
  <si>
    <t>C04250 | C02743</t>
  </si>
  <si>
    <t>C03800 | C11475</t>
  </si>
  <si>
    <t>https://www.genome.jp/dbget-bin/www_bget?enzyme+3.5.1.91</t>
  </si>
  <si>
    <t>https://www.genome.jp/entry/R07303</t>
  </si>
  <si>
    <t>C15561 + C00001</t>
  </si>
  <si>
    <t>C00058 + C15562</t>
  </si>
  <si>
    <t>https://www.genome.jp/dbget-bin/www_bget?enzyme+2.6.1.48</t>
  </si>
  <si>
    <t>https://www.genome.jp/entry/R02274</t>
  </si>
  <si>
    <t>C00431 | C00026</t>
  </si>
  <si>
    <t>C03273 | C00025</t>
  </si>
  <si>
    <t>https://www.genome.jp/dbget-bin/www_bget?ec:2.2.1.6</t>
  </si>
  <si>
    <t>https://www.genome.jp/entry/R00006/R00226/R00014/R03050/R04672/R04673/R08648</t>
  </si>
  <si>
    <t>C00900 |C00011</t>
  </si>
  <si>
    <t>2 C00022</t>
  </si>
  <si>
    <t>https://www.genome.jp/dbget-bin/www_bget?ec:1.1.1.36</t>
  </si>
  <si>
    <t>https://www.genome.jp/entry/R01779/R01977</t>
  </si>
  <si>
    <t>C01086 | C00006</t>
  </si>
  <si>
    <t>C00264 | C00005 | C00080</t>
  </si>
  <si>
    <t>https://www.genome.jp/dbget-bin/www_bget?ec:2.4.1.287</t>
  </si>
  <si>
    <t>https://www.genome.jp/entry/R12078/R12079</t>
  </si>
  <si>
    <t>G13125 | G13119</t>
  </si>
  <si>
    <t>G10619 | G13120</t>
  </si>
  <si>
    <t>https://www.genome.jp/dbget-bin/www_bget?ec:1.6.5.5</t>
  </si>
  <si>
    <t>https://www.genome.jp/entry/R02364</t>
  </si>
  <si>
    <t>2 C15602 | C00005 | C00080</t>
  </si>
  <si>
    <t>2 C05309 | C00006</t>
  </si>
  <si>
    <t>https://www.genome.jp/dbget-bin/www_bget?ec:2.8.1.12</t>
  </si>
  <si>
    <t>https://www.genome.jp/entry/R09395</t>
  </si>
  <si>
    <t>C18239 | 2 C15814</t>
  </si>
  <si>
    <t>C05924 | 2 C15810</t>
  </si>
  <si>
    <t>https://www.genome.jp/dbget-bin/www_bget?ec:2.10.1.1</t>
  </si>
  <si>
    <t>https://www.genome.jp/entry/R09735</t>
  </si>
  <si>
    <t xml:space="preserve">C19848 | C06232 </t>
  </si>
  <si>
    <t>C18237 | C00020 | C00001</t>
  </si>
  <si>
    <t>C19848 | C06232</t>
  </si>
  <si>
    <t>https://www.genome.jp/dbget-bin/www_bget?ec:3.6.1.55</t>
  </si>
  <si>
    <t>https://www.genome.jp/entry/R09832</t>
  </si>
  <si>
    <t>C19968 | C00013</t>
  </si>
  <si>
    <t>C19967 | C00001</t>
  </si>
  <si>
    <t>https://www.genome.jp/dbget-bin/www_bget?ec:1.14.14.18</t>
  </si>
  <si>
    <t>https://www.genome.jp/entry/R00311</t>
  </si>
  <si>
    <t>C00032 | 3 C03024 | 3 C00007</t>
  </si>
  <si>
    <t>C00500 | C00237 | C14818 | 3 C03161 | 3 C00001</t>
  </si>
  <si>
    <t>https://www.genome.jp/dbget-bin/www_bget?ec:3.5.4.33</t>
  </si>
  <si>
    <t>https://www.genome.jp/entry/R10223</t>
  </si>
  <si>
    <t>C17324 | C00001</t>
  </si>
  <si>
    <t>C20451 | C00014</t>
  </si>
  <si>
    <t>https://www.genome.jp/dbget-bin/www_bget?ec:2.4.2.29</t>
  </si>
  <si>
    <t>https://www.genome.jp/entry/R10209</t>
  </si>
  <si>
    <t>C01977 | C16675</t>
  </si>
  <si>
    <t>C20446 | C00242</t>
  </si>
  <si>
    <t>https://www.genome.jp/dbget-bin/www_bget?ec:2.3.3.13</t>
  </si>
  <si>
    <t>https://www.genome.jp/entry/R01213</t>
  </si>
  <si>
    <t>C02504 | C00010</t>
  </si>
  <si>
    <t>C00024 | C00141 | C00001</t>
  </si>
  <si>
    <t>https://www.genome.jp/dbget-bin/www_bget?ec:2.7.2.4</t>
  </si>
  <si>
    <t>https://www.genome.jp/entry/R00480</t>
  </si>
  <si>
    <t>C00008 | C03082</t>
  </si>
  <si>
    <t>C00002 | C00049</t>
  </si>
  <si>
    <t>https://www.genome.jp/dbget-bin/www_bget?ec:1.2.1.11</t>
  </si>
  <si>
    <t>https://www.genome.jp/entry/R02291</t>
  </si>
  <si>
    <t>C03082 | C00005 | C00080</t>
  </si>
  <si>
    <t>C00441 | C00009 | C00006</t>
  </si>
  <si>
    <t>https://www.genome.jp/dbget-bin/www_bget?ec:1.11.1.6</t>
  </si>
  <si>
    <t>https://www.genome.jp/entry/R00009/R00602/R02670</t>
  </si>
  <si>
    <t>2 C00027</t>
  </si>
  <si>
    <t>C00007 + 2 C00001</t>
  </si>
  <si>
    <t>https://www.genome.jp/dbget-bin/www_bget?ec:4.6.1.1</t>
  </si>
  <si>
    <t>https://www.genome.jp/entry/R00089/R00434</t>
  </si>
  <si>
    <t>C00002</t>
  </si>
  <si>
    <t>C00575 | C00013</t>
  </si>
  <si>
    <t>https://www.genome.jp/dbget-bin/www_bget?ec:6.2.1.3</t>
  </si>
  <si>
    <t>https://www.genome.jp/entry/R00390/R01280</t>
  </si>
  <si>
    <t>C00002 | C00638 | C00010</t>
  </si>
  <si>
    <t>C00002 |C00638 | C00010</t>
  </si>
  <si>
    <t>C00020 | C00013 | C02843</t>
  </si>
  <si>
    <t>C00020 | C00013 | C02843</t>
  </si>
  <si>
    <t>https://www.genome.jp/dbget-bin/www_bget?ec:1.1.1.306</t>
  </si>
  <si>
    <t>https://www.genome.jp/entry/R09129/R10301</t>
  </si>
  <si>
    <t>C18235 | C00003</t>
  </si>
  <si>
    <t>C06718 | C00004 | C00080</t>
  </si>
  <si>
    <t>https://www.genome.jp/dbget-bin/www_bget?ec:2.7.7.24</t>
  </si>
  <si>
    <t>https://www.genome.jp/entry/R02328</t>
  </si>
  <si>
    <t>C00013 | C00842</t>
  </si>
  <si>
    <t>C00459 | C00103</t>
  </si>
  <si>
    <t>https://www.genome.jp/dbget-bin/www_bget?ec:5.1.3.13</t>
  </si>
  <si>
    <t>https://www.genome.jp/entry/R06514</t>
  </si>
  <si>
    <t>C11907</t>
  </si>
  <si>
    <t>C00688</t>
  </si>
  <si>
    <t>https://www.genome.jp/dbget-bin/www_bget?ec:4.2.1.46</t>
  </si>
  <si>
    <t>https://www.genome.jp/entry/R06513</t>
  </si>
  <si>
    <t>C00842</t>
  </si>
  <si>
    <t>C11907 | C00001</t>
  </si>
  <si>
    <t>https://www.genome.jp/dbget-bin/www_bget?ec:3.4.11.2</t>
  </si>
  <si>
    <t>https://www.genome.jp/entry/R00899/R04951</t>
  </si>
  <si>
    <t>C01419 | C00001</t>
  </si>
  <si>
    <t>C00097 | C00037</t>
  </si>
  <si>
    <t>https://www.genome.jp/dbget-bin/www_bget?ec:2.3.1.122</t>
  </si>
  <si>
    <t>https://www.genome.jp/entry/R07248/R13277</t>
  </si>
  <si>
    <t>2 C04218</t>
  </si>
  <si>
    <t>C01083 | C04465</t>
  </si>
  <si>
    <t>https://www.genome.jp/dbget-bin/www_bget?ec:1.8.1.4</t>
  </si>
  <si>
    <t>https://www.genome.jp/entry/R08550/R03815/R07618/R01698</t>
  </si>
  <si>
    <t>C16832 | C00003</t>
  </si>
  <si>
    <t>C16237 | C00004 | C00080</t>
  </si>
  <si>
    <t>https://www.genome.jp/dbget-bin/www_bget?ec:1.3.5.4</t>
  </si>
  <si>
    <t>https://www.genome.jp/dbget-bin/www_bget?ec:1.3.5.1</t>
  </si>
  <si>
    <t>https://www.genome.jp/entry/R02164/R13223</t>
  </si>
  <si>
    <t>C15602 | C00042</t>
  </si>
  <si>
    <t>C15603 | C00122</t>
  </si>
  <si>
    <t>https://www.genome.jp/dbget-bin/www_bget?ec:1.3.1.98</t>
  </si>
  <si>
    <t>https://www.genome.jp/entry/R03192/R03191</t>
  </si>
  <si>
    <t>C01050 | C00006</t>
  </si>
  <si>
    <t>C04631 | C00005 | C00080</t>
  </si>
  <si>
    <t>https://www.genome.jp/dbget-bin/www_bget?ec:4.4.1.21</t>
  </si>
  <si>
    <t>https://www.genome.jp/entry/R01291</t>
  </si>
  <si>
    <t>C03539</t>
  </si>
  <si>
    <t>C11838 | C00155</t>
  </si>
  <si>
    <t>https://www.genome.jp/dbget-bin/www_bget?ec:2.4.1.250</t>
  </si>
  <si>
    <t>https://www.genome.jp/entry/R09634</t>
  </si>
  <si>
    <t>C00043 | C04006</t>
  </si>
  <si>
    <t>C19761 | C00015</t>
  </si>
  <si>
    <t>https://www.genome.jp/dbget-bin/www_bget?ec:3.6.1.11</t>
  </si>
  <si>
    <t>https://www.genome.jp/entry/R03042/R03409</t>
  </si>
  <si>
    <t>C00404(n) | C00001</t>
  </si>
  <si>
    <t>C00404(n-1) | C00009</t>
  </si>
  <si>
    <t>https://www.genome.jp/dbget-bin/www_bget?enzyme+1.5.1.2</t>
  </si>
  <si>
    <t>https://www.genome.jp/entry/R01248/R01251/R03291/R03293</t>
  </si>
  <si>
    <t>C00148 | C00003</t>
  </si>
  <si>
    <t>C03912 | C00004 | C00080</t>
  </si>
  <si>
    <t>https://www.genome.jp/dbget-bin/www_bget?ec:3.1.3.3</t>
  </si>
  <si>
    <t>https://www.genome.jp/entry/R00582/R02853</t>
  </si>
  <si>
    <t>C01005 | C00001</t>
  </si>
  <si>
    <t>C00065 | C00009</t>
  </si>
  <si>
    <t>https://www.genome.jp/dbget-bin/www_bget?ec:1.2.1.70</t>
  </si>
  <si>
    <t>https://www.genome.jp/entry/R04109</t>
  </si>
  <si>
    <t>C02987 | C00005 | C00080</t>
  </si>
  <si>
    <t>C03741 | C01641 | C00006</t>
  </si>
  <si>
    <t>https://www.genome.jp/dbget-bin/www_bget?EC:2.5.1.61</t>
  </si>
  <si>
    <t>https://www.genome.jp/entry/R00084</t>
  </si>
  <si>
    <t>4 C00931 | C00001</t>
  </si>
  <si>
    <t>C01024 | 4 C00014</t>
  </si>
  <si>
    <t>https://www.genome.jp/dbget-bin/www_bget?ec:2.1.1.107</t>
  </si>
  <si>
    <t>https://www.genome.jp/entry/R03194/R07237/R07238/R03950</t>
  </si>
  <si>
    <t>2 C00019 | C01051</t>
  </si>
  <si>
    <t>2 C00021 | C02463</t>
  </si>
  <si>
    <t>https://www.genome.jp/dbget-bin/www_bget?ec:4.2.1.24</t>
  </si>
  <si>
    <t>https://www.genome.jp/entry/R00036</t>
  </si>
  <si>
    <t>2 C00430</t>
  </si>
  <si>
    <t>C00931 | 2 C00001</t>
  </si>
  <si>
    <t>https://www.genome.jp/dbget-bin/www_bget?ec:4.1.1.37</t>
  </si>
  <si>
    <t>https://www.genome.jp/entry/R03197/R04972</t>
  </si>
  <si>
    <t>C01051</t>
  </si>
  <si>
    <t>C03263 | 4 C00011</t>
  </si>
  <si>
    <t>https://www.genome.jp/dbget-bin/www_bget?EC:1.3.3.4</t>
  </si>
  <si>
    <t>https://www.genome.jp/entry/R03222</t>
  </si>
  <si>
    <t>C02191 | 3 C00027</t>
  </si>
  <si>
    <t>C01079 | 3 C00007</t>
  </si>
  <si>
    <t>https://www.genome.jp/dbget-bin/www_bget?ec:1.1.1.31</t>
  </si>
  <si>
    <t>https://www.genome.jp/entry/R02047/R05066</t>
  </si>
  <si>
    <t>C01188 | C00003</t>
  </si>
  <si>
    <t>C00349 | C00004 | C00080</t>
  </si>
  <si>
    <t>https://www.genome.jp/dbget-bin/www_bget?ec:5.4.3.8</t>
  </si>
  <si>
    <t>https://www.genome.jp/entry/R02272</t>
  </si>
  <si>
    <t>C00430</t>
  </si>
  <si>
    <t>C03741</t>
  </si>
  <si>
    <t>https://www.genome.jp/dbget-bin/www_bget?ec:2.5.1.74</t>
  </si>
  <si>
    <t>https://www.genome.jp/entry/R10757</t>
  </si>
  <si>
    <t>C05847 | C03657</t>
  </si>
  <si>
    <t>C19847 | C00013 | C00011</t>
  </si>
  <si>
    <t>https://www.genome.jp/dbget-bin/www_bget?ec:6.2.1.26</t>
  </si>
  <si>
    <t>https://www.genome.jp/entry/R04030</t>
  </si>
  <si>
    <t xml:space="preserve">C00002 | C02730 | C00010 </t>
  </si>
  <si>
    <t>C00020 | C00013 | C03160</t>
  </si>
  <si>
    <t>https://www.genome.jp/dbget-bin/www_bget?ec:4.1.3.36</t>
  </si>
  <si>
    <t>https://www.genome.jp/entry/R04150/R07263</t>
  </si>
  <si>
    <t>C03160</t>
  </si>
  <si>
    <t>C03657 + C00010</t>
  </si>
  <si>
    <t>https://www.genome.jp/dbget-bin/www_bget?ec:2.2.1.9</t>
  </si>
  <si>
    <t>https://www.genome.jp/entry/R08165</t>
  </si>
  <si>
    <t>C16519 | C00011</t>
  </si>
  <si>
    <t>C00885 | C00026</t>
  </si>
  <si>
    <t>https://www.genome.jp/dbget-bin/www_bget?ec:2.1.1.163</t>
  </si>
  <si>
    <t>https://www.genome.jp/entry/R09736</t>
  </si>
  <si>
    <t>C05819 | C00021</t>
  </si>
  <si>
    <t>C19847 | C00019</t>
  </si>
  <si>
    <t>https://www.genome.jp/dbget-bin/www_bget?ec:2.5.1.30</t>
  </si>
  <si>
    <t>https://www.genome.jp/entry/R09247</t>
  </si>
  <si>
    <t>C04216 | 4 C00013</t>
  </si>
  <si>
    <t xml:space="preserve">C00448 | 4 C00129 </t>
  </si>
  <si>
    <t>https://www.genome.jp/dbget-bin/www_bget?ec:5.4.2.8</t>
  </si>
  <si>
    <t>https://www.genome.jp/entry/R01818</t>
  </si>
  <si>
    <t>C00275</t>
  </si>
  <si>
    <t>C00636</t>
  </si>
  <si>
    <t>https://www.genome.jp/dbget-bin/www_bget?ec:4.1.2.4</t>
  </si>
  <si>
    <t>https://www.genome.jp/entry/R01066</t>
  </si>
  <si>
    <t>C00673</t>
  </si>
  <si>
    <t>C00118 | C00084</t>
  </si>
  <si>
    <t>https://www.genome.jp/dbget-bin/www_bget?ec:4.1.99.3</t>
  </si>
  <si>
    <t>https://www.genome.jp/entry/R00034/R08765</t>
  </si>
  <si>
    <t>C03103</t>
  </si>
  <si>
    <t>2 C08249</t>
  </si>
  <si>
    <t>https://www.genome.jp/dbget-bin/www_bget?ec:2.7.7.6</t>
  </si>
  <si>
    <t>https://www.genome.jp/entry/R00444/R00435/R00441/R00442/R00443/R10813</t>
  </si>
  <si>
    <t>C00201 | C00046</t>
  </si>
  <si>
    <t>C00013 | C00046</t>
  </si>
  <si>
    <t>https://www.genome.jp/dbget-bin/www_bget?ec:7.6.2.9</t>
  </si>
  <si>
    <t>https://www.genome.jp/dbget-bin/www_bget?ec:2.1.1.79</t>
  </si>
  <si>
    <t>https://www.genome.jp/entry/R03411</t>
  </si>
  <si>
    <t xml:space="preserve">C00019 | C01229 </t>
  </si>
  <si>
    <t>C00021 | C04340</t>
  </si>
  <si>
    <t>https://www.genome.jp/dbget-bin/www_bget?ec:2.7.4.3</t>
  </si>
  <si>
    <t>https://www.genome.jp/entry/R00127/R01547/R11319</t>
  </si>
  <si>
    <t>2 C00008</t>
  </si>
  <si>
    <t>C00002 | C00020</t>
  </si>
  <si>
    <t>https://www.genome.jp/dbget-bin/www_bget?enzyme+3.4.11.18</t>
  </si>
  <si>
    <t>https://www.genome.jp/dbget-bin/www_bget?ec:5.4.99.12</t>
  </si>
  <si>
    <t>https://www.genome.jp/entry/R03020</t>
  </si>
  <si>
    <t>C00868</t>
  </si>
  <si>
    <t>C02764</t>
  </si>
  <si>
    <t>https://www.genome.jp/dbget-bin/www_bget?enzyme+3.4.21.62</t>
  </si>
  <si>
    <t>https://www.genome.jp/dbget-bin/www_bget?ec:5.4.2.10</t>
  </si>
  <si>
    <t>https://www.genome.jp/entry/R02060</t>
  </si>
  <si>
    <t xml:space="preserve">C06156 </t>
  </si>
  <si>
    <t>C00352</t>
  </si>
  <si>
    <t>https://www.genome.jp/dbget-bin/www_bget?ec:2.6.1.16</t>
  </si>
  <si>
    <t>https://www.genome.jp/entry/R00768</t>
  </si>
  <si>
    <t>C00025 | C00352</t>
  </si>
  <si>
    <t>C00064 | C00085</t>
  </si>
  <si>
    <t>https://www.genome.jp/dbget-bin/www_bget?ec:5.1.1.1</t>
  </si>
  <si>
    <t>https://www.genome.jp/entry/R00401</t>
  </si>
  <si>
    <t xml:space="preserve">C00041 </t>
  </si>
  <si>
    <t>C00133</t>
  </si>
  <si>
    <t>https://www.genome.jp/dbget-bin/www_bget?ec:1.1.1.205</t>
  </si>
  <si>
    <t>https://www.genome.jp/entry/R01130/R08240</t>
  </si>
  <si>
    <t>C00655 | C00004 | C00080</t>
  </si>
  <si>
    <t>C00130 | C00003 | C00001</t>
  </si>
  <si>
    <t>https://www.genome.jp/dbget-bin/www_bget?ec:2.1.1.207</t>
  </si>
  <si>
    <t>https://www.genome.jp/dbget-bin/www_bget?ec:2.3.1.31</t>
  </si>
  <si>
    <t>https://www.genome.jp/entry/R01776</t>
  </si>
  <si>
    <t>C00010 | C01077</t>
  </si>
  <si>
    <t>C00024 | C00263</t>
  </si>
  <si>
    <t>https://www.genome.jp/dbget-bin/www_bget?ec:3.4.15.5</t>
  </si>
  <si>
    <t>https://www.genome.jp/dbget-bin/www_bget?ec:1.1.1.42</t>
  </si>
  <si>
    <t>https://www.genome.jp/entry/R00267/R00268/R01899</t>
  </si>
  <si>
    <t>C00311 | C00006</t>
  </si>
  <si>
    <t>00026 | C00011 | C00005 | C00080</t>
  </si>
  <si>
    <t>https://www.genome.jp/dbget-bin/www_bget?ec:3.1.11.2</t>
  </si>
  <si>
    <t>https://www.genome.jp/dbget-bin/www_bget?ec:6.1.1.2</t>
  </si>
  <si>
    <t>https://www.genome.jp/entry/R03664</t>
  </si>
  <si>
    <t>C00002 | C00078 | C01652</t>
  </si>
  <si>
    <t>00020 | C00013 | C03512</t>
  </si>
  <si>
    <t>https://www.genome.jp/dbget-bin/www_bget?enzyme+4.2.1.130</t>
  </si>
  <si>
    <t>https://www.genome.jp/entry/R09796</t>
  </si>
  <si>
    <t>C00256</t>
  </si>
  <si>
    <t>C00546 | C00001</t>
  </si>
  <si>
    <t>https://www.genome.jp/dbget-bin/www_bget?ec:3.1.1.1</t>
  </si>
  <si>
    <t>https://www.genome.jp/entry/R00630/R06728/R08255/R08258/R08220/R08249/R08251/R08295/R08300</t>
  </si>
  <si>
    <t>C02391 | C00001</t>
  </si>
  <si>
    <t>C00069 | C00060</t>
  </si>
  <si>
    <t>https://www.genome.jp/dbget-bin/www_bget?ec:2.4.2.9</t>
  </si>
  <si>
    <t>https://www.genome.jp/entry/R00966</t>
  </si>
  <si>
    <t xml:space="preserve">C00105 | C00013 </t>
  </si>
  <si>
    <t>C00106 | C00119</t>
  </si>
  <si>
    <t>https://www.genome.jp/dbget-bin/www_bget?ec:1.6.5.2</t>
  </si>
  <si>
    <t>https://www.genome.jp/entry/R07358/R02964/R03643/R03816/R07359</t>
  </si>
  <si>
    <t>C00003 | C15603</t>
  </si>
  <si>
    <t>C00004 | C00080 | C15602</t>
  </si>
  <si>
    <t>https://www.genome.jp/dbget-bin/www_bget?ec:4.2.1.79</t>
  </si>
  <si>
    <t>https://www.genome.jp/entry/R04424</t>
  </si>
  <si>
    <t>C02225</t>
  </si>
  <si>
    <t>https://www.genome.jp/dbget-bin/www_bget?ec:2.7.8.23</t>
  </si>
  <si>
    <t>https://www.genome.jp/entry/R05165/R08868/R08869</t>
  </si>
  <si>
    <t xml:space="preserve">C06367 </t>
  </si>
  <si>
    <t>C06368 | C00011</t>
  </si>
  <si>
    <t>C04225 | C00001</t>
  </si>
  <si>
    <t>https://www.genome.jp/dbget-bin/www_bget?ec:6.4.1.7</t>
  </si>
  <si>
    <t>https://www.genome.jp/entry/R08201</t>
  </si>
  <si>
    <t>C00008 | C00009 | C05379</t>
  </si>
  <si>
    <t>C00002 | C00026 | C00288</t>
  </si>
  <si>
    <t>C00002 | C00026 | C00288</t>
  </si>
  <si>
    <t>https://www.genome.jp/dbget-bin/www_bget?ec:3.5.4.5</t>
  </si>
  <si>
    <t>https://www.genome.jp/entry/R01878/R02485/R08221</t>
  </si>
  <si>
    <t>C00475 | C00001</t>
  </si>
  <si>
    <t>C00299 | C00014</t>
  </si>
  <si>
    <t>https://www.genome.jp/dbget-bin/www_bget?ec:2.4.2.2</t>
  </si>
  <si>
    <t>https://www.genome.jp/entry/R01570/R01876/R02296/R02484/R02298</t>
  </si>
  <si>
    <t xml:space="preserve">C00214 | C00009 </t>
  </si>
  <si>
    <t>C00178 | C00672</t>
  </si>
  <si>
    <t>https://www.genome.jp/dbget-bin/www_bget?ec:2.8.1.1</t>
  </si>
  <si>
    <t>https://www.genome.jp/entry/R01931</t>
  </si>
  <si>
    <t>C00094 | C01755</t>
  </si>
  <si>
    <t>C00320 | C00177</t>
  </si>
  <si>
    <t>https://www.genome.jp/dbget-bin/www_bget?ec:6.4.1.3</t>
  </si>
  <si>
    <t>https://www.genome.jp/entry/R01859/R08924</t>
  </si>
  <si>
    <t>C00002 | C00100 | C00288</t>
  </si>
  <si>
    <t>C00008 | C00009 | C00683</t>
  </si>
  <si>
    <t>https://www.genome.jp/dbget-bin/www_bget?ec:3.2.1.1</t>
  </si>
  <si>
    <t>https://www.genome.jp/entry/R02108/R02112/R06209/R11262</t>
  </si>
  <si>
    <t>C00721 | C00369</t>
  </si>
  <si>
    <t>C00369 | C00001</t>
  </si>
  <si>
    <t>https://www.genome.jp/dbget-bin/www_bget?ec:7.6.2.10</t>
  </si>
  <si>
    <t>https://www.genome.jp/dbget-bin/www_bget?ec:6.3.4.15</t>
  </si>
  <si>
    <t>https://www.genome.jp/entry/R04562/R01074/R05145</t>
  </si>
  <si>
    <t>C00002 | C00120 | C04735</t>
  </si>
  <si>
    <t>C00020 | C00013 | C04681</t>
  </si>
  <si>
    <t>https://www.genome.jp/dbget-bin/www_bget?ec:4.1.1.5</t>
  </si>
  <si>
    <t>https://www.genome.jp/entry/R02948</t>
  </si>
  <si>
    <t>C06010</t>
  </si>
  <si>
    <t>C00810 | C00011</t>
  </si>
  <si>
    <t>https://www.genome.jp/dbget-bin/www_bget?ec:6.3.4.18</t>
  </si>
  <si>
    <t>https://www.genome.jp/entry/R07404</t>
  </si>
  <si>
    <t>C00002 | C03373 | C00288</t>
  </si>
  <si>
    <t>C00008 | C00009 | C15667</t>
  </si>
  <si>
    <t>https://www.genome.jp/dbget-bin/www_bget?ec:2.7.1.15</t>
  </si>
  <si>
    <t>https://www.genome.jp/entry/R01051/R02750</t>
  </si>
  <si>
    <t>C00008 | C00117</t>
  </si>
  <si>
    <t>C00002 | C00121</t>
  </si>
  <si>
    <t>https://www.genome.jp/dbget-bin/www_bget?ec:5.1.3.3</t>
  </si>
  <si>
    <t>https://www.genome.jp/entry/R01602/R10619</t>
  </si>
  <si>
    <t>C00267</t>
  </si>
  <si>
    <t>C00221</t>
  </si>
  <si>
    <t>https://www.genome.jp/dbget-bin/www_bget?ec:2.7.7.12</t>
  </si>
  <si>
    <t>https://www.genome.jp/entry/R00955</t>
  </si>
  <si>
    <t>C00029 | C00446</t>
  </si>
  <si>
    <t>C00103 | C00052</t>
  </si>
  <si>
    <t>https://www.genome.jp/dbget-bin/www_bget?ec:2.7.1.6</t>
  </si>
  <si>
    <t>https://www.genome.jp/entry/R01092</t>
  </si>
  <si>
    <t>C00008 | C00446</t>
  </si>
  <si>
    <t>C00002 | C00984</t>
  </si>
  <si>
    <t>https://www.genome.jp/dbget-bin/www_bget?ec:6.3.4.14</t>
  </si>
  <si>
    <t>https://www.genome.jp/entry/R04385</t>
  </si>
  <si>
    <t>C00002 | C06250 | C00288</t>
  </si>
  <si>
    <t>C00008 |C00009 |C04419</t>
  </si>
  <si>
    <t>C00008 |C00009 | C04419</t>
  </si>
  <si>
    <t>https://www.genome.jp/dbget-bin/www_bget?ec:2.5.1.19</t>
  </si>
  <si>
    <t>https://www.genome.jp/entry/R03460</t>
  </si>
  <si>
    <t>C00009 | C01269</t>
  </si>
  <si>
    <t>C00074 | C03175</t>
  </si>
  <si>
    <t>https://www.genome.jp/dbget-bin/www_bget?ec:3.6.4.12</t>
  </si>
  <si>
    <t>https://www.genome.jp/dbget-bin/www_bget?ec:3.6.1.22</t>
  </si>
  <si>
    <t>https://www.genome.jp/entry/R00103/R11104/R03004</t>
  </si>
  <si>
    <t xml:space="preserve">C00003 | C00001 </t>
  </si>
  <si>
    <t>C00020 | C00455</t>
  </si>
  <si>
    <t>https://www.genome.jp/dbget-bin/www_bget?ec:3.1.3.15</t>
  </si>
  <si>
    <t>https://www.genome.jp/entry/R03013</t>
  </si>
  <si>
    <t xml:space="preserve">C01100 | C00001 </t>
  </si>
  <si>
    <t>C00860 | C00009</t>
  </si>
  <si>
    <t>https://www.genome.jp/dbget-bin/www_bget?ec:3.1.3.25</t>
  </si>
  <si>
    <t>https://www.genome.jp/entry/R07343/R01185/R01186/R01187</t>
  </si>
  <si>
    <t>https://www.genome.jp/dbget-bin/www_bget?ec:7.2.2.16</t>
  </si>
  <si>
    <t>https://www.genome.jp/dbget-bin/www_bget?ec:2.1.1.185</t>
  </si>
  <si>
    <t>https://www.genome.jp/dbget-bin/www_bget?ec:2.6.1.52</t>
  </si>
  <si>
    <t>https://www.genome.jp/entry/R04173/R05085</t>
  </si>
  <si>
    <t>C01005 | C00026</t>
  </si>
  <si>
    <t>C03232 | C00025</t>
  </si>
  <si>
    <t>https://www.genome.jp/dbget-bin/www_bget?ec:2.3.3.1</t>
  </si>
  <si>
    <t>https://www.genome.jp/entry/R00351</t>
  </si>
  <si>
    <t>C00158 | C00010</t>
  </si>
  <si>
    <t>C00024 | C00001 | C00036</t>
  </si>
  <si>
    <t>https://www.genome.jp/dbget-bin/www_bget?ec:1.5.1.3</t>
  </si>
  <si>
    <t>https://www.genome.jp/entry/R00939/R00936/R00937/R00940/R02235/R02236/R11765</t>
  </si>
  <si>
    <t xml:space="preserve">C00101 | C00006 </t>
  </si>
  <si>
    <t>C00415 | C00005 | C00080</t>
  </si>
  <si>
    <t>https://www.genome.jp/dbget-bin/www_bget?ec:2.1.1.45</t>
  </si>
  <si>
    <t>https://www.genome.jp/entry/R02101</t>
  </si>
  <si>
    <t>C00365 | C00143</t>
  </si>
  <si>
    <t>C00415 | C00364</t>
  </si>
  <si>
    <t>https://www.genome.jp/dbget-bin/www_bget?ec:3.1.3.7</t>
  </si>
  <si>
    <t>https://www.genome.jp/entry/R00188/R00508</t>
  </si>
  <si>
    <t>https://www.genome.jp/dbget-bin/www_bget?ec:5.3.1.9</t>
  </si>
  <si>
    <t>https://www.genome.jp/entry/R02740/R00771/R02739/R03321/R13199</t>
  </si>
  <si>
    <t>C00668</t>
  </si>
  <si>
    <t>C05345</t>
  </si>
  <si>
    <t>https://www.genome.jp/dbget-bin/www_bget?ec:5.4.99.5</t>
  </si>
  <si>
    <t>https://www.genome.jp/entry/R01715</t>
  </si>
  <si>
    <t>C00251</t>
  </si>
  <si>
    <t>C00254</t>
  </si>
  <si>
    <t>https://www.genome.jp/dbget-bin/www_bget?ec:3.4.24.75</t>
  </si>
  <si>
    <t>https://www.genome.jp/dbget-bin/www_bget?ec:2.1.2.2</t>
  </si>
  <si>
    <t>https://www.genome.jp/entry/R04325/R04326</t>
  </si>
  <si>
    <t>C00234 | C03838</t>
  </si>
  <si>
    <t>C00101 | C04376</t>
  </si>
  <si>
    <t>https://www.genome.jp/dbget-bin/www_bget?ec:3.4.21.107</t>
  </si>
  <si>
    <t>https://www.genome.jp/dbget-bin/www_bget?ec:5.5.1.2</t>
  </si>
  <si>
    <t>https://www.genome.jp/entry/R03307</t>
  </si>
  <si>
    <t>C01278</t>
  </si>
  <si>
    <t>C01163</t>
  </si>
  <si>
    <t>https://www.genome.jp/dbget-bin/www_bget?ec:2.7.7.9</t>
  </si>
  <si>
    <t>https://www.genome.jp/entry/R00289</t>
  </si>
  <si>
    <t xml:space="preserve">C00075 | C00103 </t>
  </si>
  <si>
    <t>C00013 | C00029</t>
  </si>
  <si>
    <t>https://www.genome.jp/dbget-bin/www_bget?ec:3.2.2.20</t>
  </si>
  <si>
    <t>https://www.genome.jp/dbget-bin/www_bget?ec:2.4.1.109</t>
  </si>
  <si>
    <t>https://www.genome.jp/entry/R04072/R07620/R11399</t>
  </si>
  <si>
    <t xml:space="preserve">C03862 | C02189 </t>
  </si>
  <si>
    <t>C00110 | C02863</t>
  </si>
  <si>
    <t>https://www.genome.jp/dbget-bin/www_bget?ec:2.1.1.198</t>
  </si>
  <si>
    <t>https://www.genome.jp/dbget-bin/www_bget?ec:6.1.1.10</t>
  </si>
  <si>
    <t>https://www.genome.jp/entry/R03659/R04773</t>
  </si>
  <si>
    <t>C00002 | C00073 | C01647</t>
  </si>
  <si>
    <t>C00020 | C00013 | C02430</t>
  </si>
  <si>
    <t>https://www.genome.jp/dbget-bin/www_bget?ec:2.1.1.182</t>
  </si>
  <si>
    <t>https://www.genome.jp/entry/R10716</t>
  </si>
  <si>
    <t>2 C00019 | C20648</t>
  </si>
  <si>
    <t>2 C00021 | C20796</t>
  </si>
  <si>
    <t>https://www.genome.jp/dbget-bin/www_bget?ec:2.7.1.148</t>
  </si>
  <si>
    <t>https://www.genome.jp/entry/R05634</t>
  </si>
  <si>
    <t>C11435 + C00002</t>
  </si>
  <si>
    <t>C11436 + C00008</t>
  </si>
  <si>
    <t>https://www.genome.jp/dbget-bin/www_bget?ec:4.2.1.17</t>
  </si>
  <si>
    <t>https://www.genome.jp/entry/R02685/R03026/R03045/R04170/R04204/R04224/R04738/R04740/R04744/R04746/R04749/R07889/R07893/R07897/R07314/R03224/R04137/R05595/R06411/R06412/R06942/R08093</t>
  </si>
  <si>
    <t>C00640</t>
  </si>
  <si>
    <t>C00658 + C00001</t>
  </si>
  <si>
    <t>https://www.genome.jp/dbget-bin/www_bget?ec:1.1.1.100</t>
  </si>
  <si>
    <t>https://www.genome.jp/entry/R02767/R04533/R04534/R04536/R04543/R04566/R04953/R04964/R07763/R10116/R10120</t>
  </si>
  <si>
    <t>https://www.genome.jp/dbget-bin/www_bget?ec:3.1.1.29</t>
  </si>
  <si>
    <t>https://www.genome.jp/entry/R04238</t>
  </si>
  <si>
    <t>C03880 | C00001</t>
  </si>
  <si>
    <t>C03523 | C00066</t>
  </si>
  <si>
    <t>C03523 |C00066</t>
  </si>
  <si>
    <t>https://www.genome.jp/dbget-bin/www_bget?ec:4.3.2.3</t>
  </si>
  <si>
    <t>https://www.genome.jp/entry/R00776</t>
  </si>
  <si>
    <t>C00603</t>
  </si>
  <si>
    <t>C00048 + C00086</t>
  </si>
  <si>
    <t>https://www.genome.jp/dbget-bin/www_bget?ec:2.7.6.1</t>
  </si>
  <si>
    <t>https://www.genome.jp/entry/R01049</t>
  </si>
  <si>
    <t>C00002 | C00117</t>
  </si>
  <si>
    <t xml:space="preserve"> C00020 | C00119</t>
  </si>
  <si>
    <t>https://www.genome.jp/dbget-bin/www_bget?ec:2.4.2.19</t>
  </si>
  <si>
    <t>https://www.genome.jp/entry/R03348</t>
  </si>
  <si>
    <t>C03722 | C00119</t>
  </si>
  <si>
    <t>C01185 | C00013 | C00011</t>
  </si>
  <si>
    <t>https://www.genome.jp/dbget-bin/www_bget?ec:2.5.1.72</t>
  </si>
  <si>
    <t>https://www.genome.jp/entry/R04292</t>
  </si>
  <si>
    <t xml:space="preserve">C03722 | 2 C00001 | C00009 </t>
  </si>
  <si>
    <t>C05840 | C00111</t>
  </si>
  <si>
    <t>https://www.genome.jp/dbget-bin/www_bget?enzyme+3.6.1.8</t>
  </si>
  <si>
    <t>https://www.genome.jp/entry/R00087/R00086</t>
  </si>
  <si>
    <t>C00002 | C00001</t>
  </si>
  <si>
    <t>C00020 | C00013</t>
  </si>
  <si>
    <t>https://www.genome.jp/dbget-bin/www_bget?ec:4.2.1.11</t>
  </si>
  <si>
    <t>https://www.genome.jp/entry/R00658/R04206</t>
  </si>
  <si>
    <t>C00631</t>
  </si>
  <si>
    <t>C00074 | C00001</t>
  </si>
  <si>
    <t>https://www.genome.jp/dbget-bin/www_bget?ec:3.6.1.40</t>
  </si>
  <si>
    <t>https://www.genome.jp/entry/R03409</t>
  </si>
  <si>
    <t>C04494 | C00001</t>
  </si>
  <si>
    <t>C01228 | C00009</t>
  </si>
  <si>
    <t>https://www.genome.jp/dbget-bin/www_bget?ec:3.5.1.115</t>
  </si>
  <si>
    <t>https://www.genome.jp/entry/R10617</t>
  </si>
  <si>
    <t>C20732 | C00001</t>
  </si>
  <si>
    <t>C05727 | C19702</t>
  </si>
  <si>
    <t>https://www.genome.jp/dbget-bin/www_bget?enzyme+2.5.1.68</t>
  </si>
  <si>
    <t>https://www.genome.jp/entry/R08528</t>
  </si>
  <si>
    <t>C00341 | C00129</t>
  </si>
  <si>
    <t>C16826 | C00013</t>
  </si>
  <si>
    <t>https://www.genome.jp/dbget-bin/www_bget?ec:2.7.1.33</t>
  </si>
  <si>
    <t>https://www.genome.jp/entry/R03018/R02971/R04391</t>
  </si>
  <si>
    <t>C00002 | C00864</t>
  </si>
  <si>
    <t>C00008 | C03492</t>
  </si>
  <si>
    <t>https://www.genome.jp/dbget-bin/www_bget?ec:2.1.2.1</t>
  </si>
  <si>
    <t>https://www.genome.jp/entry/R00945/R09099</t>
  </si>
  <si>
    <t xml:space="preserve">C00143 | C00037 | C00001 </t>
  </si>
  <si>
    <t>C00101 | C00065</t>
  </si>
  <si>
    <t>https://www.genome.jp/dbget-bin/www_bget?ec:4.2.1.2</t>
  </si>
  <si>
    <t>https://www.genome.jp/entry/R01082</t>
  </si>
  <si>
    <t>C00149</t>
  </si>
  <si>
    <t>C00122 | C00001</t>
  </si>
  <si>
    <t>https://www.genome.jp/dbget-bin/www_bget?ec:3.1.3.11</t>
  </si>
  <si>
    <t>https://www.genome.jp/entry/R00762/R04780/R01845</t>
  </si>
  <si>
    <t>C00354 | C00001</t>
  </si>
  <si>
    <t>C00085 | C00009</t>
  </si>
  <si>
    <t>https://www.genome.jp/dbget-bin/www_bget?ec:3.1.11.6</t>
  </si>
  <si>
    <t>https://www.genome.jp/dbget-bin/www_bget?ec:1.17.7.4</t>
  </si>
  <si>
    <t>https://www.genome.jp/entry/R05884/R08210</t>
  </si>
  <si>
    <t>C11811 | 2 C00138 | 2 C00080</t>
  </si>
  <si>
    <t>C00129 | 2 C00139 | C00001</t>
  </si>
  <si>
    <t>https://www.genome.jp/dbget-bin/www_bget?ec:3.4.19.3</t>
  </si>
  <si>
    <t>https://www.genome.jp/dbget-bin/www_bget?ec:1.17.1.9</t>
  </si>
  <si>
    <t>https://www.genome.jp/entry/R00519</t>
  </si>
  <si>
    <t xml:space="preserve">C00058 | C00003 </t>
  </si>
  <si>
    <t>C00080 | C00011 | C00004</t>
  </si>
  <si>
    <t>https://www.genome.jp/dbget-bin/www_bget?ec:1.17.5.3</t>
  </si>
  <si>
    <t>https://www.genome.jp/entry/R09494</t>
  </si>
  <si>
    <t>C00058 | C15602</t>
  </si>
  <si>
    <t>C00011 | C15603</t>
  </si>
  <si>
    <t>https://www.genome.jp/dbget-bin/www_bget?ec:2.7.9.3</t>
  </si>
  <si>
    <t>https://www.genome.jp/entry/R03595</t>
  </si>
  <si>
    <t xml:space="preserve">C00002 | C01528 | C00001 </t>
  </si>
  <si>
    <t>C00020 | C05172 | C00009</t>
  </si>
  <si>
    <t>https://www.genome.jp/dbget-bin/www_bget?ec:2.9.1.1</t>
  </si>
  <si>
    <t>https://www.genome.jp/entry/R08219</t>
  </si>
  <si>
    <t>C06481 | C05172</t>
  </si>
  <si>
    <t>C06482 | C00009</t>
  </si>
  <si>
    <t>https://www.genome.jp/dbget-bin/www_bget?ec:3.5.1.103</t>
  </si>
  <si>
    <t>https://www.genome.jp/entry/R09651</t>
  </si>
  <si>
    <t>C19784 | C00001</t>
  </si>
  <si>
    <t>C19702 | C00033</t>
  </si>
  <si>
    <t>https://www.genome.jp/dbget-bin/www_bget?ec:2.6.1.83</t>
  </si>
  <si>
    <t>https://www.genome.jp/entry/R07613</t>
  </si>
  <si>
    <t>C00666 | C00026</t>
  </si>
  <si>
    <t>C03972 | C00025 | C00001</t>
  </si>
  <si>
    <t>https://www.genome.jp/dbget-bin/www_bget?enzyme+5.4.99.28</t>
  </si>
  <si>
    <t>https://www.genome.jp/dbget-bin/www_bget?ec:2.3.1.117</t>
  </si>
  <si>
    <t>https://www.genome.jp/entry/R04365</t>
  </si>
  <si>
    <t>C00091 | C03972 | C00001</t>
  </si>
  <si>
    <t>https://www.genome.jp/dbget-bin/www_bget?enzyme+2.1.1.188</t>
  </si>
  <si>
    <t>https://www.genome.jp/entry/R07233</t>
  </si>
  <si>
    <t xml:space="preserve">C00019 | C00240 </t>
  </si>
  <si>
    <t>C00021 | C04152</t>
  </si>
  <si>
    <t>https://www.genome.jp/dbget-bin/www_bget?ec:3.2.1.26</t>
  </si>
  <si>
    <t>https://www.genome.jp/entry/R00801/R00802/R02410/R03635/R03921/R06087/R06088/R06100/R06101/R06102</t>
  </si>
  <si>
    <t>C00089 | C00001</t>
  </si>
  <si>
    <t>C00095 | C00031</t>
  </si>
  <si>
    <t>https://www.genome.jp/dbget-bin/www_bget?ec:3.6.1.65</t>
  </si>
  <si>
    <t>https://www.genome.jp/entry/R00515/R01668</t>
  </si>
  <si>
    <t>C00063 | C00001</t>
  </si>
  <si>
    <t>C00055 | C00013</t>
  </si>
  <si>
    <t>https://www.genome.jp/dbget-bin/www_bget?ec:3.5.3.8</t>
  </si>
  <si>
    <t>https://www.genome.jp/entry/R02285</t>
  </si>
  <si>
    <t>C00439 | C00001</t>
  </si>
  <si>
    <t>C00025 | C00488</t>
  </si>
  <si>
    <t>https://www.genome.jp/dbget-bin/www_bget?ec:4.3.1.3</t>
  </si>
  <si>
    <t>https://www.genome.jp/entry/R01168/R06132</t>
  </si>
  <si>
    <t>C00135</t>
  </si>
  <si>
    <t>C00785 | C00014</t>
  </si>
  <si>
    <t>https://www.genome.jp/dbget-bin/www_bget?ec:4.2.1.49</t>
  </si>
  <si>
    <t>https://www.genome.jp/entry/R02914</t>
  </si>
  <si>
    <t>C03680</t>
  </si>
  <si>
    <t>C00785 | C00001</t>
  </si>
  <si>
    <t>https://www.genome.jp/dbget-bin/www_bget?enzyme+3.5.2.7</t>
  </si>
  <si>
    <t>https://www.genome.jp/entry/R02288</t>
  </si>
  <si>
    <t>C03680 | C00001</t>
  </si>
  <si>
    <t>C00439</t>
  </si>
  <si>
    <t>https://www.genome.jp/dbget-bin/www_bget?ec:6.1.1.19</t>
  </si>
  <si>
    <t>https://www.genome.jp/entry/R03646</t>
  </si>
  <si>
    <t>C00002 | C00062 | C01636</t>
  </si>
  <si>
    <t>C00020 | C00013 | C02163</t>
  </si>
  <si>
    <t>https://www.genome.jp/dbget-bin/www_bget?ec:4.1.1.20</t>
  </si>
  <si>
    <t>https://www.genome.jp/entry/R00451</t>
  </si>
  <si>
    <t>C00680</t>
  </si>
  <si>
    <t>00047 | C00011</t>
  </si>
  <si>
    <t>https://www.genome.jp/dbget-bin/www_bget?enzyme+1.1.1.3</t>
  </si>
  <si>
    <t>https://www.genome.jp/entry/R01773/R01775</t>
  </si>
  <si>
    <t>C00263 | C00003</t>
  </si>
  <si>
    <t>C00441 | C00004 | C00080</t>
  </si>
  <si>
    <t>https://www.genome.jp/dbget-bin/www_bget?ec:2.7.1.39</t>
  </si>
  <si>
    <t>https://www.genome.jp/entry/R01771</t>
  </si>
  <si>
    <t>C00002 | C00263</t>
  </si>
  <si>
    <t>C00008 | C01102</t>
  </si>
  <si>
    <t>https://www.genome.jp/dbget-bin/www_bget?ec:1.7.2.1</t>
  </si>
  <si>
    <t>https://www.genome.jp/entry/R00783/R00784/R00280/R00785</t>
  </si>
  <si>
    <t>C00533 | C00001 | C00125</t>
  </si>
  <si>
    <t>C00088 | C00126 | C00080</t>
  </si>
  <si>
    <t>https://www.genome.jp/dbget-bin/www_bget?ec:1.7.99.4</t>
  </si>
  <si>
    <t>C00020 | C00013 | C02843</t>
  </si>
  <si>
    <t>https://www.genome.jp/dbget-bin/www_bget?ec:2.7.7.87</t>
  </si>
  <si>
    <t>https://www.genome.jp/entry/R10463</t>
  </si>
  <si>
    <t>C00188 | C00002 | C00288 | C00080</t>
  </si>
  <si>
    <t>C20641 | C00013 | C00001</t>
  </si>
  <si>
    <t>https://www.genome.jp/dbget-bin/www_bget?ec:7.1.2.2</t>
  </si>
  <si>
    <t>https://www.genome.jp/entry/R00086</t>
  </si>
  <si>
    <t>C00008 | C00009</t>
  </si>
  <si>
    <t>https://www.genome.jp/dbget-bin/www_bget?ec:2.8.1.7</t>
  </si>
  <si>
    <t>https://www.genome.jp/entry/R07460/R11528/R11529</t>
  </si>
  <si>
    <t>C15811 | C00097</t>
  </si>
  <si>
    <t>C15812 | C00041</t>
  </si>
  <si>
    <t>https://www.genome.jp/dbget-bin/www_bget?ec:3.2.1.17</t>
  </si>
  <si>
    <t>https://www.genome.jp/dbget-bin/www_bget?ec:6.5.1.2</t>
  </si>
  <si>
    <t>https://www.genome.jp/entry/R00382</t>
  </si>
  <si>
    <t xml:space="preserve">C00003 | C00039(n) | C02128(m) </t>
  </si>
  <si>
    <t>C00020 | C00455 | C00039(n+m)</t>
  </si>
  <si>
    <t>https://www.genome.jp/dbget-bin/www_bget?ec:2.7.1.11</t>
  </si>
  <si>
    <t>https://www.genome.jp/entry/R04779/R00756/R00767/R00769/R00770/R01843/R03236/R03237/R03238/R03239</t>
  </si>
  <si>
    <t>C00008 | C05378</t>
  </si>
  <si>
    <t>C00002 | C05345</t>
  </si>
  <si>
    <t>https://www.genome.jp/dbget-bin/www_bget?ec:4.2.1.9</t>
  </si>
  <si>
    <t>https://www.genome.jp/entry/R01209/R04441/R05070</t>
  </si>
  <si>
    <t>C04039</t>
  </si>
  <si>
    <t>C00141 | C00001</t>
  </si>
  <si>
    <t>https://www.genome.jp/dbget-bin/www_bget?ec:1.1.1.86</t>
  </si>
  <si>
    <t>https://www.genome.jp/entry/R04439/R03051/R04440/R05068/R05069/R05071</t>
  </si>
  <si>
    <t xml:space="preserve">C04272 | C00006 </t>
  </si>
  <si>
    <t>C06010 | C00005 | C00080</t>
  </si>
  <si>
    <t>https://www.genome.jp/dbget-bin/www_bget?ec:1.1.1.95</t>
  </si>
  <si>
    <t>https://www.genome.jp/entry/R01513/R08198</t>
  </si>
  <si>
    <t>C00197 | C00003</t>
  </si>
  <si>
    <t>C03232 | C00004 | C00080</t>
  </si>
  <si>
    <t>https://www.genome.jp/dbget-bin/www_bget?ec:1.1.1.85</t>
  </si>
  <si>
    <t>https://www.genome.jp/entry/R01652/R04426/R10052/R00994</t>
  </si>
  <si>
    <t>C00233 | C00011</t>
  </si>
  <si>
    <t>C04236</t>
  </si>
  <si>
    <t>https://www.genome.jp/dbget-bin/www_bget?ec:5.4.4.2</t>
  </si>
  <si>
    <t>https://www.genome.jp/entry/R01717</t>
  </si>
  <si>
    <t>C00885</t>
  </si>
  <si>
    <t>https://www.genome.jp/dbget-bin/www_bget?ec:6.1.1.17</t>
  </si>
  <si>
    <t>https://www.genome.jp/entry/R05578</t>
  </si>
  <si>
    <t xml:space="preserve">C01641 | C00025 | C00002 </t>
  </si>
  <si>
    <t>C02987 | C00013 | C00020</t>
  </si>
  <si>
    <t>https://www.genome.jp/dbget-bin/www_bget?ec:4.2.1.33</t>
  </si>
  <si>
    <t>https://www.genome.jp/entry/R03968/R04001/R10170</t>
  </si>
  <si>
    <t>C02504</t>
  </si>
  <si>
    <t>C02631 | C00001</t>
  </si>
  <si>
    <t>https://www.genome.jp/dbget-bin/www_bget?ec:1.1.1.94</t>
  </si>
  <si>
    <t>https://www.genome.jp/entry/R00842/R00844</t>
  </si>
  <si>
    <t>C00093 | C00003</t>
  </si>
  <si>
    <t>C00111 | C00004 | C00080</t>
  </si>
  <si>
    <t>https://www.genome.jp/dbget-bin/www_bget?ec:6.3.2.4</t>
  </si>
  <si>
    <t>https://www.genome.jp/entry/R01150</t>
  </si>
  <si>
    <t>C00002 | 2 C00133</t>
  </si>
  <si>
    <t>C00008 | C00009 | C00993</t>
  </si>
  <si>
    <t>https://www.genome.jp/dbget-bin/www_bget?ec:2.7.4.16</t>
  </si>
  <si>
    <t>https://www.genome.jp/entry/R00617</t>
  </si>
  <si>
    <t>C00002 | C01081</t>
  </si>
  <si>
    <t>C00008 | C00068</t>
  </si>
  <si>
    <t>https://www.genome.jp/dbget-bin/www_bget?ec:3.2.2.27</t>
  </si>
  <si>
    <t>https://www.genome.jp/dbget-bin/www_bget?ec:2.1.1.171</t>
  </si>
  <si>
    <t>https://www.genome.jp/entry/R07234</t>
  </si>
  <si>
    <t>C00021 | C04153</t>
  </si>
  <si>
    <t>https://www.genome.jp/dbget-bin/www_bget?ec:2.7.7.3</t>
  </si>
  <si>
    <t>https://www.genome.jp/entry/R03035</t>
  </si>
  <si>
    <t>C00002 | C01134</t>
  </si>
  <si>
    <t>C00013 | C00882</t>
  </si>
  <si>
    <t>https://www.genome.jp/dbget-bin/www_bget?ec:2.7.1.24</t>
  </si>
  <si>
    <t>https://www.genome.jp/entry/R00130</t>
  </si>
  <si>
    <t>C00002 | C00882</t>
  </si>
  <si>
    <t>C00008 | C00010</t>
  </si>
  <si>
    <t>https://www.genome.jp/dbget-bin/www_bget?ec:6.1.1.20</t>
  </si>
  <si>
    <t>https://www.genome.jp/entry/R03660</t>
  </si>
  <si>
    <t>C00002 | C00079 | C01648</t>
  </si>
  <si>
    <t>C00020 | C00013 | C03511</t>
  </si>
  <si>
    <t>https://www.genome.jp/dbget-bin/www_bget?ec:1.2.1.38</t>
  </si>
  <si>
    <t>https://www.genome.jp/entry/R03443</t>
  </si>
  <si>
    <t>C01250 | C00009 | C00006</t>
  </si>
  <si>
    <t>C04133 | C00005 | C00080</t>
  </si>
  <si>
    <t>https://www.genome.jp/dbget-bin/www_bget?ec:2.7.2.8</t>
  </si>
  <si>
    <t>https://www.genome.jp/entry/R02649</t>
  </si>
  <si>
    <t>C00002 | C00624</t>
  </si>
  <si>
    <t>C00008 | C04133</t>
  </si>
  <si>
    <t>https://www.genome.jp/dbget-bin/www_bget?ec:2.6.1.11</t>
  </si>
  <si>
    <t>https://www.genome.jp/entry/R02283</t>
  </si>
  <si>
    <t>C00437 | C00026</t>
  </si>
  <si>
    <t>C01250 | C00025</t>
  </si>
  <si>
    <t>https://www.genome.jp/dbget-bin/www_bget?ec:2.1.3.3</t>
  </si>
  <si>
    <t>https://www.genome.jp/entry/R01398</t>
  </si>
  <si>
    <t>C00169 | C00077</t>
  </si>
  <si>
    <t>https://www.genome.jp/dbget-bin/www_bget?ec:6.3.4.5</t>
  </si>
  <si>
    <t>https://www.genome.jp/entry/R01954</t>
  </si>
  <si>
    <t>C00002 | C00327 | C00049</t>
  </si>
  <si>
    <t>C00020 | C00013 | C03406</t>
  </si>
  <si>
    <t>https://www.genome.jp/dbget-bin/www_bget?ec:4.3.2.1</t>
  </si>
  <si>
    <t>https://www.genome.jp/entry/R01086</t>
  </si>
  <si>
    <t>C03406</t>
  </si>
  <si>
    <t>C00122 | C00062</t>
  </si>
  <si>
    <t>https://www.genome.jp/dbget-bin/www_bget?enzyme+4.3.1.28</t>
  </si>
  <si>
    <t>https://www.genome.jp/entry/R10277</t>
  </si>
  <si>
    <t>C00047</t>
  </si>
  <si>
    <t>C00408 | C00014</t>
  </si>
  <si>
    <t>C00009 | C00327</t>
  </si>
  <si>
    <t>https://www.genome.jp/dbget-bin/www_bget?ec:2.8.1.10</t>
  </si>
  <si>
    <t>https://www.genome.jp/entry/R10247</t>
  </si>
  <si>
    <t>C11437 | C15809 | C15814</t>
  </si>
  <si>
    <t>C20246 | C15810 | 2 C00001</t>
  </si>
  <si>
    <t>https://www.genome.jp/dbget-bin/www_bget?ec:1.4.99.5</t>
  </si>
  <si>
    <t>https://www.genome.jp/entry/R05704/R00374</t>
  </si>
  <si>
    <t>C00037 | 2 C00028</t>
  </si>
  <si>
    <t>C01326 | C00011 | 2 C00030</t>
  </si>
  <si>
    <t>https://www.genome.jp/dbget-bin/www_bget?ec:4.1.99.17</t>
  </si>
  <si>
    <t>https://www.genome.jp/entry/R03472</t>
  </si>
  <si>
    <t>C03373 | C00019</t>
  </si>
  <si>
    <t>C04556 | C05198 | C00073 | C00058 | C00237</t>
  </si>
  <si>
    <t>https://www.genome.jp/dbget-bin/www_bget?ec:6.1.1.1</t>
  </si>
  <si>
    <t>https://www.genome.jp/entry/R02918</t>
  </si>
  <si>
    <t>C00002 | C00082 | C00787</t>
  </si>
  <si>
    <t>C00020 | C00013 | C02839</t>
  </si>
  <si>
    <t>https://www.genome.jp/dbget-bin/www_bget?ec:2.1.1.226</t>
  </si>
  <si>
    <t>https://www.genome.jp/dbget-bin/www_bget?ec:2.7.1.23</t>
  </si>
  <si>
    <t>https://www.genome.jp/entry/R00104</t>
  </si>
  <si>
    <t>C00002 | C00003</t>
  </si>
  <si>
    <t>C00008 | C00006</t>
  </si>
  <si>
    <t>https://www.genome.jp/dbget-bin/www_bget?ec:3.6.1.13</t>
  </si>
  <si>
    <t>https://www.genome.jp/entry/R01054</t>
  </si>
  <si>
    <t>C00301 | C00001</t>
  </si>
  <si>
    <t>C00020 | C00117</t>
  </si>
  <si>
    <t>https://www.genome.jp/dbget-bin/www_bget?ec:2.7.4.25</t>
  </si>
  <si>
    <t>https://www.genome.jp/entry/R00512/R01665</t>
  </si>
  <si>
    <t xml:space="preserve">C00002 | C00055 </t>
  </si>
  <si>
    <t>C00008 | C00112</t>
  </si>
  <si>
    <t>https://www.genome.jp/dbget-bin/www_bget?ec:7.6.2.2</t>
  </si>
  <si>
    <t>https://www.genome.jp/dbget-bin/www_bget?ec:1.1.1.44</t>
  </si>
  <si>
    <t>https://www.genome.jp/entry/R01528</t>
  </si>
  <si>
    <t>C00345 | C00006</t>
  </si>
  <si>
    <t xml:space="preserve"> C00199 | C00011 | C00005 | C00080</t>
  </si>
  <si>
    <t>https://www.genome.jp/dbget-bin/www_bget?ec:2.1.1.11</t>
  </si>
  <si>
    <t>https://www.genome.jp/entry/R04237</t>
  </si>
  <si>
    <t>C00021 | C04536</t>
  </si>
  <si>
    <t>C00019 | C03516</t>
  </si>
  <si>
    <t>https://www.genome.jp/dbget-bin/www_bget?enzyme+2.7.1.49</t>
  </si>
  <si>
    <t>https://www.genome.jp/entry/R03471</t>
  </si>
  <si>
    <t>C00008 | C04556</t>
  </si>
  <si>
    <t xml:space="preserve">C00002 | C01279 </t>
  </si>
  <si>
    <t>https://www.genome.jp/entry/2.7.1.50</t>
  </si>
  <si>
    <t>https://www.genome.jp/entry/R04448</t>
  </si>
  <si>
    <t xml:space="preserve">C00002 | C04294 </t>
  </si>
  <si>
    <t>C00008 | C04327</t>
  </si>
  <si>
    <t>https://www.genome.jp/dbget-bin/www_bget?ec:2.4.1.54</t>
  </si>
  <si>
    <t>https://www.genome.jp/entry/R07257</t>
  </si>
  <si>
    <t>C00096 | C17556</t>
  </si>
  <si>
    <t>C00035 | C15542</t>
  </si>
  <si>
    <t>https://www.genome.jp/dbget-bin/www_bget?ec:3.4.13.9</t>
  </si>
  <si>
    <t>https://www.genome.jp/dbget-bin/www_bget?ec:2.1.1.220</t>
  </si>
  <si>
    <t>https://www.genome.jp/dbget-bin/www_bget?enzyme+6.3.4.3</t>
  </si>
  <si>
    <t>https://www.genome.jp/entry/R00943</t>
  </si>
  <si>
    <t>C00101 | C00058 | C00002</t>
  </si>
  <si>
    <t>C00008 | C00009 | C00234</t>
  </si>
  <si>
    <t>https://www.genome.jp/dbget-bin/www_bget?ec:4.3.1.1</t>
  </si>
  <si>
    <t>https://www.genome.jp/entry/R00490</t>
  </si>
  <si>
    <t>C00049</t>
  </si>
  <si>
    <t>C00122 | C00014</t>
  </si>
  <si>
    <t>https://www.genome.jp/dbget-bin/www_bget?ec:2.4.2.17</t>
  </si>
  <si>
    <t>https://www.genome.jp/entry/R01071</t>
  </si>
  <si>
    <t>C02739 | C00013</t>
  </si>
  <si>
    <t>C00002 | C00119</t>
  </si>
  <si>
    <t>https://www.genome.jp/dbget-bin/www_bget?ec:6.3.1.13</t>
  </si>
  <si>
    <t>https://www.genome.jp/entry/R09591</t>
  </si>
  <si>
    <t>C19702 | C00097 | C00002</t>
  </si>
  <si>
    <t>C19703 | C00020 | C00013</t>
  </si>
  <si>
    <t>https://www.genome.jp/dbget-bin/www_bget?enzyme+3.6.1.27</t>
  </si>
  <si>
    <t>https://www.genome.jp/entry/R05627</t>
  </si>
  <si>
    <t>C04574 | C00001</t>
  </si>
  <si>
    <t>C17556 | C00009</t>
  </si>
  <si>
    <t>https://www.genome.jp/dbget-bin/www_bget?ec:1.3.5.2</t>
  </si>
  <si>
    <t>https://www.genome.jp/entry/R01868</t>
  </si>
  <si>
    <t>C00337 | C15602</t>
  </si>
  <si>
    <t>C00295 | C15603</t>
  </si>
  <si>
    <t>https://www.genome.jp/dbget-bin/www_bget?ec:4.99.1.1</t>
  </si>
  <si>
    <t>https://www.genome.jp/dbget-bin/www_bget?ec:4.2.1.3</t>
  </si>
  <si>
    <t>https://www.genome.jp/entry/R01324/R01325/R01900</t>
  </si>
  <si>
    <t>C00158</t>
  </si>
  <si>
    <t>C00311</t>
  </si>
  <si>
    <t>C00417 | C00001</t>
  </si>
  <si>
    <t>https://www.genome.jp/dbget-bin/www_bget?ec:2.2.1.1</t>
  </si>
  <si>
    <t>https://www.genome.jp/entry/R01641/R01067/R01830/R06590/R06861/R06863</t>
  </si>
  <si>
    <t>C00117 | C00231</t>
  </si>
  <si>
    <t>C00085 | C00118</t>
  </si>
  <si>
    <t>C00279 | C00231</t>
  </si>
  <si>
    <t>C12214 | C00117</t>
  </si>
  <si>
    <t>C12215 | C05382</t>
  </si>
  <si>
    <t>C00231 | C00068</t>
  </si>
  <si>
    <t>C13378 | C00118</t>
  </si>
  <si>
    <t>C13378 | C00117</t>
  </si>
  <si>
    <t>C05382 | C00118</t>
  </si>
  <si>
    <t>C05345 | C00118</t>
  </si>
  <si>
    <t>C05382 | C00068</t>
  </si>
  <si>
    <t>https://www.genome.jp/dbget-bin/www_bget?ec:2.2.1.2</t>
  </si>
  <si>
    <t>https://www.genome.jp/entry/R08575/R01827</t>
  </si>
  <si>
    <t>C00279 | C00085</t>
  </si>
  <si>
    <t>C00279 | C05345</t>
  </si>
  <si>
    <t>https://www.genome.jp/dbget-bin/www_bget?ec:3.1.1.31</t>
  </si>
  <si>
    <t>https://www.genome.jp/entry/R02035</t>
  </si>
  <si>
    <t>C01236 | C00001</t>
  </si>
  <si>
    <t>C00345</t>
  </si>
  <si>
    <t>https://www.genome.jp/dbget-bin/www_bget?ec:1.1.1.49</t>
  </si>
  <si>
    <t>https://www.genome.jp/entry/R00835/R02736</t>
  </si>
  <si>
    <t>C00092 | C00006</t>
  </si>
  <si>
    <t>C01236 | C00005 | C00080</t>
  </si>
  <si>
    <t xml:space="preserve">C01172 | C00006 </t>
  </si>
  <si>
    <t xml:space="preserve"> C01236 | C00005 | C00080</t>
  </si>
  <si>
    <t>https://www.genome.jp/dbget-bin/www_bget?ec:5.3.1.1</t>
  </si>
  <si>
    <t>https://www.genome.jp/entry/R01015</t>
  </si>
  <si>
    <t>C00118</t>
  </si>
  <si>
    <t>C00111</t>
  </si>
  <si>
    <t>https://www.genome.jp/dbget-bin/www_bget?ec:2.7.2.3</t>
  </si>
  <si>
    <t>https://www.genome.jp/entry/R01512</t>
  </si>
  <si>
    <t>C00002 | C00197</t>
  </si>
  <si>
    <t>C00008 | C00236</t>
  </si>
  <si>
    <t>https://www.genome.jp/dbget-bin/www_bget?ec:1.2.1.12</t>
  </si>
  <si>
    <t>https://www.genome.jp/entry/R01061</t>
  </si>
  <si>
    <t>C00118 | C00009 | C00003</t>
  </si>
  <si>
    <t>C00236 | C00004 | C00080</t>
  </si>
  <si>
    <t>https://www.genome.jp/dbget-bin/www_bget?ec:3.5.1.28</t>
  </si>
  <si>
    <t>https://www.genome.jp/entry/R04112</t>
  </si>
  <si>
    <t>C02999 | C00001</t>
  </si>
  <si>
    <t>C02713 | C00041</t>
  </si>
  <si>
    <t>https://www.genome.jp/dbget-bin/www_bget?ec:1.8.1.9</t>
  </si>
  <si>
    <t>https://www.genome.jp/entry/R02016/R00900/R03596/R09372</t>
  </si>
  <si>
    <t>C00342 | C00006</t>
  </si>
  <si>
    <t>C00343 | C00005 | C00080</t>
  </si>
  <si>
    <t>https://www.genome.jp/dbget-bin/www_bget?ec:5.1.3.2</t>
  </si>
  <si>
    <t>https://www.genome.jp/entry/R00291/R00418/R02984</t>
  </si>
  <si>
    <t>C00029</t>
  </si>
  <si>
    <t>C00052</t>
  </si>
  <si>
    <t>C00043</t>
  </si>
  <si>
    <t>C00203</t>
  </si>
  <si>
    <t>C02097</t>
  </si>
  <si>
    <t>https://www.genome.jp/dbget-bin/www_bget?ec:2.5.1.78</t>
  </si>
  <si>
    <t>https://www.genome.jp/entry/R04457</t>
  </si>
  <si>
    <t>C04732 | C15556</t>
  </si>
  <si>
    <t>C04332 | 2 C00001 | C00009</t>
  </si>
  <si>
    <t>https://www.genome.jp/dbget-bin/www_bget?ec:2.5.1.9</t>
  </si>
  <si>
    <t>https://www.genome.jp/entry/R00066</t>
  </si>
  <si>
    <t>2 C04332</t>
  </si>
  <si>
    <t>C00255 | C04732</t>
  </si>
  <si>
    <t>https://www.genome.jp/dbget-bin/www_bget?ec:5.1.3.1</t>
  </si>
  <si>
    <t>https://www.genome.jp/entry/R01529</t>
  </si>
  <si>
    <t>C00199</t>
  </si>
  <si>
    <t>C00231</t>
  </si>
  <si>
    <t>https://www.genome.jp/dbget-bin/www_bget?ec:2.1.1.176</t>
  </si>
  <si>
    <t>https://www.genome.jp/dbget-bin/www_bget?ec:2.1.2.9</t>
  </si>
  <si>
    <t>https://www.genome.jp/entry/R03940</t>
  </si>
  <si>
    <t>C02430 | C00234</t>
  </si>
  <si>
    <t>C00101 | C03294</t>
  </si>
  <si>
    <t>https://www.genome.jp/dbget-bin/www_bget?ec:3.5.1.88</t>
  </si>
  <si>
    <t>https://www.genome.jp/entry/R05635/R04268</t>
  </si>
  <si>
    <t>C11439 | C00001</t>
  </si>
  <si>
    <t>C11440 | C00058</t>
  </si>
  <si>
    <t>C04258 | C00001</t>
  </si>
  <si>
    <t>C00058 | C03617</t>
  </si>
  <si>
    <t>2.5.1.6</t>
  </si>
  <si>
    <t>https://www.genome.jp/dbget-bin/www_bget?ec:2.5.1.6</t>
  </si>
  <si>
    <t>https://www.genome.jp/entry/R00177/R04771</t>
  </si>
  <si>
    <t xml:space="preserve">C00009 | C00013 | C00019 </t>
  </si>
  <si>
    <t>C00002 | C00073 | C00001</t>
  </si>
  <si>
    <t>C00002 | C05335 | C00001</t>
  </si>
  <si>
    <t>C00009 | C00013 | C05691</t>
  </si>
  <si>
    <t>https://www.genome.jp/dbget-bin/www_bget?ec:2.7.4.8</t>
  </si>
  <si>
    <t>https://www.genome.jp/entry/R00332/R02090/R12852</t>
  </si>
  <si>
    <t>C00002 | C00144</t>
  </si>
  <si>
    <t>C00008 | C00035</t>
  </si>
  <si>
    <t>C00002 | C00362</t>
  </si>
  <si>
    <t>C00008 | C00361</t>
  </si>
  <si>
    <t>C22441 | C00002</t>
  </si>
  <si>
    <t>C22442 | C00008</t>
  </si>
  <si>
    <t>https://www.genome.jp/dbget-bin/www_bget?ec:6.3.5.5</t>
  </si>
  <si>
    <t>https://www.genome.jp/entry/R00256/R00575/R01395/R10948/R10949/R07641</t>
  </si>
  <si>
    <t>C00064 | C00001</t>
  </si>
  <si>
    <t>C00025 | C00014</t>
  </si>
  <si>
    <t>2 C00002 | C00064 | C00288 | C00001</t>
  </si>
  <si>
    <t>2 C00008 | C00009 | C00025 | C00169</t>
  </si>
  <si>
    <t>C00002 | C01563</t>
  </si>
  <si>
    <t>C00008 | C00169</t>
  </si>
  <si>
    <t>C00002 | C00288</t>
  </si>
  <si>
    <t>C00008 | C20969</t>
  </si>
  <si>
    <t>C00014 | C20969</t>
  </si>
  <si>
    <t>C01563 | C00009</t>
  </si>
  <si>
    <t>2 C00002 | C00288 | C00014</t>
  </si>
  <si>
    <t>2 C00008 | C00009 | C00169</t>
  </si>
  <si>
    <t>https://www.genome.jp/dbget-bin/www_bget?ec:3.5.2.3</t>
  </si>
  <si>
    <t>https://www.genome.jp/entry/R01993</t>
  </si>
  <si>
    <t>C00337 | C00001</t>
  </si>
  <si>
    <t>C00438</t>
  </si>
  <si>
    <t>https://www.genome.jp/dbget-bin/www_bget?ec:2.1.3.2</t>
  </si>
  <si>
    <t>https://www.genome.jp/entry/R01397</t>
  </si>
  <si>
    <t>C00169 | C00049</t>
  </si>
  <si>
    <t>C00009 | C00438</t>
  </si>
  <si>
    <t>https://www.genome.jp/dbget-bin/www_bget?ec:4.2.1.10</t>
  </si>
  <si>
    <t>https://www.genome.jp/entry/R03084</t>
  </si>
  <si>
    <t>C00944</t>
  </si>
  <si>
    <t>C02637 | C00001</t>
  </si>
  <si>
    <t>https://www.genome.jp/dbget-bin/www_bget?ec:4.2.3.4</t>
  </si>
  <si>
    <t>https://www.genome.jp/entry/R03083</t>
  </si>
  <si>
    <t>C04691</t>
  </si>
  <si>
    <t>C00944 | C00009</t>
  </si>
  <si>
    <t>https://www.genome.jp/dbget-bin/www_bget?ec:2.7.1.71</t>
  </si>
  <si>
    <t>https://www.genome.jp/entry/R02412</t>
  </si>
  <si>
    <t>C00002 | C00493</t>
  </si>
  <si>
    <t>C00008 | C03175</t>
  </si>
  <si>
    <t>https://www.genome.jp/dbget-bin/www_bget?ec:4.2.3.5</t>
  </si>
  <si>
    <t>https://www.genome.jp/entry/R01714</t>
  </si>
  <si>
    <t>C01269</t>
  </si>
  <si>
    <t>C00251 | C00009</t>
  </si>
  <si>
    <t>https://www.genome.jp/dbget-bin/www_bget?ec:1.1.1.25</t>
  </si>
  <si>
    <t>https://www.genome.jp/entry/R02413/R12885</t>
  </si>
  <si>
    <t xml:space="preserve">C00493 | C00006 </t>
  </si>
  <si>
    <t>C02637 | C00005 | C00080</t>
  </si>
  <si>
    <t>C02637 | C00006</t>
  </si>
  <si>
    <t>C22438 | C00005 | C00080</t>
  </si>
  <si>
    <t>https://www.genome.jp/dbget-bin/www_bget?ec:6.1.1.7</t>
  </si>
  <si>
    <t>https://www.genome.jp/entry/R03038</t>
  </si>
  <si>
    <t>C00002 | C00041 | C01635</t>
  </si>
  <si>
    <t>00020 | C00013 | C00886</t>
  </si>
  <si>
    <t>https://www.genome.jp/dbget-bin/www_bget?ec:6.1.1.12</t>
  </si>
  <si>
    <t>https://www.genome.jp/entry/R05577</t>
  </si>
  <si>
    <t>C01638 | C00049 | C00002</t>
  </si>
  <si>
    <t>C02984 | C00013 | C00020</t>
  </si>
  <si>
    <t>https://www.genome.jp/dbget-bin/www_bget?ec:1.14.14.3</t>
  </si>
  <si>
    <t>https://www.genome.jp/entry/R10551</t>
  </si>
  <si>
    <t xml:space="preserve">C00609 | C01847 | C00007 </t>
  </si>
  <si>
    <t>C00638 | C00205 | C00061 | C00001</t>
  </si>
  <si>
    <t>https://www.genome.jp/dbget-bin/www_bget?ec:1.5.1.38</t>
  </si>
  <si>
    <t>https://www.genome.jp/entry/R05706</t>
  </si>
  <si>
    <t>C01847 | C00006</t>
  </si>
  <si>
    <t>C00061 | C00005 | C00080</t>
  </si>
  <si>
    <t>https://www.genome.jp/dbget-bin/www_bget?ec:4.3.1.17</t>
  </si>
  <si>
    <t>https://www.genome.jp/entry/R00220/R00590/R11099/R11100/R06131</t>
  </si>
  <si>
    <t>C00065</t>
  </si>
  <si>
    <t>C00022 | C00014</t>
  </si>
  <si>
    <t>C02218 | C00001</t>
  </si>
  <si>
    <t>C20904 | C00001</t>
  </si>
  <si>
    <t>C02218</t>
  </si>
  <si>
    <t>C20904</t>
  </si>
  <si>
    <t>C05167</t>
  </si>
  <si>
    <t>C00161 | C00014</t>
  </si>
  <si>
    <t>https://www.genome.jp/dbget-bin/www_bget?ec:6.1.1.21</t>
  </si>
  <si>
    <t>https://www.genome.jp/entry/R03655</t>
  </si>
  <si>
    <t xml:space="preserve">C00002 | C00135 | C01643 </t>
  </si>
  <si>
    <t>C00020 | C00013 | C02988</t>
  </si>
  <si>
    <t>https://www.genome.jp/dbget-bin/www_bget?ec:1.15.1.1</t>
  </si>
  <si>
    <t>https://www.genome.jp/entry/R00275</t>
  </si>
  <si>
    <t>2 C00704 | 2 C00080</t>
  </si>
  <si>
    <t>C00027 | C00007</t>
  </si>
  <si>
    <t xml:space="preserve">2 C00704 | 2 C00080 </t>
  </si>
  <si>
    <t>https://www.genome.jp/dbget-bin/www_bget?ec:2.4.2.7</t>
  </si>
  <si>
    <t>https://www.genome.jp/entry/R00190/R04378</t>
  </si>
  <si>
    <t>C00147 | C00119</t>
  </si>
  <si>
    <t>C04677 | C00013</t>
  </si>
  <si>
    <t>C04051 | C00119</t>
  </si>
  <si>
    <t>https://www.genome.jp/dbget-bin/www_bget?ec:3.1.22.4</t>
  </si>
  <si>
    <t>https://www.genome.jp/dbget-bin/www_bget?ec:2.4.1.345</t>
  </si>
  <si>
    <t>https://www.genome.jp/entry/R11702/R12038</t>
  </si>
  <si>
    <t>C00096 | C01194</t>
  </si>
  <si>
    <t>C00035 | C21606</t>
  </si>
  <si>
    <t>G10614 | C01194</t>
  </si>
  <si>
    <t>G10620 | G11291</t>
  </si>
  <si>
    <t>https://www.genome.jp/dbget-bin/www_bget?enzyme+1.20.9.1</t>
  </si>
  <si>
    <t>https://www.genome.jp/entry/R05751/R09787</t>
  </si>
  <si>
    <t>C06697 | C00001 | 2 C05357</t>
  </si>
  <si>
    <t>C11215 | 2 C05358 | 2 C00080</t>
  </si>
  <si>
    <t>C06697 | C00001 | 2 C00125</t>
  </si>
  <si>
    <t>C11215 | 2 C00126 | 2 C00080</t>
  </si>
  <si>
    <t>https://www.genome.jp/dbget-bin/www_bget?ec:1.11.1.24</t>
  </si>
  <si>
    <t>https://www.genome.jp/entry/R12570</t>
  </si>
  <si>
    <t>C00343 | C00001 | C01335</t>
  </si>
  <si>
    <t>C00342 | C15498</t>
  </si>
  <si>
    <t>5.6.2.6</t>
  </si>
  <si>
    <t>https://www.genome.jp/entry/5.6.2.6</t>
  </si>
  <si>
    <t>5.6.2.7</t>
  </si>
  <si>
    <t>https://www.genome.jp/entry/5.6.2.7</t>
  </si>
  <si>
    <t>https://www.genome.jp/dbget-bin/www_bget?ec:2.7.8.11</t>
  </si>
  <si>
    <t>https://www.genome.jp/entry/R01802</t>
  </si>
  <si>
    <t>C00269 | C00137</t>
  </si>
  <si>
    <t>C00055 | C01194</t>
  </si>
  <si>
    <t>https://www.genome.jp/dbget-bin/www_bget?ec:2.7.7.53</t>
  </si>
  <si>
    <t>https://www.genome.jp/entry/R00126/R01618</t>
  </si>
  <si>
    <t>C00008 | C00002</t>
  </si>
  <si>
    <t>C00009 | C01260</t>
  </si>
  <si>
    <t>00224 | C00002</t>
  </si>
  <si>
    <t>C00059 | C01260</t>
  </si>
  <si>
    <t>https://www.genome.jp/dbget-bin/www_bget?enzyme+6.1.1.3</t>
  </si>
  <si>
    <t>https://www.genome.jp/entry/R03663</t>
  </si>
  <si>
    <t>C00002 | C00188 | C01651</t>
  </si>
  <si>
    <t>C00020 | C00013 | C02992</t>
  </si>
  <si>
    <t>https://www.genome.jp/dbget-bin/www_bget?ec:2.4.2.47</t>
  </si>
  <si>
    <t>5.6.2.5</t>
  </si>
  <si>
    <t>https://www.genome.jp/entry/5.6.2.5</t>
  </si>
  <si>
    <t>https://www.genome.jp/dbget-bin/www_bget?ec:1.8.4.12</t>
  </si>
  <si>
    <t>https://www.genome.jp/entry/R07607</t>
  </si>
  <si>
    <t xml:space="preserve">C03023 | C00343 | C00001 </t>
  </si>
  <si>
    <t>C15653 | C00342</t>
  </si>
  <si>
    <t>https://www.genome.jp/dbget-bin/www_bget?ec:1.13.11.49</t>
  </si>
  <si>
    <t>https://www.genome.jp/entry/R05721</t>
  </si>
  <si>
    <t xml:space="preserve">C00698 | C00007 </t>
  </si>
  <si>
    <t>C01486</t>
  </si>
  <si>
    <t>https://www.genome.jp/dbget-bin/www_bget?ec:3.1.13.5</t>
  </si>
  <si>
    <t>https://www.genome.jp/dbget-bin/www_bget?ec:2.2.1.7</t>
  </si>
  <si>
    <t>https://www.genome.jp/entry/R05636</t>
  </si>
  <si>
    <t xml:space="preserve">C00022 | C00118 </t>
  </si>
  <si>
    <t>C11437 | C00011</t>
  </si>
  <si>
    <t>https://www.genome.jp/dbget-bin/www_bget?ec:3.6.1.23</t>
  </si>
  <si>
    <t>https://www.genome.jp/entry/R02100/R11896</t>
  </si>
  <si>
    <t>C00460 | C00001</t>
  </si>
  <si>
    <t>C00365 | C00013</t>
  </si>
  <si>
    <t>C21751 | C00001</t>
  </si>
  <si>
    <t>C04242 | C00013</t>
  </si>
  <si>
    <t>https://www.genome.jp/entry/2.7.1.63</t>
  </si>
  <si>
    <t>https://www.genome.jp/entry/R02185/R02187/R02189</t>
  </si>
  <si>
    <t>C00404 | C00031</t>
  </si>
  <si>
    <t>C00404 | C00092</t>
  </si>
  <si>
    <t xml:space="preserve">C00404 | C00221 </t>
  </si>
  <si>
    <t>C00404 | C01172</t>
  </si>
  <si>
    <t>C00404 | C00267</t>
  </si>
  <si>
    <t>C00404 | C00668</t>
  </si>
  <si>
    <t>https://www.genome.jp/dbget-bin/www_bget?ec:3.4.21.88</t>
  </si>
  <si>
    <t>https://www.genome.jp/dbget-bin/www_bget?ec:2.7.3.9</t>
  </si>
  <si>
    <t>https://www.genome.jp/entry/R02628</t>
  </si>
  <si>
    <t>C00074 | C00615</t>
  </si>
  <si>
    <t>C00022 | C04261</t>
  </si>
  <si>
    <t>https://www.genome.jp/dbget-bin/www_bget?ec:2.7.1.144</t>
  </si>
  <si>
    <t>https://www.genome.jp/entry/R03236</t>
  </si>
  <si>
    <t xml:space="preserve">C01097 | C00002 </t>
  </si>
  <si>
    <t>C03785 | C00008</t>
  </si>
  <si>
    <t>https://www.genome.jp/dbget-bin/www_bget?ec:5.1.1.7</t>
  </si>
  <si>
    <t>https://www.genome.jp/entry/R02735</t>
  </si>
  <si>
    <t>C00666</t>
  </si>
  <si>
    <t>https://www.genome.jp/dbget-bin/www_bget?ec:2.5.1.75</t>
  </si>
  <si>
    <t>https://www.genome.jp/entry/R01122</t>
  </si>
  <si>
    <t>00235 | C17324</t>
  </si>
  <si>
    <t>C00013 | C04432</t>
  </si>
  <si>
    <t>https://www.genome.jp/dbget-bin/www_bget?ec:2.7.8.5</t>
  </si>
  <si>
    <t>https://www.genome.jp/entry/R01801</t>
  </si>
  <si>
    <t>C00269 | C00093</t>
  </si>
  <si>
    <t>C00055 | C03892</t>
  </si>
  <si>
    <t>https://www.genome.jp/dbget-bin/www_bget?ec:4.3.3.7</t>
  </si>
  <si>
    <t>https://www.genome.jp/entry/R10147</t>
  </si>
  <si>
    <t>C00441 | C00022</t>
  </si>
  <si>
    <t>C20258 | C00001</t>
  </si>
  <si>
    <t>https://www.genome.jp/dbget-bin/www_bget?ec:2.7.1.2</t>
  </si>
  <si>
    <t>https://www.genome.jp/entry/R00299/R01600/R01786</t>
  </si>
  <si>
    <t>C00002 | C00031</t>
  </si>
  <si>
    <t>C00002 | C00221</t>
  </si>
  <si>
    <t>C00002 | C00267</t>
  </si>
  <si>
    <t>C00008 | C01172</t>
  </si>
  <si>
    <t>C00008 | C00092</t>
  </si>
  <si>
    <t>C00008 | C00668</t>
  </si>
  <si>
    <t>https://www.genome.jp/dbget-bin/www_bget?ec:3.5.99.6</t>
  </si>
  <si>
    <t>https://www.genome.jp/entry/R00765</t>
  </si>
  <si>
    <t>C00352 | C00001</t>
  </si>
  <si>
    <t>C00085 | C00014</t>
  </si>
  <si>
    <t>https://www.genome.jp/dbget-bin/www_bget?ec:4.1.1.32</t>
  </si>
  <si>
    <t>https://www.genome.jp/entry/R00431/R00726</t>
  </si>
  <si>
    <t>C00044 | C00036</t>
  </si>
  <si>
    <t>C00035 | C00074 | C00011</t>
  </si>
  <si>
    <t xml:space="preserve">C00081 | C00036 </t>
  </si>
  <si>
    <t>C00104 | C00074 | C00011</t>
  </si>
  <si>
    <t>https://www.genome.jp/dbget-bin/www_bget?ec:2.1.1.33</t>
  </si>
  <si>
    <t>https://www.genome.jp/entry/R00600</t>
  </si>
  <si>
    <t>C00019 | C01977</t>
  </si>
  <si>
    <t>C00021 | C04160</t>
  </si>
  <si>
    <t>https://www.genome.jp/dbget-bin/www_bget?ec:2.3.1.41</t>
  </si>
  <si>
    <t>https://www.genome.jp/entry/R02768/R04355/R04726/R04952/R04957/R04960/R04963/R04968/R07762/R10115/R10119</t>
  </si>
  <si>
    <t>C00685 | C00011 | C00229</t>
  </si>
  <si>
    <t>C00173 | C01209</t>
  </si>
  <si>
    <t>C03939 | C01209</t>
  </si>
  <si>
    <t>C05744 | C00011 | C00229</t>
  </si>
  <si>
    <t>C05223 | C01209</t>
  </si>
  <si>
    <t>C05759 | C00011 | C00229</t>
  </si>
  <si>
    <t xml:space="preserve">C05745 | C01209 </t>
  </si>
  <si>
    <t>C05746 | C00011 | C00229</t>
  </si>
  <si>
    <t>C05749 | C01209</t>
  </si>
  <si>
    <t>C05750 | C00011 | C00229</t>
  </si>
  <si>
    <t xml:space="preserve">C05752 | C01209 </t>
  </si>
  <si>
    <t>C05753 | C00011 | C00229</t>
  </si>
  <si>
    <t>C05755 | C01209</t>
  </si>
  <si>
    <t>C05756 | C00011 | C00229</t>
  </si>
  <si>
    <t>C05761 | C01209</t>
  </si>
  <si>
    <t>C05762 | C00011 | C00229</t>
  </si>
  <si>
    <t>C05764 | C01209</t>
  </si>
  <si>
    <t>C16219 | C00229 | C00011</t>
  </si>
  <si>
    <t>C19673 | C01209</t>
  </si>
  <si>
    <t>C20372 | C00011 | C00229</t>
  </si>
  <si>
    <t>C20375 | C01209</t>
  </si>
  <si>
    <t>C20376 | C00011 | C00229</t>
  </si>
  <si>
    <t>https://www.genome.jp/dbget-bin/www_bget?enzyme+2.4.2.45</t>
  </si>
  <si>
    <t>https://www.genome.jp/entry/R10095</t>
  </si>
  <si>
    <t>C02970 | C00119</t>
  </si>
  <si>
    <t>C20352 | C00013</t>
  </si>
  <si>
    <t>https://www.genome.jp/dbget-bin/www_bget?ec:5.4.99.25</t>
  </si>
  <si>
    <t>https://www.genome.jp/dbget-bin/www_bget?enzyme+2.7.7.8</t>
  </si>
  <si>
    <t>https://www.genome.jp/entry/R07282/R00437/R00438/R00439/R00440</t>
  </si>
  <si>
    <t>C00046 | C00009</t>
  </si>
  <si>
    <t>C00046 | C00454</t>
  </si>
  <si>
    <t>C00046 | C00008</t>
  </si>
  <si>
    <t>C00046 | C00015</t>
  </si>
  <si>
    <t>C00046 | C00035</t>
  </si>
  <si>
    <t>C00046 | C00112</t>
  </si>
  <si>
    <t>https://www.genome.jp/dbget-bin/www_bget?ec:2.7.8.7</t>
  </si>
  <si>
    <t>https://www.genome.jp/entry/R01625</t>
  </si>
  <si>
    <t>C00010 | C03688</t>
  </si>
  <si>
    <t>C00054 | C00229</t>
  </si>
  <si>
    <t>https://www.genome.jp/dbget-bin/www_bget?ec:6.1.1.15</t>
  </si>
  <si>
    <t>https://www.genome.jp/entry/R03661</t>
  </si>
  <si>
    <t xml:space="preserve">C00002 | C00148 | C01649 </t>
  </si>
  <si>
    <t>C00020 | C00013 | C02702</t>
  </si>
  <si>
    <t>https://www.genome.jp/dbget-bin/www_bget?ec:1.1.5.4</t>
  </si>
  <si>
    <t>https://www.genome.jp/entry/R00361/R00360/R01257</t>
  </si>
  <si>
    <t xml:space="preserve">C00149 | C15602 </t>
  </si>
  <si>
    <t>C00149 | C00007</t>
  </si>
  <si>
    <t>C00036 | C00027</t>
  </si>
  <si>
    <t xml:space="preserve">C00149 | C00016 </t>
  </si>
  <si>
    <t>C00036 | C01352</t>
  </si>
  <si>
    <t>https://www.genome.jp/dbget-bin/www_bget?ec:1.8.1.15</t>
  </si>
  <si>
    <t>https://www.genome.jp/entry/R05715/R05716/R06289/R06290</t>
  </si>
  <si>
    <t xml:space="preserve">2 C06717 | C00003 </t>
  </si>
  <si>
    <t>C11502 | C00004 | C00080</t>
  </si>
  <si>
    <t xml:space="preserve">2 C06717 | C00006 </t>
  </si>
  <si>
    <t>C11502 | C00005 | C00080</t>
  </si>
  <si>
    <t>2 G11174 | C00003</t>
  </si>
  <si>
    <t>G11175 | C00004 | C00080</t>
  </si>
  <si>
    <t>2 G11174 | C00006</t>
  </si>
  <si>
    <t>G11175 | C00005 | C00080</t>
  </si>
  <si>
    <t>https://www.genome.jp/dbget-bin/www_bget?ec:1.17.7.1</t>
  </si>
  <si>
    <t>https://www.genome.jp/entry/R08689</t>
  </si>
  <si>
    <t>C11453 | 2 C00138</t>
  </si>
  <si>
    <t>C11811 | C00001 | 2 C00139</t>
  </si>
  <si>
    <t>https://www.genome.jp/dbget-bin/www_bget?ec:1.1.1.267</t>
  </si>
  <si>
    <t>https://www.genome.jp/entry/R05688</t>
  </si>
  <si>
    <t>C11434 | C00006</t>
  </si>
  <si>
    <t>C11437 | C00005 | C00080</t>
  </si>
  <si>
    <t>https://www.genome.jp/dbget-bin/www_bget?ec:2.7.7.41</t>
  </si>
  <si>
    <t>https://www.genome.jp/entry/R01799</t>
  </si>
  <si>
    <t>C00063 | C00416</t>
  </si>
  <si>
    <t>C00013 | C00269</t>
  </si>
  <si>
    <t>https://www.genome.jp/dbget-bin/www_bget?ec:2.7.4.22</t>
  </si>
  <si>
    <t>https://www.genome.jp/entry/R00158</t>
  </si>
  <si>
    <t xml:space="preserve">C00002 | C00105 </t>
  </si>
  <si>
    <t>C00008 | C00015</t>
  </si>
  <si>
    <t>https://www.genome.jp/dbget-bin/www_bget?ec:3.1.26.4</t>
  </si>
  <si>
    <t>https://www.genome.jp/dbget-bin/www_bget?ec:3.4.21.89</t>
  </si>
  <si>
    <t>https://www.genome.jp/dbget-bin/www_bget?ec:2.1.1.228</t>
  </si>
  <si>
    <t>https://www.genome.jp/entry/R00597</t>
  </si>
  <si>
    <t xml:space="preserve">C00019 | C01977 </t>
  </si>
  <si>
    <t>C00021 | C04157</t>
  </si>
  <si>
    <t>https://www.genome.jp/dbget-bin/www_bget?ec:3.6.1.7</t>
  </si>
  <si>
    <t>https://www.genome.jp/entry/R00539/R00317/R01421/R01515</t>
  </si>
  <si>
    <t>C02133 | C00001</t>
  </si>
  <si>
    <t>C00060 | C00009</t>
  </si>
  <si>
    <t xml:space="preserve">C00227 | C00001 </t>
  </si>
  <si>
    <t>C00033 | C00009</t>
  </si>
  <si>
    <t>C06206 | C00001</t>
  </si>
  <si>
    <t>C00180 | C00009</t>
  </si>
  <si>
    <t>C00236 | C00001</t>
  </si>
  <si>
    <t>C00197 | C00009</t>
  </si>
  <si>
    <t>https://www.genome.jp/dbget-bin/www_bget?ec:3.2.2.23</t>
  </si>
  <si>
    <t>https://www.genome.jp/dbget-bin/www_bget?ec:3.1.26.3</t>
  </si>
  <si>
    <t>https://www.genome.jp/dbget-bin/www_bget?ec:1.4.1.2</t>
  </si>
  <si>
    <t>https://www.genome.jp/entry/R00243/R00145/R00146</t>
  </si>
  <si>
    <t>C00025 | C00003 | C00001</t>
  </si>
  <si>
    <t>C00026 | C00014 | C00004 | C00080</t>
  </si>
  <si>
    <t xml:space="preserve">C05167 | C00001 | C00003 </t>
  </si>
  <si>
    <t>C00161 | C00014 | C00004 | C00080</t>
  </si>
  <si>
    <t>C05167 | C00001 | C00006</t>
  </si>
  <si>
    <t>C00161 | C00014 | C00005 | C00080</t>
  </si>
  <si>
    <t>https://www.genome.jp/dbget-bin/www_bget?ec:2.7.1.165</t>
  </si>
  <si>
    <t>https://www.genome.jp/entry/R08572</t>
  </si>
  <si>
    <t>C00258 | C00002</t>
  </si>
  <si>
    <t>C00631 | C00008</t>
  </si>
  <si>
    <t>https://www.genome.jp/dbget-bin/www_bget?ec:2.7.1.40</t>
  </si>
  <si>
    <t>https://www.genome.jp/entry/R00200/R00430/R00572/R00659/R00724/R01138/R01858/R02320</t>
  </si>
  <si>
    <t>C00002 | C00022</t>
  </si>
  <si>
    <t>C00008 | C00074</t>
  </si>
  <si>
    <t>C00044 | C00022</t>
  </si>
  <si>
    <t>C00035 | C00074</t>
  </si>
  <si>
    <t xml:space="preserve">C00063 | C00022 </t>
  </si>
  <si>
    <t>00112 | C00074</t>
  </si>
  <si>
    <t>C00075 | C00022</t>
  </si>
  <si>
    <t>C00015 | C00074</t>
  </si>
  <si>
    <t xml:space="preserve">C00081 | C00022 </t>
  </si>
  <si>
    <t>C00104 | C00074</t>
  </si>
  <si>
    <t xml:space="preserve">C00131 | C00022 </t>
  </si>
  <si>
    <t xml:space="preserve"> C00206 | C00074</t>
  </si>
  <si>
    <t>C00286 | C00022</t>
  </si>
  <si>
    <t>C00361 | C00074</t>
  </si>
  <si>
    <t>C00201 | C00022</t>
  </si>
  <si>
    <t>C00454 | C00074</t>
  </si>
  <si>
    <t>https://www.genome.jp/dbget-bin/www_bget?ec:4.1.1.48</t>
  </si>
  <si>
    <t>https://www.genome.jp/entry/R03508</t>
  </si>
  <si>
    <t>C01302</t>
  </si>
  <si>
    <t>C03506 | C00011 | C00001</t>
  </si>
  <si>
    <t>https://www.genome.jp/dbget-bin/www_bget?ec:5.3.1.16</t>
  </si>
  <si>
    <t>https://www.genome.jp/entry/R04640</t>
  </si>
  <si>
    <t>C04896</t>
  </si>
  <si>
    <t>C04916</t>
  </si>
  <si>
    <t>https://www.genome.jp/dbget-bin/www_bget?ec:4.2.1.19</t>
  </si>
  <si>
    <t>https://www.genome.jp/entry/R03457</t>
  </si>
  <si>
    <t xml:space="preserve">C04666 </t>
  </si>
  <si>
    <t>C01267 | C00001</t>
  </si>
  <si>
    <t>https://www.genome.jp/dbget-bin/www_bget?ec:2.6.1.9</t>
  </si>
  <si>
    <t>https://www.genome.jp/entry/R03243/R00694/R00734</t>
  </si>
  <si>
    <t>C01100 | C00026</t>
  </si>
  <si>
    <t>C01267 | C00025</t>
  </si>
  <si>
    <t>C00079 | C00026</t>
  </si>
  <si>
    <t>C00166 | C00025</t>
  </si>
  <si>
    <t xml:space="preserve">C00082 | C00026 </t>
  </si>
  <si>
    <t>C01179 | C00025</t>
  </si>
  <si>
    <t>https://www.genome.jp/dbget-bin/www_bget?ec:1.1.1.23</t>
  </si>
  <si>
    <t>https://www.genome.jp/entry/R01158/R01163/R03012</t>
  </si>
  <si>
    <t>C00860 | 2 C00003 | C00001</t>
  </si>
  <si>
    <t>C00135 | 2 C00004 | 2 C00080</t>
  </si>
  <si>
    <t>C01929 | C00001 | C00003</t>
  </si>
  <si>
    <t>C00135 | C00004 | C00080</t>
  </si>
  <si>
    <t>C00860 | C00003</t>
  </si>
  <si>
    <t>C01929 | C00004 | C00080</t>
  </si>
  <si>
    <t>https://www.genome.jp/entry/2.7.6.5</t>
  </si>
  <si>
    <t>https://www.genome.jp/entry/R00429</t>
  </si>
  <si>
    <t>C00002 | C00044</t>
  </si>
  <si>
    <t>C00020 | C04494</t>
  </si>
  <si>
    <t>https://www.genome.jp/dbget-bin/www_bget?ec:4.3.1.19</t>
  </si>
  <si>
    <t>https://www.genome.jp/entry/R00996/R11098/R11101/R00220/R06131</t>
  </si>
  <si>
    <t>C00188</t>
  </si>
  <si>
    <t>C00109 | C00014</t>
  </si>
  <si>
    <t>C20905 | C00001</t>
  </si>
  <si>
    <t>C17234</t>
  </si>
  <si>
    <t>C20905</t>
  </si>
  <si>
    <t>https://www.genome.jp/dbget-bin/www_bget?ec:5.4.99.23</t>
  </si>
  <si>
    <t>https://www.genome.jp/dbget-bin/www_bget?enzyme+3.4.23.36</t>
  </si>
  <si>
    <t>https://www.genome.jp/dbget-bin/www_bget?ec:3.5.1.1</t>
  </si>
  <si>
    <t>https://www.genome.jp/entry/R00485/R06134</t>
  </si>
  <si>
    <t xml:space="preserve">C00152 | C00001 </t>
  </si>
  <si>
    <t>C00049 | C00014</t>
  </si>
  <si>
    <t>C00241 | C00001</t>
  </si>
  <si>
    <t>C00060 | C00014</t>
  </si>
  <si>
    <t>00241 | C00001</t>
  </si>
  <si>
    <t>https://www.genome.jp/dbget-bin/www_bget?ec:6.1.1.5</t>
  </si>
  <si>
    <t>https://www.genome.jp/entry/R03656</t>
  </si>
  <si>
    <t>C00002 | C00407 | C01644</t>
  </si>
  <si>
    <t>C00020 | C00013 | C03127</t>
  </si>
  <si>
    <t>https://www.genome.jp/dbget-bin/www_bget?ec:6.3.2.9</t>
  </si>
  <si>
    <t>https://www.genome.jp/entry/R02783</t>
  </si>
  <si>
    <t xml:space="preserve">C00002 | C01212 | C00217 </t>
  </si>
  <si>
    <t>C00008 | C00009 | C00692</t>
  </si>
  <si>
    <t>https://www.genome.jp/dbget-bin/www_bget?ec:6.3.2.8</t>
  </si>
  <si>
    <t>https://www.genome.jp/entry/R03193</t>
  </si>
  <si>
    <t>C00002 | C01050 | C00041</t>
  </si>
  <si>
    <t>C00008 | C00009 | C01212</t>
  </si>
  <si>
    <t>https://www.genome.jp/dbget-bin/www_bget?ec:2.4.1.227</t>
  </si>
  <si>
    <t>https://www.genome.jp/entry/R05662/R06173/R05032/R06172/R06174</t>
  </si>
  <si>
    <t>C04851 | C00043</t>
  </si>
  <si>
    <t>C05893 | C00015</t>
  </si>
  <si>
    <t>G10552 | G10610</t>
  </si>
  <si>
    <t>G10553 | G10619</t>
  </si>
  <si>
    <t>C05897 | C00043</t>
  </si>
  <si>
    <t>C05898 | C00015</t>
  </si>
  <si>
    <t>G10551 | G10610</t>
  </si>
  <si>
    <t>G10550 | G10619</t>
  </si>
  <si>
    <t>G10556 | G10610</t>
  </si>
  <si>
    <t>G10555 | G10619</t>
  </si>
  <si>
    <t>https://www.genome.jp/dbget-bin/www_bget?ec:2.7.8.13</t>
  </si>
  <si>
    <t>https://www.genome.jp/entry/R05629/R05630</t>
  </si>
  <si>
    <t>C04702 | C17556</t>
  </si>
  <si>
    <t xml:space="preserve"> C00105 | C04851</t>
  </si>
  <si>
    <t>C04882 | C17556</t>
  </si>
  <si>
    <t>C00105 | C05897</t>
  </si>
  <si>
    <t>https://www.genome.jp/dbget-bin/www_bget?ec:6.3.2.10</t>
  </si>
  <si>
    <t>https://www.genome.jp/entry/R04573/R04617</t>
  </si>
  <si>
    <t>C00002 | C05892 | C00993</t>
  </si>
  <si>
    <t>C00008 | C00009 | C04702</t>
  </si>
  <si>
    <t>C00002 | C04877 | C00993</t>
  </si>
  <si>
    <t>C00008 | C00009 | C04882</t>
  </si>
  <si>
    <t>https://www.kegg.jp/dbget-bin/www_bget?ec:6.3.2.13</t>
  </si>
  <si>
    <t>https://www.kegg.jp/entry/R02788</t>
  </si>
  <si>
    <t>C00002 | C00692 | C00680</t>
  </si>
  <si>
    <t>C00008 | C00009 | C04877</t>
  </si>
  <si>
    <t>2.4.99.28</t>
  </si>
  <si>
    <t>https://www.genome.jp/entry/2.4.99.28</t>
  </si>
  <si>
    <t>https://www.genome.jp/entry/R06178/R06179/R04519/R06177</t>
  </si>
  <si>
    <t>C05893 | C11826</t>
  </si>
  <si>
    <t>C04574 | C11826</t>
  </si>
  <si>
    <t xml:space="preserve">G10553 | G10554(n) </t>
  </si>
  <si>
    <t>C04574 | G10554(n+1)</t>
  </si>
  <si>
    <t xml:space="preserve">C05898 | C11827 </t>
  </si>
  <si>
    <t>C04574 | C11827</t>
  </si>
  <si>
    <t>G10555 | G10557(n)</t>
  </si>
  <si>
    <t>C04574 | G10557(n+1)</t>
  </si>
  <si>
    <t>https://www.genome.jp/dbget-bin/www_bget?ec:2.1.1.199</t>
  </si>
  <si>
    <t>https://www.genome.jp/dbget-bin/www_bget?ec:2.5.1.10</t>
  </si>
  <si>
    <t>https://www.genome.jp/entry/R02003</t>
  </si>
  <si>
    <t xml:space="preserve">C00341 | C00129 </t>
  </si>
  <si>
    <t>C00013 | C00448</t>
  </si>
  <si>
    <t>https://www.genome.jp/dbget-bin/www_bget?ec:2.5.1.54</t>
  </si>
  <si>
    <t>https://www.genome.jp/entry/R01826</t>
  </si>
  <si>
    <t>C00074 | C00279 | C00001</t>
  </si>
  <si>
    <t>C04691 | C00009</t>
  </si>
  <si>
    <t>https://www.genome.jp/dbget-bin/www_bget?ec:7.1.1.9</t>
  </si>
  <si>
    <t>https://www.genome.jp/entry/R00081/R00082</t>
  </si>
  <si>
    <t>C00007 | 4 C00126 | 8 C00080</t>
  </si>
  <si>
    <t>4 C00125 | 2 C00001 | 4 C00080</t>
  </si>
  <si>
    <t xml:space="preserve">C00007 | 4 C01000 </t>
  </si>
  <si>
    <t>4 C00997 | 2 C00001</t>
  </si>
  <si>
    <t>C00007 | 4 C01000</t>
  </si>
  <si>
    <t>https://www.genome.jp/dbget-bin/www_bget?ec:6.3.5.4</t>
  </si>
  <si>
    <t>https://www.genome.jp/entry/R00256/R00483/R00578</t>
  </si>
  <si>
    <t>C00002 | C00049 | C00014</t>
  </si>
  <si>
    <t xml:space="preserve"> C00020 | C00013 | C00152</t>
  </si>
  <si>
    <t>C00002 | C00049 | C00064 | C00001</t>
  </si>
  <si>
    <t>C00020 | C00013 | C00152 | C00025</t>
  </si>
  <si>
    <t>https://www.genome.jp/dbget-bin/www_bget?ec:2.4.2.21</t>
  </si>
  <si>
    <t>https://www.genome.jp/entry/R04148</t>
  </si>
  <si>
    <t>C01185 | C03114</t>
  </si>
  <si>
    <t>C00253 | C04778 | C00080</t>
  </si>
  <si>
    <t>https://www.genome.jp/dbget-bin/www_bget?ec:2.6.1.42</t>
  </si>
  <si>
    <t>https://www.genome.jp/entry/R01090/R01214/R02199/R10991</t>
  </si>
  <si>
    <t>C00123 | C00026</t>
  </si>
  <si>
    <t>C00233 | C00025</t>
  </si>
  <si>
    <t>C00183 | C00026</t>
  </si>
  <si>
    <t>C00141 | C00025</t>
  </si>
  <si>
    <t>C00407 | C00026</t>
  </si>
  <si>
    <t>C00671 | C00025</t>
  </si>
  <si>
    <t xml:space="preserve">C02356 | C00026 </t>
  </si>
  <si>
    <t>C00109 | C00025</t>
  </si>
  <si>
    <t>https://www.genome.jp/dbget-bin/www_bget?ec:3.4.11.1</t>
  </si>
  <si>
    <t>C05729 | C00001</t>
  </si>
  <si>
    <t>C05726 | C00037</t>
  </si>
  <si>
    <t>https://www.genome.jp/dbget-bin/www_bget?ec:2.3.1.12</t>
  </si>
  <si>
    <t>https://www.genome.jp/entry/R02569</t>
  </si>
  <si>
    <t>C00024 | C15973</t>
  </si>
  <si>
    <t>C00010 | C16255</t>
  </si>
  <si>
    <t>https://www.genome.jp/dbget-bin/www_bget?ec:1.4.4.2</t>
  </si>
  <si>
    <t>https://www.genome.jp/entry/R03425</t>
  </si>
  <si>
    <t>C00037 | C02051</t>
  </si>
  <si>
    <t>C01242 | C00011</t>
  </si>
  <si>
    <t>https://www.genome.jp/dbget-bin/www_bget?ec:2.1.2.10</t>
  </si>
  <si>
    <t>https://www.genome.jp/entry/R04125/R02300</t>
  </si>
  <si>
    <t>C01242 | C00101</t>
  </si>
  <si>
    <t>C02972 | C00143 | C00014</t>
  </si>
  <si>
    <t>C03479</t>
  </si>
  <si>
    <t>C00445 | C00001</t>
  </si>
  <si>
    <t>https://www.genome.jp/dbget-bin/www_bget?ec:2.3.1.181</t>
  </si>
  <si>
    <t>https://www.genome.jp/entry/R07766/R12427/R12428/R07769</t>
  </si>
  <si>
    <t xml:space="preserve">C05752 | C16240 </t>
  </si>
  <si>
    <t>C16236 | C00229</t>
  </si>
  <si>
    <t xml:space="preserve">C05752 | C22158 </t>
  </si>
  <si>
    <t>C22160 | C00229</t>
  </si>
  <si>
    <t xml:space="preserve">C05752 | C22157 </t>
  </si>
  <si>
    <t>C22159 | C00229</t>
  </si>
  <si>
    <t>C16239 | C16240</t>
  </si>
  <si>
    <t>C16237 | C00229</t>
  </si>
  <si>
    <t>https://www.genome.jp/dbget-bin/www_bget?2.8.1.8</t>
  </si>
  <si>
    <t>https://www.genome.jp/entry/R07767/R12423/R12424</t>
  </si>
  <si>
    <t>C16236 | C22154 | 2 C00019 | 2 C22150 | 8 C00080</t>
  </si>
  <si>
    <t>C16832 | C22155 | 2 C00283 | 4 C14818 | 2 C00073 | 2 C05198 | 2 C22151</t>
  </si>
  <si>
    <t>C22160 | C22154 | 2 C00019 | 2 C22150 | 8 C00080</t>
  </si>
  <si>
    <t xml:space="preserve"> C15973 | C22155 | 2 C00283 | 4 C14818 | 2 C00073 | 2 C05198 | 2 C22151</t>
  </si>
  <si>
    <t>C22159 | C22154 | 2 C00019 | 2 C22150 | 8 C00080</t>
  </si>
  <si>
    <t>C02972 | C22155 | 2 C00283 | 4 C14818 | 2 C00073 | 2 C05198 | 2 C22151</t>
  </si>
  <si>
    <t>https://www.genome.jp/dbget-bin/www_bget?ec:6.3.1.2</t>
  </si>
  <si>
    <t>https://www.genome.jp/entry/R00253</t>
  </si>
  <si>
    <t>C00002 | C00025 | C00014</t>
  </si>
  <si>
    <t>C00008 | C00009 | C00064</t>
  </si>
  <si>
    <t>https://www.genome.jp/dbget-bin/www_bget?ec:4.2.3.1</t>
  </si>
  <si>
    <t>https://www.genome.jp/entry/R01466/R05086</t>
  </si>
  <si>
    <t>C01102 | C00001</t>
  </si>
  <si>
    <t>C00188 | C00009</t>
  </si>
  <si>
    <t>C06055 | C00001</t>
  </si>
  <si>
    <t>C06056 | C00009</t>
  </si>
  <si>
    <t>https://www.genome.jp/dbget-bin/www_bget?ec:7.6.2.8</t>
  </si>
  <si>
    <t>https://www.genome.jp/dbget-bin/www_bget?ec:2.7.7.42</t>
  </si>
  <si>
    <t>https://www.genome.jp/entry/R03473</t>
  </si>
  <si>
    <t xml:space="preserve">C00002 | C01281 </t>
  </si>
  <si>
    <t>C00013 | C01299</t>
  </si>
  <si>
    <t>https://www.genome.jp/dbget-bin/www_bget?ec:1.1.1.1</t>
  </si>
  <si>
    <t>https://www.genome.jp/entry/R00623/R00754/R02124/R02878/R04805/R04880/R05233/R05234/R06917/R06927/R08281/R08306/R08557/R08558/R10783/R00624/R08310/R02246/R07105</t>
  </si>
  <si>
    <t>C00226 | C00003</t>
  </si>
  <si>
    <t xml:space="preserve"> C00071 | C00004 | C00080</t>
  </si>
  <si>
    <t xml:space="preserve">C00469 | C00003 </t>
  </si>
  <si>
    <t>C00084 | C00004 | C00080</t>
  </si>
  <si>
    <t xml:space="preserve">C00473 | C00003 </t>
  </si>
  <si>
    <t>C00376 | C00004 | C00080</t>
  </si>
  <si>
    <t>C00756 | C00003</t>
  </si>
  <si>
    <t>C01545 | C00004 | C00080</t>
  </si>
  <si>
    <t xml:space="preserve">C05444 | C00003 </t>
  </si>
  <si>
    <t>C05445 | C00004 | C00080</t>
  </si>
  <si>
    <t>C05576 | C00003</t>
  </si>
  <si>
    <t>C05577 | C00004 | C00080</t>
  </si>
  <si>
    <t>C06611 | C00003</t>
  </si>
  <si>
    <t>C06613 | C00004 | C00080</t>
  </si>
  <si>
    <t>C06612 | C00003</t>
  </si>
  <si>
    <t>C16348 | C00004 | C00080</t>
  </si>
  <si>
    <t>C14089 | C00003</t>
  </si>
  <si>
    <t>C14090 | C00004 | C00080</t>
  </si>
  <si>
    <t xml:space="preserve">C02909 | C00003 </t>
  </si>
  <si>
    <t>C14099 | C00004 | C00080</t>
  </si>
  <si>
    <t>C07645 | C00004 | C00080</t>
  </si>
  <si>
    <t>C16551 | C00003</t>
  </si>
  <si>
    <t>C16586 | C00003</t>
  </si>
  <si>
    <t>C16587 | C00004 | C00080</t>
  </si>
  <si>
    <t>C00114 | C00003</t>
  </si>
  <si>
    <t>C00576 | C00004 | C00080</t>
  </si>
  <si>
    <t>C00114 | C00006</t>
  </si>
  <si>
    <t>C00576 | C00005 | C00080</t>
  </si>
  <si>
    <t>C16310 | C00004 | C00080</t>
  </si>
  <si>
    <t>C08492 | C00003</t>
  </si>
  <si>
    <t>C01612 | C00003</t>
  </si>
  <si>
    <t>C01450 | C00004 | C00080</t>
  </si>
  <si>
    <t>C16595 | C00003</t>
  </si>
  <si>
    <t>C16596 | C00004 | C00080</t>
  </si>
  <si>
    <t>C00418 | C00003</t>
  </si>
  <si>
    <t>C00772 | C00004 | C00080</t>
  </si>
  <si>
    <t>C06899 | C00004 | C00080</t>
  </si>
  <si>
    <t>C07490 | C00003 | C00001</t>
  </si>
  <si>
    <t>https://www.genome.jp/dbget-bin/www_bget?ec:3.5.4.16</t>
  </si>
  <si>
    <t>https://www.genome.jp/entry/R00424/R00428/R04639/R05046/R05048</t>
  </si>
  <si>
    <t>C00044 | C00001</t>
  </si>
  <si>
    <t>C04895 | C00058</t>
  </si>
  <si>
    <t>C05922</t>
  </si>
  <si>
    <t>C04895 | C00001</t>
  </si>
  <si>
    <t>C06148</t>
  </si>
  <si>
    <t>C05922 | C00001</t>
  </si>
  <si>
    <t>C05923 | C00058</t>
  </si>
  <si>
    <t xml:space="preserve">C05923 </t>
  </si>
  <si>
    <t>C05923</t>
  </si>
  <si>
    <t xml:space="preserve">C04895 | C00001 </t>
  </si>
  <si>
    <t>https://www.genome.jp/dbget-bin/www_bget?ec:1.2.4.1</t>
  </si>
  <si>
    <t>https://www.genome.jp/entry/R01699/R00014/R03270</t>
  </si>
  <si>
    <t>C00022 | C15972</t>
  </si>
  <si>
    <t>C16255 | C00011</t>
  </si>
  <si>
    <t>C00022 | C00068</t>
  </si>
  <si>
    <t>C05125 | C00011</t>
  </si>
  <si>
    <t xml:space="preserve">C05125 | C15972 </t>
  </si>
  <si>
    <t>C16255 | C00068</t>
  </si>
  <si>
    <t>https://www.genome.jp/dbget-bin/www_bget?ec:3.1.3.5</t>
  </si>
  <si>
    <t>https://www.genome.jp/entry/R07297/R00183/R00511/R00963/R01126/R01227/R02323/R02719/R03346/R01569/R01664/R01968/R02088/R02102/R12958</t>
  </si>
  <si>
    <t xml:space="preserve">C02520 | C00001 </t>
  </si>
  <si>
    <t>C00911 | C00009</t>
  </si>
  <si>
    <t xml:space="preserve">C00020 | C00001 </t>
  </si>
  <si>
    <t>C00212 | C00009</t>
  </si>
  <si>
    <t>C00055 | C00001</t>
  </si>
  <si>
    <t xml:space="preserve"> C00475 | C00009</t>
  </si>
  <si>
    <t xml:space="preserve">C00105 | C00001 </t>
  </si>
  <si>
    <t>C00299 | C00009</t>
  </si>
  <si>
    <t>C00130 | C00001</t>
  </si>
  <si>
    <t>C00294 | C00009</t>
  </si>
  <si>
    <t>C00144 | C00001</t>
  </si>
  <si>
    <t>C00387 | C00009</t>
  </si>
  <si>
    <t>C00455 | C00001</t>
  </si>
  <si>
    <t>C03150 | C00009</t>
  </si>
  <si>
    <t>C00655 | C00001</t>
  </si>
  <si>
    <t>C01762 | C00009</t>
  </si>
  <si>
    <t>C01185 | C00001</t>
  </si>
  <si>
    <t>C05841 | C00009</t>
  </si>
  <si>
    <t>C00364 | C00001</t>
  </si>
  <si>
    <t>C00214 | C00009</t>
  </si>
  <si>
    <t>C00239 | C00001</t>
  </si>
  <si>
    <t>C00881 | C00009</t>
  </si>
  <si>
    <t>C00362 | C00001</t>
  </si>
  <si>
    <t>C00330 | C00009</t>
  </si>
  <si>
    <t>C00360 | C00001</t>
  </si>
  <si>
    <t>C00559 | C00009</t>
  </si>
  <si>
    <t xml:space="preserve">C00365 | C00001 </t>
  </si>
  <si>
    <t>C00526 | C00009</t>
  </si>
  <si>
    <t>C06196 | C00001</t>
  </si>
  <si>
    <t>C05512 | C00009</t>
  </si>
  <si>
    <t>https://www.genome.jp/dbget-bin/www_bget?ec:2.3.1.47</t>
  </si>
  <si>
    <t>https://www.genome.jp/entry/R03210/R10124</t>
  </si>
  <si>
    <t>C01063 | C00041</t>
  </si>
  <si>
    <t>C01092 | C00010 | C00011</t>
  </si>
  <si>
    <t>C19845 | C00041</t>
  </si>
  <si>
    <t>C01092 | C00229 | C00011</t>
  </si>
  <si>
    <t>https://www.genome.jp/dbget-bin/www_bget?ec:6.2.1.14</t>
  </si>
  <si>
    <t>https://www.genome.jp/entry/R03209</t>
  </si>
  <si>
    <t>C00002 | C02656 | C00010</t>
  </si>
  <si>
    <t>C00020 | C00013 | C01063</t>
  </si>
  <si>
    <t>https://www.genome.jp/dbget-bin/www_bget?enzyme+1.2.1.79</t>
  </si>
  <si>
    <t>https://www.genome.jp/entry/R00714</t>
  </si>
  <si>
    <t xml:space="preserve">C00232 | C00006 | C00001 </t>
  </si>
  <si>
    <t>C00042 | C00005 | C00080</t>
  </si>
  <si>
    <t>C00232 | C00006 | C00001</t>
  </si>
  <si>
    <t>https://www.genome.jp/dbget-bin/www_bget?ec:2.8.3.5</t>
  </si>
  <si>
    <t>https://www.genome.jp/entry/R01780/R00410</t>
  </si>
  <si>
    <t>C00042 | C00264</t>
  </si>
  <si>
    <t>C00091 | C00164</t>
  </si>
  <si>
    <t>C00091 | C01656</t>
  </si>
  <si>
    <t>C00042 | C00332</t>
  </si>
  <si>
    <t>https://www.genome.jp/dbget-bin/www_bget?ec:2.3.1.9</t>
  </si>
  <si>
    <t>https://www.genome.jp/entry/R00238/R00927/R01177</t>
  </si>
  <si>
    <t>2 C00024</t>
  </si>
  <si>
    <t>C00010 | C00332</t>
  </si>
  <si>
    <t>C00100 | C00024</t>
  </si>
  <si>
    <t>C00010 | C03344</t>
  </si>
  <si>
    <t>C00024 | C00136</t>
  </si>
  <si>
    <t>C00010 | C05269</t>
  </si>
  <si>
    <t>https://www.genome.jp/dbget-bin/www_bget?ec:4.6.1.24</t>
  </si>
  <si>
    <t>https://www.genome.jp/dbget-bin/www_bget?ec:3.1.5.1</t>
  </si>
  <si>
    <t>https://www.genome.jp/entry/R01856</t>
  </si>
  <si>
    <t>C00286 | C00001</t>
  </si>
  <si>
    <t>C00330 | C00536</t>
  </si>
  <si>
    <t>https://www.genome.jp/dbget-bin/www_bget?ec:6.1.1.14</t>
  </si>
  <si>
    <t>https://www.genome.jp/entry/R03654</t>
  </si>
  <si>
    <t xml:space="preserve">C00002 | C00037 | C01642 </t>
  </si>
  <si>
    <t>C00020 | C00013 | C02412</t>
  </si>
  <si>
    <t>https://www.genome.jp/dbget-bin/www_bget?ec:2.5.1.88</t>
  </si>
  <si>
    <t>https://www.genome.jp/entry/R09731</t>
  </si>
  <si>
    <t>C16826 | n C00129</t>
  </si>
  <si>
    <t>n C00013 + C19853</t>
  </si>
  <si>
    <t>https://www.kegg.jp/entry/2.3.1.183</t>
  </si>
  <si>
    <t>https://www.kegg.jp/entry/R08938/R08871</t>
  </si>
  <si>
    <t xml:space="preserve">C00024 | C04650 </t>
  </si>
  <si>
    <t>C00010 | C17952</t>
  </si>
  <si>
    <t xml:space="preserve">C17962 | C00024 </t>
  </si>
  <si>
    <t>C17949 | C00010</t>
  </si>
  <si>
    <t>https://www.genome.jp/dbget-bin/www_bget?ec:2.7.2.1</t>
  </si>
  <si>
    <t>https://www.genome.jp/entry/R00315/R01353</t>
  </si>
  <si>
    <t>C00002 | C00033</t>
  </si>
  <si>
    <t>C00008 | C00227</t>
  </si>
  <si>
    <t>C00002 | C00163</t>
  </si>
  <si>
    <t>C00008 | C02876</t>
  </si>
  <si>
    <t>https://www.genome.jp/dbget-bin/www_bget?ec:2.3.1.8</t>
  </si>
  <si>
    <t>https://www.genome.jp/entry/R00230/R00921</t>
  </si>
  <si>
    <t>C00024 | C00009</t>
  </si>
  <si>
    <t>C00010 | C00227</t>
  </si>
  <si>
    <t>C00100 | C00009</t>
  </si>
  <si>
    <t>C02876 | C00010</t>
  </si>
  <si>
    <t>https://www.genome.jp/dbget-bin/www_bget?ec:1.18.1.2</t>
  </si>
  <si>
    <t>https://www.genome.jp/entry/R01195/R10159</t>
  </si>
  <si>
    <t>2 C00138 | C00006 | C00080</t>
  </si>
  <si>
    <t>2 C00139 | C00005</t>
  </si>
  <si>
    <t>2 C00662 | C00006 | C00080</t>
  </si>
  <si>
    <t>2 C00667 | C00005</t>
  </si>
  <si>
    <t>https://www.genome.jp/dbget-bin/www_bget?ec:6.3.4.4</t>
  </si>
  <si>
    <t>https://www.genome.jp/entry/R01135</t>
  </si>
  <si>
    <t>C00044 | C00130 | C00049</t>
  </si>
  <si>
    <t>C00035 | C00009 | C03794</t>
  </si>
  <si>
    <t>https://www.genome.jp/dbget-bin/www_bget?ec:3.5.1.49</t>
  </si>
  <si>
    <t>https://www.genome.jp/entry/R00524</t>
  </si>
  <si>
    <t>C00488 | C00001</t>
  </si>
  <si>
    <t>C00058 | C00014</t>
  </si>
  <si>
    <t>https://www.genome.jp/dbget-bin/www_bget?ec:2.7.1.35</t>
  </si>
  <si>
    <t>https://www.genome.jp/entry/R00174/R01909/R02493</t>
  </si>
  <si>
    <t>C00002 | C00250</t>
  </si>
  <si>
    <t>C00008 | C00018</t>
  </si>
  <si>
    <t>C00002 | C00314</t>
  </si>
  <si>
    <t xml:space="preserve"> C00008 | C00627</t>
  </si>
  <si>
    <t>00002 | C00534</t>
  </si>
  <si>
    <t>C00008 | C00647</t>
  </si>
  <si>
    <t>https://www.genome.jp/dbget-bin/www_bget?ec:2.1.1.193</t>
  </si>
  <si>
    <t>https://www.genome.jp/dbget-bin/www_bget?ec:1.3.98.3</t>
  </si>
  <si>
    <t>https://www.genome.jp/entry/R06895</t>
  </si>
  <si>
    <t>C03263 | 2 C00019</t>
  </si>
  <si>
    <t>C01079 | 2 C00011 | 2 C00073 | 2 C05198</t>
  </si>
  <si>
    <t>https://www.genome.jp/dbget-bin/www_bget?ec:5.3.3.2</t>
  </si>
  <si>
    <t>https://www.genome.jp/entry/R01123</t>
  </si>
  <si>
    <t>C01416 | C00001</t>
  </si>
  <si>
    <t>C12448 | C00180</t>
  </si>
  <si>
    <t>C16641 | C00001</t>
  </si>
  <si>
    <t>C11173 | C16836</t>
  </si>
  <si>
    <t xml:space="preserve">C16543 | C00001 </t>
  </si>
  <si>
    <t>C11173 | C16837</t>
  </si>
  <si>
    <t>C12650 | C00001</t>
  </si>
  <si>
    <t>C16635 | C16834 | C00011</t>
  </si>
  <si>
    <t>C07585 | C00001</t>
  </si>
  <si>
    <t>C07447 | C07446</t>
  </si>
  <si>
    <t>C07054 | C00001</t>
  </si>
  <si>
    <t>C07446 | C05361</t>
  </si>
  <si>
    <t>C16561 | C00001</t>
  </si>
  <si>
    <t>C11004 | C11735</t>
  </si>
  <si>
    <t>C07073 | C00001</t>
  </si>
  <si>
    <t>C11004 | C16647</t>
  </si>
  <si>
    <t xml:space="preserve">C01416 | C00001 </t>
  </si>
  <si>
    <t>C16543 | C00001</t>
  </si>
  <si>
    <t xml:space="preserve">C07054 | C00001 </t>
  </si>
  <si>
    <t xml:space="preserve">4.4.1.13 </t>
  </si>
  <si>
    <t>https://www.genome.jp/entry/4.4.1.13</t>
  </si>
  <si>
    <t>https://www.genome.jp/entry/R12188/R01286/R02408/R02953/R03528/R00782/R04941/R09366</t>
  </si>
  <si>
    <t>C02882 | C00001</t>
  </si>
  <si>
    <t>C00145 | C00014 | C00022</t>
  </si>
  <si>
    <t>C02291 | C00001</t>
  </si>
  <si>
    <t>C00155 | C00014 | C00022</t>
  </si>
  <si>
    <t>C00491 | C00001</t>
  </si>
  <si>
    <t>C00022 | C00014 | C01962</t>
  </si>
  <si>
    <t>C02749 | C00001</t>
  </si>
  <si>
    <t>C00812 | C00014 | C00022</t>
  </si>
  <si>
    <t>C01336 | C00014 | C00022</t>
  </si>
  <si>
    <t>C00097 | C00001</t>
  </si>
  <si>
    <t>C00283 | C00022 | C00014</t>
  </si>
  <si>
    <t xml:space="preserve">C05699 | C00001 </t>
  </si>
  <si>
    <t>C05698 | C00014 | C00022</t>
  </si>
  <si>
    <t xml:space="preserve">C05689 | C00001 </t>
  </si>
  <si>
    <t>C00022 | C00014 | C05703</t>
  </si>
  <si>
    <t>https://www.genome.jp/dbget-bin/www_bget?ec:1.14.13.107</t>
  </si>
  <si>
    <t>https://www.genome.jp/entry/R06398/R09385/R09389/R09393</t>
  </si>
  <si>
    <t>C06099 | C00004 | C00007 | C00080</t>
  </si>
  <si>
    <t>C07271 | C00003 | C00001</t>
  </si>
  <si>
    <t>C00521 | C00004 | C00080 | C00007</t>
  </si>
  <si>
    <t>C19081 | C00003 | C00001</t>
  </si>
  <si>
    <t>C00521 | C00005 | C00007 | C00080</t>
  </si>
  <si>
    <t>C19081 | C00006 | C00001</t>
  </si>
  <si>
    <t>C06099 | C00005 | C00007 | C00080</t>
  </si>
  <si>
    <t>C07271 | C00006 | C00001</t>
  </si>
  <si>
    <t>https://www.genome.jp/dbget-bin/www_bget?ec:3.1.4.3</t>
  </si>
  <si>
    <t>https://www.genome.jp/entry/R01312/R02027/R02052/R03332/R07381</t>
  </si>
  <si>
    <t>C00157 | C00001</t>
  </si>
  <si>
    <t>C00641 | C00588</t>
  </si>
  <si>
    <t>C00344 | C00001</t>
  </si>
  <si>
    <t>C00641 | C00093</t>
  </si>
  <si>
    <t xml:space="preserve">C00350 | C00001 </t>
  </si>
  <si>
    <t>C00641 | C00346</t>
  </si>
  <si>
    <t>C01194 | C00001</t>
  </si>
  <si>
    <t>C01177 | C00641</t>
  </si>
  <si>
    <t>C04756 | C00001</t>
  </si>
  <si>
    <t>C03454 | C00346</t>
  </si>
  <si>
    <t>https://www.genome.jp/dbget-bin/www_bget?ec:2.1.1.72</t>
  </si>
  <si>
    <t>https://www.genome.jp/entry/R02961</t>
  </si>
  <si>
    <t>C00019 | C00821</t>
  </si>
  <si>
    <t>C00021 | C03391</t>
  </si>
  <si>
    <t>https://www.genome.jp/dbget-bin/www_bget?ec:2.7.7.18</t>
  </si>
  <si>
    <t>https://www.genome.jp/entry/R03005/R00137</t>
  </si>
  <si>
    <t>C00002 | C01185</t>
  </si>
  <si>
    <t>C00013 | C00857</t>
  </si>
  <si>
    <t>C00002 | C00455</t>
  </si>
  <si>
    <t>C00013 | C00003</t>
  </si>
  <si>
    <t>https://www.genome.jp/dbget-bin/www_bget?ec:1.2.1.41</t>
  </si>
  <si>
    <t>https://www.genome.jp/entry/R03313</t>
  </si>
  <si>
    <t>C01165 | C00009 | C00006</t>
  </si>
  <si>
    <t>C03287 | C00005 | C00080</t>
  </si>
  <si>
    <t>https://www.genome.jp/dbget-bin/www_bget?ec:1.1.1.79</t>
  </si>
  <si>
    <t>https://www.genome.jp/entry/R00465/R01392/R02527</t>
  </si>
  <si>
    <t>C00160 | C00006</t>
  </si>
  <si>
    <t>C00048 | C00005 | C00080</t>
  </si>
  <si>
    <t>C00258 | C00006</t>
  </si>
  <si>
    <t>C00168 | C00005 | C00080</t>
  </si>
  <si>
    <t>C00937 | C00003</t>
  </si>
  <si>
    <t>C00546 | C00004 | C00080</t>
  </si>
  <si>
    <t>https://www.genome.jp/dbget-bin/www_bget?ec:2.7.2.11</t>
  </si>
  <si>
    <t>https://www.genome.jp/entry/R00239</t>
  </si>
  <si>
    <t>C00002 | C00025</t>
  </si>
  <si>
    <t>C00008 | C03287</t>
  </si>
  <si>
    <t>https://www.genome.jp/dbget-bin/www_bget?ec:5.4.99.9</t>
  </si>
  <si>
    <t>https://www.genome.jp/entry/R00505/R09009</t>
  </si>
  <si>
    <t>C03733</t>
  </si>
  <si>
    <t>C00935</t>
  </si>
  <si>
    <t>C18094</t>
  </si>
  <si>
    <t>https://www.genome.jp/dbget-bin/www_bget?ec:3.1.3.23</t>
  </si>
  <si>
    <t>https://www.genome.jp/entry/R00804</t>
  </si>
  <si>
    <t xml:space="preserve">C00934 | C00001 </t>
  </si>
  <si>
    <t>C11477 | C00009</t>
  </si>
  <si>
    <t>https://www.genome.jp/dbget-bin/www_bget?ec:2.7.1.30</t>
  </si>
  <si>
    <t>https://www.genome.jp/entry/R00847</t>
  </si>
  <si>
    <t xml:space="preserve">C00002 | C00116 </t>
  </si>
  <si>
    <t>C00008 | C00093</t>
  </si>
  <si>
    <t>https://www.genome.jp/dbget-bin/www_bget?ec:1.1.5.3</t>
  </si>
  <si>
    <t>https://www.genome.jp/entry/R00849/R08657/R00848</t>
  </si>
  <si>
    <t>C00093 | C15602</t>
  </si>
  <si>
    <t>C00111 | C15603</t>
  </si>
  <si>
    <t xml:space="preserve">C00093 | C00399 </t>
  </si>
  <si>
    <t>C00111 | C00390</t>
  </si>
  <si>
    <t>C00093 | C00016</t>
  </si>
  <si>
    <t>C00111 | C01352</t>
  </si>
  <si>
    <t>https://www.genome.jp/dbget-bin/www_bget?ec:6.1.1.11</t>
  </si>
  <si>
    <t>https://www.genome.jp/entry/R03662/R08218</t>
  </si>
  <si>
    <t>C00002 | C00065 | C01650</t>
  </si>
  <si>
    <t>C00020 | C00013 | C02553</t>
  </si>
  <si>
    <t>C00002 | C00065 | C16636</t>
  </si>
  <si>
    <t>C00020 | C00013 | C06481</t>
  </si>
  <si>
    <t>https://www.genome.jp/dbget-bin/www_bget?ec:3.1.3.73</t>
  </si>
  <si>
    <t>https://www.genome.jp/entry/R04594/R11173</t>
  </si>
  <si>
    <t>C04778 | C00001</t>
  </si>
  <si>
    <t>C05775 | C00009</t>
  </si>
  <si>
    <t>C21153 | C00001</t>
  </si>
  <si>
    <t xml:space="preserve"> C00194 | C00009</t>
  </si>
  <si>
    <t>https://www.genome.jp/dbget-bin/www_bget?enzyme+4.2.1.51</t>
  </si>
  <si>
    <t>https://www.genome.jp/entry/R01373/R00691</t>
  </si>
  <si>
    <t>C00166 | C00001 | C00011</t>
  </si>
  <si>
    <t>C00826</t>
  </si>
  <si>
    <t>C00079 | C00001 | C00011</t>
  </si>
  <si>
    <t>https://www.genome.jp/dbget-bin/www_bget?ec:3.5.1.13</t>
  </si>
  <si>
    <t>https://www.genome.jp/entry/R01862</t>
  </si>
  <si>
    <t>C01402 | C00001</t>
  </si>
  <si>
    <t>C00060 | C00292</t>
  </si>
  <si>
    <t>https://www.genome.jp/dbget-bin/www_bget?enzyme+3.1.4.46</t>
  </si>
  <si>
    <t>https://www.genome.jp/entry/R00857/R01030/R01470</t>
  </si>
  <si>
    <t>C03120 | C00001</t>
  </si>
  <si>
    <t>C00069 | C00093</t>
  </si>
  <si>
    <t xml:space="preserve">C00670 | C00001 </t>
  </si>
  <si>
    <t>C00114 | C00093</t>
  </si>
  <si>
    <t>C01233 | C00001</t>
  </si>
  <si>
    <t>C00189 | C00093</t>
  </si>
  <si>
    <t>https://www.genome.jp/dbget-bin/www_bget?ec:1.1.1.27</t>
  </si>
  <si>
    <t>https://www.genome.jp/entry/R00703/R01000/R03104</t>
  </si>
  <si>
    <t>C00186 | C00003</t>
  </si>
  <si>
    <t>C00022 | C00004 | C00080</t>
  </si>
  <si>
    <t>C05984 | C00003</t>
  </si>
  <si>
    <t>C00109 | C00004 | C00080</t>
  </si>
  <si>
    <t>C05823 | C00003</t>
  </si>
  <si>
    <t>C00957 | C00004 | C00080</t>
  </si>
  <si>
    <t>https://www.genome.jp/dbget-bin/www_bget?ec:1.8.4.11</t>
  </si>
  <si>
    <t>https://www.genome.jp/entry/R04120/R07606</t>
  </si>
  <si>
    <t>C03895 | C00342</t>
  </si>
  <si>
    <t>C00073 | C00343 | C00001</t>
  </si>
  <si>
    <t>C15999 | C00342</t>
  </si>
  <si>
    <t>https://www.genome.jp/dbget-bin/www_bget?ec:5.5.1.4</t>
  </si>
  <si>
    <t>https://www.genome.jp/entry/R07324</t>
  </si>
  <si>
    <t xml:space="preserve">C00092 </t>
  </si>
  <si>
    <t>C04006</t>
  </si>
  <si>
    <t>https://www.genome.jp/dbget-bin/www_bget?ec:1.17.4.1</t>
  </si>
  <si>
    <t>https://www.genome.jp/entry/R04294/R02017/R02018/R02019/R02024/R08363/R08364/R11893</t>
  </si>
  <si>
    <t>C04232 | C00343 | C00001</t>
  </si>
  <si>
    <t>C03723 | C00342</t>
  </si>
  <si>
    <t>C00206 | C00343 | C00001</t>
  </si>
  <si>
    <t>C00342 | C00008</t>
  </si>
  <si>
    <t>C01346 | C00343 | C00001</t>
  </si>
  <si>
    <t>C00342 | C00015</t>
  </si>
  <si>
    <t>C00361 | C00343 | C00001</t>
  </si>
  <si>
    <t>C00035 | C00342</t>
  </si>
  <si>
    <t>C00705 | C00343 | C00001</t>
  </si>
  <si>
    <t xml:space="preserve"> C00342 | C00112</t>
  </si>
  <si>
    <t>C04232 | C16664 | C00001</t>
  </si>
  <si>
    <t>C03723 | C16663</t>
  </si>
  <si>
    <t>C04232 | C03170 | C00001</t>
  </si>
  <si>
    <t>C03723 | C02090</t>
  </si>
  <si>
    <t>C21750 | C00343 | C00001</t>
  </si>
  <si>
    <t>C21748 | C00342</t>
  </si>
  <si>
    <t>https://www.genome.jp/dbget-bin/www_bget?ec:6.1.1.4</t>
  </si>
  <si>
    <t>https://www.genome.jp/entry/R03657</t>
  </si>
  <si>
    <t>C00002 | C00123 | C01645</t>
  </si>
  <si>
    <t>C00020 | C00013 | C02047</t>
  </si>
  <si>
    <t>https://www.genome.jp/dbget-bin/www_bget?ec:3.1.3.1</t>
  </si>
  <si>
    <t>https://www.genome.jp/entry/R00626/R02135/R03024/R01010/R04620</t>
  </si>
  <si>
    <t>C01153 | C00001</t>
  </si>
  <si>
    <t xml:space="preserve"> C00069 | C00009</t>
  </si>
  <si>
    <t>C01081 | C00001</t>
  </si>
  <si>
    <t>C00378 | C00009</t>
  </si>
  <si>
    <t>C03360 | C00001</t>
  </si>
  <si>
    <t>C00870 | C00009</t>
  </si>
  <si>
    <t>C00111 | C00001</t>
  </si>
  <si>
    <t>C00184 | C00009</t>
  </si>
  <si>
    <t>C04895 | 3 C00001</t>
  </si>
  <si>
    <t>C04874 | 3 C00009</t>
  </si>
  <si>
    <t>https://www.genome.jp/dbget-bin/www_bget?ec:4.1.3.27</t>
  </si>
  <si>
    <t>https://www.genome.jp/entry/R00986/R00985</t>
  </si>
  <si>
    <t>C00251 | C00064</t>
  </si>
  <si>
    <t>C00108 | C00022 | C00025</t>
  </si>
  <si>
    <t>C00251 | C00014</t>
  </si>
  <si>
    <t>C00108 | C00022 | C00001</t>
  </si>
  <si>
    <t>https://www.genome.jp/dbget-bin/www_bget?EC:4.2.1.20</t>
  </si>
  <si>
    <t>https://www.genome.jp/entry/R00674/R02340/R02722</t>
  </si>
  <si>
    <t>C00065 | C00463</t>
  </si>
  <si>
    <t>C00078 | C00001</t>
  </si>
  <si>
    <t>C03506</t>
  </si>
  <si>
    <t>C00463 | C00118</t>
  </si>
  <si>
    <t>C00065 | C03506</t>
  </si>
  <si>
    <t>C00078 | C00118 | C00001</t>
  </si>
  <si>
    <t>https://www.genome.jp/dbget-bin/www_bget?ec:2.7.7.72</t>
  </si>
  <si>
    <t>https://www.genome.jp/entry/R09382/R09383/R09384/R09386</t>
  </si>
  <si>
    <t>C02211 | 2 C00063 | C00002</t>
  </si>
  <si>
    <t>C02211 | C00063</t>
  </si>
  <si>
    <t>C19078 | C00013</t>
  </si>
  <si>
    <t>C19080 | C00013</t>
  </si>
  <si>
    <t xml:space="preserve">C19078 | C00063 </t>
  </si>
  <si>
    <t>C19085 | 3 C00013</t>
  </si>
  <si>
    <t>C19080 | C00002</t>
  </si>
  <si>
    <t>C19085 | C00013</t>
  </si>
  <si>
    <t>C00097 | C00051 | C00006</t>
  </si>
  <si>
    <t>C05526 | C00005</t>
  </si>
  <si>
    <t>C01528 | 3 C00006 | 3 C00001</t>
  </si>
  <si>
    <t>C05684 | 3 C00005 | 5 C00080</t>
  </si>
  <si>
    <t>2 C00005 | 2 C00080 | C18902</t>
  </si>
  <si>
    <t xml:space="preserve"> 2 C00006 | 2 C00001 | C05703</t>
  </si>
  <si>
    <t>https://www.genome.jp/dbget-bin/www_bget?ec:3.1.26.12</t>
  </si>
  <si>
    <t>https://www.genome.jp/dbget-bin/www_bget?ec:2.7.4.6</t>
  </si>
  <si>
    <t>https://www.genome.jp/entry/R00331/R00124/R00139/R00156/R00330/R00570/R00722/R01137/R01857/R02093/R02326/R02331/R03530/R12853/R11894/R11895</t>
  </si>
  <si>
    <t xml:space="preserve">C00002 + C00454 </t>
  </si>
  <si>
    <t>C00008 + C00201</t>
  </si>
  <si>
    <t>C00002 + C00008</t>
  </si>
  <si>
    <t xml:space="preserve"> C00008 + C00002</t>
  </si>
  <si>
    <t xml:space="preserve">C11038 + C00002 </t>
  </si>
  <si>
    <t>C11039 + C00008</t>
  </si>
  <si>
    <t>C00002 + C00015</t>
  </si>
  <si>
    <t>C00008 + C00075</t>
  </si>
  <si>
    <t>C00002 + C00035</t>
  </si>
  <si>
    <t>C00008 + C00044</t>
  </si>
  <si>
    <t>C00002 + C00112</t>
  </si>
  <si>
    <t>C00008 + C00063</t>
  </si>
  <si>
    <t xml:space="preserve">C00002 + C00104 </t>
  </si>
  <si>
    <t>C00008 + C00081</t>
  </si>
  <si>
    <t xml:space="preserve">C00002 + C00206 </t>
  </si>
  <si>
    <t>C00008 + C00131</t>
  </si>
  <si>
    <t xml:space="preserve">C00002 + C00361 </t>
  </si>
  <si>
    <t>C00008 + C00286</t>
  </si>
  <si>
    <t>C00002 + C00363</t>
  </si>
  <si>
    <t>C00008 + C00459</t>
  </si>
  <si>
    <t>C00002 + C00705</t>
  </si>
  <si>
    <t>C00008 + C00458</t>
  </si>
  <si>
    <t>C00002 + C01346</t>
  </si>
  <si>
    <t>C00008 + C00460</t>
  </si>
  <si>
    <t>C00002 + C01344</t>
  </si>
  <si>
    <t>C00008 + C01345</t>
  </si>
  <si>
    <t xml:space="preserve">C22442 + C00002 </t>
  </si>
  <si>
    <t>C22443 + C00008</t>
  </si>
  <si>
    <t>C00002 + C21748</t>
  </si>
  <si>
    <t>C00008 + C21749</t>
  </si>
  <si>
    <t>C00002 + C21750</t>
  </si>
  <si>
    <t>C00008 + C21751</t>
  </si>
  <si>
    <t>https://www.genome.jp/dbget-bin/www_bget?ec:6.3.2.17</t>
  </si>
  <si>
    <t>https://www.genome.jp/entry/R04241/R00942/R01654/R02237/R05197</t>
  </si>
  <si>
    <t xml:space="preserve">C00002 + C03541(n) + C00025 </t>
  </si>
  <si>
    <t>C00008 + C00009 + C03541(n+1)</t>
  </si>
  <si>
    <t>C00002 + C00101 + C00025</t>
  </si>
  <si>
    <t>C00008 + C00009 + C09332</t>
  </si>
  <si>
    <t>C00002 + C00234 + C00025</t>
  </si>
  <si>
    <t>C00008 + C00009 + C05928</t>
  </si>
  <si>
    <t>C00002 + C00921 + C00025</t>
  </si>
  <si>
    <t>C00008 + C00009 + C00415</t>
  </si>
  <si>
    <t>n-1 C00002 + C05928 + n-1 C00025</t>
  </si>
  <si>
    <t>n-1 C00008 + n-1 C00009 + C05929</t>
  </si>
  <si>
    <t>https://www.genome.jp/dbget-bin/www_bget?enzyme+6.1.1.9</t>
  </si>
  <si>
    <t>https://www.genome.jp/entry/R03665</t>
  </si>
  <si>
    <t xml:space="preserve">C00002 + C00183 + C01653 </t>
  </si>
  <si>
    <t>C00020 + C00013 + C02554</t>
  </si>
  <si>
    <t>https://www.genome.jp/dbget-bin/www_bget?ec:2.1.2.11</t>
  </si>
  <si>
    <t>https://www.genome.jp/entry/R01226/R01216</t>
  </si>
  <si>
    <t xml:space="preserve">C00143 + C00141 + C00001 </t>
  </si>
  <si>
    <t>C00101 + C00966</t>
  </si>
  <si>
    <t>C00966</t>
  </si>
  <si>
    <t>C00141 + C00067</t>
  </si>
  <si>
    <t>https://www.genome.jp/dbget-bin/www_bget?ec:6.3.2.1</t>
  </si>
  <si>
    <t>https://www.genome.jp/entry/R02473</t>
  </si>
  <si>
    <t xml:space="preserve">C00002 + C00522 + C00099 </t>
  </si>
  <si>
    <t xml:space="preserve"> C00020 + C00013 + C00864</t>
  </si>
  <si>
    <t>https://www.genome.jp/dbget-bin/www_bget?ec:6.3.1.5</t>
  </si>
  <si>
    <t>https://www.genome.jp/entry/R00189</t>
  </si>
  <si>
    <t xml:space="preserve">C00002 + C00857 + C00014 </t>
  </si>
  <si>
    <t>C00020 + C00013 + C00003</t>
  </si>
  <si>
    <t>https://www.genome.jp/dbget-bin/www_bget?ec:1.1.1.311</t>
  </si>
  <si>
    <t>https://www.genome.jp/entry/R05352</t>
  </si>
  <si>
    <t>C11348 + C00003</t>
  </si>
  <si>
    <t>C07113 + C00004 + C00080</t>
  </si>
  <si>
    <t>https://www.genome.jp/dbget-bin/www_bget?ec:1.1.1.37</t>
  </si>
  <si>
    <t>https://www.genome.jp/entry/R00342/R07136</t>
  </si>
  <si>
    <t>C00149 + C00003</t>
  </si>
  <si>
    <t>C00036 + C00004 + C00080</t>
  </si>
  <si>
    <t>C11537 + C00003</t>
  </si>
  <si>
    <t>C05528 + C00004 + C00080</t>
  </si>
  <si>
    <t>https://www.genome.jp/dbget-bin/www_bget?ec:3.4.21.92</t>
  </si>
  <si>
    <t>https://www.genome.jp/dbget-bin/www_bget?ec:1.1.1.346</t>
  </si>
  <si>
    <t>https://www.genome.jp/entry/R08878</t>
  </si>
  <si>
    <t>C15673 + C00006</t>
  </si>
  <si>
    <t>C02780 + C00005 + C00080</t>
  </si>
  <si>
    <t>https://www.genome.jp/dbget-bin/www_bget?ec:2.5.1.48</t>
  </si>
  <si>
    <t>https://www.genome.jp/entry/R03260/R00999/R01288/R02508/R03217/R04944/R04945/R04946</t>
  </si>
  <si>
    <t>C01118 + C00097</t>
  </si>
  <si>
    <t>C02291 + C00042</t>
  </si>
  <si>
    <t>C01118 + C00001</t>
  </si>
  <si>
    <t xml:space="preserve"> C00109 + C00042 + C00014</t>
  </si>
  <si>
    <t>C01118 + C00283</t>
  </si>
  <si>
    <t>C00155 + C00042</t>
  </si>
  <si>
    <t xml:space="preserve">C00542 + C00042 </t>
  </si>
  <si>
    <t>C01077 + C00097</t>
  </si>
  <si>
    <t>C02291 + C00033</t>
  </si>
  <si>
    <t>C05702 + C05688</t>
  </si>
  <si>
    <t>C05699 + C00009</t>
  </si>
  <si>
    <t xml:space="preserve">C01077 + C05688 </t>
  </si>
  <si>
    <t>C05699 + C00033</t>
  </si>
  <si>
    <t xml:space="preserve">C01118 + C05688 </t>
  </si>
  <si>
    <t>C05699 + C00042</t>
  </si>
  <si>
    <t>https://www.genome.jp/dbget-bin/www_bget?ec:5.3.1.6</t>
  </si>
  <si>
    <t>https://www.genome.jp/entry/R01056/R09030</t>
  </si>
  <si>
    <t>C00117</t>
  </si>
  <si>
    <t xml:space="preserve">C02962 </t>
  </si>
  <si>
    <t>C18096</t>
  </si>
  <si>
    <t>https://www.genome.jp/dbget-bin/www_bget?ec:1.4.1.1</t>
  </si>
  <si>
    <t>https://www.genome.jp/entry/R00396/R00145/R00146/R00365</t>
  </si>
  <si>
    <t>C00041 + C00003 + C00001</t>
  </si>
  <si>
    <t>C00022 + C00014 + C00004 + C00080</t>
  </si>
  <si>
    <t xml:space="preserve">C05167 + C00001 + C00003 </t>
  </si>
  <si>
    <t>C00161 + C00014 + C00004 + C00080</t>
  </si>
  <si>
    <t xml:space="preserve">C05167 + C00001 + C00006 </t>
  </si>
  <si>
    <t>C00161 + C00014 + C00005 + C00080</t>
  </si>
  <si>
    <t>C00037 + C00001 + C00003</t>
  </si>
  <si>
    <t>C00048 + C00014 + C00004 + C00080</t>
  </si>
  <si>
    <t>C01271 + C00006</t>
  </si>
  <si>
    <t>C00685 + C00005 + C00080</t>
  </si>
  <si>
    <t xml:space="preserve">C04618 + C00006 </t>
  </si>
  <si>
    <t>C05744 + C00005 + C00080</t>
  </si>
  <si>
    <t>C04619 + C00006</t>
  </si>
  <si>
    <t>C05753 + C00005</t>
  </si>
  <si>
    <t xml:space="preserve">C04620 + C00006 </t>
  </si>
  <si>
    <t>C05750 + C00005 + C00080</t>
  </si>
  <si>
    <t xml:space="preserve">C04633 + C00006 </t>
  </si>
  <si>
    <t>C05762 + C00005 + C00080</t>
  </si>
  <si>
    <t>C04688 + C00006</t>
  </si>
  <si>
    <t>C05759 + C00005 + C00080</t>
  </si>
  <si>
    <t xml:space="preserve">C05747 + C00006 </t>
  </si>
  <si>
    <t xml:space="preserve"> C05746 + C00005 + C00080</t>
  </si>
  <si>
    <t xml:space="preserve">C05757 + C00006 </t>
  </si>
  <si>
    <t>C05756 + C00005 + C00080</t>
  </si>
  <si>
    <t xml:space="preserve">C16219 + C00005 + C00080 </t>
  </si>
  <si>
    <t>C16220 + C00006</t>
  </si>
  <si>
    <t>C20372 + C00005 + C00080</t>
  </si>
  <si>
    <t>C20373 + C00006</t>
  </si>
  <si>
    <t>C20376 + C00005 + C00080</t>
  </si>
  <si>
    <t>C20377 + C00006</t>
  </si>
  <si>
    <t>https://www.genome.jp/dbget-bin/www_bget?ec:3.5.1.2</t>
  </si>
  <si>
    <t>https://www.genome.jp/entry/R00256/R01579/R06134</t>
  </si>
  <si>
    <t xml:space="preserve">C00064 + C00001 </t>
  </si>
  <si>
    <t>C00025 + C00014</t>
  </si>
  <si>
    <t>C00819 + C00001</t>
  </si>
  <si>
    <t>C00217 + C00014</t>
  </si>
  <si>
    <t>C00241 + C00001</t>
  </si>
  <si>
    <t>C00060 + C00014</t>
  </si>
  <si>
    <t>https://www.genome.jp/dbget-bin/www_bget?ec:6.3.3.3</t>
  </si>
  <si>
    <t>https://www.genome.jp/entry/R03182/R12933/R12934</t>
  </si>
  <si>
    <t xml:space="preserve">C00002 + C01037 + C00011 </t>
  </si>
  <si>
    <t>C00008 + C00009 + C01909</t>
  </si>
  <si>
    <t xml:space="preserve">C01037 + C00011 </t>
  </si>
  <si>
    <t>C22458</t>
  </si>
  <si>
    <t xml:space="preserve">C22458 + C00002 </t>
  </si>
  <si>
    <t>C01909 + C00008 + C00009</t>
  </si>
  <si>
    <t>https://www.genome.jp/dbget-bin/www_bget?ec:2.6.1.62</t>
  </si>
  <si>
    <t>https://www.genome.jp/entry/R03231</t>
  </si>
  <si>
    <t xml:space="preserve">C00019 + C01092 </t>
  </si>
  <si>
    <t>C04425 + C01037</t>
  </si>
  <si>
    <t>https://www.genome.jp/dbget-bin/www_bget?ec:3.4.11.5</t>
  </si>
  <si>
    <t>https://www.genome.jp/entry/R00135</t>
  </si>
  <si>
    <t xml:space="preserve">C00012 + C00001 </t>
  </si>
  <si>
    <t>C00148 + C00012</t>
  </si>
  <si>
    <t>https://www.genome.jp/dbget-bin/www_bget?ec:1.97.1.4</t>
  </si>
  <si>
    <t>https://www.genome.jp/entry/R04710</t>
  </si>
  <si>
    <t xml:space="preserve">C00019 + C05196 + C05197 </t>
  </si>
  <si>
    <t>C05198 + C00073 + C05199 + C05312</t>
  </si>
  <si>
    <t>https://www.genome.jp/dbget-bin/www_bget?ec:2.3.1.54</t>
  </si>
  <si>
    <t>https://www.genome.jp/entry/R00212/R06987</t>
  </si>
  <si>
    <t xml:space="preserve">C00024 + C00058 </t>
  </si>
  <si>
    <t>C00010 + C00022</t>
  </si>
  <si>
    <t>C00109 + C00010</t>
  </si>
  <si>
    <t>C00100 + C00058</t>
  </si>
  <si>
    <t>https://www.genome.jp/dbget-bin/www_bget?ec:3.6.1.9</t>
  </si>
  <si>
    <t>https://www.genome.jp/entry/R01532/R00087/R00426/R00515/R00662/R11323/R00103/R00160/R00287/R03004/R03036</t>
  </si>
  <si>
    <t>C00201 + C00001</t>
  </si>
  <si>
    <t>C00215 + C00013</t>
  </si>
  <si>
    <t>C00002 + C00001</t>
  </si>
  <si>
    <t>C00020 + C00013</t>
  </si>
  <si>
    <t>C00044 + C00001</t>
  </si>
  <si>
    <t>C00144 + C00013</t>
  </si>
  <si>
    <t xml:space="preserve">C00063 + C00001 </t>
  </si>
  <si>
    <t>C00055 + C00013</t>
  </si>
  <si>
    <t>C00075 + C00001</t>
  </si>
  <si>
    <t>C00105 + C00013</t>
  </si>
  <si>
    <t>C00459 + C00001</t>
  </si>
  <si>
    <t>C00364 + C00013</t>
  </si>
  <si>
    <t>C00003 + C00001</t>
  </si>
  <si>
    <t>C00020 + C00455</t>
  </si>
  <si>
    <t>C00016 + C00001</t>
  </si>
  <si>
    <t>C00020 + C00061</t>
  </si>
  <si>
    <t>C00029 + C00001</t>
  </si>
  <si>
    <t>C00105 + C00103</t>
  </si>
  <si>
    <t>C00857 + C00001</t>
  </si>
  <si>
    <t>C00020 + C01185</t>
  </si>
  <si>
    <t>C00882 + C00001</t>
  </si>
  <si>
    <t>C01134 + C00020</t>
  </si>
  <si>
    <t>https://www.genome.jp/dbget-bin/www_bget?ec:2.7.7.56</t>
  </si>
  <si>
    <t>https://www.genome.jp/entry/R07285</t>
  </si>
  <si>
    <t>C00066 + C00009</t>
  </si>
  <si>
    <t>C00066 + C00454</t>
  </si>
  <si>
    <t>https://www.genome.jp/dbget-bin/www_bget?ec:5.1.1.3</t>
  </si>
  <si>
    <t>https://www.genome.jp/entry/R00260</t>
  </si>
  <si>
    <t>C00025</t>
  </si>
  <si>
    <t>C00217</t>
  </si>
  <si>
    <t>https://www.genome.jp/dbget-bin/www_bget?ec:6.3.4.21</t>
  </si>
  <si>
    <t>https://www.genome.jp/entry/R01724</t>
  </si>
  <si>
    <t>C01185 + C00013 + C00008 + C00009</t>
  </si>
  <si>
    <t>C00253 + C00119 + C00002 + C00001 + C00080</t>
  </si>
  <si>
    <t>https://www.genome.jp/dbget-bin/www_bget?ec:2.5.1.7</t>
  </si>
  <si>
    <t>https://www.genome.jp/entry/R00660</t>
  </si>
  <si>
    <t xml:space="preserve">C00074 + C00043 </t>
  </si>
  <si>
    <t>C04631 + C00009</t>
  </si>
  <si>
    <t>https://www.genome.jp/dbget-bin/www_bget?ec:2.5.1.47</t>
  </si>
  <si>
    <t>https://www.genome.jp/entry/R00897/R03601/R04859/R07274</t>
  </si>
  <si>
    <t>C00979 + C00283</t>
  </si>
  <si>
    <t>C00097 + C00033</t>
  </si>
  <si>
    <t>C00979 + C01528</t>
  </si>
  <si>
    <t>C05688 + C00033</t>
  </si>
  <si>
    <t>C00979 + C00320 + C00342 + C00080</t>
  </si>
  <si>
    <t>C00097 + C00094 + C00343 + C00033</t>
  </si>
  <si>
    <t>C01005 + C00283</t>
  </si>
  <si>
    <t>C00097 + C00009</t>
  </si>
  <si>
    <t>https://www.genome.jp/dbget-bin/www_bget?ec:2.3.1.30</t>
  </si>
  <si>
    <t>https://www.genome.jp/entry/R00586</t>
  </si>
  <si>
    <t>C00065 + C00024</t>
  </si>
  <si>
    <t>C00979 + C00010</t>
  </si>
  <si>
    <t>https://www.genome.jp/dbget-bin/www_bget?ec:7.3.2.1</t>
  </si>
  <si>
    <t>https://www.genome.jp/dbget-bin/www_bget?ec:2.3.1.189</t>
  </si>
  <si>
    <t>https://www.genome.jp/entry/R09622</t>
  </si>
  <si>
    <t>C19703 + C00024</t>
  </si>
  <si>
    <t>C06717 + C00010</t>
  </si>
  <si>
    <t>https://www.genome.jp/dbget-bin/www_bget?ec:2.7.1.107</t>
  </si>
  <si>
    <t>https://www.genome.jp/entry/R02240</t>
  </si>
  <si>
    <t xml:space="preserve">C00002 + C00641 </t>
  </si>
  <si>
    <t>C00008 + C00416</t>
  </si>
  <si>
    <t>https://www.genome.jp/dbget-bin/www_bget?ec:2.6.1.21</t>
  </si>
  <si>
    <t>https://www.genome.jp/entry/R01148/R01344/R01582/R02459/R02851/R02924/R05053</t>
  </si>
  <si>
    <t>C00133 + C00026</t>
  </si>
  <si>
    <t>C00022 + C00217</t>
  </si>
  <si>
    <t xml:space="preserve">C00405 + C00022 </t>
  </si>
  <si>
    <t>C00161 + C00133</t>
  </si>
  <si>
    <t>C02265 + C00026</t>
  </si>
  <si>
    <t>C00166 + C00217</t>
  </si>
  <si>
    <t>C00515 + C00161</t>
  </si>
  <si>
    <t>C01110 + C00405</t>
  </si>
  <si>
    <t>C00739 + C00161</t>
  </si>
  <si>
    <t>C03239 + C00405</t>
  </si>
  <si>
    <t>C00792 + C00161</t>
  </si>
  <si>
    <t>C03771 + C00405</t>
  </si>
  <si>
    <t>C00402 + C05946</t>
  </si>
  <si>
    <t>C00036 + C05947</t>
  </si>
  <si>
    <t>https://www.genome.jp/dbget-bin/www_bget?ec:6.3.3.1</t>
  </si>
  <si>
    <t>https://www.genome.jp/entry/R04208</t>
  </si>
  <si>
    <t>C00002 + C04640</t>
  </si>
  <si>
    <t>C00008 + C00009 + C03373</t>
  </si>
  <si>
    <t>https://www.genome.jp/dbget-bin/www_bget?ec:2.4.2.14</t>
  </si>
  <si>
    <t>https://www.genome.jp/entry/R01072</t>
  </si>
  <si>
    <t>C03090 + C00013 + C00025</t>
  </si>
  <si>
    <t>C00064 + C00119 + C00001</t>
  </si>
  <si>
    <t>https://www.genome.jp/dbget-bin/www_bget?ec:6.3.5.3</t>
  </si>
  <si>
    <t>https://www.genome.jp/entry/R04463</t>
  </si>
  <si>
    <t>C00002 + C04376 + C00064 + C00001</t>
  </si>
  <si>
    <t>C00008 + C00009 + C04640 + C00025</t>
  </si>
  <si>
    <t>https://www.genome.jp/dbget-bin/www_bget?ec:3.4.21.83</t>
  </si>
  <si>
    <t>https://www.genome.jp/dbget-bin/www_bget?ec:6.3.2.6</t>
  </si>
  <si>
    <t>https://www.genome.jp/entry/R04591</t>
  </si>
  <si>
    <t>C00002 + C04751 + C00049</t>
  </si>
  <si>
    <t>C00008 + C00009 + C04823</t>
  </si>
  <si>
    <t>https://www.genome.jp/dbget-bin/www_bget?ec:4.3.2.2</t>
  </si>
  <si>
    <t>https://www.genome.jp/entry/R01083/R04559/R12851</t>
  </si>
  <si>
    <t xml:space="preserve">C03794 </t>
  </si>
  <si>
    <t>C00122 + C00020</t>
  </si>
  <si>
    <t>C04823</t>
  </si>
  <si>
    <t>C00122 + C04677</t>
  </si>
  <si>
    <t xml:space="preserve">C22395 </t>
  </si>
  <si>
    <t>C22441 + C00122</t>
  </si>
  <si>
    <t>https://www.genome.jp/dbget-bin/www_bget?ec:6.3.4.13</t>
  </si>
  <si>
    <t>https://www.genome.jp/entry/R04144</t>
  </si>
  <si>
    <t>C00002 + C03090 + C00037</t>
  </si>
  <si>
    <t>C00008 + C00009 + C03838</t>
  </si>
  <si>
    <t>https://www.genome.jp/dbget-bin/www_bget?enzyme+1.2.5.1</t>
  </si>
  <si>
    <t>https://www.genome.jp/entry/R03145</t>
  </si>
  <si>
    <t>C00022 + C00399 + C00001</t>
  </si>
  <si>
    <t>C00033 + C00390 + C00011</t>
  </si>
  <si>
    <t>https://www.genome.jp/dbget-bin/www_bget?ec:3.1.3.12</t>
  </si>
  <si>
    <t>https://www.genome.jp/entry/R02778/R06228</t>
  </si>
  <si>
    <t>C00689 + C00001</t>
  </si>
  <si>
    <t>C01083 + C00009</t>
  </si>
  <si>
    <t>G09795 + C00001</t>
  </si>
  <si>
    <t>G00293 + C00009</t>
  </si>
  <si>
    <t>https://www.genome.jp/dbget-bin/www_bget?ec:6.1.1.16</t>
  </si>
  <si>
    <t>https://www.genome.jp/entry/R03650</t>
  </si>
  <si>
    <t xml:space="preserve">C00002 + C00097 + C01639 </t>
  </si>
  <si>
    <t>C00020 + C00013 + C03125</t>
  </si>
  <si>
    <t>https://www.genome.jp/dbget-bin/www_bget?ec:4.6.1.12</t>
  </si>
  <si>
    <t>https://www.genome.jp/entry/R05637</t>
  </si>
  <si>
    <t>C11436</t>
  </si>
  <si>
    <t>C11453 + C00055</t>
  </si>
  <si>
    <t>https://www.genome.jp/dbget-bin/www_bget?ec:2.7.7.60</t>
  </si>
  <si>
    <t>https://www.genome.jp/entry/R05633</t>
  </si>
  <si>
    <t xml:space="preserve">C11434 + C00063 </t>
  </si>
  <si>
    <t>C11435 + C00013</t>
  </si>
  <si>
    <t>https://www.genome.jp/dbget-bin/www_bget?ec:4.2.1.1</t>
  </si>
  <si>
    <t>https://www.genome.jp/entry/R00132/R10092</t>
  </si>
  <si>
    <t>C01353</t>
  </si>
  <si>
    <t>C00011 + C00001</t>
  </si>
  <si>
    <t xml:space="preserve">C00288 + C00080 </t>
  </si>
  <si>
    <t>https://www.genome.jp/dbget-bin/www_bget?ec:2.5.1.32</t>
  </si>
  <si>
    <t>https://www.genome.jp/entry/R02065/R04218/R10177/R07270/R07916</t>
  </si>
  <si>
    <t>2 C00353</t>
  </si>
  <si>
    <t>C00013 + C03427</t>
  </si>
  <si>
    <t>C03427</t>
  </si>
  <si>
    <t>C00013 + C05421</t>
  </si>
  <si>
    <t>C05421 + 2 C00013</t>
  </si>
  <si>
    <t xml:space="preserve">C03427 </t>
  </si>
  <si>
    <t>C05413 + C00013</t>
  </si>
  <si>
    <t xml:space="preserve">2 C00353 </t>
  </si>
  <si>
    <t xml:space="preserve"> C05413 + 2 C00013</t>
  </si>
  <si>
    <t>https://www.genome.jp/dbget-bin/www_bget?ec:1.3.8.2</t>
  </si>
  <si>
    <t>https://www.genome.jp/entry/R09690/R09719/R09744/R09745/R09746/R07653</t>
  </si>
  <si>
    <t xml:space="preserve">C16144 + 4 C00016 </t>
  </si>
  <si>
    <t xml:space="preserve"> C19797 + 4 C01352</t>
  </si>
  <si>
    <t>C16144 + C00016</t>
  </si>
  <si>
    <t>C19840 + C01352</t>
  </si>
  <si>
    <t>C19840 + C00016</t>
  </si>
  <si>
    <t xml:space="preserve"> C19841 + C01352</t>
  </si>
  <si>
    <t>C19841 + C00016</t>
  </si>
  <si>
    <t>C16145 + C01352</t>
  </si>
  <si>
    <t>C16145 + C00016</t>
  </si>
  <si>
    <t>C19797 + C01352</t>
  </si>
  <si>
    <t xml:space="preserve">C16144 + 3 C00016 </t>
  </si>
  <si>
    <t>C16145 + 3 C01352</t>
  </si>
  <si>
    <t>https://www.genome.jp/dbget-bin/www_bget?ec:6.1.1.6</t>
  </si>
  <si>
    <t>https://www.genome.jp/entry/R03658</t>
  </si>
  <si>
    <t xml:space="preserve">C00002 + C00047 + C01646 </t>
  </si>
  <si>
    <t>C00020 + C00013 + C01931</t>
  </si>
  <si>
    <t>https://www.genome.jp/dbget-bin/www_bget?ec:3.4.22.40</t>
  </si>
  <si>
    <t>https://www.genome.jp/dbget-bin/www_bget?ec:2.7.6.3</t>
  </si>
  <si>
    <t>https://www.genome.jp/entry/R03503</t>
  </si>
  <si>
    <t>C00002 + C01300</t>
  </si>
  <si>
    <t>C00020 + C04807</t>
  </si>
  <si>
    <t>https://www.genome.jp/dbget-bin/www_bget?ec:4.1.2.25</t>
  </si>
  <si>
    <t>https://www.genome.jp/entry/R03504</t>
  </si>
  <si>
    <t xml:space="preserve">C04874 </t>
  </si>
  <si>
    <t>C00266 + C01300</t>
  </si>
  <si>
    <t>https://www.genome.jp/dbget-bin/www_bget?ec:2.5.1.15</t>
  </si>
  <si>
    <t>https://www.genome.jp/entry/R03067/R03066</t>
  </si>
  <si>
    <t xml:space="preserve">C04807 + C00568 </t>
  </si>
  <si>
    <t xml:space="preserve"> C00013 + C00921</t>
  </si>
  <si>
    <t xml:space="preserve">C01300 + C00568 </t>
  </si>
  <si>
    <t>C00921 + C00001</t>
  </si>
  <si>
    <t>https://www.genome.jp/dbget-bin/www_bget?ec:2.4.2.8</t>
  </si>
  <si>
    <t>https://www.genome.jp/entry/R01132/R01229/R02142/R08237/R08238/R08245</t>
  </si>
  <si>
    <t>C00130 + C00013</t>
  </si>
  <si>
    <t>C00262 + C00119</t>
  </si>
  <si>
    <t>C00242 + C00119</t>
  </si>
  <si>
    <t xml:space="preserve">C00655 + C00013 </t>
  </si>
  <si>
    <t>C00385 + C00119</t>
  </si>
  <si>
    <t xml:space="preserve">C02380 + C00119 </t>
  </si>
  <si>
    <t>C04646 + C00013</t>
  </si>
  <si>
    <t xml:space="preserve">C16614 + C00119 </t>
  </si>
  <si>
    <t>C16615 + C00013</t>
  </si>
  <si>
    <t>C07648 + C00119</t>
  </si>
  <si>
    <t>C16619 + C00013</t>
  </si>
  <si>
    <t>https://www.genome.jp/dbget-bin/www_bget?ec:3.4.16.4</t>
  </si>
  <si>
    <t>https://www.genome.jp/dbget-bin/www_bget?ec:3.6.1.1</t>
  </si>
  <si>
    <t>https://www.genome.jp/entry/R00004</t>
  </si>
  <si>
    <t>C00013 + C00001</t>
  </si>
  <si>
    <t>2 C00009</t>
  </si>
  <si>
    <t>https://www.genome.jp/dbget-bin/www_bget?ec:4.1.2.13</t>
  </si>
  <si>
    <t>https://www.genome.jp/entry/R01068/R01070/R01829/R02568</t>
  </si>
  <si>
    <t>C00354</t>
  </si>
  <si>
    <t>C00111 + C00118</t>
  </si>
  <si>
    <t>C01094</t>
  </si>
  <si>
    <t>C00111 + C00577</t>
  </si>
  <si>
    <t>C05378</t>
  </si>
  <si>
    <t xml:space="preserve">C00447 </t>
  </si>
  <si>
    <t xml:space="preserve"> C00111 + C00279</t>
  </si>
  <si>
    <t>https://www.genome.jp/dbget-bin/www_bget?ec:2.1.1.34</t>
  </si>
  <si>
    <t>https://www.genome.jp/entry/R02917</t>
  </si>
  <si>
    <t>C00019 + C01977</t>
  </si>
  <si>
    <t>C00021 + C04545</t>
  </si>
  <si>
    <t>https://www.genome.jp/dbget-bin/www_bget?ec:2.4.2.10</t>
  </si>
  <si>
    <t>https://www.genome.jp/entry/R01870/R08231</t>
  </si>
  <si>
    <t>C01103 + C00013</t>
  </si>
  <si>
    <t>C00295 + C00119</t>
  </si>
  <si>
    <t>C07649 + C00119</t>
  </si>
  <si>
    <t>C16634 + C00013</t>
  </si>
  <si>
    <t>https://www.genome.jp/dbget-bin/www_bget?ec:2.8.1.2</t>
  </si>
  <si>
    <t>https://www.genome.jp/entry/R03105/R12689/R12690</t>
  </si>
  <si>
    <t xml:space="preserve">C00957 + C00342 </t>
  </si>
  <si>
    <t>C00957 + C02743</t>
  </si>
  <si>
    <t>C00022 + C21440</t>
  </si>
  <si>
    <t>C00283 + C00022 + C00343</t>
  </si>
  <si>
    <t>C21440 + C00342</t>
  </si>
  <si>
    <t>C00283 + C02743 + C00343</t>
  </si>
  <si>
    <t>https://www.genome.jp/dbget-bin/www_bget?EC:1.18.1.7</t>
  </si>
  <si>
    <t>https://www.genome.jp/entry/R05875/R12422</t>
  </si>
  <si>
    <t>2 C22150 + C00003 + C00080</t>
  </si>
  <si>
    <t>2 C22151 + C00004</t>
  </si>
  <si>
    <t xml:space="preserve">2 C22150 + C00006 + C00080 </t>
  </si>
  <si>
    <t>2 C22151 + C00005</t>
  </si>
  <si>
    <t>https://www.genome.jp/dbget-bin/www_bget?ec:1.2.1.3</t>
  </si>
  <si>
    <t>https://www.genome.jp/entry/R00538/R00631/R00710/R00904/R01752/R02549/R02678/R02940/R03283/R03869/R04065/R04506/R04903/R05050/R05286/R06366/R08146/R00264/R01986/R02957/R05237/R05238</t>
  </si>
  <si>
    <t xml:space="preserve">C00071 + C00003 + C00001 </t>
  </si>
  <si>
    <t>C00060 + C00004 + C00080</t>
  </si>
  <si>
    <t>C00071 + C00003 + C00001</t>
  </si>
  <si>
    <t>C00162 + C00004 + C00080</t>
  </si>
  <si>
    <t>C00084 + C00003 + C00001</t>
  </si>
  <si>
    <t>C00033 + C00004 + C00080</t>
  </si>
  <si>
    <t xml:space="preserve">C05665 + C00003 + C00001 </t>
  </si>
  <si>
    <t>C00099 + C00004 + C00080</t>
  </si>
  <si>
    <t>C00577 + C00003 + C00001</t>
  </si>
  <si>
    <t>C00258 + C00004 + C00080</t>
  </si>
  <si>
    <t>C00555 + C00003 + C00001</t>
  </si>
  <si>
    <t>C00334 + C00004 + C00080</t>
  </si>
  <si>
    <t xml:space="preserve">C00637 + C00003 + C00001 </t>
  </si>
  <si>
    <t>C00954 + C00004 + C00080</t>
  </si>
  <si>
    <t>C05985 + C00003 + C00001</t>
  </si>
  <si>
    <t>C00804 + C00004 + C00080</t>
  </si>
  <si>
    <t xml:space="preserve">C01149 + C00003 + C00001 </t>
  </si>
  <si>
    <t>C01181 + C00004 + C00080</t>
  </si>
  <si>
    <t>C06002 + C00003 + C00001</t>
  </si>
  <si>
    <t>C02170 + C00004 + C00080</t>
  </si>
  <si>
    <t xml:space="preserve">C05130 + C00003 + C00001 </t>
  </si>
  <si>
    <t>C02835 + C00004 + C00080</t>
  </si>
  <si>
    <t xml:space="preserve">C05445 + C00003 + C00001 </t>
  </si>
  <si>
    <t xml:space="preserve"> C04554 + C00004 + C00080</t>
  </si>
  <si>
    <t xml:space="preserve">C05634 + C00003 + C00001 </t>
  </si>
  <si>
    <t>C05635 + C00080 + C00004</t>
  </si>
  <si>
    <t xml:space="preserve">C05936 + C00003 + C00001 </t>
  </si>
  <si>
    <t>C02946 + C00004 + C00080</t>
  </si>
  <si>
    <t>C06754 + C00003 + C00001</t>
  </si>
  <si>
    <t>C06755 + C00004 + C00080</t>
  </si>
  <si>
    <t>C02576 + C00001 + C00003</t>
  </si>
  <si>
    <t>C11924 + C00004 + C00080</t>
  </si>
  <si>
    <t>C16502 + C00004 + C00080</t>
  </si>
  <si>
    <t>C00433 + C00006 + C00001</t>
  </si>
  <si>
    <t>C00026 + C00005 + C00080</t>
  </si>
  <si>
    <t xml:space="preserve">C00555 + C00006 + C00001 </t>
  </si>
  <si>
    <t>C00334 + C00005 + C00080</t>
  </si>
  <si>
    <t xml:space="preserve">C02670 + C00003 + 2 C00001 </t>
  </si>
  <si>
    <t>C00818 + C00004 + C00080</t>
  </si>
  <si>
    <t>C06613 + C00001</t>
  </si>
  <si>
    <t>C06614 + 2 C00080</t>
  </si>
  <si>
    <t xml:space="preserve">C16348 + C00001 </t>
  </si>
  <si>
    <t>C06615 + 2 C00080</t>
  </si>
  <si>
    <t>https://www.genome.jp/dbget-bin/www_bget?ec:2.6.1.2</t>
  </si>
  <si>
    <t>https://www.genome.jp/entry/R00258</t>
  </si>
  <si>
    <t>C00041 + C00026</t>
  </si>
  <si>
    <t xml:space="preserve"> C00022 + C00025</t>
  </si>
  <si>
    <t>https://www.genome.jp/dbget-bin/www_bget?ec:1.1.1.22</t>
  </si>
  <si>
    <t>https://www.genome.jp/entry/R00286</t>
  </si>
  <si>
    <t xml:space="preserve">C00029 + C00001 + 2 C00003 </t>
  </si>
  <si>
    <t>C00167 + 2 C00004 + 2 C00080</t>
  </si>
  <si>
    <t>https://www.genome.jp/dbget-bin/www_bget?ec:3.2.1.52</t>
  </si>
  <si>
    <t>https://www.genome.jp/entry/R00022/R03492/R04184/R04586/R05963/R06001/R06004/R06141/R07809/R07810/R09323/R10831/R11316/R11317/R12963</t>
  </si>
  <si>
    <t xml:space="preserve">C01674 + C00001 </t>
  </si>
  <si>
    <t>2 C00140</t>
  </si>
  <si>
    <t xml:space="preserve">C06135 + C00001 </t>
  </si>
  <si>
    <t>C01290 + C01132</t>
  </si>
  <si>
    <t xml:space="preserve">C04737 + C01132 </t>
  </si>
  <si>
    <t>C03272 + C00001</t>
  </si>
  <si>
    <t xml:space="preserve">C04884 + C00001 </t>
  </si>
  <si>
    <t>C04730 + C01132</t>
  </si>
  <si>
    <t>C00001 + G00094</t>
  </si>
  <si>
    <t>C01132 + G00093</t>
  </si>
  <si>
    <t>G00123 + C00001</t>
  </si>
  <si>
    <t>G00092 + C01132</t>
  </si>
  <si>
    <t>G00109 + C00001</t>
  </si>
  <si>
    <t>G00108 + C01132</t>
  </si>
  <si>
    <t xml:space="preserve">G10336 + C00001 </t>
  </si>
  <si>
    <t>G13074 + C00001</t>
  </si>
  <si>
    <t>G01391 + C00140</t>
  </si>
  <si>
    <t>G13073 + C00001</t>
  </si>
  <si>
    <t>G01391 + C04132</t>
  </si>
  <si>
    <t xml:space="preserve">G13057 + C00001 </t>
  </si>
  <si>
    <t>C00140 + G13058</t>
  </si>
  <si>
    <t xml:space="preserve">G00711 + C00001 </t>
  </si>
  <si>
    <t>G10008 + C00140</t>
  </si>
  <si>
    <t>G13056 + C00001</t>
  </si>
  <si>
    <t>C00140 + G10665</t>
  </si>
  <si>
    <t xml:space="preserve">G05477 + C00001 </t>
  </si>
  <si>
    <t>G10920 + C00140</t>
  </si>
  <si>
    <t xml:space="preserve">C22467 + C00001 </t>
  </si>
  <si>
    <t>C03405 + C01132</t>
  </si>
  <si>
    <t>https://www.genome.jp/dbget-bin/www_bget?ec:2.7.7.4</t>
  </si>
  <si>
    <t>https://www.genome.jp/entry/R00529/R04929</t>
  </si>
  <si>
    <t xml:space="preserve">C00002 + C00059 </t>
  </si>
  <si>
    <t>C00013 + C00224</t>
  </si>
  <si>
    <t>C00002 + C05697</t>
  </si>
  <si>
    <t>C00013 + C05686</t>
  </si>
  <si>
    <t>https://www.genome.jp/dbget-bin/www_bget?ec:1.8.4.8</t>
  </si>
  <si>
    <t>https://www.genome.jp/entry/R02021</t>
  </si>
  <si>
    <t>C00342 + C00053</t>
  </si>
  <si>
    <t>C00343 + C00094 + C00054</t>
  </si>
  <si>
    <t>https://www.genome.jp/dbget-bin/www_bget?ec:2.4.1.11</t>
  </si>
  <si>
    <t>https://www.genome.jp/entry/R00292/R06051</t>
  </si>
  <si>
    <t>C00029 + C00718</t>
  </si>
  <si>
    <t>C00015 + C00718</t>
  </si>
  <si>
    <t>G10495(n) + G10608</t>
  </si>
  <si>
    <t>G10495(n+1) + G10619</t>
  </si>
  <si>
    <t>https://www.genome.jp/dbget-bin/www_bget?ec:3.5.3.6</t>
  </si>
  <si>
    <t>https://www.genome.jp/entry/R00552/R06138</t>
  </si>
  <si>
    <t>C00062 + C00001</t>
  </si>
  <si>
    <t xml:space="preserve"> C00327 + C00014</t>
  </si>
  <si>
    <t>C06060 + C00001</t>
  </si>
  <si>
    <t>C00241 + C00014</t>
  </si>
  <si>
    <t>https://www.genome.jp/dbget-bin/www_bget?enzyme+5.1.3.9</t>
  </si>
  <si>
    <t>https://www.genome.jp/entry/R02770/R02087</t>
  </si>
  <si>
    <t xml:space="preserve">C00686 </t>
  </si>
  <si>
    <t>C04136</t>
  </si>
  <si>
    <t>C00357</t>
  </si>
  <si>
    <t>C04257</t>
  </si>
  <si>
    <t>https://www.genome.jp/dbget-bin/www_bget?ec:2.4.1.288</t>
  </si>
  <si>
    <t>https://www.genome.jp/entry/R12080</t>
  </si>
  <si>
    <t>G13125 + G13121</t>
  </si>
  <si>
    <t>G10619 + G13122</t>
  </si>
  <si>
    <t>https://www.genome.jp/dbget-bin/www_bget?ec:2.6.1.85</t>
  </si>
  <si>
    <t>https://www.genome.jp/entry/R00256/R01716/R05552</t>
  </si>
  <si>
    <t>C00064 + C00001</t>
  </si>
  <si>
    <t>C00251 + C00064</t>
  </si>
  <si>
    <t>C11355 + C00025</t>
  </si>
  <si>
    <t xml:space="preserve">C00251 + C00014 </t>
  </si>
  <si>
    <t>C11355 + C00001</t>
  </si>
  <si>
    <t>C00129</t>
  </si>
  <si>
    <t>C00235</t>
  </si>
  <si>
    <t>C02532 + C00001</t>
  </si>
  <si>
    <t xml:space="preserve"> C00740 + C00009</t>
  </si>
  <si>
    <t>C00740 + C00009</t>
  </si>
  <si>
    <t xml:space="preserve">C02532 + C00001 </t>
  </si>
  <si>
    <t>C00002 + C00249 + C00010</t>
  </si>
  <si>
    <t>C00020 + C00154 + C00013</t>
  </si>
  <si>
    <t xml:space="preserve">C00002 + C00249 + C00010 </t>
  </si>
  <si>
    <t>C00002 + C01609</t>
  </si>
  <si>
    <t>C00008 + C02729</t>
  </si>
  <si>
    <t xml:space="preserve">C00002 + C01609 </t>
  </si>
  <si>
    <t>C00131 + C00039</t>
  </si>
  <si>
    <t>C00013 + C00039</t>
  </si>
  <si>
    <t xml:space="preserve">C00286 + C00039 </t>
  </si>
  <si>
    <t>C00458 + C00039</t>
  </si>
  <si>
    <t xml:space="preserve">C00459 + C00039 </t>
  </si>
  <si>
    <t>C11039</t>
  </si>
  <si>
    <t>C21031</t>
  </si>
  <si>
    <t>C00440 + C00003</t>
  </si>
  <si>
    <t>C00143 + C00004 + C00080</t>
  </si>
  <si>
    <t>C05698 + C04489</t>
  </si>
  <si>
    <t>C05335 + C04144</t>
  </si>
  <si>
    <t>C00576 + C00006 + C00001</t>
  </si>
  <si>
    <t>C00719 + C00005 + 2 C00080</t>
  </si>
  <si>
    <t>C06010 + C00011</t>
  </si>
  <si>
    <t>C00022 + C00068</t>
  </si>
  <si>
    <t>C05125 + C00011</t>
  </si>
  <si>
    <t>C00900 + C00068</t>
  </si>
  <si>
    <t>C05125 + C00022</t>
  </si>
  <si>
    <t>C06010 + C00068</t>
  </si>
  <si>
    <t>C00109 + C05125</t>
  </si>
  <si>
    <t>C06006 + C00068</t>
  </si>
  <si>
    <t>C00022 + C00109</t>
  </si>
  <si>
    <t>C06006 + C00011</t>
  </si>
  <si>
    <t>C03561 + C00006</t>
  </si>
  <si>
    <t>C00332 + C00005 + C00080</t>
  </si>
  <si>
    <t>G13125 + G13120</t>
  </si>
  <si>
    <t>G10619 + G13121</t>
  </si>
  <si>
    <t>C00132 + C00027</t>
  </si>
  <si>
    <t>C00067 + 2 C00001</t>
  </si>
  <si>
    <t xml:space="preserve">2 C00632 + 4 C00007 </t>
  </si>
  <si>
    <t>C05640 + 2 C00704 + 2 C00027 + 2 C00080</t>
  </si>
  <si>
    <t>https://www.genome.jp/dbget-bin/www_bget?ec:3.3.2.10</t>
  </si>
  <si>
    <t>https://www.genome.jp/entry/R02822/R05842/R07108/R07109/R07110/R07111</t>
  </si>
  <si>
    <t>C00722 + C00001</t>
  </si>
  <si>
    <t>C15588</t>
  </si>
  <si>
    <t xml:space="preserve">C06548 + C00001 </t>
  </si>
  <si>
    <t>C01380</t>
  </si>
  <si>
    <t>C14771 + C00001</t>
  </si>
  <si>
    <t>C14775</t>
  </si>
  <si>
    <t xml:space="preserve">C14770 + C00001 </t>
  </si>
  <si>
    <t>C14774</t>
  </si>
  <si>
    <t xml:space="preserve">C14769 + C00001 </t>
  </si>
  <si>
    <t>C14773</t>
  </si>
  <si>
    <t>C14768 + C00001</t>
  </si>
  <si>
    <t>C14772</t>
  </si>
  <si>
    <t xml:space="preserve">C00044 </t>
  </si>
  <si>
    <t>C00942 + C00013</t>
  </si>
  <si>
    <t>C18235 + C00003 + C00001</t>
  </si>
  <si>
    <t>C00058 + C06717 + C00004 + C00080</t>
  </si>
  <si>
    <t>C05729 + C00001</t>
  </si>
  <si>
    <t>C05726 + C00037</t>
  </si>
  <si>
    <t xml:space="preserve">C05729 + C00001 </t>
  </si>
  <si>
    <t>2 C22876</t>
  </si>
  <si>
    <t>C01083 + C22877</t>
  </si>
  <si>
    <t>C02972 + C00003</t>
  </si>
  <si>
    <t>C02051 + C00004 + C00080</t>
  </si>
  <si>
    <t>C15973 + C00003</t>
  </si>
  <si>
    <t>C15972 + C00004 + C00080</t>
  </si>
  <si>
    <t xml:space="preserve">C00579 + C00003 </t>
  </si>
  <si>
    <t>C00248 + C00004 + C00080</t>
  </si>
  <si>
    <t>C00399 + C00042</t>
  </si>
  <si>
    <t>C00390 + C00122</t>
  </si>
  <si>
    <t>https://www.genome.jp/dbget-bin/www_bget?enzyme+3.5.1.111</t>
  </si>
  <si>
    <t>https://www.genome.jp/entry/R00269</t>
  </si>
  <si>
    <t>C00940 + C00001</t>
  </si>
  <si>
    <t>C00026 + C00014</t>
  </si>
  <si>
    <t xml:space="preserve">C01050 + C00003 </t>
  </si>
  <si>
    <t>C04631 + C00004 + C00080</t>
  </si>
  <si>
    <t>C04494 + C00001</t>
  </si>
  <si>
    <t>C01228 + C00009</t>
  </si>
  <si>
    <t>C00148 + C00006</t>
  </si>
  <si>
    <t>C03912 + C00005 + C00080</t>
  </si>
  <si>
    <t>C01157 + C00003</t>
  </si>
  <si>
    <t>C04281 + C00004 + C00080</t>
  </si>
  <si>
    <t>C01157 + C00006</t>
  </si>
  <si>
    <t>C04281 + C00005 + C00080</t>
  </si>
  <si>
    <t>C00019 + C01051</t>
  </si>
  <si>
    <t>C00021 + C15527</t>
  </si>
  <si>
    <t xml:space="preserve">C00019 + C15527 </t>
  </si>
  <si>
    <t>C00021 + C02463</t>
  </si>
  <si>
    <t>2 C00019 + C02469</t>
  </si>
  <si>
    <t>2 C00021 + C05778</t>
  </si>
  <si>
    <t>C05766</t>
  </si>
  <si>
    <t>C05768 + 4 C00011</t>
  </si>
  <si>
    <t>C06001 + C00003</t>
  </si>
  <si>
    <t>C06002 + C00004 + C00080</t>
  </si>
  <si>
    <t>C15547 + C00001</t>
  </si>
  <si>
    <t>C17509</t>
  </si>
  <si>
    <t>C17510</t>
  </si>
  <si>
    <t>C00002 + C00046</t>
  </si>
  <si>
    <t>C00013 + C00046</t>
  </si>
  <si>
    <t>C00044 + C00046</t>
  </si>
  <si>
    <t>C00063 + C00046</t>
  </si>
  <si>
    <t>C00075 + C00046</t>
  </si>
  <si>
    <t>n C00201</t>
  </si>
  <si>
    <t>C20864(n) + (n-1) C00013</t>
  </si>
  <si>
    <t>C00002 + C00360</t>
  </si>
  <si>
    <t>C00008 + C00206</t>
  </si>
  <si>
    <t>C00068 + C00008</t>
  </si>
  <si>
    <t>C03028 + C00020</t>
  </si>
  <si>
    <t>C04646 + C00003 + C00001</t>
  </si>
  <si>
    <t>C16618 + C00004 + C00080</t>
  </si>
  <si>
    <t>C05379</t>
  </si>
  <si>
    <t>C00026 + C00011</t>
  </si>
  <si>
    <t>C00311 + C00006</t>
  </si>
  <si>
    <t>C05379 + C00005 + C00080</t>
  </si>
  <si>
    <t>C00828 + C00080 + C00004</t>
  </si>
  <si>
    <t>C05819 + C00003</t>
  </si>
  <si>
    <t>C01628 + C00004 + C00080</t>
  </si>
  <si>
    <t>C05850 + C00003</t>
  </si>
  <si>
    <t xml:space="preserve">C02059 + C00004 + C00080 </t>
  </si>
  <si>
    <t>C03313 + C00003</t>
  </si>
  <si>
    <t>C00005 + C00080 + C15602</t>
  </si>
  <si>
    <t>C00006 + C15603</t>
  </si>
  <si>
    <t>C06367</t>
  </si>
  <si>
    <t>C17946</t>
  </si>
  <si>
    <t>C06368 + C00011</t>
  </si>
  <si>
    <t>C00881 + C00001</t>
  </si>
  <si>
    <t>C00526 + C00014</t>
  </si>
  <si>
    <t>C16635 + C00001</t>
  </si>
  <si>
    <t>C12739 + C00014</t>
  </si>
  <si>
    <t>C00299 + C00009</t>
  </si>
  <si>
    <t>C00106 + C00620</t>
  </si>
  <si>
    <t>C00475 + C00009</t>
  </si>
  <si>
    <t>C00380 + C00620</t>
  </si>
  <si>
    <t>C00526 + C00009</t>
  </si>
  <si>
    <t>C00106 + C00672</t>
  </si>
  <si>
    <t>C03169 + C00009</t>
  </si>
  <si>
    <t>C00396 + C00620 + C00080</t>
  </si>
  <si>
    <t>C00369</t>
  </si>
  <si>
    <t>C00721 + C00208</t>
  </si>
  <si>
    <t>G10545(n+m) + C00001</t>
  </si>
  <si>
    <t>G10545(n) + G10545(m)</t>
  </si>
  <si>
    <t>C01935 + C00001</t>
  </si>
  <si>
    <t>C00208</t>
  </si>
  <si>
    <t>C00002 + C00120</t>
  </si>
  <si>
    <t>C00013 + C05921</t>
  </si>
  <si>
    <t>C05921 + C06249</t>
  </si>
  <si>
    <t>C00020 + C06250</t>
  </si>
  <si>
    <t>C00673 + C00008</t>
  </si>
  <si>
    <t>C01801 + C00002</t>
  </si>
  <si>
    <t>C00124</t>
  </si>
  <si>
    <t>C00984</t>
  </si>
  <si>
    <t>C00004 + C00001</t>
  </si>
  <si>
    <t>C00020 + C21113</t>
  </si>
  <si>
    <t xml:space="preserve">C15585 + C00001 </t>
  </si>
  <si>
    <t>C00137 + C00009</t>
  </si>
  <si>
    <t>C01177 + C00001</t>
  </si>
  <si>
    <t>C03546 + C00001</t>
  </si>
  <si>
    <t>C04006 + C00001</t>
  </si>
  <si>
    <t>C06055 + C00026</t>
  </si>
  <si>
    <t>C06054 + C00025</t>
  </si>
  <si>
    <t>C00101 + C00003</t>
  </si>
  <si>
    <t>C00415 + C00004 + C00080</t>
  </si>
  <si>
    <t>C00101 + 2 C00003</t>
  </si>
  <si>
    <t>C00504 + 2 C00004 + 2 C00080</t>
  </si>
  <si>
    <t>C00101 + 2 C00006</t>
  </si>
  <si>
    <t>C00504 + 2 C00005 + 2 C00080</t>
  </si>
  <si>
    <t>C00415 + C00003</t>
  </si>
  <si>
    <t>C00504 + C00004 + C00080</t>
  </si>
  <si>
    <t>C00415 + C00006</t>
  </si>
  <si>
    <t>C00504 + C00005 + C00080</t>
  </si>
  <si>
    <t>C00272 + C00006</t>
  </si>
  <si>
    <t>C02953 + C00005 + C00080</t>
  </si>
  <si>
    <t>C00054 + C00001</t>
  </si>
  <si>
    <t>C00020 + C00009</t>
  </si>
  <si>
    <t>C00053 + C00001</t>
  </si>
  <si>
    <t>C00224 + C00009</t>
  </si>
  <si>
    <t>C00085</t>
  </si>
  <si>
    <t>C01172</t>
  </si>
  <si>
    <t>C03838 + C00445 + C00001</t>
  </si>
  <si>
    <t>C04376 + C00101</t>
  </si>
  <si>
    <t>G10617 + C02189</t>
  </si>
  <si>
    <t>G10622 + G13027</t>
  </si>
  <si>
    <t xml:space="preserve">C03862 + C19803 </t>
  </si>
  <si>
    <t>C00110 + C20722</t>
  </si>
  <si>
    <t>C00002 + C05335 + C01647</t>
  </si>
  <si>
    <t>C00020 + C00013 + C05336</t>
  </si>
  <si>
    <t>C01144</t>
  </si>
  <si>
    <t>C00877 + C00001</t>
  </si>
  <si>
    <t>C05668</t>
  </si>
  <si>
    <t>C00894 + C00001</t>
  </si>
  <si>
    <t>C05262</t>
  </si>
  <si>
    <t>C03221 + C00001</t>
  </si>
  <si>
    <t xml:space="preserve">C04405 </t>
  </si>
  <si>
    <t>C03345 + C00001</t>
  </si>
  <si>
    <t>C03460 + C00001</t>
  </si>
  <si>
    <t>C06000</t>
  </si>
  <si>
    <t>C05258</t>
  </si>
  <si>
    <t>C05272 + C00001</t>
  </si>
  <si>
    <t>C05260</t>
  </si>
  <si>
    <t>C05273 + C00001</t>
  </si>
  <si>
    <t xml:space="preserve">C05264 </t>
  </si>
  <si>
    <t>C05275 + C00001</t>
  </si>
  <si>
    <t>C05266</t>
  </si>
  <si>
    <t>C05276 + C00001</t>
  </si>
  <si>
    <t>C05268</t>
  </si>
  <si>
    <t>C05271 + C00001</t>
  </si>
  <si>
    <t>C16329</t>
  </si>
  <si>
    <t>C16328 + C00001</t>
  </si>
  <si>
    <t>C16333</t>
  </si>
  <si>
    <t>C16332 + C00001</t>
  </si>
  <si>
    <t>C16337</t>
  </si>
  <si>
    <t>C16336 + C00001</t>
  </si>
  <si>
    <t>C05067 + C00001</t>
  </si>
  <si>
    <t>C01086</t>
  </si>
  <si>
    <t>C01122 + C00001</t>
  </si>
  <si>
    <t>C05998</t>
  </si>
  <si>
    <t>C03069 + C00001</t>
  </si>
  <si>
    <t>C05116</t>
  </si>
  <si>
    <t>C11946 + C00001</t>
  </si>
  <si>
    <t>C11947</t>
  </si>
  <si>
    <t>C11945 + C00001</t>
  </si>
  <si>
    <t>C14144 + C00001</t>
  </si>
  <si>
    <t>C14145</t>
  </si>
  <si>
    <t xml:space="preserve">C16468 + C00001 </t>
  </si>
  <si>
    <t>C16469</t>
  </si>
  <si>
    <t xml:space="preserve">C00002 + C00001 </t>
  </si>
  <si>
    <t>C00008 + C00009</t>
  </si>
  <si>
    <t>C03356</t>
  </si>
  <si>
    <t>C04309 + C00001</t>
  </si>
  <si>
    <t>C00002 + C00831</t>
  </si>
  <si>
    <t>C00008 + C01134</t>
  </si>
  <si>
    <t>C00002 + C04079</t>
  </si>
  <si>
    <t>C00008 + C04352</t>
  </si>
  <si>
    <t xml:space="preserve">C00065 + C01217 </t>
  </si>
  <si>
    <t>C04377 + C00037 + C00001</t>
  </si>
  <si>
    <t>C05378 + C00001</t>
  </si>
  <si>
    <t>C05345 + C00009</t>
  </si>
  <si>
    <t>C00447 + C00001</t>
  </si>
  <si>
    <t>C05382 + C00009</t>
  </si>
  <si>
    <t>C00235 + 2 C00139 + C00001</t>
  </si>
  <si>
    <t>C11811 + 2 C00138 + 2 C00080</t>
  </si>
  <si>
    <t>C00089 + C00001</t>
  </si>
  <si>
    <t>C02336 + C00267</t>
  </si>
  <si>
    <t>C00492 + C00001</t>
  </si>
  <si>
    <t>C05402 + C00095</t>
  </si>
  <si>
    <t>C01613 + C00001</t>
  </si>
  <si>
    <t>C05404 + C00095</t>
  </si>
  <si>
    <t>C16688 + C00001</t>
  </si>
  <si>
    <t>C00095 + C00092</t>
  </si>
  <si>
    <t xml:space="preserve">G00370 + C00001 </t>
  </si>
  <si>
    <t>C00095 + C00031</t>
  </si>
  <si>
    <t>G00370 + C00001</t>
  </si>
  <si>
    <t xml:space="preserve">G00249 + C00001 </t>
  </si>
  <si>
    <t>G01275 + C00095</t>
  </si>
  <si>
    <t>G00278 + C00001</t>
  </si>
  <si>
    <t>G00501 + C00095</t>
  </si>
  <si>
    <t>G10508 + C00001</t>
  </si>
  <si>
    <t>C02336 + C00668</t>
  </si>
  <si>
    <t>C00458 + C00001</t>
  </si>
  <si>
    <t>C00239 + C00013</t>
  </si>
  <si>
    <t>C11823 + C00014</t>
  </si>
  <si>
    <t>C00263 + C00006</t>
  </si>
  <si>
    <t>C00441 + C00005 + C00080</t>
  </si>
  <si>
    <t>C00533 + C00001 + C00997</t>
  </si>
  <si>
    <t>C00088 + C01000 + C00080</t>
  </si>
  <si>
    <t>C00028 + 2 C00533 + 2 C00001</t>
  </si>
  <si>
    <t>C00030 + 2 C00088</t>
  </si>
  <si>
    <t>C00533 + C00001 + C05357</t>
  </si>
  <si>
    <t>C00088 + C05358 + C00080</t>
  </si>
  <si>
    <t>C00097 + C02743</t>
  </si>
  <si>
    <t>C00041 + C21440</t>
  </si>
  <si>
    <t>C15812 + C02743</t>
  </si>
  <si>
    <t>C15811 + C21440</t>
  </si>
  <si>
    <t>C00002 + C00085</t>
  </si>
  <si>
    <t>C00008 + C00354</t>
  </si>
  <si>
    <t>C00063 + C00085</t>
  </si>
  <si>
    <t>C00112 + C00354</t>
  </si>
  <si>
    <t>C00075 + C00085</t>
  </si>
  <si>
    <t>C00015 + C00354</t>
  </si>
  <si>
    <t xml:space="preserve">C00081 + C00085 </t>
  </si>
  <si>
    <t>C00104 + C00354</t>
  </si>
  <si>
    <t>C00002 + C05382</t>
  </si>
  <si>
    <t>C00008 + C00447</t>
  </si>
  <si>
    <t>C01097 + C00002</t>
  </si>
  <si>
    <t>C03785 + C00008</t>
  </si>
  <si>
    <t>C00063 + C01097</t>
  </si>
  <si>
    <t>C00112 + C03785</t>
  </si>
  <si>
    <t>C00075 + C01097</t>
  </si>
  <si>
    <t>C00015 + C03785</t>
  </si>
  <si>
    <t>C00081 + C01097</t>
  </si>
  <si>
    <t>C00104 + C03785</t>
  </si>
  <si>
    <t>C04272</t>
  </si>
  <si>
    <t>C00141 + C00001</t>
  </si>
  <si>
    <t>C06007</t>
  </si>
  <si>
    <t>C00671 + C00001</t>
  </si>
  <si>
    <t>C00900 + C00005 + C00080</t>
  </si>
  <si>
    <t>C04039 + C00006</t>
  </si>
  <si>
    <t>C04272 + C00006</t>
  </si>
  <si>
    <t>C04181 + C00005 + C00080</t>
  </si>
  <si>
    <t xml:space="preserve">C06007 + C00006 </t>
  </si>
  <si>
    <t>C14463 + C00005 + C00080</t>
  </si>
  <si>
    <t>C06006</t>
  </si>
  <si>
    <t>C14463</t>
  </si>
  <si>
    <t>C04181</t>
  </si>
  <si>
    <t>C02630 + C00003</t>
  </si>
  <si>
    <t>C00026 + C00004 + C00080</t>
  </si>
  <si>
    <t>C04411 + C00003</t>
  </si>
  <si>
    <t>C04236 + C00004 + C00080</t>
  </si>
  <si>
    <t>C00233 + C00011 + C00004 + C00080</t>
  </si>
  <si>
    <t>C00109 + C00011 + C00004 + C00080</t>
  </si>
  <si>
    <t>C06032 + C00003</t>
  </si>
  <si>
    <t>C04411</t>
  </si>
  <si>
    <t>C02631 + C00001</t>
  </si>
  <si>
    <t xml:space="preserve">C00093 + C00006 </t>
  </si>
  <si>
    <t>C00111 + C00005 + C00080</t>
  </si>
  <si>
    <t xml:space="preserve">C00037 + 2 C00028 </t>
  </si>
  <si>
    <t>C00177 + C00011 + 2 C00030 + C00080</t>
  </si>
  <si>
    <t>C00002 + C00239</t>
  </si>
  <si>
    <t>C00008 + C00705</t>
  </si>
  <si>
    <t>C00002 + C00288 + C00136 + C00080</t>
  </si>
  <si>
    <t>C00008 + C00009 + C18026</t>
  </si>
  <si>
    <t>EC Number</t>
  </si>
  <si>
    <t>No.</t>
  </si>
  <si>
    <t>Enzymes</t>
  </si>
  <si>
    <t>Reactants (Addition)</t>
  </si>
  <si>
    <t>Reactants (Multiplication)</t>
  </si>
  <si>
    <t>Products (Addition)</t>
  </si>
  <si>
    <t>Products (Multiplication)</t>
  </si>
  <si>
    <t xml:space="preserve">Rate Law </t>
  </si>
  <si>
    <t xml:space="preserve"> Equation </t>
  </si>
  <si>
    <t xml:space="preserve">Reactants </t>
  </si>
  <si>
    <t xml:space="preserve">Products </t>
  </si>
  <si>
    <t>UQZ28975.2</t>
  </si>
  <si>
    <t>C00440 + C00006</t>
  </si>
  <si>
    <t>C00143 + C00005 + C00080</t>
  </si>
  <si>
    <t>C04489 + C00155</t>
  </si>
  <si>
    <t>C04144 + C00073</t>
  </si>
  <si>
    <t>C00357 + C00001</t>
  </si>
  <si>
    <t>C00352 +C00033</t>
  </si>
  <si>
    <t>C00352 + C00001</t>
  </si>
  <si>
    <t>C00085 + C00014</t>
  </si>
  <si>
    <t>C00002 +C00017</t>
  </si>
  <si>
    <t>C00008 + C00562</t>
  </si>
  <si>
    <t>C00562 + C00001</t>
  </si>
  <si>
    <t>C00017 + C00009</t>
  </si>
  <si>
    <t xml:space="preserve">C04421 + C00001 </t>
  </si>
  <si>
    <t>C00042 + C00666</t>
  </si>
  <si>
    <t>C00020 + C00001</t>
  </si>
  <si>
    <t>C00147 + C00117</t>
  </si>
  <si>
    <t>C00576 + C00003 + C00001</t>
  </si>
  <si>
    <t>C00114 + C00028</t>
  </si>
  <si>
    <t>C00576 + C00030</t>
  </si>
  <si>
    <t>C04250 + C02743</t>
  </si>
  <si>
    <t>C03800 + C11475</t>
  </si>
  <si>
    <t>C00431 + C00026</t>
  </si>
  <si>
    <t>C03273 + C00025</t>
  </si>
  <si>
    <t>C01086 + C00006</t>
  </si>
  <si>
    <t>C00264 + C00005 + C00080</t>
  </si>
  <si>
    <t>G13125 + G13119</t>
  </si>
  <si>
    <t>G10619 + G13120</t>
  </si>
  <si>
    <t xml:space="preserve">C19848 + C06232 </t>
  </si>
  <si>
    <t>C18237 + C00020 + C00001</t>
  </si>
  <si>
    <t>C19967 + C00001</t>
  </si>
  <si>
    <t>C19968 + C00013</t>
  </si>
  <si>
    <t>C17324 + C00001</t>
  </si>
  <si>
    <t>C20451 + C00014</t>
  </si>
  <si>
    <t>C01977 + C16675</t>
  </si>
  <si>
    <t>C20446 + C00242</t>
  </si>
  <si>
    <t>C02504 + C00010</t>
  </si>
  <si>
    <t>C00024 + C00141 + C00001</t>
  </si>
  <si>
    <t>C00002 + C00049</t>
  </si>
  <si>
    <t>C00008 + C03082</t>
  </si>
  <si>
    <t>C00441 + C00009 + C00006</t>
  </si>
  <si>
    <t>C03082 + C00005 + C00080</t>
  </si>
  <si>
    <t>C00575 + C00013</t>
  </si>
  <si>
    <t>C00002 + C00638 + C00010</t>
  </si>
  <si>
    <t>C00020 + C00013 + C02843</t>
  </si>
  <si>
    <t>C18235 + C00003</t>
  </si>
  <si>
    <t>C00459 + C00103</t>
  </si>
  <si>
    <t>C00013 + C00842</t>
  </si>
  <si>
    <t>C11907 + C00001</t>
  </si>
  <si>
    <t>C01419 + C00001</t>
  </si>
  <si>
    <t>C00097 + C00037</t>
  </si>
  <si>
    <t>C01083 + C04465</t>
  </si>
  <si>
    <t>C16832 + C00003</t>
  </si>
  <si>
    <t>C16237 + C00004 + C00080</t>
  </si>
  <si>
    <t>C15602 + C00042</t>
  </si>
  <si>
    <t>C15603 + C00122</t>
  </si>
  <si>
    <t>C01050 + C00006</t>
  </si>
  <si>
    <t>C04631 + C00005 + C00080</t>
  </si>
  <si>
    <t>C11838 + C00155</t>
  </si>
  <si>
    <t>C00043 + C04006</t>
  </si>
  <si>
    <t>C19761 + C00015</t>
  </si>
  <si>
    <t>C00148 + C00003</t>
  </si>
  <si>
    <t>C03912 + C00004 + C00080</t>
  </si>
  <si>
    <t>C01005 + C00001</t>
  </si>
  <si>
    <t>C00065 + C00009</t>
  </si>
  <si>
    <t>C02987 + C00005 + C00080</t>
  </si>
  <si>
    <t>C03741 + C01641 + C00006</t>
  </si>
  <si>
    <t>C01188 + C00003</t>
  </si>
  <si>
    <t>C05847 + C03657</t>
  </si>
  <si>
    <t>C19847 + C00013 + C00011</t>
  </si>
  <si>
    <t xml:space="preserve">C00002 + C02730 + C00010 </t>
  </si>
  <si>
    <t>C00020 + C00013 + C03160</t>
  </si>
  <si>
    <t>C00885 + C00026</t>
  </si>
  <si>
    <t>C16519 + C00011</t>
  </si>
  <si>
    <t>C19847 + C00019</t>
  </si>
  <si>
    <t>C05819 + C00021</t>
  </si>
  <si>
    <t>C00118 + C00084</t>
  </si>
  <si>
    <t>C00201 + C00046</t>
  </si>
  <si>
    <t xml:space="preserve">C00019 + C01229 </t>
  </si>
  <si>
    <t>C00021 + C04340</t>
  </si>
  <si>
    <t>C00002 + C00020</t>
  </si>
  <si>
    <t>C00064 + C00085</t>
  </si>
  <si>
    <t>C00025 + C00352</t>
  </si>
  <si>
    <t>C00130 + C00003 + C00001</t>
  </si>
  <si>
    <t>C00655 + C00004 + C00080</t>
  </si>
  <si>
    <t>C00024 + C00263</t>
  </si>
  <si>
    <t>C00010 + C01077</t>
  </si>
  <si>
    <t>C00002 + C00078 + C01652</t>
  </si>
  <si>
    <t>C00546 + C00001</t>
  </si>
  <si>
    <t>C02391 + C00001</t>
  </si>
  <si>
    <t>C00069 + C00060</t>
  </si>
  <si>
    <t>C01416 + C00001</t>
  </si>
  <si>
    <t>C12448 + C00180</t>
  </si>
  <si>
    <t>C16641 + C00001</t>
  </si>
  <si>
    <t>C11173 + C16836</t>
  </si>
  <si>
    <t xml:space="preserve">C16543 + C00001 </t>
  </si>
  <si>
    <t>C11173 + C16837</t>
  </si>
  <si>
    <t>C12650 + C00001</t>
  </si>
  <si>
    <t>C16635 + C16834 + C00011</t>
  </si>
  <si>
    <t>C07585 + C00001</t>
  </si>
  <si>
    <t>C07447 + C07446</t>
  </si>
  <si>
    <t>C07054 + C00001</t>
  </si>
  <si>
    <t>C07446 + C05361</t>
  </si>
  <si>
    <t>C16561 + C00001</t>
  </si>
  <si>
    <t>C11004 + C11735</t>
  </si>
  <si>
    <t>C07073 + C00001</t>
  </si>
  <si>
    <t>C11004 + C16647</t>
  </si>
  <si>
    <t xml:space="preserve">C00105 + C00013 </t>
  </si>
  <si>
    <t>C00106 + C00119</t>
  </si>
  <si>
    <t>C00004 + C00080 + C15602</t>
  </si>
  <si>
    <t>C00003 + C15603</t>
  </si>
  <si>
    <t>C04225 + C00001</t>
  </si>
  <si>
    <t>C00002 + C00026 + C00288</t>
  </si>
  <si>
    <t>C00475 + C00001</t>
  </si>
  <si>
    <t xml:space="preserve">C00214 + C00009 </t>
  </si>
  <si>
    <t>C00178 + C00672</t>
  </si>
  <si>
    <t>C00320 + C00177</t>
  </si>
  <si>
    <t>C00094 + C01755</t>
  </si>
  <si>
    <t>C00002 + C00100 + C00288</t>
  </si>
  <si>
    <t>C00008 + C00009 + C00683</t>
  </si>
  <si>
    <t>C00369 + C00001</t>
  </si>
  <si>
    <t>C00721 + C00369</t>
  </si>
  <si>
    <t>C00002 + C00120 + C04735</t>
  </si>
  <si>
    <t>C00020 + C00013 + C04681</t>
  </si>
  <si>
    <t>C00810 + C00011</t>
  </si>
  <si>
    <t>C00002 + C03373 + C00288</t>
  </si>
  <si>
    <t>C00008 + C00009 + C15667</t>
  </si>
  <si>
    <t>C00002 + C00121</t>
  </si>
  <si>
    <t>C00008 + C00117</t>
  </si>
  <si>
    <t>C00029 + C00446</t>
  </si>
  <si>
    <t>C00103 + C00052</t>
  </si>
  <si>
    <t>C00002 + C00984</t>
  </si>
  <si>
    <t>C00008 + C00446</t>
  </si>
  <si>
    <t>C00002 + C06250 + C00288</t>
  </si>
  <si>
    <t>C00074 + C03175</t>
  </si>
  <si>
    <t>C00009 + C01269</t>
  </si>
  <si>
    <t xml:space="preserve">C00003 + C00001 </t>
  </si>
  <si>
    <t xml:space="preserve">C01100 + C00001 </t>
  </si>
  <si>
    <t>C00860 + C00009</t>
  </si>
  <si>
    <t>C01005 + C00026</t>
  </si>
  <si>
    <t>C03232 + C00025</t>
  </si>
  <si>
    <t>C00158 + C00010</t>
  </si>
  <si>
    <t>C00024 + C00001 + C00036</t>
  </si>
  <si>
    <t xml:space="preserve">C00101 + C00006 </t>
  </si>
  <si>
    <t>C00415 + C00005 + C00080</t>
  </si>
  <si>
    <t>C00365 + C00143</t>
  </si>
  <si>
    <t>C00415 + C00364</t>
  </si>
  <si>
    <t>C00234 + C03838</t>
  </si>
  <si>
    <t>C00101 + C04376</t>
  </si>
  <si>
    <t xml:space="preserve">C00075 + C00103 </t>
  </si>
  <si>
    <t>C00013 + C00029</t>
  </si>
  <si>
    <t>C19848 + C06232</t>
  </si>
  <si>
    <t xml:space="preserve">C03862 + C02189 </t>
  </si>
  <si>
    <t>C00110 + C02863</t>
  </si>
  <si>
    <t>C00002 + C00073 + C01647</t>
  </si>
  <si>
    <t>C03880 + C00001</t>
  </si>
  <si>
    <t>C03523 + C00066</t>
  </si>
  <si>
    <t>C00118 + C00009 + C00003</t>
  </si>
  <si>
    <t>C00236 + C00004 + C00080</t>
  </si>
  <si>
    <t>C00002 + C00117</t>
  </si>
  <si>
    <t xml:space="preserve"> C00020 + C00119</t>
  </si>
  <si>
    <t>C01185 + C00013 + C00011</t>
  </si>
  <si>
    <t>C03722 + C00119</t>
  </si>
  <si>
    <t>C05840 + C00111</t>
  </si>
  <si>
    <t>C00074 + C00001</t>
  </si>
  <si>
    <t>C20732 + C00001</t>
  </si>
  <si>
    <t>C05727 + C19702</t>
  </si>
  <si>
    <t>C00341 + C00129</t>
  </si>
  <si>
    <t>C16826 + C00013</t>
  </si>
  <si>
    <t>C00002 + C00864</t>
  </si>
  <si>
    <t>C00008 + C03492</t>
  </si>
  <si>
    <t xml:space="preserve">C00143 + C00037 + C00001 </t>
  </si>
  <si>
    <t>C00101 + C00065</t>
  </si>
  <si>
    <t>C00122 + C00001</t>
  </si>
  <si>
    <t>C00354 + C00001</t>
  </si>
  <si>
    <t>C00085 + C00009</t>
  </si>
  <si>
    <t xml:space="preserve">C00058 + C00003 </t>
  </si>
  <si>
    <t>C00080 + C00011 + C00004</t>
  </si>
  <si>
    <t>C00058 + C15602</t>
  </si>
  <si>
    <t>C00011 + C15603</t>
  </si>
  <si>
    <t xml:space="preserve">C00002 + C01528 + C00001 </t>
  </si>
  <si>
    <t>C00020 + C05172 + C00009</t>
  </si>
  <si>
    <t>C06481 + C05172</t>
  </si>
  <si>
    <t>C06482 + C00009</t>
  </si>
  <si>
    <t>C19784 + C00001</t>
  </si>
  <si>
    <t>C19702 + C00033</t>
  </si>
  <si>
    <t>C00666 + C00026</t>
  </si>
  <si>
    <t>C03972 + C00025 + C00001</t>
  </si>
  <si>
    <t>C00091 + C03972 + C00001</t>
  </si>
  <si>
    <t>C04421 + C00001</t>
  </si>
  <si>
    <t xml:space="preserve">C00019 + C00240 </t>
  </si>
  <si>
    <t>C00021 + C04152</t>
  </si>
  <si>
    <t>C00063 + C00001</t>
  </si>
  <si>
    <t>C00439 + C00001</t>
  </si>
  <si>
    <t>C00025 + C00488</t>
  </si>
  <si>
    <t>C00785 + C00014</t>
  </si>
  <si>
    <t>C00785 + C00001</t>
  </si>
  <si>
    <t>C03680 + C00001</t>
  </si>
  <si>
    <t>C00002 + C00062 + C01636</t>
  </si>
  <si>
    <t>C00020 + C00013 + C02163</t>
  </si>
  <si>
    <t>C00263 + C00003</t>
  </si>
  <si>
    <t>C00441 + C00004 + C00080</t>
  </si>
  <si>
    <t>C00002 + C00263</t>
  </si>
  <si>
    <t>C00008 + C01102</t>
  </si>
  <si>
    <t>C00533 + C00001 + C00125</t>
  </si>
  <si>
    <t>C00088 + C00126 + C00080</t>
  </si>
  <si>
    <t>C00020 + C00013 + C02843</t>
  </si>
  <si>
    <t>C00188 + C00002 + C00288 + C00080</t>
  </si>
  <si>
    <t>C20641 + C00013 + C00001</t>
  </si>
  <si>
    <t>C15811 + C00097</t>
  </si>
  <si>
    <t>C15812 + C00041</t>
  </si>
  <si>
    <t>C00002 + C05345</t>
  </si>
  <si>
    <t>C00008 + C05378</t>
  </si>
  <si>
    <t xml:space="preserve">C04272 + C00006 </t>
  </si>
  <si>
    <t>C06010 + C00005 + C00080</t>
  </si>
  <si>
    <t>C00197 + C00003</t>
  </si>
  <si>
    <t>C03232 + C00004 + C00080</t>
  </si>
  <si>
    <t>C00233 + C00011</t>
  </si>
  <si>
    <t xml:space="preserve">C01641 + C00025 + C00002 </t>
  </si>
  <si>
    <t>C02987 + C00013 + C00020</t>
  </si>
  <si>
    <t>C00093 + C00003</t>
  </si>
  <si>
    <t>C00111 + C00004 + C00080</t>
  </si>
  <si>
    <t>C00008 + C00009 + C00993</t>
  </si>
  <si>
    <t>C00002 + C01081</t>
  </si>
  <si>
    <t>C00008 + C00068</t>
  </si>
  <si>
    <t>C00021 + C04153</t>
  </si>
  <si>
    <t>C00002 + C01134</t>
  </si>
  <si>
    <t>C00013 + C00882</t>
  </si>
  <si>
    <t>C00002 + C00882</t>
  </si>
  <si>
    <t>C00008 + C00010</t>
  </si>
  <si>
    <t>C00002 + C00079 + C01648</t>
  </si>
  <si>
    <t>C00020 + C00013 + C03511</t>
  </si>
  <si>
    <t>C01250 + C00009 + C00006</t>
  </si>
  <si>
    <t>C04133 + C00005 + C00080</t>
  </si>
  <si>
    <t>C00002 + C00624</t>
  </si>
  <si>
    <t>C00008 + C04133</t>
  </si>
  <si>
    <t>C00437 + C00026</t>
  </si>
  <si>
    <t>C01250 + C00025</t>
  </si>
  <si>
    <t>C00169 + C00077</t>
  </si>
  <si>
    <t>C00009 + C00327</t>
  </si>
  <si>
    <t>C00002 + C00327 + C00049</t>
  </si>
  <si>
    <t>C00020 + C00013 + C03406</t>
  </si>
  <si>
    <t>C00122 + C00062</t>
  </si>
  <si>
    <t>C00408 + C00014</t>
  </si>
  <si>
    <t>C11437 + C15809 + C15814</t>
  </si>
  <si>
    <t>C03373 + C00019</t>
  </si>
  <si>
    <t>C04556 + C05198 + C00073 + C00058 + C00237</t>
  </si>
  <si>
    <t>C00002 + C00082 + C00787</t>
  </si>
  <si>
    <t>C00020 + C00013 + C02839</t>
  </si>
  <si>
    <t>C00002 + C00003</t>
  </si>
  <si>
    <t>C00008 + C00006</t>
  </si>
  <si>
    <t>C00301 + C00001</t>
  </si>
  <si>
    <t>C00020 + C00117</t>
  </si>
  <si>
    <t xml:space="preserve">C00002 + C00055 </t>
  </si>
  <si>
    <t>C00008 + C00112</t>
  </si>
  <si>
    <t>C00345 + C00006</t>
  </si>
  <si>
    <t>C00019 + C03516</t>
  </si>
  <si>
    <t>C00021 + C04536</t>
  </si>
  <si>
    <t xml:space="preserve">C00002 + C01279 </t>
  </si>
  <si>
    <t>C00008 + C04556</t>
  </si>
  <si>
    <t xml:space="preserve">C00002 + C04294 </t>
  </si>
  <si>
    <t>C00008 + C04327</t>
  </si>
  <si>
    <t>C00096 + C17556</t>
  </si>
  <si>
    <t>C00035 + C15542</t>
  </si>
  <si>
    <t>C00101 + C00058 + C00002</t>
  </si>
  <si>
    <t>C00008 + C00009 + C00234</t>
  </si>
  <si>
    <t>C00122 + C00014</t>
  </si>
  <si>
    <t>C02739 + C00013</t>
  </si>
  <si>
    <t>C00002 + C00119</t>
  </si>
  <si>
    <t>C19702 + C00097 + C00002</t>
  </si>
  <si>
    <t>C19703 + C00020 + C00013</t>
  </si>
  <si>
    <t>C04574 + C00001</t>
  </si>
  <si>
    <t>C17556 + C00009</t>
  </si>
  <si>
    <t>C00337 + C15602</t>
  </si>
  <si>
    <t>C00295 + C15603</t>
  </si>
  <si>
    <t>C00417 + C00001</t>
  </si>
  <si>
    <t>C05382 + C00118</t>
  </si>
  <si>
    <t>C00117 + C00231</t>
  </si>
  <si>
    <t>C00085 + C00118</t>
  </si>
  <si>
    <t>C00279 + C00231</t>
  </si>
  <si>
    <t>C05345 + C00118</t>
  </si>
  <si>
    <t>C12214 + C00117</t>
  </si>
  <si>
    <t>C12215 + C05382</t>
  </si>
  <si>
    <t>C00231 + C00068</t>
  </si>
  <si>
    <t>C13378 + C00118</t>
  </si>
  <si>
    <t>C05382 + C00068</t>
  </si>
  <si>
    <t>C13378 + C00117</t>
  </si>
  <si>
    <t>C00279 + C00085</t>
  </si>
  <si>
    <t>C00279 + C05345</t>
  </si>
  <si>
    <t>C00092 + C00006</t>
  </si>
  <si>
    <t>C01236 + C00005 + C00080</t>
  </si>
  <si>
    <t xml:space="preserve">C01172 + C00006 </t>
  </si>
  <si>
    <t>C01236 + C00001</t>
  </si>
  <si>
    <t>C00002 + C00197</t>
  </si>
  <si>
    <t>C00008 + C00236</t>
  </si>
  <si>
    <t>C04732 + C15556</t>
  </si>
  <si>
    <t>C00255 + C04732</t>
  </si>
  <si>
    <t>C02430 + C00234</t>
  </si>
  <si>
    <t>C00101 + C03294</t>
  </si>
  <si>
    <t>C11439 + C00001</t>
  </si>
  <si>
    <t>C11440 + C00058</t>
  </si>
  <si>
    <t>C04258 + C00001</t>
  </si>
  <si>
    <t>C00058 + C03617</t>
  </si>
  <si>
    <t xml:space="preserve">C00009 + C00013 + C00019 </t>
  </si>
  <si>
    <t>C00002 + C00073 + C00001</t>
  </si>
  <si>
    <t>C00002 + C05335 + C00001</t>
  </si>
  <si>
    <t>C00009 + C00013 + C05691</t>
  </si>
  <si>
    <t>C00002 + C00144</t>
  </si>
  <si>
    <t>C00008 + C00035</t>
  </si>
  <si>
    <t>C00002 + C00362</t>
  </si>
  <si>
    <t>C00008 + C00361</t>
  </si>
  <si>
    <t>C22441 + C00002</t>
  </si>
  <si>
    <t>C22442 + C00008</t>
  </si>
  <si>
    <t>C00002 + C01563</t>
  </si>
  <si>
    <t>C00008 + C00169</t>
  </si>
  <si>
    <t>C00002 + C00288</t>
  </si>
  <si>
    <t>C00008 + C20969</t>
  </si>
  <si>
    <t>C00014 + C20969</t>
  </si>
  <si>
    <t>C01563 + C00009</t>
  </si>
  <si>
    <t>C00337 + C00001</t>
  </si>
  <si>
    <t>C00169 + C00049</t>
  </si>
  <si>
    <t>C00009 + C00438</t>
  </si>
  <si>
    <t>C02637 + C00001</t>
  </si>
  <si>
    <t>C00944 + C00009</t>
  </si>
  <si>
    <t>C00002 + C00493</t>
  </si>
  <si>
    <t>C00008 + C03175</t>
  </si>
  <si>
    <t>C00251 + C00009</t>
  </si>
  <si>
    <t xml:space="preserve">C00493 + C00006 </t>
  </si>
  <si>
    <t>C02637 + C00005 + C00080</t>
  </si>
  <si>
    <t>C02637 + C00006</t>
  </si>
  <si>
    <t>C22438 + C00005 + C00080</t>
  </si>
  <si>
    <t>C00002 + C00041 + C01635</t>
  </si>
  <si>
    <t>C01638 + C00049 + C00002</t>
  </si>
  <si>
    <t>C02984 + C00013 + C00020</t>
  </si>
  <si>
    <t xml:space="preserve">C00609 + C01847 + C00007 </t>
  </si>
  <si>
    <t>C00638 + C00205 + C00061 + C00001</t>
  </si>
  <si>
    <t>C01847 + C00006</t>
  </si>
  <si>
    <t>C00061 + C00005 + C00080</t>
  </si>
  <si>
    <t>C00022 + C00014</t>
  </si>
  <si>
    <t>C02218 + C00001</t>
  </si>
  <si>
    <t>C20904 + C00001</t>
  </si>
  <si>
    <t>C00161 + C00014</t>
  </si>
  <si>
    <t xml:space="preserve">C00002 + C00135 + C01643 </t>
  </si>
  <si>
    <t>C00020 + C00013 + C02988</t>
  </si>
  <si>
    <t>C00027 + C00007</t>
  </si>
  <si>
    <t>C00147 + C00119</t>
  </si>
  <si>
    <t>C04677 + C00013</t>
  </si>
  <si>
    <t>C04051 + C00119</t>
  </si>
  <si>
    <t>C00096 + C01194</t>
  </si>
  <si>
    <t>C00035 + C21606</t>
  </si>
  <si>
    <t>G10614 + C01194</t>
  </si>
  <si>
    <t>G10620 + G11291</t>
  </si>
  <si>
    <t>C00269 + C00137</t>
  </si>
  <si>
    <t>C00055 + C01194</t>
  </si>
  <si>
    <t>C00008 + C00002</t>
  </si>
  <si>
    <t>C00009 + C01260</t>
  </si>
  <si>
    <t>C00059 + C01260</t>
  </si>
  <si>
    <t>C00002 + C00188 + C01651</t>
  </si>
  <si>
    <t>C00020 + C00013 + C02992</t>
  </si>
  <si>
    <t xml:space="preserve">C03023 + C00343 + C00001 </t>
  </si>
  <si>
    <t>C15653 + C00342</t>
  </si>
  <si>
    <t xml:space="preserve">C00698 + C00007 </t>
  </si>
  <si>
    <t xml:space="preserve">C00022 + C00118 </t>
  </si>
  <si>
    <t>C11437 + C00011</t>
  </si>
  <si>
    <t>C00460 + C00001</t>
  </si>
  <si>
    <t>C00365 + C00013</t>
  </si>
  <si>
    <t>C21751 + C00001</t>
  </si>
  <si>
    <t>C04242 + C00013</t>
  </si>
  <si>
    <t>C00404 + C00031</t>
  </si>
  <si>
    <t>C00404 + C00092</t>
  </si>
  <si>
    <t xml:space="preserve">C00404 + C00221 </t>
  </si>
  <si>
    <t>C00404 + C01172</t>
  </si>
  <si>
    <t>C00404 + C00267</t>
  </si>
  <si>
    <t>C00404 + C00668</t>
  </si>
  <si>
    <t>C00342 + C15498</t>
  </si>
  <si>
    <t>C00343 + C00001 + C01335</t>
  </si>
  <si>
    <t>C00074 + C00615</t>
  </si>
  <si>
    <t>C00022 + C04261</t>
  </si>
  <si>
    <t xml:space="preserve">C01097 + C00002 </t>
  </si>
  <si>
    <t>C00013 + C04432</t>
  </si>
  <si>
    <t>C00269 + C00093</t>
  </si>
  <si>
    <t>C00055 + C03892</t>
  </si>
  <si>
    <t>C00441 + C00022</t>
  </si>
  <si>
    <t>C20258 + C00001</t>
  </si>
  <si>
    <t>C00046 + C00009</t>
  </si>
  <si>
    <t>C00046 + C00454</t>
  </si>
  <si>
    <t>C00046 + C00008</t>
  </si>
  <si>
    <t>C00046 + C00015</t>
  </si>
  <si>
    <t>C00046 + C00035</t>
  </si>
  <si>
    <t>C00046 + C00112</t>
  </si>
  <si>
    <t>C00010 + C03688</t>
  </si>
  <si>
    <t>C00054 + C00229</t>
  </si>
  <si>
    <t xml:space="preserve">C00002 + C00148 + C01649 </t>
  </si>
  <si>
    <t>C00020 + C00013 + C02702</t>
  </si>
  <si>
    <t xml:space="preserve">C00149 + C15602 </t>
  </si>
  <si>
    <t>C00149 + C00007</t>
  </si>
  <si>
    <t>C00036 + C00027</t>
  </si>
  <si>
    <t xml:space="preserve">C00149 + C00016 </t>
  </si>
  <si>
    <t>C00036 + C01352</t>
  </si>
  <si>
    <t>C11502 + C00004 + C00080</t>
  </si>
  <si>
    <t>C11502 + C00005 + C00080</t>
  </si>
  <si>
    <t>G11175 + C00004 + C00080</t>
  </si>
  <si>
    <t>G11175 + C00005 + C00080</t>
  </si>
  <si>
    <t>C11434 + C00006</t>
  </si>
  <si>
    <t>C11437 + C00005 + C00080</t>
  </si>
  <si>
    <t>C00063 + C00416</t>
  </si>
  <si>
    <t>C00013 + C00269</t>
  </si>
  <si>
    <t xml:space="preserve">C00002 + C00105 </t>
  </si>
  <si>
    <t>C00008 + C00015</t>
  </si>
  <si>
    <t xml:space="preserve">C00019 + C01977 </t>
  </si>
  <si>
    <t>C00021 + C04157</t>
  </si>
  <si>
    <t>C02133 + C00001</t>
  </si>
  <si>
    <t>C00060 + C00009</t>
  </si>
  <si>
    <t xml:space="preserve">C00227 + C00001 </t>
  </si>
  <si>
    <t>C00033 + C00009</t>
  </si>
  <si>
    <t>C06206 + C00001</t>
  </si>
  <si>
    <t>C00180 + C00009</t>
  </si>
  <si>
    <t>C00236 + C00001</t>
  </si>
  <si>
    <t>C00197 + C00009</t>
  </si>
  <si>
    <t>C00025 + C00003 + C00001</t>
  </si>
  <si>
    <t>C00026 + C00014 + C00004 + C00080</t>
  </si>
  <si>
    <t>C05167 + C00001 + C00006</t>
  </si>
  <si>
    <t>C00258 + C00002</t>
  </si>
  <si>
    <t>C00631 + C00008</t>
  </si>
  <si>
    <t>C00002 + C00022</t>
  </si>
  <si>
    <t>C00008 + C00074</t>
  </si>
  <si>
    <t>C00044 + C00022</t>
  </si>
  <si>
    <t>C00035 + C00074</t>
  </si>
  <si>
    <t xml:space="preserve">C00063 + C00022 </t>
  </si>
  <si>
    <t>C00075 + C00022</t>
  </si>
  <si>
    <t>C00015 + C00074</t>
  </si>
  <si>
    <t xml:space="preserve">C00081 + C00022 </t>
  </si>
  <si>
    <t>C00104 + C00074</t>
  </si>
  <si>
    <t xml:space="preserve">C00131 + C00022 </t>
  </si>
  <si>
    <t>C00286 + C00022</t>
  </si>
  <si>
    <t>C00361 + C00074</t>
  </si>
  <si>
    <t>C00201 + C00022</t>
  </si>
  <si>
    <t>C00454 + C00074</t>
  </si>
  <si>
    <t>C03506 + C00011 + C00001</t>
  </si>
  <si>
    <t>C01267 + C00001</t>
  </si>
  <si>
    <t>C01100 + C00026</t>
  </si>
  <si>
    <t>C01267 + C00025</t>
  </si>
  <si>
    <t>C00079 + C00026</t>
  </si>
  <si>
    <t>C00166 + C00025</t>
  </si>
  <si>
    <t xml:space="preserve">C00082 + C00026 </t>
  </si>
  <si>
    <t>C01179 + C00025</t>
  </si>
  <si>
    <t>C01929 + C00001 + C00003</t>
  </si>
  <si>
    <t>C00135 + C00004 + C00080</t>
  </si>
  <si>
    <t>C00860 + C00003</t>
  </si>
  <si>
    <t>C01929 + C00004 + C00080</t>
  </si>
  <si>
    <t>C00002 + C00044</t>
  </si>
  <si>
    <t>C00020 + C04494</t>
  </si>
  <si>
    <t>C00109 + C00014</t>
  </si>
  <si>
    <t>C20905 + C00001</t>
  </si>
  <si>
    <t xml:space="preserve">C00152 + C00001 </t>
  </si>
  <si>
    <t>C00049 + C00014</t>
  </si>
  <si>
    <t>C00002 + C00407 + C01644</t>
  </si>
  <si>
    <t>C00020 + C00013 + C03127</t>
  </si>
  <si>
    <t>C00002 + C01050 + C00041</t>
  </si>
  <si>
    <t>C00008 + C00009 + C01212</t>
  </si>
  <si>
    <t>C04851 + C00043</t>
  </si>
  <si>
    <t>C05893 + C00015</t>
  </si>
  <si>
    <t>G10552 + G10610</t>
  </si>
  <si>
    <t>G10553 + G10619</t>
  </si>
  <si>
    <t>C05897 + C00043</t>
  </si>
  <si>
    <t>C05898 + C00015</t>
  </si>
  <si>
    <t>G10551 + G10610</t>
  </si>
  <si>
    <t>G10550 + G10619</t>
  </si>
  <si>
    <t>G10556 + G10610</t>
  </si>
  <si>
    <t>G10555 + G10619</t>
  </si>
  <si>
    <t xml:space="preserve">C00002 + C01212 + C00217 </t>
  </si>
  <si>
    <t>C00008 + C00009 + C00692</t>
  </si>
  <si>
    <t>C04702 + C17556</t>
  </si>
  <si>
    <t xml:space="preserve"> C00105 + C04851</t>
  </si>
  <si>
    <t>C04882 + C17556</t>
  </si>
  <si>
    <t>C00105 + C05897</t>
  </si>
  <si>
    <t>C00002 + C05892 + C00993</t>
  </si>
  <si>
    <t>C00008 + C00009 + C04702</t>
  </si>
  <si>
    <t>C00002 + C04877 + C00993</t>
  </si>
  <si>
    <t>C00008 + C00009 + C04882</t>
  </si>
  <si>
    <t>C00002 + C00692 + C00680</t>
  </si>
  <si>
    <t>C00008 + C00009 + C04877</t>
  </si>
  <si>
    <t>C05893 + C11826</t>
  </si>
  <si>
    <t>C04574 + C11826</t>
  </si>
  <si>
    <t xml:space="preserve">C05898 + C11827 </t>
  </si>
  <si>
    <t>C04574 + C11827</t>
  </si>
  <si>
    <t xml:space="preserve">C00341 + C00129 </t>
  </si>
  <si>
    <t>C00013 + C00448</t>
  </si>
  <si>
    <t>C00074 + C00279 + C00001</t>
  </si>
  <si>
    <t>C04691 + C00009</t>
  </si>
  <si>
    <t>C00002 + C00031</t>
  </si>
  <si>
    <t>C00008 + C00092</t>
  </si>
  <si>
    <t>C00002 + C00221</t>
  </si>
  <si>
    <t>C00008 + C01172</t>
  </si>
  <si>
    <t>C00002 + C00261</t>
  </si>
  <si>
    <t>C00008 + C00668</t>
  </si>
  <si>
    <t>C00002 + C00049 + C00014</t>
  </si>
  <si>
    <t>C00002 + C00049 + C00064 + C00001</t>
  </si>
  <si>
    <t>C00020 + C00013 + C00152 + C00025</t>
  </si>
  <si>
    <t>C01185 + C03114</t>
  </si>
  <si>
    <t>C00253 + C04778 + C00080</t>
  </si>
  <si>
    <t>C00123 + C00026</t>
  </si>
  <si>
    <t>C00233 + C00025</t>
  </si>
  <si>
    <t>C00183 + C00026</t>
  </si>
  <si>
    <t>C00141 + C00025</t>
  </si>
  <si>
    <t>C00407 + C00026</t>
  </si>
  <si>
    <t>C00671 + C00025</t>
  </si>
  <si>
    <t xml:space="preserve">C02356 + C00026 </t>
  </si>
  <si>
    <t>C00109 + C00025</t>
  </si>
  <si>
    <t>C00024 + C15973</t>
  </si>
  <si>
    <t>C00010 + C16255</t>
  </si>
  <si>
    <t>C00037 + C02051</t>
  </si>
  <si>
    <t>C01242 + C00011</t>
  </si>
  <si>
    <t>C01242 + C00101</t>
  </si>
  <si>
    <t>C02972 + C00143 + C00014</t>
  </si>
  <si>
    <t>C00445 + C00001</t>
  </si>
  <si>
    <t xml:space="preserve">C05752 + C16240 </t>
  </si>
  <si>
    <t>C16236 + C00229</t>
  </si>
  <si>
    <t xml:space="preserve">C05752 + C22158 </t>
  </si>
  <si>
    <t>C22160 + C00229</t>
  </si>
  <si>
    <t xml:space="preserve">C05752 + C22157 </t>
  </si>
  <si>
    <t>C22159 + C00229</t>
  </si>
  <si>
    <t>C16239 + C16240</t>
  </si>
  <si>
    <t>C16237 + C00229</t>
  </si>
  <si>
    <t>C00002 + C00025 + C00014</t>
  </si>
  <si>
    <t>C00008 + C00009 + C00064</t>
  </si>
  <si>
    <t>C01102 + C00001</t>
  </si>
  <si>
    <t>C00188 + C00009</t>
  </si>
  <si>
    <t>C06055 + C00001</t>
  </si>
  <si>
    <t>C06056 + C00009</t>
  </si>
  <si>
    <t xml:space="preserve">C00002 + C01281 </t>
  </si>
  <si>
    <t>C00013 + C01299</t>
  </si>
  <si>
    <t>C00226 + C00003</t>
  </si>
  <si>
    <t xml:space="preserve"> C00071 + C00004 + C00080</t>
  </si>
  <si>
    <t xml:space="preserve">C00469 + C00003 </t>
  </si>
  <si>
    <t>C00084 + C00004 + C00080</t>
  </si>
  <si>
    <t xml:space="preserve">C00473 + C00003 </t>
  </si>
  <si>
    <t>C00376 + C00004 + C00080</t>
  </si>
  <si>
    <t>C00756 + C00003</t>
  </si>
  <si>
    <t>C01545 + C00004 + C00080</t>
  </si>
  <si>
    <t xml:space="preserve">C05444 + C00003 </t>
  </si>
  <si>
    <t>C05445 + C00004 + C00080</t>
  </si>
  <si>
    <t>C05576 + C00003</t>
  </si>
  <si>
    <t>C05577 + C00004 + C00080</t>
  </si>
  <si>
    <t>C06611 + C00003</t>
  </si>
  <si>
    <t>C06613 + C00004 + C00080</t>
  </si>
  <si>
    <t>C06612 + C00003</t>
  </si>
  <si>
    <t>C16348 + C00004 + C00080</t>
  </si>
  <si>
    <t>C14089 + C00003</t>
  </si>
  <si>
    <t>C14090 + C00004 + C00080</t>
  </si>
  <si>
    <t xml:space="preserve">C02909 + C00003 </t>
  </si>
  <si>
    <t>C14099 + C00004 + C00080</t>
  </si>
  <si>
    <t>C07645 + C00004 + C00080</t>
  </si>
  <si>
    <t>C16551 + C00003</t>
  </si>
  <si>
    <t>C16586 + C00003</t>
  </si>
  <si>
    <t>C16587 + C00004 + C00080</t>
  </si>
  <si>
    <t>C00114 + C00003</t>
  </si>
  <si>
    <t>C00576 + C00004 + C00080</t>
  </si>
  <si>
    <t>C00114 + C00006</t>
  </si>
  <si>
    <t>C00576 + C00005 + C00080</t>
  </si>
  <si>
    <t>C16310 + C00004 + C00080</t>
  </si>
  <si>
    <t>C08492 + C00003</t>
  </si>
  <si>
    <t>C01612 + C00003</t>
  </si>
  <si>
    <t>C01450 + C00004 + C00080</t>
  </si>
  <si>
    <t>C16595 + C00003</t>
  </si>
  <si>
    <t>C16596 + C00004 + C00080</t>
  </si>
  <si>
    <t>C00418 + C00003</t>
  </si>
  <si>
    <t>C00772 + C00004 + C00080</t>
  </si>
  <si>
    <t>C06899 + C00004 + C00080</t>
  </si>
  <si>
    <t>C07490 + C00003 + C00001</t>
  </si>
  <si>
    <t>C04895 + C00058</t>
  </si>
  <si>
    <t>C04895 + C00001</t>
  </si>
  <si>
    <t>C05922 + C00001</t>
  </si>
  <si>
    <t>C05923 + C00058</t>
  </si>
  <si>
    <t>C00022 + C15972</t>
  </si>
  <si>
    <t>C16255 + C00011</t>
  </si>
  <si>
    <t xml:space="preserve">C05125 + C15972 </t>
  </si>
  <si>
    <t>C16255 + C00068</t>
  </si>
  <si>
    <t xml:space="preserve">C02520 + C00001 </t>
  </si>
  <si>
    <t>C00911 + C00009</t>
  </si>
  <si>
    <t xml:space="preserve">C00020 + C00001 </t>
  </si>
  <si>
    <t>C00212 + C00009</t>
  </si>
  <si>
    <t>C00055 + C00001</t>
  </si>
  <si>
    <t xml:space="preserve"> C00475 + C00009</t>
  </si>
  <si>
    <t xml:space="preserve">C00105 + C00001 </t>
  </si>
  <si>
    <t>C00130 + C00001</t>
  </si>
  <si>
    <t>C00294 + C00009</t>
  </si>
  <si>
    <t>C00144 + C00001</t>
  </si>
  <si>
    <t>C00387 + C00009</t>
  </si>
  <si>
    <t>C00455 + C00001</t>
  </si>
  <si>
    <t>C03150 + C00009</t>
  </si>
  <si>
    <t>C00655 + C00001</t>
  </si>
  <si>
    <t>C01762 + C00009</t>
  </si>
  <si>
    <t>C01185 + C00001</t>
  </si>
  <si>
    <t>C05841 + C00009</t>
  </si>
  <si>
    <t>C00364 + C00001</t>
  </si>
  <si>
    <t>C00214 + C00009</t>
  </si>
  <si>
    <t>C00239 + C00001</t>
  </si>
  <si>
    <t>C00881 + C00009</t>
  </si>
  <si>
    <t>C00362 + C00001</t>
  </si>
  <si>
    <t>C00330 + C00009</t>
  </si>
  <si>
    <t>C00360 + C00001</t>
  </si>
  <si>
    <t>C00559 + C00009</t>
  </si>
  <si>
    <t xml:space="preserve">C00365 + C00001 </t>
  </si>
  <si>
    <t>C06196 + C00001</t>
  </si>
  <si>
    <t>C05512 + C00009</t>
  </si>
  <si>
    <t>C01063 + C00041</t>
  </si>
  <si>
    <t>C01092 + C00010 + C00011</t>
  </si>
  <si>
    <t>C19845 + C00041</t>
  </si>
  <si>
    <t>C01092 + C00229 + C00011</t>
  </si>
  <si>
    <t>C00002 + C02656 + C00010</t>
  </si>
  <si>
    <t>C00020 + C00013 + C01063</t>
  </si>
  <si>
    <t xml:space="preserve">C00232 + C00006 + C00001 </t>
  </si>
  <si>
    <t>C00042 + C00005 + C00080</t>
  </si>
  <si>
    <t>C00091 + C01656</t>
  </si>
  <si>
    <t>C00042 + C00264</t>
  </si>
  <si>
    <t>C00091 + C00164</t>
  </si>
  <si>
    <t>C00042 + C00332</t>
  </si>
  <si>
    <t>C00010 + C00332</t>
  </si>
  <si>
    <t>C00100 + C00024</t>
  </si>
  <si>
    <t>C00010 + C03344</t>
  </si>
  <si>
    <t>C00024 + C00136</t>
  </si>
  <si>
    <t>C00010 + C05269</t>
  </si>
  <si>
    <t>C00286 + C00001</t>
  </si>
  <si>
    <t>C00330 + C00536</t>
  </si>
  <si>
    <t xml:space="preserve">C00002 + C00037 + C01642 </t>
  </si>
  <si>
    <t>C00020 + C00013 + C02412</t>
  </si>
  <si>
    <t>C00488 + C00001</t>
  </si>
  <si>
    <t>C00058 + C00014</t>
  </si>
  <si>
    <t>C00002 + C00250</t>
  </si>
  <si>
    <t>C00008 + C00018</t>
  </si>
  <si>
    <t>C00002 + C00314</t>
  </si>
  <si>
    <t xml:space="preserve"> C00008 + C00627</t>
  </si>
  <si>
    <t>C00008 + C00647</t>
  </si>
  <si>
    <t xml:space="preserve">C01416 + C00001 </t>
  </si>
  <si>
    <t>C16543 + C00001</t>
  </si>
  <si>
    <t xml:space="preserve">C07054 + C00001 </t>
  </si>
  <si>
    <t>C02882 + C00001</t>
  </si>
  <si>
    <t>C00145 + C00014 + C00022</t>
  </si>
  <si>
    <t>C02291 + C00001</t>
  </si>
  <si>
    <t>C00155 + C00014 + C00022</t>
  </si>
  <si>
    <t>C00491 + C00001</t>
  </si>
  <si>
    <t>C00022 + C00014 + C01962</t>
  </si>
  <si>
    <t>C02749 + C00001</t>
  </si>
  <si>
    <t>C00812 + C00014 + C00022</t>
  </si>
  <si>
    <t>C01336 + C00014 + C00022</t>
  </si>
  <si>
    <t>C00097 + C00001</t>
  </si>
  <si>
    <t>C00283 + C00022 + C00014</t>
  </si>
  <si>
    <t xml:space="preserve">C05699 + C00001 </t>
  </si>
  <si>
    <t>C05698 + C00014 + C00022</t>
  </si>
  <si>
    <t xml:space="preserve">C05689 + C00001 </t>
  </si>
  <si>
    <t>C00022 + C00014 + C05703</t>
  </si>
  <si>
    <t>C06099 + C00004 + C00007 + C00080</t>
  </si>
  <si>
    <t>C07271 + C00003 + C00001</t>
  </si>
  <si>
    <t>C00521 + C00004 + C00080 + C00007</t>
  </si>
  <si>
    <t>C19081 + C00003 + C00001</t>
  </si>
  <si>
    <t>C00521 + C00005 + C00007 + C00080</t>
  </si>
  <si>
    <t>C19081 + C00006 + C00001</t>
  </si>
  <si>
    <t>C06099 + C00005 + C00007 + C00080</t>
  </si>
  <si>
    <t>C07271 + C00006 + C00001</t>
  </si>
  <si>
    <t>C00157 + C00001</t>
  </si>
  <si>
    <t>C00641 + C00588</t>
  </si>
  <si>
    <t>C00344 + C00001</t>
  </si>
  <si>
    <t>C00641 + C00093</t>
  </si>
  <si>
    <t xml:space="preserve">C00350 + C00001 </t>
  </si>
  <si>
    <t>C00641 + C00346</t>
  </si>
  <si>
    <t>C01194 + C00001</t>
  </si>
  <si>
    <t>C01177 + C00641</t>
  </si>
  <si>
    <t>C04756 + C00001</t>
  </si>
  <si>
    <t>C03454 + C00346</t>
  </si>
  <si>
    <t>C00019 + C00821</t>
  </si>
  <si>
    <t>C00021 + C03391</t>
  </si>
  <si>
    <t>C00002 + C01185</t>
  </si>
  <si>
    <t>C00013 + C00857</t>
  </si>
  <si>
    <t>C00002 + C00455</t>
  </si>
  <si>
    <t>C00013 + C00003</t>
  </si>
  <si>
    <t>C01165 + C00009 + C00006</t>
  </si>
  <si>
    <t>C03287 + C00005 + C00080</t>
  </si>
  <si>
    <t>C00160 + C00006</t>
  </si>
  <si>
    <t>C00048 + C00005 + C00080</t>
  </si>
  <si>
    <t>C00258 + C00006</t>
  </si>
  <si>
    <t>C00168 + C00005 + C00080</t>
  </si>
  <si>
    <t>C00937 + C00003</t>
  </si>
  <si>
    <t>C00546 + C00004 + C00080</t>
  </si>
  <si>
    <t>C00002 + C00025</t>
  </si>
  <si>
    <t>C00008 + C03287</t>
  </si>
  <si>
    <t>C04232 + C00343 + C00001</t>
  </si>
  <si>
    <t>C03723 + C00342</t>
  </si>
  <si>
    <t>C00206 + C00343 + C00001</t>
  </si>
  <si>
    <t>C00342 + C00008</t>
  </si>
  <si>
    <t>C01346 + C00343 + C00001</t>
  </si>
  <si>
    <t>C00342 + C00015</t>
  </si>
  <si>
    <t>C00361 + C00343 + C00001</t>
  </si>
  <si>
    <t>C00035 + C00342</t>
  </si>
  <si>
    <t>C00705 + C00343 + C00001</t>
  </si>
  <si>
    <t xml:space="preserve"> C00342 + C00112</t>
  </si>
  <si>
    <t>C04232 + C16664 + C00001</t>
  </si>
  <si>
    <t>C03723 + C16663</t>
  </si>
  <si>
    <t>C04232 + C03170 + C00001</t>
  </si>
  <si>
    <t>C03723 + C02090</t>
  </si>
  <si>
    <t>C21750 + C00343 + C00001</t>
  </si>
  <si>
    <t>C21748 + C00342</t>
  </si>
  <si>
    <t xml:space="preserve">C04895 + C00001 </t>
  </si>
  <si>
    <t xml:space="preserve">C00024 + C04650 </t>
  </si>
  <si>
    <t>C00010 + C17952</t>
  </si>
  <si>
    <t xml:space="preserve">C17962 + C00024 </t>
  </si>
  <si>
    <t>C17949 + C00010</t>
  </si>
  <si>
    <t>C00002 + C00033</t>
  </si>
  <si>
    <t>C00008 + C00227</t>
  </si>
  <si>
    <t>C00002 + C00163</t>
  </si>
  <si>
    <t>C00008 + C02876</t>
  </si>
  <si>
    <t>C00024 + C00009</t>
  </si>
  <si>
    <t>C00010 + C00227</t>
  </si>
  <si>
    <t>C00100 + C00009</t>
  </si>
  <si>
    <t>C02876 + C00010</t>
  </si>
  <si>
    <t>C00044 + C00130 + C00049</t>
  </si>
  <si>
    <t>C00035 + C00009 + C03794</t>
  </si>
  <si>
    <t>C00232 + C00006 + C00001</t>
  </si>
  <si>
    <t>C00002 + C00267</t>
  </si>
  <si>
    <t>C00044 + C00036</t>
  </si>
  <si>
    <t>C00035 + C00074 + C00011</t>
  </si>
  <si>
    <t xml:space="preserve">C00081 + C00036 </t>
  </si>
  <si>
    <t>C00104 + C00074 + C00011</t>
  </si>
  <si>
    <t>C00021 + C04160</t>
  </si>
  <si>
    <t>C00173 + C01209</t>
  </si>
  <si>
    <t>C00685 + C00011 + C00229</t>
  </si>
  <si>
    <t>C03939 + C01209</t>
  </si>
  <si>
    <t>C05744 + C00011 + C00229</t>
  </si>
  <si>
    <t>C05223 + C01209</t>
  </si>
  <si>
    <t>C05759 + C00011 + C00229</t>
  </si>
  <si>
    <t xml:space="preserve">C05745 + C01209 </t>
  </si>
  <si>
    <t>C05746 + C00011 + C00229</t>
  </si>
  <si>
    <t>C05749 + C01209</t>
  </si>
  <si>
    <t>C05750 + C00011 + C00229</t>
  </si>
  <si>
    <t xml:space="preserve">C05752 + C01209 </t>
  </si>
  <si>
    <t>C05753 + C00011 + C00229</t>
  </si>
  <si>
    <t>C05755 + C01209</t>
  </si>
  <si>
    <t>C05756 + C00011 + C00229</t>
  </si>
  <si>
    <t>C05761 + C01209</t>
  </si>
  <si>
    <t>C05762 + C00011 + C00229</t>
  </si>
  <si>
    <t>C05764 + C01209</t>
  </si>
  <si>
    <t>C16219 + C00229 + C00011</t>
  </si>
  <si>
    <t>C19673 + C01209</t>
  </si>
  <si>
    <t>C20372 + C00011 + C00229</t>
  </si>
  <si>
    <t>C20375 + C01209</t>
  </si>
  <si>
    <t>C20376 + C00011 + C00229</t>
  </si>
  <si>
    <t>C02970 + C00119</t>
  </si>
  <si>
    <t>C20352 + C00013</t>
  </si>
  <si>
    <t xml:space="preserve">C00934 + C00001 </t>
  </si>
  <si>
    <t>C11477 + C00009</t>
  </si>
  <si>
    <t xml:space="preserve">C00002 + C00116 </t>
  </si>
  <si>
    <t>C00008 + C00093</t>
  </si>
  <si>
    <t>C00093 + C15602</t>
  </si>
  <si>
    <t>C00111 + C15603</t>
  </si>
  <si>
    <t xml:space="preserve">C00093 + C00399 </t>
  </si>
  <si>
    <t>C00111 + C00390</t>
  </si>
  <si>
    <t>C00093 + C00016</t>
  </si>
  <si>
    <t>C00111 + C01352</t>
  </si>
  <si>
    <t>C00002 + C00065 + C01650</t>
  </si>
  <si>
    <t>C00020 + C00013 + C02553</t>
  </si>
  <si>
    <t>C00002 + C00065 + C16636</t>
  </si>
  <si>
    <t>C00020 + C00013 + C06481</t>
  </si>
  <si>
    <t>C04778 + C00001</t>
  </si>
  <si>
    <t>C05775 + C00009</t>
  </si>
  <si>
    <t>C21153 + C00001</t>
  </si>
  <si>
    <t xml:space="preserve"> C00194 + C00009</t>
  </si>
  <si>
    <t>C00166 + C00001 + C00011</t>
  </si>
  <si>
    <t>C00079 + C00001 + C00011</t>
  </si>
  <si>
    <t>C01402 + C00001</t>
  </si>
  <si>
    <t>C00060 + C00292</t>
  </si>
  <si>
    <t>C03120 + C00001</t>
  </si>
  <si>
    <t>C00069 + C00093</t>
  </si>
  <si>
    <t xml:space="preserve">C00670 + C00001 </t>
  </si>
  <si>
    <t>C00114 + C00093</t>
  </si>
  <si>
    <t>C01233 + C00001</t>
  </si>
  <si>
    <t>C00189 + C00093</t>
  </si>
  <si>
    <t>C00186 + C00003</t>
  </si>
  <si>
    <t>C00022 + C00004 + C00080</t>
  </si>
  <si>
    <t>C05984 + C00003</t>
  </si>
  <si>
    <t>C00109 + C00004 + C00080</t>
  </si>
  <si>
    <t>C05823 + C00003</t>
  </si>
  <si>
    <t>C00957 + C00004 + C00080</t>
  </si>
  <si>
    <t>C03895 + C00342</t>
  </si>
  <si>
    <t>C00073 + C00343 + C00001</t>
  </si>
  <si>
    <t>C15999 + C00342</t>
  </si>
  <si>
    <t>C00002 + C00123 + C01645</t>
  </si>
  <si>
    <t>C00020 + C00013 + C02047</t>
  </si>
  <si>
    <t>C01153 + C00001</t>
  </si>
  <si>
    <t xml:space="preserve"> C00069 + C00009</t>
  </si>
  <si>
    <t>C01081 + C00001</t>
  </si>
  <si>
    <t>C00378 + C00009</t>
  </si>
  <si>
    <t>C03360 + C00001</t>
  </si>
  <si>
    <t>C00870 + C00009</t>
  </si>
  <si>
    <t>C00111 + C00001</t>
  </si>
  <si>
    <t>C00184 + C00009</t>
  </si>
  <si>
    <t>C00108 + C00022 + C00025</t>
  </si>
  <si>
    <t>C00251 + C00014</t>
  </si>
  <si>
    <t>C00108 + C00022 + C00001</t>
  </si>
  <si>
    <t>C00065 + C00463</t>
  </si>
  <si>
    <t>C00078 + C00001</t>
  </si>
  <si>
    <t>C00463 + C00118</t>
  </si>
  <si>
    <t>C00065 + C03506</t>
  </si>
  <si>
    <t>C00078 + C00118 + C00001</t>
  </si>
  <si>
    <t>C02211 + C00063</t>
  </si>
  <si>
    <t>C19078 + C00013</t>
  </si>
  <si>
    <t xml:space="preserve">C19078 + C00063 </t>
  </si>
  <si>
    <t>C19080 + C00013</t>
  </si>
  <si>
    <t>C19080 + C00002</t>
  </si>
  <si>
    <t>C19085 + C00013</t>
  </si>
  <si>
    <t>C00342 + C00006</t>
  </si>
  <si>
    <t>C00343 + C00005 + C00080</t>
  </si>
  <si>
    <t>C00097 + C00051 + C00006</t>
  </si>
  <si>
    <t>C05526 + C00005</t>
  </si>
  <si>
    <t>C02999 + C00001</t>
  </si>
  <si>
    <t>C02713 + C00041</t>
  </si>
  <si>
    <t>C00131 * C00039</t>
  </si>
  <si>
    <t xml:space="preserve">C00286 * C00039 </t>
  </si>
  <si>
    <t>C00458 * C00039</t>
  </si>
  <si>
    <t xml:space="preserve">C00459 * C00039 </t>
  </si>
  <si>
    <t>C00013 * C00039</t>
  </si>
  <si>
    <t>C00440 * C00006</t>
  </si>
  <si>
    <t>C00440 * C00003</t>
  </si>
  <si>
    <t>C04489 * C00155</t>
  </si>
  <si>
    <t>C05698 * C04489</t>
  </si>
  <si>
    <t>C00357 * C00001</t>
  </si>
  <si>
    <t>C00352 * C00001</t>
  </si>
  <si>
    <t>C00002 *C00017</t>
  </si>
  <si>
    <t>C00002 * C01609</t>
  </si>
  <si>
    <t>C00562 * C00001</t>
  </si>
  <si>
    <t xml:space="preserve">C04421 * C00001 </t>
  </si>
  <si>
    <t>C00020 * C00001</t>
  </si>
  <si>
    <t>C00576 * C00003 * C00001</t>
  </si>
  <si>
    <t>C00576 * C00006 * C00001</t>
  </si>
  <si>
    <t>C00114 * C00028</t>
  </si>
  <si>
    <t>C04250 * C02743</t>
  </si>
  <si>
    <t>C15561 * C00001</t>
  </si>
  <si>
    <t>C00431 * C00026</t>
  </si>
  <si>
    <t>C06010 * C00011</t>
  </si>
  <si>
    <t>C00022 * C00068</t>
  </si>
  <si>
    <t>C00900 * C00068</t>
  </si>
  <si>
    <t>C06010 * C00068</t>
  </si>
  <si>
    <t>C00109 * C05125</t>
  </si>
  <si>
    <t>C00022 * C00109</t>
  </si>
  <si>
    <t>C01086 * C00006</t>
  </si>
  <si>
    <t>C03561 * C00006</t>
  </si>
  <si>
    <t>G13125 * G13119</t>
  </si>
  <si>
    <t>G13125 * G13120</t>
  </si>
  <si>
    <t xml:space="preserve">C19848 * C06232 </t>
  </si>
  <si>
    <t>C19967 * C00001</t>
  </si>
  <si>
    <t>C17324 * C00001</t>
  </si>
  <si>
    <t>C01977 * C16675</t>
  </si>
  <si>
    <t>C02504 * C00010</t>
  </si>
  <si>
    <t>C00002 * C00049</t>
  </si>
  <si>
    <t>C00441 * C00009 * C00006</t>
  </si>
  <si>
    <t>C00132 * C00027</t>
  </si>
  <si>
    <t>C00722 * C00001</t>
  </si>
  <si>
    <t xml:space="preserve">C06548 * C00001 </t>
  </si>
  <si>
    <t>C14771 * C00001</t>
  </si>
  <si>
    <t xml:space="preserve">C14770 * C00001 </t>
  </si>
  <si>
    <t xml:space="preserve">C14769 * C00001 </t>
  </si>
  <si>
    <t>C14768 * C00001</t>
  </si>
  <si>
    <t>C00002 * C00638 * C00010</t>
  </si>
  <si>
    <t>C00002 * C00249 * C00010</t>
  </si>
  <si>
    <t>C18235 * C00003 * C00001</t>
  </si>
  <si>
    <t>C00459 * C00103</t>
  </si>
  <si>
    <t>C01419 * C00001</t>
  </si>
  <si>
    <t>C05729 * C00001</t>
  </si>
  <si>
    <t>C16832 * C00003</t>
  </si>
  <si>
    <t>C02972 * C00003</t>
  </si>
  <si>
    <t>C15973 * C00003</t>
  </si>
  <si>
    <t xml:space="preserve">C00579 * C00003 </t>
  </si>
  <si>
    <t>C15602 * C00042</t>
  </si>
  <si>
    <t>C00399 * C00042</t>
  </si>
  <si>
    <t>C01050 * C00006</t>
  </si>
  <si>
    <t xml:space="preserve">C01050 * C00003 </t>
  </si>
  <si>
    <t xml:space="preserve">C00002 * C00249 * C00010 </t>
  </si>
  <si>
    <t>C00043 * C04006</t>
  </si>
  <si>
    <t>C04494 * C00001</t>
  </si>
  <si>
    <t>C00148 * C00003</t>
  </si>
  <si>
    <t>C00148 * C00006</t>
  </si>
  <si>
    <t>C01157 * C00003</t>
  </si>
  <si>
    <t>C01157 * C00006</t>
  </si>
  <si>
    <t>C01005 * C00001</t>
  </si>
  <si>
    <t>C02532 * C00001</t>
  </si>
  <si>
    <t>C02987 * C00005 * C00080</t>
  </si>
  <si>
    <t>C00019 * C01051</t>
  </si>
  <si>
    <t xml:space="preserve">C00019 * C15527 </t>
  </si>
  <si>
    <t>C01188 * C00003</t>
  </si>
  <si>
    <t>C06001 * C00003</t>
  </si>
  <si>
    <t>C05847 * C03657</t>
  </si>
  <si>
    <t xml:space="preserve">C00002 * C02730 * C00010 </t>
  </si>
  <si>
    <t>C00885 * C00026</t>
  </si>
  <si>
    <t>C19847 * C00019</t>
  </si>
  <si>
    <t>C00201 * C00046</t>
  </si>
  <si>
    <t>C00002 * C00046</t>
  </si>
  <si>
    <t>C00044 * C00046</t>
  </si>
  <si>
    <t>C00063 * C00046</t>
  </si>
  <si>
    <t>C00075 * C00046</t>
  </si>
  <si>
    <t xml:space="preserve">C00019 * C01229 </t>
  </si>
  <si>
    <t>C00002 * C00020</t>
  </si>
  <si>
    <t>C00002 * C00360</t>
  </si>
  <si>
    <t>C00068 * C00008</t>
  </si>
  <si>
    <t>C00064 * C00085</t>
  </si>
  <si>
    <t>C00130 * C00003 * C00001</t>
  </si>
  <si>
    <t>C04646 * C00003 * C00001</t>
  </si>
  <si>
    <t>C00311 * C00006</t>
  </si>
  <si>
    <t>C00002 * C00078 * C01652</t>
  </si>
  <si>
    <t>C02391 * C00001</t>
  </si>
  <si>
    <t>C01416 * C00001</t>
  </si>
  <si>
    <t>C16641 * C00001</t>
  </si>
  <si>
    <t xml:space="preserve">C16543 * C00001 </t>
  </si>
  <si>
    <t>C12650 * C00001</t>
  </si>
  <si>
    <t>C07585 * C00001</t>
  </si>
  <si>
    <t>C07054 * C00001</t>
  </si>
  <si>
    <t>C16561 * C00001</t>
  </si>
  <si>
    <t>C07073 * C00001</t>
  </si>
  <si>
    <t xml:space="preserve">C00105 * C00013 </t>
  </si>
  <si>
    <t>C00004 * C00080 * C15602</t>
  </si>
  <si>
    <t>C00828 * C00080 * C00004</t>
  </si>
  <si>
    <t>C01628 * C00004 * C00080</t>
  </si>
  <si>
    <t xml:space="preserve">C02059 * C00004 * C00080 </t>
  </si>
  <si>
    <t>C00005 * C00080 * C15602</t>
  </si>
  <si>
    <t>C00002 * C00026 * C00288</t>
  </si>
  <si>
    <t>C00475 * C00001</t>
  </si>
  <si>
    <t>C00881 * C00001</t>
  </si>
  <si>
    <t>C16635 * C00001</t>
  </si>
  <si>
    <t xml:space="preserve">C00214 * C00009 </t>
  </si>
  <si>
    <t>C00299 * C00009</t>
  </si>
  <si>
    <t>C00475 * C00009</t>
  </si>
  <si>
    <t>C00526 * C00009</t>
  </si>
  <si>
    <t>C03169 * C00009</t>
  </si>
  <si>
    <t>C00320 * C00177</t>
  </si>
  <si>
    <t>C00002 * C00100 * C00288</t>
  </si>
  <si>
    <t>C00002 * C00288 * C00136 * C00080</t>
  </si>
  <si>
    <t>C00369 * C00001</t>
  </si>
  <si>
    <t>C01935 * C00001</t>
  </si>
  <si>
    <t>C00002 * C00120 * C04735</t>
  </si>
  <si>
    <t>C00002 * C00120</t>
  </si>
  <si>
    <t>C05921 * C06249</t>
  </si>
  <si>
    <t>C00002 * C03373 * C00288</t>
  </si>
  <si>
    <t>C00002 * C00121</t>
  </si>
  <si>
    <t>C00673 * C00008</t>
  </si>
  <si>
    <t>C00029 * C00446</t>
  </si>
  <si>
    <t>C00002 * C00984</t>
  </si>
  <si>
    <t>C00002 * C06250 * C00288</t>
  </si>
  <si>
    <t>C00074 * C03175</t>
  </si>
  <si>
    <t xml:space="preserve">C00003 * C00001 </t>
  </si>
  <si>
    <t>C00004 * C00001</t>
  </si>
  <si>
    <t>C00857 * C00001</t>
  </si>
  <si>
    <t xml:space="preserve">C01100 * C00001 </t>
  </si>
  <si>
    <t xml:space="preserve">C15585 * C00001 </t>
  </si>
  <si>
    <t>C01177 * C00001</t>
  </si>
  <si>
    <t>C03546 * C00001</t>
  </si>
  <si>
    <t>C04006 * C00001</t>
  </si>
  <si>
    <t>C01005 * C00026</t>
  </si>
  <si>
    <t>C06055 * C00026</t>
  </si>
  <si>
    <t>C00158 * C00010</t>
  </si>
  <si>
    <t xml:space="preserve">C00101 * C00006 </t>
  </si>
  <si>
    <t>C00101 * C00003</t>
  </si>
  <si>
    <t>C00415 * C00003</t>
  </si>
  <si>
    <t>C00415 * C00006</t>
  </si>
  <si>
    <t>C00272 * C00006</t>
  </si>
  <si>
    <t>C00365 * C00143</t>
  </si>
  <si>
    <t>C00054 * C00001</t>
  </si>
  <si>
    <t>C00053 * C00001</t>
  </si>
  <si>
    <t>C00234 * C03838</t>
  </si>
  <si>
    <t>C03838 * C00445 * C00001</t>
  </si>
  <si>
    <t xml:space="preserve">C00075 * C00103 </t>
  </si>
  <si>
    <t>C19848 * C06232</t>
  </si>
  <si>
    <t xml:space="preserve">C03862 * C02189 </t>
  </si>
  <si>
    <t>G10617 * C02189</t>
  </si>
  <si>
    <t xml:space="preserve">C03862 * C19803 </t>
  </si>
  <si>
    <t>C00002 * C00073 * C01647</t>
  </si>
  <si>
    <t>C00002 * C05335 * C01647</t>
  </si>
  <si>
    <t>C11435 * C00002</t>
  </si>
  <si>
    <t>C03460 * C00001</t>
  </si>
  <si>
    <t>C00877 * C00001</t>
  </si>
  <si>
    <t>C11946 * C00001</t>
  </si>
  <si>
    <t>C11945 * C00001</t>
  </si>
  <si>
    <t>C14144 * C00001</t>
  </si>
  <si>
    <t xml:space="preserve">C16468 * C00001 </t>
  </si>
  <si>
    <t>C01271 * C00006</t>
  </si>
  <si>
    <t xml:space="preserve">C04618 * C00006 </t>
  </si>
  <si>
    <t>C04619 * C00006</t>
  </si>
  <si>
    <t xml:space="preserve">C04620 * C00006 </t>
  </si>
  <si>
    <t xml:space="preserve">C04633 * C00006 </t>
  </si>
  <si>
    <t>C04688 * C00006</t>
  </si>
  <si>
    <t xml:space="preserve">C05747 * C00006 </t>
  </si>
  <si>
    <t xml:space="preserve">C05757 * C00006 </t>
  </si>
  <si>
    <t xml:space="preserve">C16219 * C00005 * C00080 </t>
  </si>
  <si>
    <t>C20372 * C00005 * C00080</t>
  </si>
  <si>
    <t>C20376 * C00005 * C00080</t>
  </si>
  <si>
    <t>C03880 * C00001</t>
  </si>
  <si>
    <t>C00118 * C00009 * C00003</t>
  </si>
  <si>
    <t>C00002 * C00117</t>
  </si>
  <si>
    <t>C01185 * C00013 * C00011</t>
  </si>
  <si>
    <t>C00002 * C00001</t>
  </si>
  <si>
    <t xml:space="preserve">C00002 * C00001 </t>
  </si>
  <si>
    <t>C20732 * C00001</t>
  </si>
  <si>
    <t>C00341 * C00129</t>
  </si>
  <si>
    <t>C00002 * C00864</t>
  </si>
  <si>
    <t>C00002 * C00831</t>
  </si>
  <si>
    <t>C00002 * C04079</t>
  </si>
  <si>
    <t xml:space="preserve">C00143 * C00037 * C00001 </t>
  </si>
  <si>
    <t xml:space="preserve">C00065 * C01217 </t>
  </si>
  <si>
    <t>C00354 * C00001</t>
  </si>
  <si>
    <t>C05378 * C00001</t>
  </si>
  <si>
    <t>C00447 * C00001</t>
  </si>
  <si>
    <t xml:space="preserve">C00058 * C00003 </t>
  </si>
  <si>
    <t>C00058 * C15602</t>
  </si>
  <si>
    <t xml:space="preserve">C00002 * C01528 * C00001 </t>
  </si>
  <si>
    <t>C06481 * C05172</t>
  </si>
  <si>
    <t>C19784 * C00001</t>
  </si>
  <si>
    <t>C00666 * C00026</t>
  </si>
  <si>
    <t>C00091 * C03972 * C00001</t>
  </si>
  <si>
    <t>C04421 * C00001</t>
  </si>
  <si>
    <t xml:space="preserve">C00019 * C00240 </t>
  </si>
  <si>
    <t>C00089 * C00001</t>
  </si>
  <si>
    <t>C00492 * C00001</t>
  </si>
  <si>
    <t>C01613 * C00001</t>
  </si>
  <si>
    <t>C16688 * C00001</t>
  </si>
  <si>
    <t xml:space="preserve">G00370 * C00001 </t>
  </si>
  <si>
    <t>G00370 * C00001</t>
  </si>
  <si>
    <t xml:space="preserve">G00249 * C00001 </t>
  </si>
  <si>
    <t>G00278 * C00001</t>
  </si>
  <si>
    <t>G10508 * C00001</t>
  </si>
  <si>
    <t>C00063 * C00001</t>
  </si>
  <si>
    <t>C00458 * C00001</t>
  </si>
  <si>
    <t>C00439 * C00001</t>
  </si>
  <si>
    <t>C03680 * C00001</t>
  </si>
  <si>
    <t>C00002 * C00062 * C01636</t>
  </si>
  <si>
    <t>C00263 * C00003</t>
  </si>
  <si>
    <t>C00263 * C00006</t>
  </si>
  <si>
    <t>C00002 * C00263</t>
  </si>
  <si>
    <t>C00533 * C00001 * C00125</t>
  </si>
  <si>
    <t>C00533 * C00001 * C00997</t>
  </si>
  <si>
    <t>C00533 * C00001 * C05357</t>
  </si>
  <si>
    <t>C00188 * C00002 * C00288 * C00080</t>
  </si>
  <si>
    <t>C15811 * C00097</t>
  </si>
  <si>
    <t>C00097 * C02743</t>
  </si>
  <si>
    <t>C15812 * C02743</t>
  </si>
  <si>
    <t>C00002 * C05345</t>
  </si>
  <si>
    <t>C00002 * C00085</t>
  </si>
  <si>
    <t>C00063 * C00085</t>
  </si>
  <si>
    <t>C00075 * C00085</t>
  </si>
  <si>
    <t xml:space="preserve">C00081 * C00085 </t>
  </si>
  <si>
    <t>C00002 * C05382</t>
  </si>
  <si>
    <t>C01097 * C00002</t>
  </si>
  <si>
    <t>C00063 * C01097</t>
  </si>
  <si>
    <t>C00075 * C01097</t>
  </si>
  <si>
    <t>C00081 * C01097</t>
  </si>
  <si>
    <t xml:space="preserve">C04272 * C00006 </t>
  </si>
  <si>
    <t>C00900 * C00005 * C00080</t>
  </si>
  <si>
    <t>C04272 * C00006</t>
  </si>
  <si>
    <t xml:space="preserve">C06007 * C00006 </t>
  </si>
  <si>
    <t>C00197 * C00003</t>
  </si>
  <si>
    <t>C02630 * C00003</t>
  </si>
  <si>
    <t>C00233 * C00011</t>
  </si>
  <si>
    <t>C04411 * C00003</t>
  </si>
  <si>
    <t>C00109 * C00011 * C00004 * C00080</t>
  </si>
  <si>
    <t xml:space="preserve">C01641 * C00025 * C00002 </t>
  </si>
  <si>
    <t>C00093 * C00003</t>
  </si>
  <si>
    <t xml:space="preserve">C00093 * C00006 </t>
  </si>
  <si>
    <t>C00002 * C01081</t>
  </si>
  <si>
    <t>C00002 * C01134</t>
  </si>
  <si>
    <t>C00002 * C00882</t>
  </si>
  <si>
    <t>C00002 * C00079 * C01648</t>
  </si>
  <si>
    <t>C01250 * C00009 * C00006</t>
  </si>
  <si>
    <t>C00002 * C00624</t>
  </si>
  <si>
    <t>C00437 * C00026</t>
  </si>
  <si>
    <t>C00169 * C00077</t>
  </si>
  <si>
    <t>C00002 * C00327 * C00049</t>
  </si>
  <si>
    <t>C11437 * C15809 * C15814</t>
  </si>
  <si>
    <t>C03373 * C00019</t>
  </si>
  <si>
    <t>C00002 * C00082 * C00787</t>
  </si>
  <si>
    <t>C00002 * C00003</t>
  </si>
  <si>
    <t>C00301 * C00001</t>
  </si>
  <si>
    <t xml:space="preserve">C00002 * C00055 </t>
  </si>
  <si>
    <t>C00002 * C00239</t>
  </si>
  <si>
    <t>C00345 * C00006</t>
  </si>
  <si>
    <t>C00019 * C03516</t>
  </si>
  <si>
    <t xml:space="preserve">C00002 * C01279 </t>
  </si>
  <si>
    <t xml:space="preserve">C00002 * C04294 </t>
  </si>
  <si>
    <t>C00096 * C17556</t>
  </si>
  <si>
    <t>C00101 * C00058 * C00002</t>
  </si>
  <si>
    <t>C02739 * C00013</t>
  </si>
  <si>
    <t>C19702 * C00097 * C00002</t>
  </si>
  <si>
    <t>C04574 * C00001</t>
  </si>
  <si>
    <t>C00337 * C15602</t>
  </si>
  <si>
    <t>C05382 * C00118</t>
  </si>
  <si>
    <t>C00085 * C00118</t>
  </si>
  <si>
    <t>C05345 * C00118</t>
  </si>
  <si>
    <t>C12214 * C00117</t>
  </si>
  <si>
    <t>C00231 * C00068</t>
  </si>
  <si>
    <t>C05382 * C00068</t>
  </si>
  <si>
    <t>C00092 * C00006</t>
  </si>
  <si>
    <t xml:space="preserve">C01172 * C00006 </t>
  </si>
  <si>
    <t>C01236 * C00001</t>
  </si>
  <si>
    <t>C00002 * C00197</t>
  </si>
  <si>
    <t>C04732 * C15556</t>
  </si>
  <si>
    <t>C02430 * C00234</t>
  </si>
  <si>
    <t>C11439 * C00001</t>
  </si>
  <si>
    <t>C04258 * C00001</t>
  </si>
  <si>
    <t xml:space="preserve">C00009 * C00013 * C00019 </t>
  </si>
  <si>
    <t>C00002 * C05335 * C00001</t>
  </si>
  <si>
    <t>C00002 * C00144</t>
  </si>
  <si>
    <t>C00002 * C00362</t>
  </si>
  <si>
    <t>C22441 * C00002</t>
  </si>
  <si>
    <t>C00064 * C00001</t>
  </si>
  <si>
    <t>C00002 * C01563</t>
  </si>
  <si>
    <t>C00002 * C00288</t>
  </si>
  <si>
    <t>C00014 * C20969</t>
  </si>
  <si>
    <t>C00337 * C00001</t>
  </si>
  <si>
    <t>C00169 * C00049</t>
  </si>
  <si>
    <t>C00002 * C00493</t>
  </si>
  <si>
    <t xml:space="preserve">C00493 * C00006 </t>
  </si>
  <si>
    <t>C02637 * C00006</t>
  </si>
  <si>
    <t>C00002 * C00041 * C01635</t>
  </si>
  <si>
    <t>C01638 * C00049 * C00002</t>
  </si>
  <si>
    <t xml:space="preserve">C00609 * C01847 * C00007 </t>
  </si>
  <si>
    <t>C01847 * C00006</t>
  </si>
  <si>
    <t>C20904 * C00001</t>
  </si>
  <si>
    <t xml:space="preserve">C00002 * C00135 * C01643 </t>
  </si>
  <si>
    <t>C00020 * C00013</t>
  </si>
  <si>
    <t>C04677 * C00013</t>
  </si>
  <si>
    <t>C00096 * C01194</t>
  </si>
  <si>
    <t>G10614 * C01194</t>
  </si>
  <si>
    <t>C00269 * C00137</t>
  </si>
  <si>
    <t>C00008 * C00002</t>
  </si>
  <si>
    <t>C00002 * C00188 * C01651</t>
  </si>
  <si>
    <t xml:space="preserve">C03023 * C00343 * C00001 </t>
  </si>
  <si>
    <t xml:space="preserve">C00698 * C00007 </t>
  </si>
  <si>
    <t xml:space="preserve">C00022 * C00118 </t>
  </si>
  <si>
    <t>C00460 * C00001</t>
  </si>
  <si>
    <t>C21751 * C00001</t>
  </si>
  <si>
    <t>C00404 * C00031</t>
  </si>
  <si>
    <t xml:space="preserve">C00404 * C00221 </t>
  </si>
  <si>
    <t>C00404 * C00267</t>
  </si>
  <si>
    <t>C00342 * C15498</t>
  </si>
  <si>
    <t>C00074 * C00615</t>
  </si>
  <si>
    <t xml:space="preserve">C01097 * C00002 </t>
  </si>
  <si>
    <t>C00269 * C00093</t>
  </si>
  <si>
    <t>C00441 * C00022</t>
  </si>
  <si>
    <t>C00046 * C00009</t>
  </si>
  <si>
    <t>C00010 * C03688</t>
  </si>
  <si>
    <t xml:space="preserve">C00002 * C00148 * C01649 </t>
  </si>
  <si>
    <t xml:space="preserve">C00149 * C15602 </t>
  </si>
  <si>
    <t>C00149 * C00007</t>
  </si>
  <si>
    <t xml:space="preserve">C00149 * C00016 </t>
  </si>
  <si>
    <t>C11434 * C00006</t>
  </si>
  <si>
    <t>C00063 * C00416</t>
  </si>
  <si>
    <t xml:space="preserve">C00002 * C00105 </t>
  </si>
  <si>
    <t xml:space="preserve">C00019 * C01977 </t>
  </si>
  <si>
    <t>C02133 * C00001</t>
  </si>
  <si>
    <t xml:space="preserve">C00227 * C00001 </t>
  </si>
  <si>
    <t>C06206 * C00001</t>
  </si>
  <si>
    <t>C00236 * C00001</t>
  </si>
  <si>
    <t>C00025 * C00003 * C00001</t>
  </si>
  <si>
    <t xml:space="preserve">C05167 * C00001 * C00003 </t>
  </si>
  <si>
    <t>C05167 * C00001 * C00006</t>
  </si>
  <si>
    <t>C00258 * C00002</t>
  </si>
  <si>
    <t>C00002 * C00022</t>
  </si>
  <si>
    <t>C00044 * C00022</t>
  </si>
  <si>
    <t xml:space="preserve">C00063 * C00022 </t>
  </si>
  <si>
    <t>C00075 * C00022</t>
  </si>
  <si>
    <t xml:space="preserve">C00081 * C00022 </t>
  </si>
  <si>
    <t xml:space="preserve">C00131 * C00022 </t>
  </si>
  <si>
    <t>C00286 * C00022</t>
  </si>
  <si>
    <t>C00201 * C00022</t>
  </si>
  <si>
    <t>C01100 * C00026</t>
  </si>
  <si>
    <t>C00079 * C00026</t>
  </si>
  <si>
    <t xml:space="preserve">C00082 * C00026 </t>
  </si>
  <si>
    <t>C01929 * C00001 * C00003</t>
  </si>
  <si>
    <t>C00860 * C00003</t>
  </si>
  <si>
    <t>C00002 * C00044</t>
  </si>
  <si>
    <t>C20905 * C00001</t>
  </si>
  <si>
    <t xml:space="preserve">C00152 * C00001 </t>
  </si>
  <si>
    <t>C00241 * C00001</t>
  </si>
  <si>
    <t>C00002 * C00407 * C01644</t>
  </si>
  <si>
    <t>C00002 * C01050 * C00041</t>
  </si>
  <si>
    <t>C04851 * C00043</t>
  </si>
  <si>
    <t>G10552 * G10610</t>
  </si>
  <si>
    <t>C05897 * C00043</t>
  </si>
  <si>
    <t>G10551 * G10610</t>
  </si>
  <si>
    <t>G10556 * G10610</t>
  </si>
  <si>
    <t xml:space="preserve">C00002 * C01212 * C00217 </t>
  </si>
  <si>
    <t>C04702 * C17556</t>
  </si>
  <si>
    <t>C04882 * C17556</t>
  </si>
  <si>
    <t>C00002 * C05892 * C00993</t>
  </si>
  <si>
    <t>C00002 * C04877 * C00993</t>
  </si>
  <si>
    <t>C00002 * C00692 * C00680</t>
  </si>
  <si>
    <t>C05893 * C11826</t>
  </si>
  <si>
    <t xml:space="preserve">C05898 * C11827 </t>
  </si>
  <si>
    <t xml:space="preserve">C00341 * C00129 </t>
  </si>
  <si>
    <t xml:space="preserve">C00002 * C01609 </t>
  </si>
  <si>
    <t>C00074 * C00279 * C00001</t>
  </si>
  <si>
    <t>C00002 * C00031</t>
  </si>
  <si>
    <t>C00002 * C00221</t>
  </si>
  <si>
    <t>C00002 * C00261</t>
  </si>
  <si>
    <t>C00002 * C00049 * C00014</t>
  </si>
  <si>
    <t>C00002 * C00049 * C00064 * C00001</t>
  </si>
  <si>
    <t>C01185 * C03114</t>
  </si>
  <si>
    <t>C00123 * C00026</t>
  </si>
  <si>
    <t>C00183 * C00026</t>
  </si>
  <si>
    <t>C00407 * C00026</t>
  </si>
  <si>
    <t xml:space="preserve">C02356 * C00026 </t>
  </si>
  <si>
    <t>C00024 * C15973</t>
  </si>
  <si>
    <t>C00037 * C02051</t>
  </si>
  <si>
    <t>C01242 * C00101</t>
  </si>
  <si>
    <t xml:space="preserve">C05752 * C16240 </t>
  </si>
  <si>
    <t xml:space="preserve">C05752 * C22158 </t>
  </si>
  <si>
    <t xml:space="preserve">C05752 * C22157 </t>
  </si>
  <si>
    <t>C16239 * C16240</t>
  </si>
  <si>
    <t>C00002 * C00025 * C00014</t>
  </si>
  <si>
    <t>C01102 * C00001</t>
  </si>
  <si>
    <t>C06055 * C00001</t>
  </si>
  <si>
    <t xml:space="preserve">C00002 * C01281 </t>
  </si>
  <si>
    <t>C00226 * C00003</t>
  </si>
  <si>
    <t xml:space="preserve">C00469 * C00003 </t>
  </si>
  <si>
    <t xml:space="preserve">C00473 * C00003 </t>
  </si>
  <si>
    <t>C00756 * C00003</t>
  </si>
  <si>
    <t xml:space="preserve">C05444 * C00003 </t>
  </si>
  <si>
    <t>C05576 * C00003</t>
  </si>
  <si>
    <t>C06611 * C00003</t>
  </si>
  <si>
    <t>C06612 * C00003</t>
  </si>
  <si>
    <t>C14089 * C00003</t>
  </si>
  <si>
    <t xml:space="preserve">C02909 * C00003 </t>
  </si>
  <si>
    <t>C07645 * C00004 * C00080</t>
  </si>
  <si>
    <t>C16586 * C00003</t>
  </si>
  <si>
    <t>C00114 * C00003</t>
  </si>
  <si>
    <t>C00114 * C00006</t>
  </si>
  <si>
    <t>C16310 * C00004 * C00080</t>
  </si>
  <si>
    <t>C01612 * C00003</t>
  </si>
  <si>
    <t>C16595 * C00003</t>
  </si>
  <si>
    <t>C00418 * C00003</t>
  </si>
  <si>
    <t>C06899 * C00004 * C00080</t>
  </si>
  <si>
    <t>C00044 * C00001</t>
  </si>
  <si>
    <t>C04895 * C00001</t>
  </si>
  <si>
    <t>C05922 * C00001</t>
  </si>
  <si>
    <t>C00022 * C15972</t>
  </si>
  <si>
    <t xml:space="preserve">C05125 * C15972 </t>
  </si>
  <si>
    <t xml:space="preserve">C02520 * C00001 </t>
  </si>
  <si>
    <t xml:space="preserve">C00020 * C00001 </t>
  </si>
  <si>
    <t>C00055 * C00001</t>
  </si>
  <si>
    <t xml:space="preserve">C00105 * C00001 </t>
  </si>
  <si>
    <t>C00130 * C00001</t>
  </si>
  <si>
    <t>C00144 * C00001</t>
  </si>
  <si>
    <t>C00455 * C00001</t>
  </si>
  <si>
    <t>C00655 * C00001</t>
  </si>
  <si>
    <t>C01185 * C00001</t>
  </si>
  <si>
    <t>C00364 * C00001</t>
  </si>
  <si>
    <t>C00239 * C00001</t>
  </si>
  <si>
    <t>C00362 * C00001</t>
  </si>
  <si>
    <t>C00360 * C00001</t>
  </si>
  <si>
    <t xml:space="preserve">C00365 * C00001 </t>
  </si>
  <si>
    <t>C06196 * C00001</t>
  </si>
  <si>
    <t>C01063 * C00041</t>
  </si>
  <si>
    <t>C19845 * C00041</t>
  </si>
  <si>
    <t>C00002 * C02656 * C00010</t>
  </si>
  <si>
    <t xml:space="preserve">C00232 * C00006 * C00001 </t>
  </si>
  <si>
    <t>C00091 * C01656</t>
  </si>
  <si>
    <t>C00091 * C00164</t>
  </si>
  <si>
    <t>C00100 * C00024</t>
  </si>
  <si>
    <t>C00024 * C00136</t>
  </si>
  <si>
    <t>C00286 * C00001</t>
  </si>
  <si>
    <t xml:space="preserve">C00002 * C00037 * C01642 </t>
  </si>
  <si>
    <t>C00488 * C00001</t>
  </si>
  <si>
    <t>C00002 * C00250</t>
  </si>
  <si>
    <t>C00002 * C00314</t>
  </si>
  <si>
    <t xml:space="preserve">C01416 * C00001 </t>
  </si>
  <si>
    <t>C16543 * C00001</t>
  </si>
  <si>
    <t xml:space="preserve">C07054 * C00001 </t>
  </si>
  <si>
    <t>C02882 * C00001</t>
  </si>
  <si>
    <t>C02291 * C00001</t>
  </si>
  <si>
    <t>C00491 * C00001</t>
  </si>
  <si>
    <t>C02749 * C00001</t>
  </si>
  <si>
    <t>C00097 * C00001</t>
  </si>
  <si>
    <t xml:space="preserve">C05699 * C00001 </t>
  </si>
  <si>
    <t xml:space="preserve">C05689 * C00001 </t>
  </si>
  <si>
    <t>C06099 * C00004 * C00007 * C00080</t>
  </si>
  <si>
    <t>C00521 * C00004 * C00080 * C00007</t>
  </si>
  <si>
    <t>C00521 * C00005 * C00007 * C00080</t>
  </si>
  <si>
    <t>C06099 * C00005 * C00007 * C00080</t>
  </si>
  <si>
    <t>C00157 * C00001</t>
  </si>
  <si>
    <t>C00344 * C00001</t>
  </si>
  <si>
    <t xml:space="preserve">C00350 * C00001 </t>
  </si>
  <si>
    <t>C01194 * C00001</t>
  </si>
  <si>
    <t>C04756 * C00001</t>
  </si>
  <si>
    <t>C00019 * C00821</t>
  </si>
  <si>
    <t>C00002 * C01185</t>
  </si>
  <si>
    <t>C00002 * C00455</t>
  </si>
  <si>
    <t>C01165 * C00009 * C00006</t>
  </si>
  <si>
    <t>C00160 * C00006</t>
  </si>
  <si>
    <t>C00258 * C00006</t>
  </si>
  <si>
    <t>C00937 * C00003</t>
  </si>
  <si>
    <t>C00002 * C00025</t>
  </si>
  <si>
    <t xml:space="preserve">C00002 * C00454 </t>
  </si>
  <si>
    <t>C00002 * C00008</t>
  </si>
  <si>
    <t xml:space="preserve">C11038 * C00002 </t>
  </si>
  <si>
    <t>C00002 * C00015</t>
  </si>
  <si>
    <t>C00002 * C00035</t>
  </si>
  <si>
    <t>C00002 * C00112</t>
  </si>
  <si>
    <t xml:space="preserve">C00002 * C00104 </t>
  </si>
  <si>
    <t xml:space="preserve">C00002 * C00206 </t>
  </si>
  <si>
    <t xml:space="preserve">C00002 * C00361 </t>
  </si>
  <si>
    <t>C00002 * C00363</t>
  </si>
  <si>
    <t>C00002 * C00705</t>
  </si>
  <si>
    <t>C00002 * C01346</t>
  </si>
  <si>
    <t>C00002 * C01344</t>
  </si>
  <si>
    <t xml:space="preserve">C22442 * C00002 </t>
  </si>
  <si>
    <t>C00002 * C21748</t>
  </si>
  <si>
    <t>C00002 * C21750</t>
  </si>
  <si>
    <t>C00002 * C00101 * C00025</t>
  </si>
  <si>
    <t>C00002 * C00234 * C00025</t>
  </si>
  <si>
    <t>C00002 * C00921 * C00025</t>
  </si>
  <si>
    <t xml:space="preserve">C00002 * C00183 * C01653 </t>
  </si>
  <si>
    <t xml:space="preserve">C00143 * C00141 * C00001 </t>
  </si>
  <si>
    <t xml:space="preserve">C00002 * C00522 * C00099 </t>
  </si>
  <si>
    <t>C00149 * C00003</t>
  </si>
  <si>
    <t>C11537 * C00003</t>
  </si>
  <si>
    <t>C11348 * C00003</t>
  </si>
  <si>
    <t>C15673 * C00006</t>
  </si>
  <si>
    <t xml:space="preserve">C05729 * C00001 </t>
  </si>
  <si>
    <t>C01118 * C00097</t>
  </si>
  <si>
    <t>C01118 * C00001</t>
  </si>
  <si>
    <t>C01118 * C00283</t>
  </si>
  <si>
    <t xml:space="preserve">C00542 * C00042 </t>
  </si>
  <si>
    <t>C01077 * C00097</t>
  </si>
  <si>
    <t>C05702 * C05688</t>
  </si>
  <si>
    <t xml:space="preserve">C01077 * C05688 </t>
  </si>
  <si>
    <t xml:space="preserve">C01118 * C05688 </t>
  </si>
  <si>
    <t>C00041 * C00003 * C00001</t>
  </si>
  <si>
    <t xml:space="preserve">C05167 * C00001 * C00006 </t>
  </si>
  <si>
    <t>C00037 * C00001 * C00003</t>
  </si>
  <si>
    <t xml:space="preserve">C00064 * C00001 </t>
  </si>
  <si>
    <t>C00819 * C00001</t>
  </si>
  <si>
    <t xml:space="preserve">C00002 * C01037 * C00011 </t>
  </si>
  <si>
    <t xml:space="preserve">C01037 * C00011 </t>
  </si>
  <si>
    <t xml:space="preserve">C22458 * C00002 </t>
  </si>
  <si>
    <t xml:space="preserve">C00019 * C01092 </t>
  </si>
  <si>
    <t xml:space="preserve">C00012 * C00001 </t>
  </si>
  <si>
    <t xml:space="preserve">C00019 * C05196 * C05197 </t>
  </si>
  <si>
    <t xml:space="preserve">C00024 * C00058 </t>
  </si>
  <si>
    <t>C00109 * C00010</t>
  </si>
  <si>
    <t>C00201 * C00001</t>
  </si>
  <si>
    <t xml:space="preserve">C00063 * C00001 </t>
  </si>
  <si>
    <t>C00075 * C00001</t>
  </si>
  <si>
    <t>C00459 * C00001</t>
  </si>
  <si>
    <t>C00003 * C00001</t>
  </si>
  <si>
    <t>C00016 * C00001</t>
  </si>
  <si>
    <t>C00029 * C00001</t>
  </si>
  <si>
    <t>C00882 * C00001</t>
  </si>
  <si>
    <t>C00066 * C00009</t>
  </si>
  <si>
    <t>C01185 * C00013 * C00008 * C00009</t>
  </si>
  <si>
    <t xml:space="preserve">C02532 * C00001 </t>
  </si>
  <si>
    <t>C04232 * C00343 * C00001</t>
  </si>
  <si>
    <t>C00206 * C00343 * C00001</t>
  </si>
  <si>
    <t>C01346 * C00343 * C00001</t>
  </si>
  <si>
    <t>C00361 * C00343 * C00001</t>
  </si>
  <si>
    <t>C00705 * C00343 * C00001</t>
  </si>
  <si>
    <t>C04232 * C16664 * C00001</t>
  </si>
  <si>
    <t>C04232 * C03170 * C00001</t>
  </si>
  <si>
    <t>C21750 * C00343 * C00001</t>
  </si>
  <si>
    <t xml:space="preserve">C00002 * C00857 * C00014 </t>
  </si>
  <si>
    <t xml:space="preserve">C00074 * C00043 </t>
  </si>
  <si>
    <t>C00979 * C00283</t>
  </si>
  <si>
    <t>C00979 * C01528</t>
  </si>
  <si>
    <t>C00979 * C00320 * C00342 * C00080</t>
  </si>
  <si>
    <t>C01005 * C00283</t>
  </si>
  <si>
    <t>C00065 * C00024</t>
  </si>
  <si>
    <t>C19703 * C00024</t>
  </si>
  <si>
    <t xml:space="preserve">C00002 * C00641 </t>
  </si>
  <si>
    <t>C00133 * C00026</t>
  </si>
  <si>
    <t xml:space="preserve">C00405 * C00022 </t>
  </si>
  <si>
    <t>C02265 * C00026</t>
  </si>
  <si>
    <t>C00515 * C00161</t>
  </si>
  <si>
    <t>C00739 * C00161</t>
  </si>
  <si>
    <t>C00792 * C00161</t>
  </si>
  <si>
    <t>C00402 * C05946</t>
  </si>
  <si>
    <t>C00002 * C04640</t>
  </si>
  <si>
    <t>C03090 * C00013 * C00025</t>
  </si>
  <si>
    <t>C00002 * C04376 * C00064 * C00001</t>
  </si>
  <si>
    <t>C00002 * C04751 * C00049</t>
  </si>
  <si>
    <t>C00002 * C03090 * C00037</t>
  </si>
  <si>
    <t>C00022 * C00399 * C00001</t>
  </si>
  <si>
    <t>C00689 * C00001</t>
  </si>
  <si>
    <t>G09795 * C00001</t>
  </si>
  <si>
    <t xml:space="preserve">C00002 * C00097 * C01639 </t>
  </si>
  <si>
    <t xml:space="preserve">C11434 * C00063 </t>
  </si>
  <si>
    <t xml:space="preserve">C00288 * C00080 </t>
  </si>
  <si>
    <t>C16144 * C00016</t>
  </si>
  <si>
    <t>C19840 * C00016</t>
  </si>
  <si>
    <t>C19841 * C00016</t>
  </si>
  <si>
    <t>C16145 * C00016</t>
  </si>
  <si>
    <t xml:space="preserve">C00002 * C00047 * C01646 </t>
  </si>
  <si>
    <t>C00002 * C01300</t>
  </si>
  <si>
    <t xml:space="preserve">C04807 * C00568 </t>
  </si>
  <si>
    <t xml:space="preserve">C01300 * C00568 </t>
  </si>
  <si>
    <t xml:space="preserve">C04895 * C00001 </t>
  </si>
  <si>
    <t>C00130 * C00013</t>
  </si>
  <si>
    <t>C00144 * C00013</t>
  </si>
  <si>
    <t xml:space="preserve">C00655 * C00013 </t>
  </si>
  <si>
    <t xml:space="preserve">C02380 * C00119 </t>
  </si>
  <si>
    <t xml:space="preserve">C16614 * C00119 </t>
  </si>
  <si>
    <t>C07648 * C00119</t>
  </si>
  <si>
    <t>C00013 * C00001</t>
  </si>
  <si>
    <t xml:space="preserve">C00024 * C04650 </t>
  </si>
  <si>
    <t xml:space="preserve">C17962 * C00024 </t>
  </si>
  <si>
    <t>C00002 * C00033</t>
  </si>
  <si>
    <t>C00002 * C00163</t>
  </si>
  <si>
    <t>C00024 * C00009</t>
  </si>
  <si>
    <t>C00100 * C00009</t>
  </si>
  <si>
    <t>C00044 * C00130 * C00049</t>
  </si>
  <si>
    <t>C00019 * C01977</t>
  </si>
  <si>
    <t>C01103 * C00013</t>
  </si>
  <si>
    <t>C07649 * C00119</t>
  </si>
  <si>
    <t xml:space="preserve">C00957 * C00342 </t>
  </si>
  <si>
    <t>C00957 * C02743</t>
  </si>
  <si>
    <t>C21440 * C00342</t>
  </si>
  <si>
    <t>C00940 * C00001</t>
  </si>
  <si>
    <t xml:space="preserve">C00071 * C00003 * C00001 </t>
  </si>
  <si>
    <t>C00071 * C00003 * C00001</t>
  </si>
  <si>
    <t>C00084 * C00003 * C00001</t>
  </si>
  <si>
    <t xml:space="preserve">C05665 * C00003 * C00001 </t>
  </si>
  <si>
    <t>C00577 * C00003 * C00001</t>
  </si>
  <si>
    <t>C00555 * C00003 * C00001</t>
  </si>
  <si>
    <t xml:space="preserve">C00637 * C00003 * C00001 </t>
  </si>
  <si>
    <t>C05985 * C00003 * C00001</t>
  </si>
  <si>
    <t xml:space="preserve">C01149 * C00003 * C00001 </t>
  </si>
  <si>
    <t>C06002 * C00003 * C00001</t>
  </si>
  <si>
    <t xml:space="preserve">C05130 * C00003 * C00001 </t>
  </si>
  <si>
    <t xml:space="preserve">C05445 * C00003 * C00001 </t>
  </si>
  <si>
    <t xml:space="preserve">C05634 * C00003 * C00001 </t>
  </si>
  <si>
    <t xml:space="preserve">C05936 * C00003 * C00001 </t>
  </si>
  <si>
    <t>C06754 * C00003 * C00001</t>
  </si>
  <si>
    <t>C02576 * C00001 * C00003</t>
  </si>
  <si>
    <t>C11924 * C00004 * C00080</t>
  </si>
  <si>
    <t>C00433 * C00006 * C00001</t>
  </si>
  <si>
    <t xml:space="preserve">C00555 * C00006 * C00001 </t>
  </si>
  <si>
    <t>C06613 * C00001</t>
  </si>
  <si>
    <t xml:space="preserve">C16348 * C00001 </t>
  </si>
  <si>
    <t xml:space="preserve">C00002 * C00059 </t>
  </si>
  <si>
    <t>C00002 * C05697</t>
  </si>
  <si>
    <t>C00342 * C00053</t>
  </si>
  <si>
    <t>C00232 * C00006 * C00001</t>
  </si>
  <si>
    <t>C00041 * C00026</t>
  </si>
  <si>
    <t xml:space="preserve">C01674 * C00001 </t>
  </si>
  <si>
    <t xml:space="preserve">C06135 * C00001 </t>
  </si>
  <si>
    <t xml:space="preserve">C04737 * C01132 </t>
  </si>
  <si>
    <t xml:space="preserve">C04884 * C00001 </t>
  </si>
  <si>
    <t>C00001 * G00094</t>
  </si>
  <si>
    <t>G00123 * C00001</t>
  </si>
  <si>
    <t>G00109 * C00001</t>
  </si>
  <si>
    <t xml:space="preserve">G10336 * C00001 </t>
  </si>
  <si>
    <t>G13074 * C00001</t>
  </si>
  <si>
    <t>G13073 * C00001</t>
  </si>
  <si>
    <t xml:space="preserve">G13057 * C00001 </t>
  </si>
  <si>
    <t xml:space="preserve">G00711 * C00001 </t>
  </si>
  <si>
    <t>G13056 * C00001</t>
  </si>
  <si>
    <t xml:space="preserve">G05477 * C00001 </t>
  </si>
  <si>
    <t xml:space="preserve">C22467 * C00001 </t>
  </si>
  <si>
    <t>C00029 * C00718</t>
  </si>
  <si>
    <t>C00062 * C00001</t>
  </si>
  <si>
    <t>C06060 * C00001</t>
  </si>
  <si>
    <t>C00002 * C00267</t>
  </si>
  <si>
    <t>C00044 * C00036</t>
  </si>
  <si>
    <t xml:space="preserve">C00081 * C00036 </t>
  </si>
  <si>
    <t>C00173 * C01209</t>
  </si>
  <si>
    <t>C03939 * C01209</t>
  </si>
  <si>
    <t>C05223 * C01209</t>
  </si>
  <si>
    <t xml:space="preserve">C05745 * C01209 </t>
  </si>
  <si>
    <t>C05749 * C01209</t>
  </si>
  <si>
    <t xml:space="preserve">C05752 * C01209 </t>
  </si>
  <si>
    <t>C05755 * C01209</t>
  </si>
  <si>
    <t>C05761 * C01209</t>
  </si>
  <si>
    <t>C05764 * C01209</t>
  </si>
  <si>
    <t>C19673 * C01209</t>
  </si>
  <si>
    <t>C20375 * C01209</t>
  </si>
  <si>
    <t>C02970 * C00119</t>
  </si>
  <si>
    <t>G13125 * G13121</t>
  </si>
  <si>
    <t>C00251 * C00064</t>
  </si>
  <si>
    <t xml:space="preserve">C00251 * C00014 </t>
  </si>
  <si>
    <t xml:space="preserve">C00934 * C00001 </t>
  </si>
  <si>
    <t xml:space="preserve">C00002 * C00116 </t>
  </si>
  <si>
    <t>C00093 * C15602</t>
  </si>
  <si>
    <t xml:space="preserve">C00093 * C00399 </t>
  </si>
  <si>
    <t>C00093 * C00016</t>
  </si>
  <si>
    <t>C00002 * C00065 * C01650</t>
  </si>
  <si>
    <t>C00002 * C00065 * C16636</t>
  </si>
  <si>
    <t>C04778 * C00001</t>
  </si>
  <si>
    <t>C21153 * C00001</t>
  </si>
  <si>
    <t>C01402 * C00001</t>
  </si>
  <si>
    <t>C03120 * C00001</t>
  </si>
  <si>
    <t xml:space="preserve">C00670 * C00001 </t>
  </si>
  <si>
    <t>C01233 * C00001</t>
  </si>
  <si>
    <t>C00186 * C00003</t>
  </si>
  <si>
    <t>C05984 * C00003</t>
  </si>
  <si>
    <t>C05823 * C00003</t>
  </si>
  <si>
    <t>C00073 * C00343 * C00001</t>
  </si>
  <si>
    <t>C00002 * C00123 * C01645</t>
  </si>
  <si>
    <t>C01153 * C00001</t>
  </si>
  <si>
    <t>C01081 * C00001</t>
  </si>
  <si>
    <t>C03360 * C00001</t>
  </si>
  <si>
    <t>C00111 * C00001</t>
  </si>
  <si>
    <t>C00251 * C00014</t>
  </si>
  <si>
    <t>C00065 * C00463</t>
  </si>
  <si>
    <t>C00065 * C03506</t>
  </si>
  <si>
    <t>C02211 * C00063</t>
  </si>
  <si>
    <t xml:space="preserve">C19078 * C00063 </t>
  </si>
  <si>
    <t>C19080 * C00002</t>
  </si>
  <si>
    <t>C00342 * C00006</t>
  </si>
  <si>
    <t>C00097 * C00051 * C00006</t>
  </si>
  <si>
    <t>C02999 * C00001</t>
  </si>
  <si>
    <t>C00143 * C00005 * C00080</t>
  </si>
  <si>
    <t>C00143 * C00004 * C00080</t>
  </si>
  <si>
    <t>C04144 * C00073</t>
  </si>
  <si>
    <t>C05335 * C04144</t>
  </si>
  <si>
    <t>C00352 *C00033</t>
  </si>
  <si>
    <t>C00085 * C00014</t>
  </si>
  <si>
    <t>C00008 * C00562</t>
  </si>
  <si>
    <t>C00008 * C02729</t>
  </si>
  <si>
    <t>C00017 * C00009</t>
  </si>
  <si>
    <t>C00042 * C00666</t>
  </si>
  <si>
    <t>C00147 * C00117</t>
  </si>
  <si>
    <t>C00576 * C00030</t>
  </si>
  <si>
    <t>C03800 * C11475</t>
  </si>
  <si>
    <t>C00058 * C15562</t>
  </si>
  <si>
    <t>C03273 * C00025</t>
  </si>
  <si>
    <t>C05125 * C00011</t>
  </si>
  <si>
    <t>C05125 * C00022</t>
  </si>
  <si>
    <t>C06006 * C00068</t>
  </si>
  <si>
    <t>C06006 * C00011</t>
  </si>
  <si>
    <t>C00264 * C00005 * C00080</t>
  </si>
  <si>
    <t>C00332 * C00005 * C00080</t>
  </si>
  <si>
    <t>G10619 * G13120</t>
  </si>
  <si>
    <t>G10619 * G13121</t>
  </si>
  <si>
    <t>C18237 * C00020 * C00001</t>
  </si>
  <si>
    <t>C19968 * C00013</t>
  </si>
  <si>
    <t>C20451 * C00014</t>
  </si>
  <si>
    <t>C20446 * C00242</t>
  </si>
  <si>
    <t>C00024 * C00141 * C00001</t>
  </si>
  <si>
    <t>C00008 * C03082</t>
  </si>
  <si>
    <t>C03082 * C00005 * C00080</t>
  </si>
  <si>
    <t>C00575 * C00013</t>
  </si>
  <si>
    <t>C00942 * C00013</t>
  </si>
  <si>
    <t>C00020 * C00013 * C02843</t>
  </si>
  <si>
    <t>C00020 * C00154 * C00013</t>
  </si>
  <si>
    <t>C00058 * C06717 * C00004 * C00080</t>
  </si>
  <si>
    <t>C00013 * C00842</t>
  </si>
  <si>
    <t>C11907 * C00001</t>
  </si>
  <si>
    <t>C00097 * C00037</t>
  </si>
  <si>
    <t>C05726 * C00037</t>
  </si>
  <si>
    <t>C01083 * C04465</t>
  </si>
  <si>
    <t>C01083 * C22877</t>
  </si>
  <si>
    <t>C16237 * C00004 * C00080</t>
  </si>
  <si>
    <t>C02051 * C00004 * C00080</t>
  </si>
  <si>
    <t>C15972 * C00004 * C00080</t>
  </si>
  <si>
    <t>C00248 * C00004 * C00080</t>
  </si>
  <si>
    <t>C15603 * C00122</t>
  </si>
  <si>
    <t>C00390 * C00122</t>
  </si>
  <si>
    <t>C04631 * C00005 * C00080</t>
  </si>
  <si>
    <t>C04631 * C00004 * C00080</t>
  </si>
  <si>
    <t>C11838 * C00155</t>
  </si>
  <si>
    <t>C19761 * C00015</t>
  </si>
  <si>
    <t>C01228 * C00009</t>
  </si>
  <si>
    <t>C03912 * C00004 * C00080</t>
  </si>
  <si>
    <t>C03912 * C00005 * C00080</t>
  </si>
  <si>
    <t>C04281 * C00004 * C00080</t>
  </si>
  <si>
    <t>C04281 * C00005 * C00080</t>
  </si>
  <si>
    <t>C00065 * C00009</t>
  </si>
  <si>
    <t xml:space="preserve"> C00740 * C00009</t>
  </si>
  <si>
    <t>C03741 * C01641 * C00006</t>
  </si>
  <si>
    <t>C00021 * C15527</t>
  </si>
  <si>
    <t>C00021 * C02463</t>
  </si>
  <si>
    <t>C06002 * C00004 * C00080</t>
  </si>
  <si>
    <t>C19847 * C00013 * C00011</t>
  </si>
  <si>
    <t>C00020 * C00013 * C03160</t>
  </si>
  <si>
    <t>C03657 * C00010</t>
  </si>
  <si>
    <t>C15547 * C00001</t>
  </si>
  <si>
    <t>C16519 * C00011</t>
  </si>
  <si>
    <t>C05819 * C00021</t>
  </si>
  <si>
    <t>C00118 * C00084</t>
  </si>
  <si>
    <t>C00013 * C00046</t>
  </si>
  <si>
    <t>C00021 * C04340</t>
  </si>
  <si>
    <t>C00008 * C00206</t>
  </si>
  <si>
    <t>C03028 * C00020</t>
  </si>
  <si>
    <t>C00025 * C00352</t>
  </si>
  <si>
    <t>C00655 * C00004 * C00080</t>
  </si>
  <si>
    <t>C16618 * C00004 * C00080</t>
  </si>
  <si>
    <t>C00010 * C01077</t>
  </si>
  <si>
    <t>C00026 * C00011</t>
  </si>
  <si>
    <t>C05379 * C00005 * C00080</t>
  </si>
  <si>
    <t>C00546 * C00001</t>
  </si>
  <si>
    <t>C00069 * C00060</t>
  </si>
  <si>
    <t>C12448 * C00180</t>
  </si>
  <si>
    <t>C11173 * C16836</t>
  </si>
  <si>
    <t>C11173 * C16837</t>
  </si>
  <si>
    <t>C16635 * C16834 * C00011</t>
  </si>
  <si>
    <t>C07447 * C07446</t>
  </si>
  <si>
    <t>C07446 * C05361</t>
  </si>
  <si>
    <t>C11004 * C11735</t>
  </si>
  <si>
    <t>C11004 * C16647</t>
  </si>
  <si>
    <t>C00106 * C00119</t>
  </si>
  <si>
    <t>C00003 * C15603</t>
  </si>
  <si>
    <t>C05819 * C00003</t>
  </si>
  <si>
    <t>C05850 * C00003</t>
  </si>
  <si>
    <t>C03313 * C00003</t>
  </si>
  <si>
    <t>C00006 * C15603</t>
  </si>
  <si>
    <t>C04225 * C00001</t>
  </si>
  <si>
    <t>C06368 * C00011</t>
  </si>
  <si>
    <t>C00526 * C00014</t>
  </si>
  <si>
    <t>C12739 * C00014</t>
  </si>
  <si>
    <t>C00178 * C00672</t>
  </si>
  <si>
    <t>C00106 * C00620</t>
  </si>
  <si>
    <t>C00380 * C00620</t>
  </si>
  <si>
    <t>C00106 * C00672</t>
  </si>
  <si>
    <t>C00396 * C00620 * C00080</t>
  </si>
  <si>
    <t>C00094 * C01755</t>
  </si>
  <si>
    <t>C00008 * C00009 * C00683</t>
  </si>
  <si>
    <t>C00008 * C00009 * C18026</t>
  </si>
  <si>
    <t>C00721 * C00369</t>
  </si>
  <si>
    <t>C00721 * C00208</t>
  </si>
  <si>
    <t>C00020 * C00013 * C04681</t>
  </si>
  <si>
    <t>C00013 * C05921</t>
  </si>
  <si>
    <t>C00020 * C06250</t>
  </si>
  <si>
    <t>C00810 * C00011</t>
  </si>
  <si>
    <t>C00008 * C00009 * C15667</t>
  </si>
  <si>
    <t>C00008 * C00117</t>
  </si>
  <si>
    <t>C01801 * C00002</t>
  </si>
  <si>
    <t>C00103 * C00052</t>
  </si>
  <si>
    <t>C00008 * C00446</t>
  </si>
  <si>
    <t>C00009 * C01269</t>
  </si>
  <si>
    <t>C00020 * C00455</t>
  </si>
  <si>
    <t>C00020 * C21113</t>
  </si>
  <si>
    <t>C00020 * C01185</t>
  </si>
  <si>
    <t>C00860 * C00009</t>
  </si>
  <si>
    <t>C00137 * C00009</t>
  </si>
  <si>
    <t>C03232 * C00025</t>
  </si>
  <si>
    <t>C06054 * C00025</t>
  </si>
  <si>
    <t>C00024 * C00001 * C00036</t>
  </si>
  <si>
    <t>C00415 * C00005 * C00080</t>
  </si>
  <si>
    <t>C00415 * C00004 * C00080</t>
  </si>
  <si>
    <t>C00504 * C00004 * C00080</t>
  </si>
  <si>
    <t>C00504 * C00005 * C00080</t>
  </si>
  <si>
    <t>C02953 * C00005 * C00080</t>
  </si>
  <si>
    <t>C00415 * C00364</t>
  </si>
  <si>
    <t>C00020 * C00009</t>
  </si>
  <si>
    <t>C00224 * C00009</t>
  </si>
  <si>
    <t>C00101 * C04376</t>
  </si>
  <si>
    <t>C04376 * C00101</t>
  </si>
  <si>
    <t>C00013 * C00029</t>
  </si>
  <si>
    <t>C00110 * C02863</t>
  </si>
  <si>
    <t>G10622 * G13027</t>
  </si>
  <si>
    <t>C00110 * C20722</t>
  </si>
  <si>
    <t>C00020 * C00013 * C05336</t>
  </si>
  <si>
    <t>C11436 * C00008</t>
  </si>
  <si>
    <t>C00658 * C00001</t>
  </si>
  <si>
    <t>C00894 * C00001</t>
  </si>
  <si>
    <t>C03221 * C00001</t>
  </si>
  <si>
    <t>C03345 * C00001</t>
  </si>
  <si>
    <t>C05272 * C00001</t>
  </si>
  <si>
    <t>C05273 * C00001</t>
  </si>
  <si>
    <t>C05275 * C00001</t>
  </si>
  <si>
    <t>C05276 * C00001</t>
  </si>
  <si>
    <t>C05271 * C00001</t>
  </si>
  <si>
    <t>C16328 * C00001</t>
  </si>
  <si>
    <t>C16332 * C00001</t>
  </si>
  <si>
    <t>C16336 * C00001</t>
  </si>
  <si>
    <t>C05067 * C00001</t>
  </si>
  <si>
    <t>C01122 * C00001</t>
  </si>
  <si>
    <t>C03069 * C00001</t>
  </si>
  <si>
    <t>C00685 * C00005 * C00080</t>
  </si>
  <si>
    <t>C05744 * C00005 * C00080</t>
  </si>
  <si>
    <t>C05753 * C00005</t>
  </si>
  <si>
    <t>C05750 * C00005 * C00080</t>
  </si>
  <si>
    <t>C05762 * C00005 * C00080</t>
  </si>
  <si>
    <t>C05759 * C00005 * C00080</t>
  </si>
  <si>
    <t xml:space="preserve"> C05746 * C00005 * C00080</t>
  </si>
  <si>
    <t>C05756 * C00005 * C00080</t>
  </si>
  <si>
    <t>C16220 * C00006</t>
  </si>
  <si>
    <t>C20373 * C00006</t>
  </si>
  <si>
    <t>C20377 * C00006</t>
  </si>
  <si>
    <t>C03523 * C00066</t>
  </si>
  <si>
    <t>C00236 * C00004 * C00080</t>
  </si>
  <si>
    <t>C00048 * C00086</t>
  </si>
  <si>
    <t xml:space="preserve"> C00020 * C00119</t>
  </si>
  <si>
    <t>C03722 * C00119</t>
  </si>
  <si>
    <t>C05840 * C00111</t>
  </si>
  <si>
    <t>C00008 * C00009</t>
  </si>
  <si>
    <t>C00074 * C00001</t>
  </si>
  <si>
    <t>C04309 * C00001</t>
  </si>
  <si>
    <t>C05727 * C19702</t>
  </si>
  <si>
    <t>C16826 * C00013</t>
  </si>
  <si>
    <t>C00008 * C03492</t>
  </si>
  <si>
    <t>C00008 * C01134</t>
  </si>
  <si>
    <t>C00008 * C04352</t>
  </si>
  <si>
    <t>C00101 * C00065</t>
  </si>
  <si>
    <t>C04377 * C00037 * C00001</t>
  </si>
  <si>
    <t>C00122 * C00001</t>
  </si>
  <si>
    <t>C00085 * C00009</t>
  </si>
  <si>
    <t>C05345 * C00009</t>
  </si>
  <si>
    <t>C05382 * C00009</t>
  </si>
  <si>
    <t>C00080 * C00011 * C00004</t>
  </si>
  <si>
    <t>C00011 * C15603</t>
  </si>
  <si>
    <t>C06482 * C00009</t>
  </si>
  <si>
    <t>C19702 * C00033</t>
  </si>
  <si>
    <t>C03972 * C00025 * C00001</t>
  </si>
  <si>
    <t>C00021 * C04152</t>
  </si>
  <si>
    <t>C00095 * C00031</t>
  </si>
  <si>
    <t>C02336 * C00267</t>
  </si>
  <si>
    <t>C05402 * C00095</t>
  </si>
  <si>
    <t>C05404 * C00095</t>
  </si>
  <si>
    <t>C00095 * C00092</t>
  </si>
  <si>
    <t>G01275 * C00095</t>
  </si>
  <si>
    <t>G00501 * C00095</t>
  </si>
  <si>
    <t>C02336 * C00668</t>
  </si>
  <si>
    <t>C00055 * C00013</t>
  </si>
  <si>
    <t>C00239 * C00013</t>
  </si>
  <si>
    <t>C00025 * C00488</t>
  </si>
  <si>
    <t>C00785 * C00014</t>
  </si>
  <si>
    <t>C11823 * C00014</t>
  </si>
  <si>
    <t>C00785 * C00001</t>
  </si>
  <si>
    <t>C00020 * C00013 * C02163</t>
  </si>
  <si>
    <t>C00441 * C00004 * C00080</t>
  </si>
  <si>
    <t>C00441 * C00005 * C00080</t>
  </si>
  <si>
    <t>C00008 * C01102</t>
  </si>
  <si>
    <t>C00088 * C00126 * C00080</t>
  </si>
  <si>
    <t>C00088 * C01000 * C00080</t>
  </si>
  <si>
    <t>C00088 * C05358 * C00080</t>
  </si>
  <si>
    <t>C00020 * C00013 * C02843</t>
  </si>
  <si>
    <t>C20641 * C00013 * C00001</t>
  </si>
  <si>
    <t>C15812 * C00041</t>
  </si>
  <si>
    <t>C00041 * C21440</t>
  </si>
  <si>
    <t>C15811 * C21440</t>
  </si>
  <si>
    <t>C00008 * C05378</t>
  </si>
  <si>
    <t>C00008 * C00354</t>
  </si>
  <si>
    <t>C00112 * C00354</t>
  </si>
  <si>
    <t>C00015 * C00354</t>
  </si>
  <si>
    <t>C00104 * C00354</t>
  </si>
  <si>
    <t>C00008 * C00447</t>
  </si>
  <si>
    <t>C03785 * C00008</t>
  </si>
  <si>
    <t>C00112 * C03785</t>
  </si>
  <si>
    <t>C00015 * C03785</t>
  </si>
  <si>
    <t>C00104 * C03785</t>
  </si>
  <si>
    <t>C00141 * C00001</t>
  </si>
  <si>
    <t>C00671 * C00001</t>
  </si>
  <si>
    <t>C06010 * C00005 * C00080</t>
  </si>
  <si>
    <t>C04039 * C00006</t>
  </si>
  <si>
    <t>C04181 * C00005 * C00080</t>
  </si>
  <si>
    <t>C14463 * C00005 * C00080</t>
  </si>
  <si>
    <t>C03232 * C00004 * C00080</t>
  </si>
  <si>
    <t>C00026 * C00004 * C00080</t>
  </si>
  <si>
    <t>C04236 * C00004 * C00080</t>
  </si>
  <si>
    <t>C00233 * C00011 * C00004 * C00080</t>
  </si>
  <si>
    <t>C06032 * C00003</t>
  </si>
  <si>
    <t>C02987 * C00013 * C00020</t>
  </si>
  <si>
    <t>C02631 * C00001</t>
  </si>
  <si>
    <t>C00111 * C00004 * C00080</t>
  </si>
  <si>
    <t>C00111 * C00005 * C00080</t>
  </si>
  <si>
    <t>C00008 * C00009 * C00993</t>
  </si>
  <si>
    <t>C00008 * C00068</t>
  </si>
  <si>
    <t>C00021 * C04153</t>
  </si>
  <si>
    <t>C00013 * C00882</t>
  </si>
  <si>
    <t>C00008 * C00010</t>
  </si>
  <si>
    <t>C00020 * C00013 * C03511</t>
  </si>
  <si>
    <t>C04133 * C00005 * C00080</t>
  </si>
  <si>
    <t>C00008 * C04133</t>
  </si>
  <si>
    <t>C01250 * C00025</t>
  </si>
  <si>
    <t>C00009 * C00327</t>
  </si>
  <si>
    <t>C00020 * C00013 * C03406</t>
  </si>
  <si>
    <t>C00122 * C00062</t>
  </si>
  <si>
    <t>C00408 * C00014</t>
  </si>
  <si>
    <t>C04556 * C05198 * C00073 * C00058 * C00237</t>
  </si>
  <si>
    <t>C00020 * C00013 * C02839</t>
  </si>
  <si>
    <t>C00008 * C00006</t>
  </si>
  <si>
    <t>C00020 * C00117</t>
  </si>
  <si>
    <t>C00008 * C00112</t>
  </si>
  <si>
    <t>C00008 * C00705</t>
  </si>
  <si>
    <t>C00021 * C04536</t>
  </si>
  <si>
    <t>C00008 * C04556</t>
  </si>
  <si>
    <t>C00008 * C04327</t>
  </si>
  <si>
    <t>C00035 * C15542</t>
  </si>
  <si>
    <t>C00008 * C00009 * C00234</t>
  </si>
  <si>
    <t>C00122 * C00014</t>
  </si>
  <si>
    <t>C00002 * C00119</t>
  </si>
  <si>
    <t>C19703 * C00020 * C00013</t>
  </si>
  <si>
    <t>C17556 * C00009</t>
  </si>
  <si>
    <t>C00295 * C15603</t>
  </si>
  <si>
    <t>C00417 * C00001</t>
  </si>
  <si>
    <t>C00117 * C00231</t>
  </si>
  <si>
    <t>C00279 * C00231</t>
  </si>
  <si>
    <t>C12215 * C05382</t>
  </si>
  <si>
    <t>C13378 * C00118</t>
  </si>
  <si>
    <t>C13378 * C00117</t>
  </si>
  <si>
    <t>C00279 * C00085</t>
  </si>
  <si>
    <t>C00279 * C05345</t>
  </si>
  <si>
    <t>C01236 * C00005 * C00080</t>
  </si>
  <si>
    <t xml:space="preserve"> C01236 * C00005 * C00080</t>
  </si>
  <si>
    <t>C00008 * C00236</t>
  </si>
  <si>
    <t>C00255 * C04732</t>
  </si>
  <si>
    <t>C00101 * C03294</t>
  </si>
  <si>
    <t>C11440 * C00058</t>
  </si>
  <si>
    <t>C00058 * C03617</t>
  </si>
  <si>
    <t>C00002 * C00073 * C00001</t>
  </si>
  <si>
    <t>C00009 * C00013 * C05691</t>
  </si>
  <si>
    <t>C00008 * C00035</t>
  </si>
  <si>
    <t>C00008 * C00361</t>
  </si>
  <si>
    <t>C22442 * C00008</t>
  </si>
  <si>
    <t>C00025 * C00014</t>
  </si>
  <si>
    <t>C00008 * C00169</t>
  </si>
  <si>
    <t>C00008 * C20969</t>
  </si>
  <si>
    <t>C01563 * C00009</t>
  </si>
  <si>
    <t>C00009 * C00438</t>
  </si>
  <si>
    <t>C02637 * C00001</t>
  </si>
  <si>
    <t>C00944 * C00009</t>
  </si>
  <si>
    <t>C00008 * C03175</t>
  </si>
  <si>
    <t>C00251 * C00009</t>
  </si>
  <si>
    <t>C02637 * C00005 * C00080</t>
  </si>
  <si>
    <t>C22438 * C00005 * C00080</t>
  </si>
  <si>
    <t>C02984 * C00013 * C00020</t>
  </si>
  <si>
    <t>C00638 * C00205 * C00061 * C00001</t>
  </si>
  <si>
    <t>C00061 * C00005 * C00080</t>
  </si>
  <si>
    <t>C00022 * C00014</t>
  </si>
  <si>
    <t>C02218 * C00001</t>
  </si>
  <si>
    <t>C00161 * C00014</t>
  </si>
  <si>
    <t>C00020 * C00013 * C02988</t>
  </si>
  <si>
    <t>C00027 * C00007</t>
  </si>
  <si>
    <t>C00147 * C00119</t>
  </si>
  <si>
    <t>C04051 * C00119</t>
  </si>
  <si>
    <t>C00035 * C21606</t>
  </si>
  <si>
    <t>G10620 * G11291</t>
  </si>
  <si>
    <t>C00055 * C01194</t>
  </si>
  <si>
    <t>C00009 * C01260</t>
  </si>
  <si>
    <t>C00059 * C01260</t>
  </si>
  <si>
    <t>C00020 * C00013 * C02992</t>
  </si>
  <si>
    <t>C15653 * C00342</t>
  </si>
  <si>
    <t>C11437 * C00011</t>
  </si>
  <si>
    <t>C00365 * C00013</t>
  </si>
  <si>
    <t>C04242 * C00013</t>
  </si>
  <si>
    <t>C00404 * C00092</t>
  </si>
  <si>
    <t>C00404 * C01172</t>
  </si>
  <si>
    <t>C00404 * C00668</t>
  </si>
  <si>
    <t>C00343 * C00001 * C01335</t>
  </si>
  <si>
    <t>C00022 * C04261</t>
  </si>
  <si>
    <t>C00013 * C04432</t>
  </si>
  <si>
    <t>C00055 * C03892</t>
  </si>
  <si>
    <t>C20258 * C00001</t>
  </si>
  <si>
    <t>C00046 * C00454</t>
  </si>
  <si>
    <t>C00046 * C00008</t>
  </si>
  <si>
    <t>C00046 * C00015</t>
  </si>
  <si>
    <t>C00046 * C00035</t>
  </si>
  <si>
    <t>C00046 * C00112</t>
  </si>
  <si>
    <t>C00054 * C00229</t>
  </si>
  <si>
    <t>C00020 * C00013 * C02702</t>
  </si>
  <si>
    <t>C00036 * C00027</t>
  </si>
  <si>
    <t>C00036 * C01352</t>
  </si>
  <si>
    <t>C11502 * C00004 * C00080</t>
  </si>
  <si>
    <t>C11502 * C00005 * C00080</t>
  </si>
  <si>
    <t>G11175 * C00004 * C00080</t>
  </si>
  <si>
    <t>G11175 * C00005 * C00080</t>
  </si>
  <si>
    <t>C11437 * C00005 * C00080</t>
  </si>
  <si>
    <t>C00013 * C00269</t>
  </si>
  <si>
    <t>C00008 * C00015</t>
  </si>
  <si>
    <t>C00021 * C04157</t>
  </si>
  <si>
    <t>C00060 * C00009</t>
  </si>
  <si>
    <t>C00033 * C00009</t>
  </si>
  <si>
    <t>C00180 * C00009</t>
  </si>
  <si>
    <t>C00197 * C00009</t>
  </si>
  <si>
    <t>C00026 * C00014 * C00004 * C00080</t>
  </si>
  <si>
    <t>C00161 * C00014 * C00004 * C00080</t>
  </si>
  <si>
    <t>C00161 * C00014 * C00005 * C00080</t>
  </si>
  <si>
    <t>C00631 * C00008</t>
  </si>
  <si>
    <t>C00008 * C00074</t>
  </si>
  <si>
    <t>C00035 * C00074</t>
  </si>
  <si>
    <t>C00015 * C00074</t>
  </si>
  <si>
    <t>C00104 * C00074</t>
  </si>
  <si>
    <t>C00361 * C00074</t>
  </si>
  <si>
    <t>C00454 * C00074</t>
  </si>
  <si>
    <t>C03506 * C00011 * C00001</t>
  </si>
  <si>
    <t>C01267 * C00001</t>
  </si>
  <si>
    <t>C01267 * C00025</t>
  </si>
  <si>
    <t>C00166 * C00025</t>
  </si>
  <si>
    <t>C01179 * C00025</t>
  </si>
  <si>
    <t>C00135 * C00004 * C00080</t>
  </si>
  <si>
    <t>C01929 * C00004 * C00080</t>
  </si>
  <si>
    <t>C00020 * C04494</t>
  </si>
  <si>
    <t>C00109 * C00014</t>
  </si>
  <si>
    <t>C00049 * C00014</t>
  </si>
  <si>
    <t>C00060 * C00014</t>
  </si>
  <si>
    <t>C00020 * C00013 * C03127</t>
  </si>
  <si>
    <t>C00008 * C00009 * C01212</t>
  </si>
  <si>
    <t>C05893 * C00015</t>
  </si>
  <si>
    <t>G10553 * G10619</t>
  </si>
  <si>
    <t>C05898 * C00015</t>
  </si>
  <si>
    <t>G10550 * G10619</t>
  </si>
  <si>
    <t>G10555 * G10619</t>
  </si>
  <si>
    <t>C00008 * C00009 * C00692</t>
  </si>
  <si>
    <t>C00105 * C05897</t>
  </si>
  <si>
    <t>C00008 * C00009 * C04702</t>
  </si>
  <si>
    <t>C00008 * C00009 * C04882</t>
  </si>
  <si>
    <t>C00008 * C00009 * C04877</t>
  </si>
  <si>
    <t>C04574 * C11826</t>
  </si>
  <si>
    <t>C04574 * C11827</t>
  </si>
  <si>
    <t>C00013 * C00448</t>
  </si>
  <si>
    <t>C04691 * C00009</t>
  </si>
  <si>
    <t>C00008 * C00092</t>
  </si>
  <si>
    <t>C00008 * C01172</t>
  </si>
  <si>
    <t>C00008 * C00668</t>
  </si>
  <si>
    <t>C00020 * C00013 * C00152 * C00025</t>
  </si>
  <si>
    <t>C00253 * C04778 * C00080</t>
  </si>
  <si>
    <t>C00233 * C00025</t>
  </si>
  <si>
    <t>C00141 * C00025</t>
  </si>
  <si>
    <t>C00671 * C00025</t>
  </si>
  <si>
    <t>C00109 * C00025</t>
  </si>
  <si>
    <t>C00010 * C16255</t>
  </si>
  <si>
    <t>C01242 * C00011</t>
  </si>
  <si>
    <t>C02972 * C00143 * C00014</t>
  </si>
  <si>
    <t>C00445 * C00001</t>
  </si>
  <si>
    <t>C16236 * C00229</t>
  </si>
  <si>
    <t>C22160 * C00229</t>
  </si>
  <si>
    <t>C22159 * C00229</t>
  </si>
  <si>
    <t>C16237 * C00229</t>
  </si>
  <si>
    <t>C00008 * C00009 * C00064</t>
  </si>
  <si>
    <t>C00188 * C00009</t>
  </si>
  <si>
    <t>C06056 * C00009</t>
  </si>
  <si>
    <t>C00013 * C01299</t>
  </si>
  <si>
    <t>C00084 * C00004 * C00080</t>
  </si>
  <si>
    <t>C00376 * C00004 * C00080</t>
  </si>
  <si>
    <t>C01545 * C00004 * C00080</t>
  </si>
  <si>
    <t>C05445 * C00004 * C00080</t>
  </si>
  <si>
    <t>C05577 * C00004 * C00080</t>
  </si>
  <si>
    <t>C06613 * C00004 * C00080</t>
  </si>
  <si>
    <t>C16348 * C00004 * C00080</t>
  </si>
  <si>
    <t>C14090 * C00004 * C00080</t>
  </si>
  <si>
    <t>C14099 * C00004 * C00080</t>
  </si>
  <si>
    <t>C16551 * C00003</t>
  </si>
  <si>
    <t>C16587 * C00004 * C00080</t>
  </si>
  <si>
    <t>C00576 * C00004 * C00080</t>
  </si>
  <si>
    <t>C00576 * C00005 * C00080</t>
  </si>
  <si>
    <t>C08492 * C00003</t>
  </si>
  <si>
    <t>C01450 * C00004 * C00080</t>
  </si>
  <si>
    <t>C16596 * C00004 * C00080</t>
  </si>
  <si>
    <t>C00772 * C00004 * C00080</t>
  </si>
  <si>
    <t>C07490 * C00003 * C00001</t>
  </si>
  <si>
    <t>C00740 * C00009</t>
  </si>
  <si>
    <t>C04895 * C00058</t>
  </si>
  <si>
    <t>C05923 * C00058</t>
  </si>
  <si>
    <t>C16255 * C00011</t>
  </si>
  <si>
    <t>C16255 * C00068</t>
  </si>
  <si>
    <t>C00911 * C00009</t>
  </si>
  <si>
    <t>C00212 * C00009</t>
  </si>
  <si>
    <t xml:space="preserve"> C00475 * C00009</t>
  </si>
  <si>
    <t>C00294 * C00009</t>
  </si>
  <si>
    <t>C00387 * C00009</t>
  </si>
  <si>
    <t>C03150 * C00009</t>
  </si>
  <si>
    <t>C01762 * C00009</t>
  </si>
  <si>
    <t>C05841 * C00009</t>
  </si>
  <si>
    <t>C00214 * C00009</t>
  </si>
  <si>
    <t>C00881 * C00009</t>
  </si>
  <si>
    <t>C00330 * C00009</t>
  </si>
  <si>
    <t>C00559 * C00009</t>
  </si>
  <si>
    <t>C05512 * C00009</t>
  </si>
  <si>
    <t>C01092 * C00010 * C00011</t>
  </si>
  <si>
    <t>C01092 * C00229 * C00011</t>
  </si>
  <si>
    <t>C00020 * C00013 * C01063</t>
  </si>
  <si>
    <t>C00042 * C00005 * C00080</t>
  </si>
  <si>
    <t>C00042 * C00264</t>
  </si>
  <si>
    <t>C00042 * C00332</t>
  </si>
  <si>
    <t>C00010 * C00332</t>
  </si>
  <si>
    <t>C00010 * C03344</t>
  </si>
  <si>
    <t>C00010 * C05269</t>
  </si>
  <si>
    <t>C00330 * C00536</t>
  </si>
  <si>
    <t>C00020 * C00013 * C02412</t>
  </si>
  <si>
    <t>C00058 * C00014</t>
  </si>
  <si>
    <t>C00008 * C00018</t>
  </si>
  <si>
    <t xml:space="preserve"> C00008 * C00627</t>
  </si>
  <si>
    <t>C00008 * C00647</t>
  </si>
  <si>
    <t>C00145 * C00014 * C00022</t>
  </si>
  <si>
    <t>C00155 * C00014 * C00022</t>
  </si>
  <si>
    <t>C00022 * C00014 * C01962</t>
  </si>
  <si>
    <t>C00812 * C00014 * C00022</t>
  </si>
  <si>
    <t>C01336 * C00014 * C00022</t>
  </si>
  <si>
    <t>C00283 * C00022 * C00014</t>
  </si>
  <si>
    <t>C05698 * C00014 * C00022</t>
  </si>
  <si>
    <t>C00022 * C00014 * C05703</t>
  </si>
  <si>
    <t>C07271 * C00003 * C00001</t>
  </si>
  <si>
    <t>C19081 * C00003 * C00001</t>
  </si>
  <si>
    <t>C19081 * C00006 * C00001</t>
  </si>
  <si>
    <t>C07271 * C00006 * C00001</t>
  </si>
  <si>
    <t>C00641 * C00588</t>
  </si>
  <si>
    <t>C00641 * C00093</t>
  </si>
  <si>
    <t>C00641 * C00346</t>
  </si>
  <si>
    <t>C01177 * C00641</t>
  </si>
  <si>
    <t>C03454 * C00346</t>
  </si>
  <si>
    <t>C00021 * C03391</t>
  </si>
  <si>
    <t>C00013 * C00857</t>
  </si>
  <si>
    <t>C00013 * C00003</t>
  </si>
  <si>
    <t>C03287 * C00005 * C00080</t>
  </si>
  <si>
    <t>C00048 * C00005 * C00080</t>
  </si>
  <si>
    <t>C00168 * C00005 * C00080</t>
  </si>
  <si>
    <t>C00546 * C00004 * C00080</t>
  </si>
  <si>
    <t>C00008 * C03287</t>
  </si>
  <si>
    <t>C00008 * C00201</t>
  </si>
  <si>
    <t xml:space="preserve"> C00008 * C00002</t>
  </si>
  <si>
    <t>C11039 * C00008</t>
  </si>
  <si>
    <t>C00008 * C00075</t>
  </si>
  <si>
    <t>C00008 * C00044</t>
  </si>
  <si>
    <t>C00008 * C00063</t>
  </si>
  <si>
    <t>C00008 * C00081</t>
  </si>
  <si>
    <t>C00008 * C00131</t>
  </si>
  <si>
    <t>C00008 * C00286</t>
  </si>
  <si>
    <t>C00008 * C00459</t>
  </si>
  <si>
    <t>C00008 * C00458</t>
  </si>
  <si>
    <t>C00008 * C00460</t>
  </si>
  <si>
    <t>C00008 * C01345</t>
  </si>
  <si>
    <t>C22443 * C00008</t>
  </si>
  <si>
    <t>C00008 * C21749</t>
  </si>
  <si>
    <t>C00008 * C21751</t>
  </si>
  <si>
    <t>C00008 * C00009 * C09332</t>
  </si>
  <si>
    <t>C00008 * C00009 * C05928</t>
  </si>
  <si>
    <t>C00008 * C00009 * C00415</t>
  </si>
  <si>
    <t>C00020 * C00013 * C02554</t>
  </si>
  <si>
    <t>C00101 * C00966</t>
  </si>
  <si>
    <t>C00141 * C00067</t>
  </si>
  <si>
    <t xml:space="preserve"> C00020 * C00013 * C00864</t>
  </si>
  <si>
    <t>C00036 * C00004 * C00080</t>
  </si>
  <si>
    <t>C05528 * C00004 * C00080</t>
  </si>
  <si>
    <t>C07113 * C00004 * C00080</t>
  </si>
  <si>
    <t>C02780 * C00005 * C00080</t>
  </si>
  <si>
    <t>C02291 * C00042</t>
  </si>
  <si>
    <t>C00155 * C00042</t>
  </si>
  <si>
    <t>C02291 * C00033</t>
  </si>
  <si>
    <t>C05699 * C00009</t>
  </si>
  <si>
    <t>C05699 * C00033</t>
  </si>
  <si>
    <t>C05699 * C00042</t>
  </si>
  <si>
    <t>C00022 * C00014 * C00004 * C00080</t>
  </si>
  <si>
    <t>C00048 * C00014 * C00004 * C00080</t>
  </si>
  <si>
    <t>C00217 * C00014</t>
  </si>
  <si>
    <t>C00008 * C00009 * C01909</t>
  </si>
  <si>
    <t>C01909 * C00008 * C00009</t>
  </si>
  <si>
    <t>C04425 * C01037</t>
  </si>
  <si>
    <t>C00148 * C00012</t>
  </si>
  <si>
    <t>C05198 * C00073 * C05199 * C05312</t>
  </si>
  <si>
    <t>C00010 * C00022</t>
  </si>
  <si>
    <t>C00100 * C00058</t>
  </si>
  <si>
    <t>C00215 * C00013</t>
  </si>
  <si>
    <t>C00105 * C00013</t>
  </si>
  <si>
    <t>C00364 * C00013</t>
  </si>
  <si>
    <t>C00020 * C00061</t>
  </si>
  <si>
    <t>C00105 * C00103</t>
  </si>
  <si>
    <t>C01134 * C00020</t>
  </si>
  <si>
    <t>C00066 * C00454</t>
  </si>
  <si>
    <t>C00253 * C00119 * C00002 * C00001 * C00080</t>
  </si>
  <si>
    <t>C03723 * C00342</t>
  </si>
  <si>
    <t>C00342 * C00008</t>
  </si>
  <si>
    <t>C00342 * C00015</t>
  </si>
  <si>
    <t>C00035 * C00342</t>
  </si>
  <si>
    <t>C03723 * C16663</t>
  </si>
  <si>
    <t>C03723 * C02090</t>
  </si>
  <si>
    <t>C21748 * C00342</t>
  </si>
  <si>
    <t>C00020 * C00013 * C00003</t>
  </si>
  <si>
    <t>C04631 * C00009</t>
  </si>
  <si>
    <t>C00097 * C00033</t>
  </si>
  <si>
    <t>C05688 * C00033</t>
  </si>
  <si>
    <t>C00097 * C00094 * C00343 * C00033</t>
  </si>
  <si>
    <t>C00097 * C00009</t>
  </si>
  <si>
    <t>C00979 * C00010</t>
  </si>
  <si>
    <t>C06717 * C00010</t>
  </si>
  <si>
    <t>C00008 * C00416</t>
  </si>
  <si>
    <t>C00022 * C00217</t>
  </si>
  <si>
    <t>C00161 * C00133</t>
  </si>
  <si>
    <t>C00166 * C00217</t>
  </si>
  <si>
    <t>C01110 * C00405</t>
  </si>
  <si>
    <t>C03239 * C00405</t>
  </si>
  <si>
    <t>C03771 * C00405</t>
  </si>
  <si>
    <t>C00036 * C05947</t>
  </si>
  <si>
    <t>C00008 * C00009 * C03373</t>
  </si>
  <si>
    <t>C00064 * C00119 * C00001</t>
  </si>
  <si>
    <t>C00008 * C00009 * C04640 * C00025</t>
  </si>
  <si>
    <t>C00008 * C00009 * C04823</t>
  </si>
  <si>
    <t>C00122 * C00020</t>
  </si>
  <si>
    <t>C00122 * C04677</t>
  </si>
  <si>
    <t>C22441 * C00122</t>
  </si>
  <si>
    <t>C00008 * C00009 * C03838</t>
  </si>
  <si>
    <t>C00033 * C00390 * C00011</t>
  </si>
  <si>
    <t>C01083 * C00009</t>
  </si>
  <si>
    <t>G00293 * C00009</t>
  </si>
  <si>
    <t>C00020 * C00013 * C03125</t>
  </si>
  <si>
    <t>C11453 * C00055</t>
  </si>
  <si>
    <t>C11435 * C00013</t>
  </si>
  <si>
    <t>C00011 * C00001</t>
  </si>
  <si>
    <t>C00013 * C03427</t>
  </si>
  <si>
    <t>C00013 * C05421</t>
  </si>
  <si>
    <t>C05413 * C00013</t>
  </si>
  <si>
    <t>C19840 * C01352</t>
  </si>
  <si>
    <t xml:space="preserve"> C19841 * C01352</t>
  </si>
  <si>
    <t>C16145 * C01352</t>
  </si>
  <si>
    <t>C19797 * C01352</t>
  </si>
  <si>
    <t>C00020 * C00013 * C01931</t>
  </si>
  <si>
    <t>C00020 * C04807</t>
  </si>
  <si>
    <t>C00266 * C01300</t>
  </si>
  <si>
    <t xml:space="preserve"> C00013 * C00921</t>
  </si>
  <si>
    <t>C00921 * C00001</t>
  </si>
  <si>
    <t>C00262 * C00119</t>
  </si>
  <si>
    <t>C00242 * C00119</t>
  </si>
  <si>
    <t>C00385 * C00119</t>
  </si>
  <si>
    <t>C04646 * C00013</t>
  </si>
  <si>
    <t>C16615 * C00013</t>
  </si>
  <si>
    <t>C16619 * C00013</t>
  </si>
  <si>
    <t>C00010 * C17952</t>
  </si>
  <si>
    <t>C17949 * C00010</t>
  </si>
  <si>
    <t>C00008 * C00227</t>
  </si>
  <si>
    <t>C00008 * C02876</t>
  </si>
  <si>
    <t>C00010 * C00227</t>
  </si>
  <si>
    <t>C02876 * C00010</t>
  </si>
  <si>
    <t>C00035 * C00009 * C03794</t>
  </si>
  <si>
    <t>C00111 * C00118</t>
  </si>
  <si>
    <t xml:space="preserve"> C00111 * C00279</t>
  </si>
  <si>
    <t>C00111 * C00577</t>
  </si>
  <si>
    <t>C00021 * C04545</t>
  </si>
  <si>
    <t>C00295 * C00119</t>
  </si>
  <si>
    <t>C16634 * C00013</t>
  </si>
  <si>
    <t>C00283 * C00022 * C00343</t>
  </si>
  <si>
    <t>C00022 * C21440</t>
  </si>
  <si>
    <t>C00283 * C02743 * C00343</t>
  </si>
  <si>
    <t>C00026 * C00014</t>
  </si>
  <si>
    <t>C00060 * C00004 * C00080</t>
  </si>
  <si>
    <t>C00162 * C00004 * C00080</t>
  </si>
  <si>
    <t>C00033 * C00004 * C00080</t>
  </si>
  <si>
    <t>C00099 * C00004 * C00080</t>
  </si>
  <si>
    <t>C00258 * C00004 * C00080</t>
  </si>
  <si>
    <t>C00334 * C00004 * C00080</t>
  </si>
  <si>
    <t>C00954 * C00004 * C00080</t>
  </si>
  <si>
    <t>C00804 * C00004 * C00080</t>
  </si>
  <si>
    <t>C01181 * C00004 * C00080</t>
  </si>
  <si>
    <t>C02170 * C00004 * C00080</t>
  </si>
  <si>
    <t>C02835 * C00004 * C00080</t>
  </si>
  <si>
    <t xml:space="preserve"> C04554 * C00004 * C00080</t>
  </si>
  <si>
    <t>C05635 * C00080 * C00004</t>
  </si>
  <si>
    <t>C02946 * C00004 * C00080</t>
  </si>
  <si>
    <t>C06755 * C00004 * C00080</t>
  </si>
  <si>
    <t>C16502 * C00004 * C00080</t>
  </si>
  <si>
    <t>C00026 * C00005 * C00080</t>
  </si>
  <si>
    <t>C00334 * C00005 * C00080</t>
  </si>
  <si>
    <t>C00818 * C00004 * C00080</t>
  </si>
  <si>
    <t>C00013 * C00224</t>
  </si>
  <si>
    <t>C00013 * C05686</t>
  </si>
  <si>
    <t>C00343 * C00094 * C00054</t>
  </si>
  <si>
    <t>C01290 * C01132</t>
  </si>
  <si>
    <t>C03272 * C00001</t>
  </si>
  <si>
    <t>C04730 * C01132</t>
  </si>
  <si>
    <t>C01132 * G00093</t>
  </si>
  <si>
    <t>G00092 * C01132</t>
  </si>
  <si>
    <t>G00108 * C01132</t>
  </si>
  <si>
    <t>G01391 * C00140</t>
  </si>
  <si>
    <t>G01391 * C04132</t>
  </si>
  <si>
    <t>C00140 * G13058</t>
  </si>
  <si>
    <t>G10008 * C00140</t>
  </si>
  <si>
    <t>C00140 * G10665</t>
  </si>
  <si>
    <t>G10920 * C00140</t>
  </si>
  <si>
    <t>C03405 * C01132</t>
  </si>
  <si>
    <t>C00015 * C00718</t>
  </si>
  <si>
    <t xml:space="preserve"> C00327 * C00014</t>
  </si>
  <si>
    <t>C00241 * C00014</t>
  </si>
  <si>
    <t>C00035 * C00074 * C00011</t>
  </si>
  <si>
    <t>C00104 * C00074 * C00011</t>
  </si>
  <si>
    <t>C00021 * C04160</t>
  </si>
  <si>
    <t>C00685 * C00011 * C00229</t>
  </si>
  <si>
    <t>C05744 * C00011 * C00229</t>
  </si>
  <si>
    <t>C05759 * C00011 * C00229</t>
  </si>
  <si>
    <t>C05746 * C00011 * C00229</t>
  </si>
  <si>
    <t>C05750 * C00011 * C00229</t>
  </si>
  <si>
    <t>C05753 * C00011 * C00229</t>
  </si>
  <si>
    <t>C05756 * C00011 * C00229</t>
  </si>
  <si>
    <t>C05762 * C00011 * C00229</t>
  </si>
  <si>
    <t>C16219 * C00229 * C00011</t>
  </si>
  <si>
    <t>C20372 * C00011 * C00229</t>
  </si>
  <si>
    <t>C20376 * C00011 * C00229</t>
  </si>
  <si>
    <t>C20352 * C00013</t>
  </si>
  <si>
    <t>G10619 * G13122</t>
  </si>
  <si>
    <t>C11355 * C00025</t>
  </si>
  <si>
    <t>C11355 * C00001</t>
  </si>
  <si>
    <t>C11477 * C00009</t>
  </si>
  <si>
    <t>C00008 * C00093</t>
  </si>
  <si>
    <t>C00111 * C15603</t>
  </si>
  <si>
    <t>C00111 * C00390</t>
  </si>
  <si>
    <t>C00111 * C01352</t>
  </si>
  <si>
    <t>C00020 * C00013 * C02553</t>
  </si>
  <si>
    <t>C00020 * C00013 * C06481</t>
  </si>
  <si>
    <t>C05775 * C00009</t>
  </si>
  <si>
    <t xml:space="preserve"> C00194 * C00009</t>
  </si>
  <si>
    <t>C00166 * C00001 * C00011</t>
  </si>
  <si>
    <t>C00079 * C00001 * C00011</t>
  </si>
  <si>
    <t>C00060 * C00292</t>
  </si>
  <si>
    <t>C00069 * C00093</t>
  </si>
  <si>
    <t>C00114 * C00093</t>
  </si>
  <si>
    <t>C00189 * C00093</t>
  </si>
  <si>
    <t>C00022 * C00004 * C00080</t>
  </si>
  <si>
    <t>C00109 * C00004 * C00080</t>
  </si>
  <si>
    <t>C00957 * C00004 * C00080</t>
  </si>
  <si>
    <t>C03895 * C00342</t>
  </si>
  <si>
    <t>C15999 * C00342</t>
  </si>
  <si>
    <t>C00020 * C00013 * C02047</t>
  </si>
  <si>
    <t xml:space="preserve"> C00069 * C00009</t>
  </si>
  <si>
    <t>C00378 * C00009</t>
  </si>
  <si>
    <t>C00870 * C00009</t>
  </si>
  <si>
    <t>C00184 * C00009</t>
  </si>
  <si>
    <t>C00108 * C00022 * C00025</t>
  </si>
  <si>
    <t>C00108 * C00022 * C00001</t>
  </si>
  <si>
    <t>C00078 * C00001</t>
  </si>
  <si>
    <t>C00463 * C00118</t>
  </si>
  <si>
    <t>C00078 * C00118 * C00001</t>
  </si>
  <si>
    <t>C19078 * C00013</t>
  </si>
  <si>
    <t>C19080 * C00013</t>
  </si>
  <si>
    <t>C19085 * C00013</t>
  </si>
  <si>
    <t>C00343 * C00005 * C00080</t>
  </si>
  <si>
    <t>C05526 * C00005</t>
  </si>
  <si>
    <t>C02713 * C00041</t>
  </si>
  <si>
    <t>C00024 * C00263</t>
  </si>
  <si>
    <t>C00677 * C00039</t>
  </si>
  <si>
    <t>C00677 + C00039</t>
  </si>
  <si>
    <t>C00404 + C00001</t>
  </si>
  <si>
    <t>C00404 * C00001</t>
  </si>
  <si>
    <t xml:space="preserve"> C00201</t>
  </si>
  <si>
    <t>C20864 +  C00013</t>
  </si>
  <si>
    <t>C20864 *  C00013</t>
  </si>
  <si>
    <t>C00201</t>
  </si>
  <si>
    <t>C20864 * C00013</t>
  </si>
  <si>
    <t>G10545 + C00001</t>
  </si>
  <si>
    <t>G10545 * C00001</t>
  </si>
  <si>
    <t>G10545 + G10545</t>
  </si>
  <si>
    <t>G10545 * G10545</t>
  </si>
  <si>
    <t>C00003 + C00039 + C02128</t>
  </si>
  <si>
    <t>C00003 * C00039 * C02128</t>
  </si>
  <si>
    <t>C00020 + C00455 + C00039</t>
  </si>
  <si>
    <t>C00020 * C00455 * C00039</t>
  </si>
  <si>
    <t xml:space="preserve">C00677 + C00039 </t>
  </si>
  <si>
    <t xml:space="preserve">C00677 * C00039 </t>
  </si>
  <si>
    <t xml:space="preserve">G10553 + G10554 </t>
  </si>
  <si>
    <t xml:space="preserve">G10553 * G10554 </t>
  </si>
  <si>
    <t>G10555 + G10557</t>
  </si>
  <si>
    <t>G10555 * G10557</t>
  </si>
  <si>
    <t xml:space="preserve">C00002 + C03541 + C00025 </t>
  </si>
  <si>
    <t xml:space="preserve">C00002 * C03541 * C00025 </t>
  </si>
  <si>
    <t>G10495 + G10608</t>
  </si>
  <si>
    <t>G10495 * G10608</t>
  </si>
  <si>
    <t>C04574 + G10554</t>
  </si>
  <si>
    <t>C04574 + G10557</t>
  </si>
  <si>
    <t>C00008 + C00009 + C03541</t>
  </si>
  <si>
    <t>G10495 + G10619</t>
  </si>
  <si>
    <t>C00404 + C00009</t>
  </si>
  <si>
    <t>C00404 * C00009</t>
  </si>
  <si>
    <t>C04574 * G10554</t>
  </si>
  <si>
    <t>C04574 * G10557</t>
  </si>
  <si>
    <t>C00008 * C00009 * C03541</t>
  </si>
  <si>
    <t>G10495 * G10619</t>
  </si>
  <si>
    <t xml:space="preserve"> C00002 + C05928 +  C00025</t>
  </si>
  <si>
    <t xml:space="preserve"> C00002 * C05928 *  C00025</t>
  </si>
  <si>
    <t>E2.7.7.7</t>
  </si>
  <si>
    <t>E1.5.1.20</t>
  </si>
  <si>
    <t>E2.1.1.14</t>
  </si>
  <si>
    <t>E5.2.1.8</t>
  </si>
  <si>
    <t>E3.5.1.25</t>
  </si>
  <si>
    <t>E3.5.99.6</t>
  </si>
  <si>
    <t>E2.7.11.1</t>
  </si>
  <si>
    <t>No</t>
  </si>
  <si>
    <t xml:space="preserve">EC_number  </t>
  </si>
  <si>
    <t>Enzyme mRNA</t>
  </si>
  <si>
    <t xml:space="preserve">Enzymes </t>
  </si>
  <si>
    <t>Enzyme Turnover (/s)</t>
  </si>
  <si>
    <t>Enzyme Km (mM)</t>
  </si>
  <si>
    <t xml:space="preserve">Enzyme mRNA Objects </t>
  </si>
  <si>
    <t xml:space="preserve">Enzyme Objects </t>
  </si>
  <si>
    <t>Enzyme mRNA Initial Concentration (mM)</t>
  </si>
  <si>
    <t>Enzyme Initial Concentration (mM)</t>
  </si>
  <si>
    <t>Transcription Rate Law</t>
  </si>
  <si>
    <t xml:space="preserve">Translation Rate Law </t>
  </si>
  <si>
    <t>Transcription Equation</t>
  </si>
  <si>
    <t>Translation Equation</t>
  </si>
  <si>
    <t>E3.1.3.16</t>
  </si>
  <si>
    <t>E3.5.1.18</t>
  </si>
  <si>
    <t>E2.8.1.6</t>
  </si>
  <si>
    <t>E3.2.2.4</t>
  </si>
  <si>
    <t>E1.16.3.1</t>
  </si>
  <si>
    <t>E1.2.1.8</t>
  </si>
  <si>
    <t>E1.1.99.1</t>
  </si>
  <si>
    <t>E2.1.1.63</t>
  </si>
  <si>
    <t>E3.5.1.91</t>
  </si>
  <si>
    <t>E2.6.1.48</t>
  </si>
  <si>
    <t>E2.2.1.6</t>
  </si>
  <si>
    <t>E1.1.1.36</t>
  </si>
  <si>
    <t>E2.4.1.287</t>
  </si>
  <si>
    <t>E1.6.5.5</t>
  </si>
  <si>
    <t>E2.8.1.12</t>
  </si>
  <si>
    <t>E2.10.1.1</t>
  </si>
  <si>
    <t>E3.6.1.55</t>
  </si>
  <si>
    <t>E1.14.14.18</t>
  </si>
  <si>
    <t>E3.5.4.33</t>
  </si>
  <si>
    <t>E2.4.2.29</t>
  </si>
  <si>
    <t>E2.3.3.13</t>
  </si>
  <si>
    <t>E2.7.2.4</t>
  </si>
  <si>
    <t>E1.2.1.11</t>
  </si>
  <si>
    <t>E1.11.1.6</t>
  </si>
  <si>
    <t>E3.3.2.10</t>
  </si>
  <si>
    <t>E4.6.1.1</t>
  </si>
  <si>
    <t>E6.2.1.3</t>
  </si>
  <si>
    <t>E1.1.1.306</t>
  </si>
  <si>
    <t>E2.7.7.24</t>
  </si>
  <si>
    <t>E5.1.3.13</t>
  </si>
  <si>
    <t>E4.2.1.46</t>
  </si>
  <si>
    <t>E3.4.11.2</t>
  </si>
  <si>
    <t>E2.3.1.122</t>
  </si>
  <si>
    <t>E1.8.1.4</t>
  </si>
  <si>
    <t>E1.3.5.1</t>
  </si>
  <si>
    <t>E1.3.1.98</t>
  </si>
  <si>
    <t>E4.4.1.21</t>
  </si>
  <si>
    <t>E2.4.1.250</t>
  </si>
  <si>
    <t>E3.6.1.11</t>
  </si>
  <si>
    <t>E1.5.1.2</t>
  </si>
  <si>
    <t>E3.1.3.3</t>
  </si>
  <si>
    <t>E1.2.1.70</t>
  </si>
  <si>
    <t>E2.5.1.61</t>
  </si>
  <si>
    <t>E2.1.1.107</t>
  </si>
  <si>
    <t>E4.2.1.24</t>
  </si>
  <si>
    <t>E4.1.1.37</t>
  </si>
  <si>
    <t>E1.3.3.4</t>
  </si>
  <si>
    <t>E1.1.1.31</t>
  </si>
  <si>
    <t>E5.4.3.8</t>
  </si>
  <si>
    <t>E2.5.1.74</t>
  </si>
  <si>
    <t>E6.2.1.26</t>
  </si>
  <si>
    <t>E4.1.3.36</t>
  </si>
  <si>
    <t>E2.2.1.9</t>
  </si>
  <si>
    <t>E2.1.1.163</t>
  </si>
  <si>
    <t>E2.5.1.30</t>
  </si>
  <si>
    <t>E5.4.2.8</t>
  </si>
  <si>
    <t>E2.4.2.1</t>
  </si>
  <si>
    <t>E4.1.99.3</t>
  </si>
  <si>
    <t>E2.7.7.6</t>
  </si>
  <si>
    <t>E2.1.1.79</t>
  </si>
  <si>
    <t>E2.7.4.3</t>
  </si>
  <si>
    <t>E5.4.99.12</t>
  </si>
  <si>
    <t>E5.4.2.10</t>
  </si>
  <si>
    <t>E2.6.1.16</t>
  </si>
  <si>
    <t>E5.1.1.1</t>
  </si>
  <si>
    <t>E1.1.1.205</t>
  </si>
  <si>
    <t>E2.3.1.31</t>
  </si>
  <si>
    <t>E1.1.1.42</t>
  </si>
  <si>
    <t>E6.1.1.2</t>
  </si>
  <si>
    <t>E4.2.1.130</t>
  </si>
  <si>
    <t>E3.1.1.1</t>
  </si>
  <si>
    <t>E2.4.2.9</t>
  </si>
  <si>
    <t>E1.6.5.2</t>
  </si>
  <si>
    <t>E4.2.1.79</t>
  </si>
  <si>
    <t>E2.7.8.23</t>
  </si>
  <si>
    <t>E6.4.1.7</t>
  </si>
  <si>
    <t>E3.5.4.5</t>
  </si>
  <si>
    <t>E2.4.2.2</t>
  </si>
  <si>
    <t>E2.8.1.1</t>
  </si>
  <si>
    <t>E6.4.1.3</t>
  </si>
  <si>
    <t>E3.2.1.1</t>
  </si>
  <si>
    <t>E6.3.4.15</t>
  </si>
  <si>
    <t>E4.1.1.5</t>
  </si>
  <si>
    <t>E6.3.4.18</t>
  </si>
  <si>
    <t>E2.7.1.15</t>
  </si>
  <si>
    <t>E5.1.3.3</t>
  </si>
  <si>
    <t>E2.7.7.12</t>
  </si>
  <si>
    <t>E2.7.1.6</t>
  </si>
  <si>
    <t>E6.3.4.14</t>
  </si>
  <si>
    <t>E1.18.1.2</t>
  </si>
  <si>
    <t>E2.5.1.19</t>
  </si>
  <si>
    <t>E3.6.1.22</t>
  </si>
  <si>
    <t>E3.1.3.15</t>
  </si>
  <si>
    <t>E3.1.3.25</t>
  </si>
  <si>
    <t>E2.6.1.52</t>
  </si>
  <si>
    <t>E2.3.3.1</t>
  </si>
  <si>
    <t>E1.5.1.3</t>
  </si>
  <si>
    <t>E2.1.1.45</t>
  </si>
  <si>
    <t>E3.1.3.7</t>
  </si>
  <si>
    <t>E5.3.1.9</t>
  </si>
  <si>
    <t>E5.4.99.5</t>
  </si>
  <si>
    <t>E2.1.2.2</t>
  </si>
  <si>
    <t>E5.5.1.2</t>
  </si>
  <si>
    <t>E2.7.7.9</t>
  </si>
  <si>
    <t>E2.4.1.109</t>
  </si>
  <si>
    <t>E6.1.1.10</t>
  </si>
  <si>
    <t>E2.1.1.182</t>
  </si>
  <si>
    <t>E2.7.1.148</t>
  </si>
  <si>
    <t>E4.2.1.17</t>
  </si>
  <si>
    <t>E1.1.1.100</t>
  </si>
  <si>
    <t>E3.1.1.29</t>
  </si>
  <si>
    <t>E1.2.1.12</t>
  </si>
  <si>
    <t>E4.3.2.3</t>
  </si>
  <si>
    <t>E2.7.6.1</t>
  </si>
  <si>
    <t>E2.4.2.19</t>
  </si>
  <si>
    <t>E2.5.1.72</t>
  </si>
  <si>
    <t>E3.6.1.8</t>
  </si>
  <si>
    <t>E4.2.1.11</t>
  </si>
  <si>
    <t>E3.6.1.40</t>
  </si>
  <si>
    <t>E3.5.1.115</t>
  </si>
  <si>
    <t>E2.5.1.68</t>
  </si>
  <si>
    <t>E2.7.1.33</t>
  </si>
  <si>
    <t>E2.1.2.1</t>
  </si>
  <si>
    <t>E4.2.1.2</t>
  </si>
  <si>
    <t>E3.1.3.11</t>
  </si>
  <si>
    <t>E1.17.7.4</t>
  </si>
  <si>
    <t>E1.17.1.9</t>
  </si>
  <si>
    <t>E1.17.5.3</t>
  </si>
  <si>
    <t>E2.7.9.3</t>
  </si>
  <si>
    <t>E2.9.1.1</t>
  </si>
  <si>
    <t>E3.5.1.103</t>
  </si>
  <si>
    <t>E2.6.1.83</t>
  </si>
  <si>
    <t>E2.3.1.117</t>
  </si>
  <si>
    <t>E2.1.1.188</t>
  </si>
  <si>
    <t>E3.2.1.26</t>
  </si>
  <si>
    <t>E3.6.1.65</t>
  </si>
  <si>
    <t>E3.5.3.8</t>
  </si>
  <si>
    <t>E4.3.1.3</t>
  </si>
  <si>
    <t>E4.2.1.49</t>
  </si>
  <si>
    <t>E3.5.2.7</t>
  </si>
  <si>
    <t>E6.1.1.19</t>
  </si>
  <si>
    <t>E4.1.1.20</t>
  </si>
  <si>
    <t>E1.1.1.3</t>
  </si>
  <si>
    <t>E2.7.1.39</t>
  </si>
  <si>
    <t>E1.7.2.1</t>
  </si>
  <si>
    <t>E2.7.7.87</t>
  </si>
  <si>
    <t>E7.1.2.2</t>
  </si>
  <si>
    <t>E2.8.1.7</t>
  </si>
  <si>
    <t>E6.5.1.2</t>
  </si>
  <si>
    <t>E2.7.1.11</t>
  </si>
  <si>
    <t>E4.2.1.9</t>
  </si>
  <si>
    <t>E1.1.1.86</t>
  </si>
  <si>
    <t>E1.1.1.95</t>
  </si>
  <si>
    <t>E1.1.1.85</t>
  </si>
  <si>
    <t>E5.4.4.2</t>
  </si>
  <si>
    <t>E6.1.1.17</t>
  </si>
  <si>
    <t>E4.2.1.33</t>
  </si>
  <si>
    <t>E1.1.1.94</t>
  </si>
  <si>
    <t>E6.3.2.4</t>
  </si>
  <si>
    <t>E2.7.4.16</t>
  </si>
  <si>
    <t>E2.1.1.171</t>
  </si>
  <si>
    <t>E2.7.7.3</t>
  </si>
  <si>
    <t>E2.7.1.24</t>
  </si>
  <si>
    <t>E6.1.1.20</t>
  </si>
  <si>
    <t>E1.2.1.38</t>
  </si>
  <si>
    <t>E2.7.2.8</t>
  </si>
  <si>
    <t>E2.6.1.11</t>
  </si>
  <si>
    <t>E2.1.3.3</t>
  </si>
  <si>
    <t>E6.3.4.5</t>
  </si>
  <si>
    <t>E4.3.2.1</t>
  </si>
  <si>
    <t>E4.3.1.28</t>
  </si>
  <si>
    <t>E2.8.1.10</t>
  </si>
  <si>
    <t>E1.4.99.5</t>
  </si>
  <si>
    <t>E4.1.99.17</t>
  </si>
  <si>
    <t>E6.1.1.1</t>
  </si>
  <si>
    <t>E2.7.1.23</t>
  </si>
  <si>
    <t>E3.6.1.13</t>
  </si>
  <si>
    <t>E2.7.4.25</t>
  </si>
  <si>
    <t>E1.1.1.44</t>
  </si>
  <si>
    <t>E2.1.1.11</t>
  </si>
  <si>
    <t>E2.7.1.49</t>
  </si>
  <si>
    <t>E2.7.1.50</t>
  </si>
  <si>
    <t>E2.4.1.54</t>
  </si>
  <si>
    <t>E6.3.4.3</t>
  </si>
  <si>
    <t>E4.3.1.1</t>
  </si>
  <si>
    <t>E2.4.2.17</t>
  </si>
  <si>
    <t>E6.3.1.13</t>
  </si>
  <si>
    <t>E3.6.1.27</t>
  </si>
  <si>
    <t>E1.3.5.2</t>
  </si>
  <si>
    <t>E4.2.1.3</t>
  </si>
  <si>
    <t>E2.2.1.1</t>
  </si>
  <si>
    <t>E2.2.1.2</t>
  </si>
  <si>
    <t>E1.1.1.49</t>
  </si>
  <si>
    <t>E3.1.1.31</t>
  </si>
  <si>
    <t>E5.3.1.1</t>
  </si>
  <si>
    <t>E2.7.2.3</t>
  </si>
  <si>
    <t>E2.5.1.78</t>
  </si>
  <si>
    <t>E2.5.1.9</t>
  </si>
  <si>
    <t>E5.1.3.1</t>
  </si>
  <si>
    <t>E2.1.2.9</t>
  </si>
  <si>
    <t>E3.5.1.88</t>
  </si>
  <si>
    <t>E2.5.1.6</t>
  </si>
  <si>
    <t>E2.7.4.8</t>
  </si>
  <si>
    <t>E6.3.5.5</t>
  </si>
  <si>
    <t>E3.5.2.3</t>
  </si>
  <si>
    <t>E2.1.3.2</t>
  </si>
  <si>
    <t>E4.2.1.10</t>
  </si>
  <si>
    <t>E4.2.3.4</t>
  </si>
  <si>
    <t>E2.7.1.71</t>
  </si>
  <si>
    <t>E4.2.3.5</t>
  </si>
  <si>
    <t>E1.1.1.25</t>
  </si>
  <si>
    <t>E6.1.1.7</t>
  </si>
  <si>
    <t>E6.1.1.12</t>
  </si>
  <si>
    <t>E1.14.14.3</t>
  </si>
  <si>
    <t>E1.5.1.38</t>
  </si>
  <si>
    <t>E4.3.1.17</t>
  </si>
  <si>
    <t>E6.1.1.21</t>
  </si>
  <si>
    <t>E1.15.1.1</t>
  </si>
  <si>
    <t>E2.4.2.7</t>
  </si>
  <si>
    <t>E2.4.1.345</t>
  </si>
  <si>
    <t>E2.7.8.11</t>
  </si>
  <si>
    <t>E2.7.7.53</t>
  </si>
  <si>
    <t>E6.1.1.3</t>
  </si>
  <si>
    <t>E1.8.4.12</t>
  </si>
  <si>
    <t>E1.13.11.49</t>
  </si>
  <si>
    <t>E2.2.1.7</t>
  </si>
  <si>
    <t>E3.6.1.23</t>
  </si>
  <si>
    <t>E2.7.1.63</t>
  </si>
  <si>
    <t>E5.1.3.2</t>
  </si>
  <si>
    <t>E1.11.1.24</t>
  </si>
  <si>
    <t>E2.7.3.9</t>
  </si>
  <si>
    <t>E2.7.1.144</t>
  </si>
  <si>
    <t>E5.1.1.7</t>
  </si>
  <si>
    <t>E2.5.1.75</t>
  </si>
  <si>
    <t>E2.7.8.5</t>
  </si>
  <si>
    <t>E4.3.3.7</t>
  </si>
  <si>
    <t>E2.7.7.8</t>
  </si>
  <si>
    <t>E2.7.8.7</t>
  </si>
  <si>
    <t>E6.1.1.15</t>
  </si>
  <si>
    <t>E1.1.5.4</t>
  </si>
  <si>
    <t>E1.8.1.15</t>
  </si>
  <si>
    <t>E1.17.7.1</t>
  </si>
  <si>
    <t>E1.1.1.267</t>
  </si>
  <si>
    <t>E2.7.7.41</t>
  </si>
  <si>
    <t>E2.7.4.22</t>
  </si>
  <si>
    <t>E2.1.1.228</t>
  </si>
  <si>
    <t>E3.6.1.7</t>
  </si>
  <si>
    <t>E1.4.1.2</t>
  </si>
  <si>
    <t>E2.7.1.165</t>
  </si>
  <si>
    <t>E2.7.1.40</t>
  </si>
  <si>
    <t>E4.1.1.48</t>
  </si>
  <si>
    <t>E5.3.1.16</t>
  </si>
  <si>
    <t>E4.2.1.19</t>
  </si>
  <si>
    <t>E2.6.1.9</t>
  </si>
  <si>
    <t>E1.1.1.23</t>
  </si>
  <si>
    <t>E2.7.6.5</t>
  </si>
  <si>
    <t>E4.3.1.19</t>
  </si>
  <si>
    <t>E3.5.1.1</t>
  </si>
  <si>
    <t>E6.1.1.5</t>
  </si>
  <si>
    <t>E6.3.2.8</t>
  </si>
  <si>
    <t>E2.4.1.227</t>
  </si>
  <si>
    <t>E6.3.2.9</t>
  </si>
  <si>
    <t>E2.7.8.13</t>
  </si>
  <si>
    <t>E6.3.2.10</t>
  </si>
  <si>
    <t>E6.3.2.13</t>
  </si>
  <si>
    <t>E2.4.1.129</t>
  </si>
  <si>
    <t>E2.5.1.10</t>
  </si>
  <si>
    <t>E2.5.1.54</t>
  </si>
  <si>
    <t>E2.7.1.2</t>
  </si>
  <si>
    <t>E1.20.9.1</t>
  </si>
  <si>
    <t>E7.1.1.9</t>
  </si>
  <si>
    <t>E6.3.5.4</t>
  </si>
  <si>
    <t>E2.4.2.21</t>
  </si>
  <si>
    <t>E2.6.1.42</t>
  </si>
  <si>
    <t>E3.4.11.1</t>
  </si>
  <si>
    <t>E2.3.1.12</t>
  </si>
  <si>
    <t>E1.4.4.2</t>
  </si>
  <si>
    <t>E2.1.2.10</t>
  </si>
  <si>
    <t>E2.3.1.181</t>
  </si>
  <si>
    <t>E2.8.1.8</t>
  </si>
  <si>
    <t>E6.3.1.2</t>
  </si>
  <si>
    <t>E4.2.3.1</t>
  </si>
  <si>
    <t>E2.7.7.42</t>
  </si>
  <si>
    <t>E1.1.1.1</t>
  </si>
  <si>
    <t>E3.5.4.16</t>
  </si>
  <si>
    <t>E1.2.4.1</t>
  </si>
  <si>
    <t>E3.1.3.5</t>
  </si>
  <si>
    <t>E2.3.1.47</t>
  </si>
  <si>
    <t>E6.2.1.14</t>
  </si>
  <si>
    <t>E1.2.1.79</t>
  </si>
  <si>
    <t>E2.8.3.5</t>
  </si>
  <si>
    <t>E2.3.1.9</t>
  </si>
  <si>
    <t>E3.1.5.1</t>
  </si>
  <si>
    <t>E6.1.1.14</t>
  </si>
  <si>
    <t>E2.5.1.88</t>
  </si>
  <si>
    <t>E3.5.1.49</t>
  </si>
  <si>
    <t>E2.7.1.35</t>
  </si>
  <si>
    <t>E1.3.98.3</t>
  </si>
  <si>
    <t>E5.3.3.2</t>
  </si>
  <si>
    <t>E4.4.1.8</t>
  </si>
  <si>
    <t>E1.14.13.107</t>
  </si>
  <si>
    <t>E3.1.4.3</t>
  </si>
  <si>
    <t>E2.1.1.72</t>
  </si>
  <si>
    <t>E2.7.7.18</t>
  </si>
  <si>
    <t>E1.2.1.41</t>
  </si>
  <si>
    <t>E1.1.1.79</t>
  </si>
  <si>
    <t>E2.7.2.11</t>
  </si>
  <si>
    <t>E2.7.4.6</t>
  </si>
  <si>
    <t>E6.3.2.17</t>
  </si>
  <si>
    <t>E6.1.1.9</t>
  </si>
  <si>
    <t>E2.1.2.11</t>
  </si>
  <si>
    <t>E6.3.2.1</t>
  </si>
  <si>
    <t>E1.1.1.37</t>
  </si>
  <si>
    <t>E1.1.1.311</t>
  </si>
  <si>
    <t>E1.1.1.346</t>
  </si>
  <si>
    <t>E5.3.1.6</t>
  </si>
  <si>
    <t>E2.5.1.48</t>
  </si>
  <si>
    <t>E1.4.1.1</t>
  </si>
  <si>
    <t>E3.5.1.2</t>
  </si>
  <si>
    <t>E6.3.3.3</t>
  </si>
  <si>
    <t>E2.6.1.62</t>
  </si>
  <si>
    <t>E3.4.11.5</t>
  </si>
  <si>
    <t>E1.97.1.4</t>
  </si>
  <si>
    <t>E2.3.1.54</t>
  </si>
  <si>
    <t>E3.6.1.9</t>
  </si>
  <si>
    <t>E2.7.7.56</t>
  </si>
  <si>
    <t>E5.1.1.3</t>
  </si>
  <si>
    <t>E6.3.4.21</t>
  </si>
  <si>
    <t>E1.17.4.1</t>
  </si>
  <si>
    <t>E6.3.1.5</t>
  </si>
  <si>
    <t>E2.5.1.7</t>
  </si>
  <si>
    <t>E2.5.1.47</t>
  </si>
  <si>
    <t>E2.3.1.30</t>
  </si>
  <si>
    <t>E2.3.1.189</t>
  </si>
  <si>
    <t>E2.7.1.107</t>
  </si>
  <si>
    <t>E2.6.1.21</t>
  </si>
  <si>
    <t>E6.3.3.1</t>
  </si>
  <si>
    <t>E2.4.2.14</t>
  </si>
  <si>
    <t>E6.3.5.3</t>
  </si>
  <si>
    <t>E6.3.2.6</t>
  </si>
  <si>
    <t>E4.3.2.2</t>
  </si>
  <si>
    <t>E6.3.4.13</t>
  </si>
  <si>
    <t>E1.2.5.1</t>
  </si>
  <si>
    <t>E3.1.3.12</t>
  </si>
  <si>
    <t>E6.1.1.16</t>
  </si>
  <si>
    <t>E4.6.1.12</t>
  </si>
  <si>
    <t>E2.7.7.60</t>
  </si>
  <si>
    <t>E4.2.1.1</t>
  </si>
  <si>
    <t>E2.5.1.32</t>
  </si>
  <si>
    <t>E1.3.8.2</t>
  </si>
  <si>
    <t>E6.1.1.6</t>
  </si>
  <si>
    <t>E2.7.6.3</t>
  </si>
  <si>
    <t>E4.1.2.25</t>
  </si>
  <si>
    <t>E2.5.1.15</t>
  </si>
  <si>
    <t>E2.4.2.8</t>
  </si>
  <si>
    <t>E3.6.1.1</t>
  </si>
  <si>
    <t>E2.3.1.183</t>
  </si>
  <si>
    <t>E2.7.2.1</t>
  </si>
  <si>
    <t>E2.3.1.8</t>
  </si>
  <si>
    <t>E6.3.4.4</t>
  </si>
  <si>
    <t>E4.1.2.13</t>
  </si>
  <si>
    <t>E2.1.1.34</t>
  </si>
  <si>
    <t>E2.4.2.10</t>
  </si>
  <si>
    <t>E2.8.1.2</t>
  </si>
  <si>
    <t>E1.18.1.7</t>
  </si>
  <si>
    <t>E3.5.1.111</t>
  </si>
  <si>
    <t>E1.2.1.3</t>
  </si>
  <si>
    <t>E2.7.7.4</t>
  </si>
  <si>
    <t>E1.8.4.8</t>
  </si>
  <si>
    <t>E2.6.1.2</t>
  </si>
  <si>
    <t>E1.1.1.22</t>
  </si>
  <si>
    <t>E3.2.1.52</t>
  </si>
  <si>
    <t>E2.4.1.11</t>
  </si>
  <si>
    <t>E3.5.3.6</t>
  </si>
  <si>
    <t>E5.1.3.9</t>
  </si>
  <si>
    <t>E4.1.1.32</t>
  </si>
  <si>
    <t>E2.1.1.33</t>
  </si>
  <si>
    <t>E2.3.1.41</t>
  </si>
  <si>
    <t>E2.4.2.45</t>
  </si>
  <si>
    <t>E2.4.1.288</t>
  </si>
  <si>
    <t>E2.6.1.85</t>
  </si>
  <si>
    <t>E5.4.99.9</t>
  </si>
  <si>
    <t>E3.1.3.23</t>
  </si>
  <si>
    <t>E2.7.1.30</t>
  </si>
  <si>
    <t>E1.1.5.3</t>
  </si>
  <si>
    <t>E6.1.1.11</t>
  </si>
  <si>
    <t>E3.1.3.73</t>
  </si>
  <si>
    <t>E4.2.1.51</t>
  </si>
  <si>
    <t>E3.5.1.13</t>
  </si>
  <si>
    <t>E3.1.4.46</t>
  </si>
  <si>
    <t>E1.1.1.27</t>
  </si>
  <si>
    <t>E1.8.4.11</t>
  </si>
  <si>
    <t>E5.5.1.4</t>
  </si>
  <si>
    <t>E6.1.1.4</t>
  </si>
  <si>
    <t>E3.1.3.1</t>
  </si>
  <si>
    <t>E4.1.3.27</t>
  </si>
  <si>
    <t>E4.2.1.20</t>
  </si>
  <si>
    <t>E2.7.7.72</t>
  </si>
  <si>
    <t>E1.8.1.9</t>
  </si>
  <si>
    <t>E3.5.1.28</t>
  </si>
  <si>
    <t>Metabolites</t>
  </si>
  <si>
    <t>Initial Concentration (mM)</t>
  </si>
  <si>
    <t>Object</t>
  </si>
  <si>
    <t>C00677</t>
  </si>
  <si>
    <t>C00039</t>
  </si>
  <si>
    <t>C00013</t>
  </si>
  <si>
    <t>C00131</t>
  </si>
  <si>
    <t>C00286</t>
  </si>
  <si>
    <t>C00458</t>
  </si>
  <si>
    <t>C00459</t>
  </si>
  <si>
    <t>C00440</t>
  </si>
  <si>
    <t>C00006</t>
  </si>
  <si>
    <t>C00143</t>
  </si>
  <si>
    <t>C00005</t>
  </si>
  <si>
    <t>C00080</t>
  </si>
  <si>
    <t>C00003</t>
  </si>
  <si>
    <t>C00004</t>
  </si>
  <si>
    <t>C04489</t>
  </si>
  <si>
    <t>C00155</t>
  </si>
  <si>
    <t>C04144</t>
  </si>
  <si>
    <t>C00073</t>
  </si>
  <si>
    <t>C05698</t>
  </si>
  <si>
    <t>C05335</t>
  </si>
  <si>
    <t>C00001</t>
  </si>
  <si>
    <t>C00033</t>
  </si>
  <si>
    <t>C00014</t>
  </si>
  <si>
    <t>C00017</t>
  </si>
  <si>
    <t>C00008</t>
  </si>
  <si>
    <t>C00562</t>
  </si>
  <si>
    <t>C01609</t>
  </si>
  <si>
    <t>C02729</t>
  </si>
  <si>
    <t>C00009</t>
  </si>
  <si>
    <t>C04421</t>
  </si>
  <si>
    <t>C00042</t>
  </si>
  <si>
    <t>C01909</t>
  </si>
  <si>
    <t>C17023</t>
  </si>
  <si>
    <t>C00120</t>
  </si>
  <si>
    <t>C00020</t>
  </si>
  <si>
    <t>C00147</t>
  </si>
  <si>
    <t>C00007</t>
  </si>
  <si>
    <t>C00576</t>
  </si>
  <si>
    <t>C00719</t>
  </si>
  <si>
    <t>C00114</t>
  </si>
  <si>
    <t>C00028</t>
  </si>
  <si>
    <t>C00030</t>
  </si>
  <si>
    <t>C04250</t>
  </si>
  <si>
    <t>C02743</t>
  </si>
  <si>
    <t>C03800</t>
  </si>
  <si>
    <t>C11475</t>
  </si>
  <si>
    <t>C15561</t>
  </si>
  <si>
    <t>C00058</t>
  </si>
  <si>
    <t>C15562</t>
  </si>
  <si>
    <t>C00431</t>
  </si>
  <si>
    <t>C00026</t>
  </si>
  <si>
    <t>C03273</t>
  </si>
  <si>
    <t>C00900</t>
  </si>
  <si>
    <t>C00011</t>
  </si>
  <si>
    <t>C00022</t>
  </si>
  <si>
    <t>C00068</t>
  </si>
  <si>
    <t>C05125</t>
  </si>
  <si>
    <t>C00109</t>
  </si>
  <si>
    <t>C00264</t>
  </si>
  <si>
    <t>C03561</t>
  </si>
  <si>
    <t>C00332</t>
  </si>
  <si>
    <t>G13125</t>
  </si>
  <si>
    <t>G13119</t>
  </si>
  <si>
    <t>G10619</t>
  </si>
  <si>
    <t>G13120</t>
  </si>
  <si>
    <t>G13121</t>
  </si>
  <si>
    <t>C18239</t>
  </si>
  <si>
    <t>C05924</t>
  </si>
  <si>
    <t>C19848</t>
  </si>
  <si>
    <t>C06232</t>
  </si>
  <si>
    <t>C18237</t>
  </si>
  <si>
    <t>C19967</t>
  </si>
  <si>
    <t>C19968</t>
  </si>
  <si>
    <t>C00032</t>
  </si>
  <si>
    <t>C00500</t>
  </si>
  <si>
    <t>C00237</t>
  </si>
  <si>
    <t>C14818</t>
  </si>
  <si>
    <t>C17324</t>
  </si>
  <si>
    <t>C20451</t>
  </si>
  <si>
    <t>C01977</t>
  </si>
  <si>
    <t>C16675</t>
  </si>
  <si>
    <t>C20446</t>
  </si>
  <si>
    <t>C00242</t>
  </si>
  <si>
    <t>C00010</t>
  </si>
  <si>
    <t>C00024</t>
  </si>
  <si>
    <t>C00141</t>
  </si>
  <si>
    <t>C03082</t>
  </si>
  <si>
    <t>C00441</t>
  </si>
  <si>
    <t>C00132</t>
  </si>
  <si>
    <t>C00027</t>
  </si>
  <si>
    <t>C00067</t>
  </si>
  <si>
    <t>C05640</t>
  </si>
  <si>
    <t>C00722</t>
  </si>
  <si>
    <t>C06548</t>
  </si>
  <si>
    <t>C14771</t>
  </si>
  <si>
    <t>C14770</t>
  </si>
  <si>
    <t>C14769</t>
  </si>
  <si>
    <t>C14768</t>
  </si>
  <si>
    <t>C00575</t>
  </si>
  <si>
    <t>C00044</t>
  </si>
  <si>
    <t>C00942</t>
  </si>
  <si>
    <t>C00638</t>
  </si>
  <si>
    <t>C02843</t>
  </si>
  <si>
    <t>C00249</t>
  </si>
  <si>
    <t>C00154</t>
  </si>
  <si>
    <t>C18235</t>
  </si>
  <si>
    <t>C06718</t>
  </si>
  <si>
    <t>C06717</t>
  </si>
  <si>
    <t>C00103</t>
  </si>
  <si>
    <t>C01419</t>
  </si>
  <si>
    <t>C00097</t>
  </si>
  <si>
    <t>C00037</t>
  </si>
  <si>
    <t>C05729</t>
  </si>
  <si>
    <t>C05726</t>
  </si>
  <si>
    <t>C01083</t>
  </si>
  <si>
    <t>C04465</t>
  </si>
  <si>
    <t>C22877</t>
  </si>
  <si>
    <t>C16832</t>
  </si>
  <si>
    <t>C16237</t>
  </si>
  <si>
    <t>C02972</t>
  </si>
  <si>
    <t>C02051</t>
  </si>
  <si>
    <t>C15973</t>
  </si>
  <si>
    <t>C15972</t>
  </si>
  <si>
    <t>C00579</t>
  </si>
  <si>
    <t>C00248</t>
  </si>
  <si>
    <t>C15602</t>
  </si>
  <si>
    <t>C15603</t>
  </si>
  <si>
    <t>C00122</t>
  </si>
  <si>
    <t>C00399</t>
  </si>
  <si>
    <t>C00390</t>
  </si>
  <si>
    <t>C01050</t>
  </si>
  <si>
    <t>C04631</t>
  </si>
  <si>
    <t>C11838</t>
  </si>
  <si>
    <t>C19761</t>
  </si>
  <si>
    <t>C00015</t>
  </si>
  <si>
    <t>C00404</t>
  </si>
  <si>
    <t>C04494</t>
  </si>
  <si>
    <t>C01228</t>
  </si>
  <si>
    <t>C00148</t>
  </si>
  <si>
    <t>C03912</t>
  </si>
  <si>
    <t>C01157</t>
  </si>
  <si>
    <t>C04281</t>
  </si>
  <si>
    <t>C01005</t>
  </si>
  <si>
    <t>C02532</t>
  </si>
  <si>
    <t>C00740</t>
  </si>
  <si>
    <t>C02987</t>
  </si>
  <si>
    <t>C01641</t>
  </si>
  <si>
    <t>C01024</t>
  </si>
  <si>
    <t>C02463</t>
  </si>
  <si>
    <t>C00019</t>
  </si>
  <si>
    <t>C00021</t>
  </si>
  <si>
    <t>C15527</t>
  </si>
  <si>
    <t>C02469</t>
  </si>
  <si>
    <t>C05778</t>
  </si>
  <si>
    <t>C00931</t>
  </si>
  <si>
    <t>C03263</t>
  </si>
  <si>
    <t>C05768</t>
  </si>
  <si>
    <t>C01079</t>
  </si>
  <si>
    <t>C02191</t>
  </si>
  <si>
    <t>C01188</t>
  </si>
  <si>
    <t>C00349</t>
  </si>
  <si>
    <t>C06001</t>
  </si>
  <si>
    <t>C06002</t>
  </si>
  <si>
    <t>C05847</t>
  </si>
  <si>
    <t>C03657</t>
  </si>
  <si>
    <t>C19847</t>
  </si>
  <si>
    <t>C02730</t>
  </si>
  <si>
    <t>C15547</t>
  </si>
  <si>
    <t>C16519</t>
  </si>
  <si>
    <t>C05819</t>
  </si>
  <si>
    <t>C00448</t>
  </si>
  <si>
    <t>C04216</t>
  </si>
  <si>
    <t>C00084</t>
  </si>
  <si>
    <t>C00046</t>
  </si>
  <si>
    <t>C00063</t>
  </si>
  <si>
    <t>C00075</t>
  </si>
  <si>
    <t>C20864</t>
  </si>
  <si>
    <t>C01229</t>
  </si>
  <si>
    <t>C04340</t>
  </si>
  <si>
    <t>C00360</t>
  </si>
  <si>
    <t>C00206</t>
  </si>
  <si>
    <t>C03028</t>
  </si>
  <si>
    <t>C06156</t>
  </si>
  <si>
    <t>C00064</t>
  </si>
  <si>
    <t>C00041</t>
  </si>
  <si>
    <t>C00130</t>
  </si>
  <si>
    <t>C00655</t>
  </si>
  <si>
    <t>C04646</t>
  </si>
  <si>
    <t>C16618</t>
  </si>
  <si>
    <t>C00263</t>
  </si>
  <si>
    <t>C01077</t>
  </si>
  <si>
    <t>C00078</t>
  </si>
  <si>
    <t>C01652</t>
  </si>
  <si>
    <t>C03512</t>
  </si>
  <si>
    <t>C00546</t>
  </si>
  <si>
    <t>C02391</t>
  </si>
  <si>
    <t>C00069</t>
  </si>
  <si>
    <t>C00060</t>
  </si>
  <si>
    <t>C01416</t>
  </si>
  <si>
    <t>C12448</t>
  </si>
  <si>
    <t>C00180</t>
  </si>
  <si>
    <t>C16641</t>
  </si>
  <si>
    <t>C11173</t>
  </si>
  <si>
    <t>C16836</t>
  </si>
  <si>
    <t>C16543</t>
  </si>
  <si>
    <t>C16837</t>
  </si>
  <si>
    <t>C12650</t>
  </si>
  <si>
    <t>C16635</t>
  </si>
  <si>
    <t>C16834</t>
  </si>
  <si>
    <t>C07585</t>
  </si>
  <si>
    <t>C07447</t>
  </si>
  <si>
    <t>C07446</t>
  </si>
  <si>
    <t>C07054</t>
  </si>
  <si>
    <t>C05361</t>
  </si>
  <si>
    <t>C16561</t>
  </si>
  <si>
    <t>C11004</t>
  </si>
  <si>
    <t>C11735</t>
  </si>
  <si>
    <t>C07073</t>
  </si>
  <si>
    <t>C16647</t>
  </si>
  <si>
    <t>C00105</t>
  </si>
  <si>
    <t>C00106</t>
  </si>
  <si>
    <t>C00119</t>
  </si>
  <si>
    <t>C00828</t>
  </si>
  <si>
    <t>C01628</t>
  </si>
  <si>
    <t>C05850</t>
  </si>
  <si>
    <t>C02059</t>
  </si>
  <si>
    <t>C03313</t>
  </si>
  <si>
    <t>C04225</t>
  </si>
  <si>
    <t>C06368</t>
  </si>
  <si>
    <t>C00288</t>
  </si>
  <si>
    <t>C00475</t>
  </si>
  <si>
    <t>C00299</t>
  </si>
  <si>
    <t>C00881</t>
  </si>
  <si>
    <t>C00526</t>
  </si>
  <si>
    <t>C12739</t>
  </si>
  <si>
    <t>C00214</t>
  </si>
  <si>
    <t>C00178</t>
  </si>
  <si>
    <t>C00672</t>
  </si>
  <si>
    <t>C00620</t>
  </si>
  <si>
    <t>C00380</t>
  </si>
  <si>
    <t>C03169</t>
  </si>
  <si>
    <t>C00396</t>
  </si>
  <si>
    <t>C00320</t>
  </si>
  <si>
    <t>C00177</t>
  </si>
  <si>
    <t>C00094</t>
  </si>
  <si>
    <t>C01755</t>
  </si>
  <si>
    <t>C00100</t>
  </si>
  <si>
    <t>C00683</t>
  </si>
  <si>
    <t>C00136</t>
  </si>
  <si>
    <t>C18026</t>
  </si>
  <si>
    <t>C00721</t>
  </si>
  <si>
    <t>G10545</t>
  </si>
  <si>
    <t>C01935</t>
  </si>
  <si>
    <t>C04735</t>
  </si>
  <si>
    <t>C04681</t>
  </si>
  <si>
    <t>C05921</t>
  </si>
  <si>
    <t>C06249</t>
  </si>
  <si>
    <t>C06250</t>
  </si>
  <si>
    <t>C00810</t>
  </si>
  <si>
    <t>C03373</t>
  </si>
  <si>
    <t>C15667</t>
  </si>
  <si>
    <t>C00121</t>
  </si>
  <si>
    <t>C01801</t>
  </si>
  <si>
    <t>C00446</t>
  </si>
  <si>
    <t>C04419</t>
  </si>
  <si>
    <t>C00074</t>
  </si>
  <si>
    <t>C03175</t>
  </si>
  <si>
    <t>C00455</t>
  </si>
  <si>
    <t>C21113</t>
  </si>
  <si>
    <t>C00857</t>
  </si>
  <si>
    <t>C01185</t>
  </si>
  <si>
    <t>C01100</t>
  </si>
  <si>
    <t>C00860</t>
  </si>
  <si>
    <t>C15585</t>
  </si>
  <si>
    <t>C00137</t>
  </si>
  <si>
    <t>C01177</t>
  </si>
  <si>
    <t>C03546</t>
  </si>
  <si>
    <t>C03232</t>
  </si>
  <si>
    <t>C06055</t>
  </si>
  <si>
    <t>C06054</t>
  </si>
  <si>
    <t>C00036</t>
  </si>
  <si>
    <t>C00101</t>
  </si>
  <si>
    <t>C00415</t>
  </si>
  <si>
    <t>C00504</t>
  </si>
  <si>
    <t>C00272</t>
  </si>
  <si>
    <t>C02953</t>
  </si>
  <si>
    <t>C00365</t>
  </si>
  <si>
    <t>C00364</t>
  </si>
  <si>
    <t>C00054</t>
  </si>
  <si>
    <t>C00053</t>
  </si>
  <si>
    <t>C00224</t>
  </si>
  <si>
    <t>C00092</t>
  </si>
  <si>
    <t>C00234</t>
  </si>
  <si>
    <t>C03838</t>
  </si>
  <si>
    <t>C04376</t>
  </si>
  <si>
    <t>C00445</t>
  </si>
  <si>
    <t>C03862</t>
  </si>
  <si>
    <t>C02189</t>
  </si>
  <si>
    <t>C00110</t>
  </si>
  <si>
    <t>C02863</t>
  </si>
  <si>
    <t>G10617</t>
  </si>
  <si>
    <t>G10622</t>
  </si>
  <si>
    <t>G13027</t>
  </si>
  <si>
    <t>C19803</t>
  </si>
  <si>
    <t>C20722</t>
  </si>
  <si>
    <t>C01647</t>
  </si>
  <si>
    <t>C02430</t>
  </si>
  <si>
    <t>C05336</t>
  </si>
  <si>
    <t>C20648</t>
  </si>
  <si>
    <t>C20796</t>
  </si>
  <si>
    <t>C11435</t>
  </si>
  <si>
    <t>C00658</t>
  </si>
  <si>
    <t>C00877</t>
  </si>
  <si>
    <t>C00894</t>
  </si>
  <si>
    <t>C03221</t>
  </si>
  <si>
    <t>C04405</t>
  </si>
  <si>
    <t>C03345</t>
  </si>
  <si>
    <t>C03460</t>
  </si>
  <si>
    <t>C05272</t>
  </si>
  <si>
    <t>C05273</t>
  </si>
  <si>
    <t>C05264</t>
  </si>
  <si>
    <t>C05275</t>
  </si>
  <si>
    <t>C05276</t>
  </si>
  <si>
    <t>C05271</t>
  </si>
  <si>
    <t>C16328</t>
  </si>
  <si>
    <t>C16332</t>
  </si>
  <si>
    <t>C16336</t>
  </si>
  <si>
    <t>C05067</t>
  </si>
  <si>
    <t>C01122</t>
  </si>
  <si>
    <t>C03069</t>
  </si>
  <si>
    <t>C11946</t>
  </si>
  <si>
    <t>C11945</t>
  </si>
  <si>
    <t>C14144</t>
  </si>
  <si>
    <t>C16468</t>
  </si>
  <si>
    <t>C01271</t>
  </si>
  <si>
    <t>C00685</t>
  </si>
  <si>
    <t>C04618</t>
  </si>
  <si>
    <t>C05744</t>
  </si>
  <si>
    <t>C04619</t>
  </si>
  <si>
    <t>C05753</t>
  </si>
  <si>
    <t>C04620</t>
  </si>
  <si>
    <t>C05750</t>
  </si>
  <si>
    <t>C04633</t>
  </si>
  <si>
    <t>C05762</t>
  </si>
  <si>
    <t>C04688</t>
  </si>
  <si>
    <t>C05759</t>
  </si>
  <si>
    <t>C05747</t>
  </si>
  <si>
    <t>C05746</t>
  </si>
  <si>
    <t>C05757</t>
  </si>
  <si>
    <t>C05756</t>
  </si>
  <si>
    <t>C16219</t>
  </si>
  <si>
    <t>C16220</t>
  </si>
  <si>
    <t>C20372</t>
  </si>
  <si>
    <t>C20373</t>
  </si>
  <si>
    <t>C20376</t>
  </si>
  <si>
    <t>C20377</t>
  </si>
  <si>
    <t>C03880</t>
  </si>
  <si>
    <t>C03523</t>
  </si>
  <si>
    <t>C00066</t>
  </si>
  <si>
    <t>C00236</t>
  </si>
  <si>
    <t>C00048</t>
  </si>
  <si>
    <t>C00086</t>
  </si>
  <si>
    <t>C03722</t>
  </si>
  <si>
    <t>C05840</t>
  </si>
  <si>
    <t>C04309</t>
  </si>
  <si>
    <t>C20732</t>
  </si>
  <si>
    <t>C05727</t>
  </si>
  <si>
    <t>C19702</t>
  </si>
  <si>
    <t>C00341</t>
  </si>
  <si>
    <t>C16826</t>
  </si>
  <si>
    <t>C00864</t>
  </si>
  <si>
    <t>C03492</t>
  </si>
  <si>
    <t>C00831</t>
  </si>
  <si>
    <t>C01134</t>
  </si>
  <si>
    <t>C04079</t>
  </si>
  <si>
    <t>C04352</t>
  </si>
  <si>
    <t>C01217</t>
  </si>
  <si>
    <t>C04377</t>
  </si>
  <si>
    <t>C00447</t>
  </si>
  <si>
    <t>C05382</t>
  </si>
  <si>
    <t>C11811</t>
  </si>
  <si>
    <t>C01528</t>
  </si>
  <si>
    <t>C05172</t>
  </si>
  <si>
    <t>C06481</t>
  </si>
  <si>
    <t>C06482</t>
  </si>
  <si>
    <t>C19784</t>
  </si>
  <si>
    <t>C03972</t>
  </si>
  <si>
    <t>C00091</t>
  </si>
  <si>
    <t>C00240</t>
  </si>
  <si>
    <t>C04152</t>
  </si>
  <si>
    <t>C00089</t>
  </si>
  <si>
    <t>C00095</t>
  </si>
  <si>
    <t>C00031</t>
  </si>
  <si>
    <t>C02336</t>
  </si>
  <si>
    <t>C00492</t>
  </si>
  <si>
    <t>C05402</t>
  </si>
  <si>
    <t>C01613</t>
  </si>
  <si>
    <t>C05404</t>
  </si>
  <si>
    <t>C16688</t>
  </si>
  <si>
    <t>G00370</t>
  </si>
  <si>
    <t>G00249</t>
  </si>
  <si>
    <t>G01275</t>
  </si>
  <si>
    <t>G00278</t>
  </si>
  <si>
    <t>G00501</t>
  </si>
  <si>
    <t>G10508</t>
  </si>
  <si>
    <t>C00055</t>
  </si>
  <si>
    <t>C00239</t>
  </si>
  <si>
    <t>C00488</t>
  </si>
  <si>
    <t>C00785</t>
  </si>
  <si>
    <t>C11823</t>
  </si>
  <si>
    <t>C00062</t>
  </si>
  <si>
    <t>C01636</t>
  </si>
  <si>
    <t>C02163</t>
  </si>
  <si>
    <t>C01102</t>
  </si>
  <si>
    <t>C00533</t>
  </si>
  <si>
    <t>C00125</t>
  </si>
  <si>
    <t>C00088</t>
  </si>
  <si>
    <t>C00126</t>
  </si>
  <si>
    <t>C00997</t>
  </si>
  <si>
    <t>C01000</t>
  </si>
  <si>
    <t>C05357</t>
  </si>
  <si>
    <t>C05358</t>
  </si>
  <si>
    <t>C20641</t>
  </si>
  <si>
    <t>C15811</t>
  </si>
  <si>
    <t>C15812</t>
  </si>
  <si>
    <t>C21440</t>
  </si>
  <si>
    <t>C02128</t>
  </si>
  <si>
    <t>C00112</t>
  </si>
  <si>
    <t>C00081</t>
  </si>
  <si>
    <t>C00104</t>
  </si>
  <si>
    <t>C01097</t>
  </si>
  <si>
    <t>C03785</t>
  </si>
  <si>
    <t>C00671</t>
  </si>
  <si>
    <t>C00197</t>
  </si>
  <si>
    <t>C02630</t>
  </si>
  <si>
    <t>C00233</t>
  </si>
  <si>
    <t>C06032</t>
  </si>
  <si>
    <t>C02631</t>
  </si>
  <si>
    <t>C00093</t>
  </si>
  <si>
    <t>C00993</t>
  </si>
  <si>
    <t>C01081</t>
  </si>
  <si>
    <t>C04153</t>
  </si>
  <si>
    <t>C00882</t>
  </si>
  <si>
    <t>C00079</t>
  </si>
  <si>
    <t>C01648</t>
  </si>
  <si>
    <t>C03511</t>
  </si>
  <si>
    <t>C01250</t>
  </si>
  <si>
    <t>C04133</t>
  </si>
  <si>
    <t>C00624</t>
  </si>
  <si>
    <t>C00437</t>
  </si>
  <si>
    <t>C00169</t>
  </si>
  <si>
    <t>C00077</t>
  </si>
  <si>
    <t>C00327</t>
  </si>
  <si>
    <t>C00408</t>
  </si>
  <si>
    <t>C11437</t>
  </si>
  <si>
    <t>C15809</t>
  </si>
  <si>
    <t>C15814</t>
  </si>
  <si>
    <t>C20246</t>
  </si>
  <si>
    <t>C15810</t>
  </si>
  <si>
    <t>C01326</t>
  </si>
  <si>
    <t>C04556</t>
  </si>
  <si>
    <t>C05198</t>
  </si>
  <si>
    <t>C00082</t>
  </si>
  <si>
    <t>C00787</t>
  </si>
  <si>
    <t>C02839</t>
  </si>
  <si>
    <t>C00301</t>
  </si>
  <si>
    <t>C00705</t>
  </si>
  <si>
    <t>C03516</t>
  </si>
  <si>
    <t>C04536</t>
  </si>
  <si>
    <t>C01279</t>
  </si>
  <si>
    <t>C04294</t>
  </si>
  <si>
    <t>C04327</t>
  </si>
  <si>
    <t>C00096</t>
  </si>
  <si>
    <t>C17556</t>
  </si>
  <si>
    <t>C00035</t>
  </si>
  <si>
    <t>C15542</t>
  </si>
  <si>
    <t>C02739</t>
  </si>
  <si>
    <t>C19703</t>
  </si>
  <si>
    <t>C04574</t>
  </si>
  <si>
    <t>C00337</t>
  </si>
  <si>
    <t>C00295</t>
  </si>
  <si>
    <t>C00417</t>
  </si>
  <si>
    <t>C00279</t>
  </si>
  <si>
    <t>C12214</t>
  </si>
  <si>
    <t>C12215</t>
  </si>
  <si>
    <t>C13378</t>
  </si>
  <si>
    <t>C01236</t>
  </si>
  <si>
    <t>C04732</t>
  </si>
  <si>
    <t>C15556</t>
  </si>
  <si>
    <t>C04332</t>
  </si>
  <si>
    <t>C00255</t>
  </si>
  <si>
    <t>C03294</t>
  </si>
  <si>
    <t>C11439</t>
  </si>
  <si>
    <t>C11440</t>
  </si>
  <si>
    <t>C04258</t>
  </si>
  <si>
    <t>C03617</t>
  </si>
  <si>
    <t>C05691</t>
  </si>
  <si>
    <t>C00144</t>
  </si>
  <si>
    <t>C00362</t>
  </si>
  <si>
    <t>C00361</t>
  </si>
  <si>
    <t>C22441</t>
  </si>
  <si>
    <t>C22442</t>
  </si>
  <si>
    <t>C01563</t>
  </si>
  <si>
    <t>C20969</t>
  </si>
  <si>
    <t>C02637</t>
  </si>
  <si>
    <t>C00493</t>
  </si>
  <si>
    <t>C22438</t>
  </si>
  <si>
    <t>C01635</t>
  </si>
  <si>
    <t>C00886</t>
  </si>
  <si>
    <t>C01638</t>
  </si>
  <si>
    <t>C02984</t>
  </si>
  <si>
    <t>C00609</t>
  </si>
  <si>
    <t>C01847</t>
  </si>
  <si>
    <t>C00205</t>
  </si>
  <si>
    <t>C00061</t>
  </si>
  <si>
    <t>C00161</t>
  </si>
  <si>
    <t>C01643</t>
  </si>
  <si>
    <t>C02988</t>
  </si>
  <si>
    <t>C04677</t>
  </si>
  <si>
    <t>C04051</t>
  </si>
  <si>
    <t>C01194</t>
  </si>
  <si>
    <t>C21606</t>
  </si>
  <si>
    <t>G10614</t>
  </si>
  <si>
    <t>G10620</t>
  </si>
  <si>
    <t>G11291</t>
  </si>
  <si>
    <t>C00269</t>
  </si>
  <si>
    <t>C01260</t>
  </si>
  <si>
    <t>C00059</t>
  </si>
  <si>
    <t>C01651</t>
  </si>
  <si>
    <t>C02992</t>
  </si>
  <si>
    <t>C03023</t>
  </si>
  <si>
    <t>C00343</t>
  </si>
  <si>
    <t>C15653</t>
  </si>
  <si>
    <t>C00342</t>
  </si>
  <si>
    <t>C00698</t>
  </si>
  <si>
    <t>C00460</t>
  </si>
  <si>
    <t>C21751</t>
  </si>
  <si>
    <t>C04242</t>
  </si>
  <si>
    <t>C15498</t>
  </si>
  <si>
    <t>C01335</t>
  </si>
  <si>
    <t>C00615</t>
  </si>
  <si>
    <t>C04261</t>
  </si>
  <si>
    <t>C04432</t>
  </si>
  <si>
    <t>C03892</t>
  </si>
  <si>
    <t>C20258</t>
  </si>
  <si>
    <t>C00454</t>
  </si>
  <si>
    <t>C03688</t>
  </si>
  <si>
    <t>C00229</t>
  </si>
  <si>
    <t>C01649</t>
  </si>
  <si>
    <t>C02702</t>
  </si>
  <si>
    <t>C00016</t>
  </si>
  <si>
    <t>C01352</t>
  </si>
  <si>
    <t>C11502</t>
  </si>
  <si>
    <t>G11175</t>
  </si>
  <si>
    <t>C11453</t>
  </si>
  <si>
    <t>C11434</t>
  </si>
  <si>
    <t>C00416</t>
  </si>
  <si>
    <t>C04157</t>
  </si>
  <si>
    <t>C02133</t>
  </si>
  <si>
    <t>C00227</t>
  </si>
  <si>
    <t>C06206</t>
  </si>
  <si>
    <t>C00258</t>
  </si>
  <si>
    <t>C04666</t>
  </si>
  <si>
    <t>C01267</t>
  </si>
  <si>
    <t>C00166</t>
  </si>
  <si>
    <t>C01179</t>
  </si>
  <si>
    <t>C01929</t>
  </si>
  <si>
    <t>C00152</t>
  </si>
  <si>
    <t>C00241</t>
  </si>
  <si>
    <t>C00407</t>
  </si>
  <si>
    <t>C01644</t>
  </si>
  <si>
    <t>C03127</t>
  </si>
  <si>
    <t>C01212</t>
  </si>
  <si>
    <t>C04851</t>
  </si>
  <si>
    <t>C05893</t>
  </si>
  <si>
    <t>G10552</t>
  </si>
  <si>
    <t>G10610</t>
  </si>
  <si>
    <t>G10553</t>
  </si>
  <si>
    <t>C05897</t>
  </si>
  <si>
    <t>C05898</t>
  </si>
  <si>
    <t>G10551</t>
  </si>
  <si>
    <t>G10550</t>
  </si>
  <si>
    <t>G10556</t>
  </si>
  <si>
    <t>G10555</t>
  </si>
  <si>
    <t>C00692</t>
  </si>
  <si>
    <t>C04702</t>
  </si>
  <si>
    <t>C04882</t>
  </si>
  <si>
    <t>C05892</t>
  </si>
  <si>
    <t>C04877</t>
  </si>
  <si>
    <t>C11826</t>
  </si>
  <si>
    <t>G10554</t>
  </si>
  <si>
    <t>C11827</t>
  </si>
  <si>
    <t>G10557</t>
  </si>
  <si>
    <t>C06697</t>
  </si>
  <si>
    <t>C11215</t>
  </si>
  <si>
    <t>C03114</t>
  </si>
  <si>
    <t>C00253</t>
  </si>
  <si>
    <t>C04778</t>
  </si>
  <si>
    <t>C00123</t>
  </si>
  <si>
    <t>C00183</t>
  </si>
  <si>
    <t>C02356</t>
  </si>
  <si>
    <t>C16255</t>
  </si>
  <si>
    <t>C01242</t>
  </si>
  <si>
    <t>C05752</t>
  </si>
  <si>
    <t>C16240</t>
  </si>
  <si>
    <t>C16236</t>
  </si>
  <si>
    <t>C22158</t>
  </si>
  <si>
    <t>C22160</t>
  </si>
  <si>
    <t>C22157</t>
  </si>
  <si>
    <t>C22159</t>
  </si>
  <si>
    <t>C16239</t>
  </si>
  <si>
    <t>C22154</t>
  </si>
  <si>
    <t>C22155</t>
  </si>
  <si>
    <t>C06056</t>
  </si>
  <si>
    <t>C01281</t>
  </si>
  <si>
    <t>C01299</t>
  </si>
  <si>
    <t>C00226</t>
  </si>
  <si>
    <t>C00071</t>
  </si>
  <si>
    <t>C00469</t>
  </si>
  <si>
    <t>C00473</t>
  </si>
  <si>
    <t>C00376</t>
  </si>
  <si>
    <t>C00756</t>
  </si>
  <si>
    <t>C01545</t>
  </si>
  <si>
    <t>C05444</t>
  </si>
  <si>
    <t>C05445</t>
  </si>
  <si>
    <t>C05576</t>
  </si>
  <si>
    <t>C05577</t>
  </si>
  <si>
    <t>C06611</t>
  </si>
  <si>
    <t>C06613</t>
  </si>
  <si>
    <t>C06612</t>
  </si>
  <si>
    <t>C16348</t>
  </si>
  <si>
    <t>C14089</t>
  </si>
  <si>
    <t>C14090</t>
  </si>
  <si>
    <t>C02909</t>
  </si>
  <si>
    <t>C14099</t>
  </si>
  <si>
    <t>C07645</t>
  </si>
  <si>
    <t>C16551</t>
  </si>
  <si>
    <t>C16586</t>
  </si>
  <si>
    <t>C16587</t>
  </si>
  <si>
    <t>C16310</t>
  </si>
  <si>
    <t>C08492</t>
  </si>
  <si>
    <t>C01612</t>
  </si>
  <si>
    <t>C01450</t>
  </si>
  <si>
    <t>C16595</t>
  </si>
  <si>
    <t>C16596</t>
  </si>
  <si>
    <t>C00418</t>
  </si>
  <si>
    <t>C00772</t>
  </si>
  <si>
    <t>C06899</t>
  </si>
  <si>
    <t>C07490</t>
  </si>
  <si>
    <t>C04895</t>
  </si>
  <si>
    <t>C02520</t>
  </si>
  <si>
    <t>C00911</t>
  </si>
  <si>
    <t>C00212</t>
  </si>
  <si>
    <t>C00294</t>
  </si>
  <si>
    <t>C00387</t>
  </si>
  <si>
    <t>C03150</t>
  </si>
  <si>
    <t>C01762</t>
  </si>
  <si>
    <t>C05841</t>
  </si>
  <si>
    <t>C00330</t>
  </si>
  <si>
    <t>C00559</t>
  </si>
  <si>
    <t>C06196</t>
  </si>
  <si>
    <t>C05512</t>
  </si>
  <si>
    <t>C01063</t>
  </si>
  <si>
    <t>C01092</t>
  </si>
  <si>
    <t>C19845</t>
  </si>
  <si>
    <t>C02656</t>
  </si>
  <si>
    <t>C00232</t>
  </si>
  <si>
    <t>C01656</t>
  </si>
  <si>
    <t>C00164</t>
  </si>
  <si>
    <t>C03344</t>
  </si>
  <si>
    <t>C05269</t>
  </si>
  <si>
    <t>C00536</t>
  </si>
  <si>
    <t>C01642</t>
  </si>
  <si>
    <t>C02412</t>
  </si>
  <si>
    <t>C19853</t>
  </si>
  <si>
    <t>C00250</t>
  </si>
  <si>
    <t>C00018</t>
  </si>
  <si>
    <t>C00314</t>
  </si>
  <si>
    <t>C00627</t>
  </si>
  <si>
    <t>C00534</t>
  </si>
  <si>
    <t>C00647</t>
  </si>
  <si>
    <t>C02882</t>
  </si>
  <si>
    <t>C00145</t>
  </si>
  <si>
    <t>C02291</t>
  </si>
  <si>
    <t>C00491</t>
  </si>
  <si>
    <t>C01962</t>
  </si>
  <si>
    <t>C02749</t>
  </si>
  <si>
    <t>C00812</t>
  </si>
  <si>
    <t>C01336</t>
  </si>
  <si>
    <t>C00283</t>
  </si>
  <si>
    <t>C05699</t>
  </si>
  <si>
    <t>C05689</t>
  </si>
  <si>
    <t>C05703</t>
  </si>
  <si>
    <t>C06099</t>
  </si>
  <si>
    <t>C07271</t>
  </si>
  <si>
    <t>C00521</t>
  </si>
  <si>
    <t>C19081</t>
  </si>
  <si>
    <t>C00157</t>
  </si>
  <si>
    <t>C00641</t>
  </si>
  <si>
    <t>C00588</t>
  </si>
  <si>
    <t>C00344</t>
  </si>
  <si>
    <t>C00350</t>
  </si>
  <si>
    <t>C00346</t>
  </si>
  <si>
    <t>C04756</t>
  </si>
  <si>
    <t>C03454</t>
  </si>
  <si>
    <t>C00821</t>
  </si>
  <si>
    <t>C03391</t>
  </si>
  <si>
    <t>C01165</t>
  </si>
  <si>
    <t>C03287</t>
  </si>
  <si>
    <t>C00160</t>
  </si>
  <si>
    <t>C00168</t>
  </si>
  <si>
    <t>C00937</t>
  </si>
  <si>
    <t>C11038</t>
  </si>
  <si>
    <t>C00363</t>
  </si>
  <si>
    <t>C01346</t>
  </si>
  <si>
    <t>C01344</t>
  </si>
  <si>
    <t>C01345</t>
  </si>
  <si>
    <t>C22443</t>
  </si>
  <si>
    <t>C21748</t>
  </si>
  <si>
    <t>C21749</t>
  </si>
  <si>
    <t>C21750</t>
  </si>
  <si>
    <t>C03541</t>
  </si>
  <si>
    <t>C09332</t>
  </si>
  <si>
    <t>C05928</t>
  </si>
  <si>
    <t>C00921</t>
  </si>
  <si>
    <t>C05929</t>
  </si>
  <si>
    <t>C01653</t>
  </si>
  <si>
    <t>C02554</t>
  </si>
  <si>
    <t>C00522</t>
  </si>
  <si>
    <t>C00099</t>
  </si>
  <si>
    <t>C11537</t>
  </si>
  <si>
    <t>C05528</t>
  </si>
  <si>
    <t>C11348</t>
  </si>
  <si>
    <t>C07113</t>
  </si>
  <si>
    <t>C15673</t>
  </si>
  <si>
    <t>C02780</t>
  </si>
  <si>
    <t>C02962</t>
  </si>
  <si>
    <t>C01118</t>
  </si>
  <si>
    <t>C00542</t>
  </si>
  <si>
    <t>C05702</t>
  </si>
  <si>
    <t>C05688</t>
  </si>
  <si>
    <t>C00819</t>
  </si>
  <si>
    <t>C01037</t>
  </si>
  <si>
    <t>C04425</t>
  </si>
  <si>
    <t>C00012</t>
  </si>
  <si>
    <t>C05196</t>
  </si>
  <si>
    <t>C05197</t>
  </si>
  <si>
    <t>C05199</t>
  </si>
  <si>
    <t>C05312</t>
  </si>
  <si>
    <t>C00215</t>
  </si>
  <si>
    <t>C04232</t>
  </si>
  <si>
    <t>C03723</t>
  </si>
  <si>
    <t>C16664</t>
  </si>
  <si>
    <t>C16663</t>
  </si>
  <si>
    <t>C03170</t>
  </si>
  <si>
    <t>C02090</t>
  </si>
  <si>
    <t>C00979</t>
  </si>
  <si>
    <t>C00405</t>
  </si>
  <si>
    <t>C02265</t>
  </si>
  <si>
    <t>C00515</t>
  </si>
  <si>
    <t>C01110</t>
  </si>
  <si>
    <t>C00739</t>
  </si>
  <si>
    <t>C03239</t>
  </si>
  <si>
    <t>C00792</t>
  </si>
  <si>
    <t>C03771</t>
  </si>
  <si>
    <t>C00402</t>
  </si>
  <si>
    <t>C05946</t>
  </si>
  <si>
    <t>C05947</t>
  </si>
  <si>
    <t>C04640</t>
  </si>
  <si>
    <t>C03090</t>
  </si>
  <si>
    <t>C04751</t>
  </si>
  <si>
    <t>C03794</t>
  </si>
  <si>
    <t>C22395</t>
  </si>
  <si>
    <t>C00689</t>
  </si>
  <si>
    <t>G09795</t>
  </si>
  <si>
    <t>G00293</t>
  </si>
  <si>
    <t>C01639</t>
  </si>
  <si>
    <t>C03125</t>
  </si>
  <si>
    <t>C05421</t>
  </si>
  <si>
    <t>C05413</t>
  </si>
  <si>
    <t>C16144</t>
  </si>
  <si>
    <t>C19797</t>
  </si>
  <si>
    <t>C19840</t>
  </si>
  <si>
    <t>C19841</t>
  </si>
  <si>
    <t>C16145</t>
  </si>
  <si>
    <t>C01646</t>
  </si>
  <si>
    <t>C01931</t>
  </si>
  <si>
    <t>C01300</t>
  </si>
  <si>
    <t>C04807</t>
  </si>
  <si>
    <t>C04874</t>
  </si>
  <si>
    <t>C00266</t>
  </si>
  <si>
    <t>C00568</t>
  </si>
  <si>
    <t>C00262</t>
  </si>
  <si>
    <t>C00385</t>
  </si>
  <si>
    <t>C02380</t>
  </si>
  <si>
    <t>C16614</t>
  </si>
  <si>
    <t>C16615</t>
  </si>
  <si>
    <t>C07648</t>
  </si>
  <si>
    <t>C16619</t>
  </si>
  <si>
    <t>C04650</t>
  </si>
  <si>
    <t>C17952</t>
  </si>
  <si>
    <t>C17962</t>
  </si>
  <si>
    <t>C17949</t>
  </si>
  <si>
    <t>C00163</t>
  </si>
  <si>
    <t>C02876</t>
  </si>
  <si>
    <t>C00577</t>
  </si>
  <si>
    <t>C04545</t>
  </si>
  <si>
    <t>C01103</t>
  </si>
  <si>
    <t>C07649</t>
  </si>
  <si>
    <t>C16634</t>
  </si>
  <si>
    <t>C00957</t>
  </si>
  <si>
    <t>C00940</t>
  </si>
  <si>
    <t>C00162</t>
  </si>
  <si>
    <t>C05665</t>
  </si>
  <si>
    <t>C00555</t>
  </si>
  <si>
    <t>C00334</t>
  </si>
  <si>
    <t>C00637</t>
  </si>
  <si>
    <t>C00954</t>
  </si>
  <si>
    <t>C05985</t>
  </si>
  <si>
    <t>C00804</t>
  </si>
  <si>
    <t>C01149</t>
  </si>
  <si>
    <t>C01181</t>
  </si>
  <si>
    <t>C02170</t>
  </si>
  <si>
    <t>C05130</t>
  </si>
  <si>
    <t>C02835</t>
  </si>
  <si>
    <t>C04554</t>
  </si>
  <si>
    <t>C05634</t>
  </si>
  <si>
    <t>C05635</t>
  </si>
  <si>
    <t>C05936</t>
  </si>
  <si>
    <t>C02946</t>
  </si>
  <si>
    <t>C06754</t>
  </si>
  <si>
    <t>C06755</t>
  </si>
  <si>
    <t>C02576</t>
  </si>
  <si>
    <t>C11924</t>
  </si>
  <si>
    <t>C16502</t>
  </si>
  <si>
    <t>C00433</t>
  </si>
  <si>
    <t>C02670</t>
  </si>
  <si>
    <t>C00818</t>
  </si>
  <si>
    <t>C06614</t>
  </si>
  <si>
    <t>C06615</t>
  </si>
  <si>
    <t>C05697</t>
  </si>
  <si>
    <t>C05686</t>
  </si>
  <si>
    <t>C00167</t>
  </si>
  <si>
    <t>C01674</t>
  </si>
  <si>
    <t>C06135</t>
  </si>
  <si>
    <t>C01290</t>
  </si>
  <si>
    <t>C01132</t>
  </si>
  <si>
    <t>C04737</t>
  </si>
  <si>
    <t>C03272</t>
  </si>
  <si>
    <t>C04884</t>
  </si>
  <si>
    <t>C04730</t>
  </si>
  <si>
    <t>G00094</t>
  </si>
  <si>
    <t>G00093</t>
  </si>
  <si>
    <t>G00123</t>
  </si>
  <si>
    <t>G00092</t>
  </si>
  <si>
    <t>G00109</t>
  </si>
  <si>
    <t>G00108</t>
  </si>
  <si>
    <t>G10336</t>
  </si>
  <si>
    <t>G13074</t>
  </si>
  <si>
    <t>G01391</t>
  </si>
  <si>
    <t>C00140</t>
  </si>
  <si>
    <t>G13073</t>
  </si>
  <si>
    <t>C04132</t>
  </si>
  <si>
    <t>G13057</t>
  </si>
  <si>
    <t>G13058</t>
  </si>
  <si>
    <t>G00711</t>
  </si>
  <si>
    <t>G10008</t>
  </si>
  <si>
    <t>G13056</t>
  </si>
  <si>
    <t>G10665</t>
  </si>
  <si>
    <t>G05477</t>
  </si>
  <si>
    <t>G10920</t>
  </si>
  <si>
    <t>C22467</t>
  </si>
  <si>
    <t>C03405</t>
  </si>
  <si>
    <t>C00718</t>
  </si>
  <si>
    <t>G10495</t>
  </si>
  <si>
    <t>G10608</t>
  </si>
  <si>
    <t>C06060</t>
  </si>
  <si>
    <t>C00686</t>
  </si>
  <si>
    <t>C04160</t>
  </si>
  <si>
    <t>C00173</t>
  </si>
  <si>
    <t>C01209</t>
  </si>
  <si>
    <t>C03939</t>
  </si>
  <si>
    <t>C05223</t>
  </si>
  <si>
    <t>C05745</t>
  </si>
  <si>
    <t>C05749</t>
  </si>
  <si>
    <t>C05755</t>
  </si>
  <si>
    <t>C05761</t>
  </si>
  <si>
    <t>C05764</t>
  </si>
  <si>
    <t>C19673</t>
  </si>
  <si>
    <t>C20375</t>
  </si>
  <si>
    <t>C02970</t>
  </si>
  <si>
    <t>C20352</t>
  </si>
  <si>
    <t>G13122</t>
  </si>
  <si>
    <t>C11355</t>
  </si>
  <si>
    <t>C00934</t>
  </si>
  <si>
    <t>C11477</t>
  </si>
  <si>
    <t>C00116</t>
  </si>
  <si>
    <t>C01650</t>
  </si>
  <si>
    <t>C02553</t>
  </si>
  <si>
    <t>C16636</t>
  </si>
  <si>
    <t>C05775</t>
  </si>
  <si>
    <t>C21153</t>
  </si>
  <si>
    <t>C00194</t>
  </si>
  <si>
    <t>C01402</t>
  </si>
  <si>
    <t>C00292</t>
  </si>
  <si>
    <t>C03120</t>
  </si>
  <si>
    <t>C00670</t>
  </si>
  <si>
    <t>C01233</t>
  </si>
  <si>
    <t>C00189</t>
  </si>
  <si>
    <t>C00186</t>
  </si>
  <si>
    <t>C05984</t>
  </si>
  <si>
    <t>C05823</t>
  </si>
  <si>
    <t>C03895</t>
  </si>
  <si>
    <t>C15999</t>
  </si>
  <si>
    <t>C01645</t>
  </si>
  <si>
    <t>C02047</t>
  </si>
  <si>
    <t>C01153</t>
  </si>
  <si>
    <t>C00378</t>
  </si>
  <si>
    <t>C03360</t>
  </si>
  <si>
    <t>C00870</t>
  </si>
  <si>
    <t>C00184</t>
  </si>
  <si>
    <t>C00108</t>
  </si>
  <si>
    <t>C00463</t>
  </si>
  <si>
    <t>C02211</t>
  </si>
  <si>
    <t>C19085</t>
  </si>
  <si>
    <t>C19078</t>
  </si>
  <si>
    <t>C19080</t>
  </si>
  <si>
    <t>C00051</t>
  </si>
  <si>
    <t>C05526</t>
  </si>
  <si>
    <t>C05684</t>
  </si>
  <si>
    <t>C18902</t>
  </si>
  <si>
    <t>C02999</t>
  </si>
  <si>
    <t>C02713</t>
  </si>
  <si>
    <t>C14819</t>
  </si>
  <si>
    <t>C00138</t>
  </si>
  <si>
    <t>C00139</t>
  </si>
  <si>
    <t>C00353</t>
  </si>
  <si>
    <t>C00632</t>
  </si>
  <si>
    <t>C00662</t>
  </si>
  <si>
    <t>C00667</t>
  </si>
  <si>
    <t>C00704</t>
  </si>
  <si>
    <t>C04218</t>
  </si>
  <si>
    <t>C05309</t>
  </si>
  <si>
    <t>C05359</t>
  </si>
  <si>
    <t>C08249</t>
  </si>
  <si>
    <t>C22150</t>
  </si>
  <si>
    <t>C22151</t>
  </si>
  <si>
    <t>C22876</t>
  </si>
  <si>
    <t>G11174</t>
  </si>
  <si>
    <t>C03024</t>
  </si>
  <si>
    <t>C03161</t>
  </si>
  <si>
    <t>Water</t>
  </si>
  <si>
    <t>NADPH</t>
  </si>
  <si>
    <t>ATP</t>
  </si>
  <si>
    <t>NAD+</t>
  </si>
  <si>
    <t>NADH</t>
  </si>
  <si>
    <t>NADP+</t>
  </si>
  <si>
    <t>Oxygen</t>
  </si>
  <si>
    <t>ADP</t>
  </si>
  <si>
    <t xml:space="preserve">Phosphoric Acid </t>
  </si>
  <si>
    <t>CoA</t>
  </si>
  <si>
    <t xml:space="preserve">Carbon Dioxide </t>
  </si>
  <si>
    <t>peptide</t>
  </si>
  <si>
    <t xml:space="preserve">Diphosphoric Acid </t>
  </si>
  <si>
    <t>Ammonia</t>
  </si>
  <si>
    <t>UDP</t>
  </si>
  <si>
    <t>FAD</t>
  </si>
  <si>
    <t>Pyridoxal Phosphate(PLP)</t>
  </si>
  <si>
    <t>SAM</t>
  </si>
  <si>
    <t>AMP</t>
  </si>
  <si>
    <t>S-Adenosyl-L-Homocysteine(SAH)</t>
  </si>
  <si>
    <t>Acetyl-CoA</t>
  </si>
  <si>
    <t xml:space="preserve">Pyruvate </t>
  </si>
  <si>
    <t>L-Glutamate</t>
  </si>
  <si>
    <t xml:space="preserve">2-Oxoglutarate </t>
  </si>
  <si>
    <t xml:space="preserve">Hydrogen Peroxide </t>
  </si>
  <si>
    <t>Acceptor</t>
  </si>
  <si>
    <t>UDP-glucose</t>
  </si>
  <si>
    <t xml:space="preserve">Reduced Acceptor </t>
  </si>
  <si>
    <t>D-Glucose</t>
  </si>
  <si>
    <t>Acetate</t>
  </si>
  <si>
    <t>GDP</t>
  </si>
  <si>
    <t>Oxaloacetate</t>
  </si>
  <si>
    <t>Glycine</t>
  </si>
  <si>
    <t>DNA</t>
  </si>
  <si>
    <t>L-Alanine</t>
  </si>
  <si>
    <t>UDP-N-Acetyl-Alpha-D-Glucosamine</t>
  </si>
  <si>
    <t>GTP</t>
  </si>
  <si>
    <t>RNA</t>
  </si>
  <si>
    <t>L-Lysine</t>
  </si>
  <si>
    <t>Glyoxylate</t>
  </si>
  <si>
    <t>L-Aspartate</t>
  </si>
  <si>
    <t>Glutathione</t>
  </si>
  <si>
    <t>UDP-D-Galactose</t>
  </si>
  <si>
    <t>3'-Phosphoadenylyl Sulfate/PAPS</t>
  </si>
  <si>
    <t xml:space="preserve">Adenosine 3',5'-bisphosphate </t>
  </si>
  <si>
    <t>Cytidine-5'-monophosphate/CMP</t>
  </si>
  <si>
    <t>Formate</t>
  </si>
  <si>
    <t xml:space="preserve">Carboxylate </t>
  </si>
  <si>
    <t>Flavin Mononucleotide/FMN</t>
  </si>
  <si>
    <t>L-Arginine</t>
  </si>
  <si>
    <t>CTP</t>
  </si>
  <si>
    <t>L-Glutamine</t>
  </si>
  <si>
    <t>L-Serine</t>
  </si>
  <si>
    <t xml:space="preserve">Thiamin Diphosphate </t>
  </si>
  <si>
    <t xml:space="preserve">Aldehyde </t>
  </si>
  <si>
    <t xml:space="preserve">L-Methionine </t>
  </si>
  <si>
    <t xml:space="preserve">Phosphoenolpyruvate </t>
  </si>
  <si>
    <t>UTP</t>
  </si>
  <si>
    <t>L-Tryptophan</t>
  </si>
  <si>
    <t>L-Phenylalanine</t>
  </si>
  <si>
    <t>H+</t>
  </si>
  <si>
    <t>ITP</t>
  </si>
  <si>
    <t>L-Tyrosine</t>
  </si>
  <si>
    <t>Acetaldehyde</t>
  </si>
  <si>
    <t xml:space="preserve">D-Fructose </t>
  </si>
  <si>
    <t xml:space="preserve">Sucrose </t>
  </si>
  <si>
    <t xml:space="preserve">sn-Glycerol 3-Phosphate </t>
  </si>
  <si>
    <t xml:space="preserve">Sulfite </t>
  </si>
  <si>
    <t xml:space="preserve">L-Cysteine </t>
  </si>
  <si>
    <t>Propanoyl-CoA</t>
  </si>
  <si>
    <t xml:space="preserve">Tetrahydrofolate </t>
  </si>
  <si>
    <t xml:space="preserve">Glucose 1-Phosphate </t>
  </si>
  <si>
    <t>IDP</t>
  </si>
  <si>
    <t>UMP</t>
  </si>
  <si>
    <t>Uracil</t>
  </si>
  <si>
    <t xml:space="preserve">2-Oxobutanoate </t>
  </si>
  <si>
    <t xml:space="preserve">Glycerone Phosphate </t>
  </si>
  <si>
    <t>CDP</t>
  </si>
  <si>
    <t xml:space="preserve">Choline </t>
  </si>
  <si>
    <t>Glycerol</t>
  </si>
  <si>
    <t xml:space="preserve">D-Ribose 5-Phosphate </t>
  </si>
  <si>
    <t xml:space="preserve">D-Glyceraldehyde 3-Phosphate </t>
  </si>
  <si>
    <t xml:space="preserve">5-Phospho-alpha-D-ribose 1-diphosphate </t>
  </si>
  <si>
    <t>D-Ribose</t>
  </si>
  <si>
    <t>Fumarate</t>
  </si>
  <si>
    <t>L-Leucine</t>
  </si>
  <si>
    <t xml:space="preserve">Isopentenyl Diphosphate </t>
  </si>
  <si>
    <t>IMP</t>
  </si>
  <si>
    <t>dATP</t>
  </si>
  <si>
    <t>D-Alanine</t>
  </si>
  <si>
    <t>Butanoyl-CoA</t>
  </si>
  <si>
    <t xml:space="preserve">3-Methyl-2-oxobutanoic acid </t>
  </si>
  <si>
    <t>5,10-Methylenetetrahydrofolate</t>
  </si>
  <si>
    <t>GMP</t>
  </si>
  <si>
    <t>Adenine</t>
  </si>
  <si>
    <t xml:space="preserve">L-Proline </t>
  </si>
  <si>
    <t>(S)-Malate</t>
  </si>
  <si>
    <t>L-Asparagine</t>
  </si>
  <si>
    <t>L-Homocysteine</t>
  </si>
  <si>
    <t xml:space="preserve">Phosphatidylcholine </t>
  </si>
  <si>
    <t>Citrate</t>
  </si>
  <si>
    <t>Glycolate</t>
  </si>
  <si>
    <t>2-Oxo acid</t>
  </si>
  <si>
    <t>Propanoate</t>
  </si>
  <si>
    <t>Phenylpyruvate</t>
  </si>
  <si>
    <t xml:space="preserve">Carbamoyl Phosphate </t>
  </si>
  <si>
    <t>Acyl-[acyl-carrier protein]</t>
  </si>
  <si>
    <t>L-Valine</t>
  </si>
  <si>
    <t>Glycerone</t>
  </si>
  <si>
    <t>(S)-Lactate</t>
  </si>
  <si>
    <t>L-Threonine</t>
  </si>
  <si>
    <t xml:space="preserve">Ethanolamine </t>
  </si>
  <si>
    <t xml:space="preserve">3-Phospho-D-glycerate </t>
  </si>
  <si>
    <t xml:space="preserve">D-Ribulose 5-phosphate </t>
  </si>
  <si>
    <t>NTP</t>
  </si>
  <si>
    <t>UDP-N-acetyl-D-galactosamine</t>
  </si>
  <si>
    <t>dADP</t>
  </si>
  <si>
    <t xml:space="preserve">Adenosine </t>
  </si>
  <si>
    <t xml:space="preserve">Thymidine </t>
  </si>
  <si>
    <t xml:space="preserve">D-Glutamate </t>
  </si>
  <si>
    <t xml:space="preserve">Adenylyl Sulfate </t>
  </si>
  <si>
    <t>Primary Alcohol</t>
  </si>
  <si>
    <t>Acetyl Phosphate</t>
  </si>
  <si>
    <t xml:space="preserve">Acyl-carrier protein </t>
  </si>
  <si>
    <t xml:space="preserve">D-Xylulose 5-Phosphate </t>
  </si>
  <si>
    <t xml:space="preserve">4-Methyl-2-oxopentanoate </t>
  </si>
  <si>
    <t>10-Formyltetrahydrofolate</t>
  </si>
  <si>
    <t>Dimethylallyl diphosphate</t>
  </si>
  <si>
    <t>3-Phospho-D-glyceroyl phosphate</t>
  </si>
  <si>
    <t>dCMP</t>
  </si>
  <si>
    <t>Amide</t>
  </si>
  <si>
    <t>Guanine</t>
  </si>
  <si>
    <t>Pyridoxal</t>
  </si>
  <si>
    <t>Nicotinate</t>
  </si>
  <si>
    <t>Riboflavin</t>
  </si>
  <si>
    <t>(R)-Lactate</t>
  </si>
  <si>
    <t>D-Glycerate</t>
  </si>
  <si>
    <t>Hypoxanthine</t>
  </si>
  <si>
    <t>L-Homoserine</t>
  </si>
  <si>
    <t xml:space="preserve">alpha-D-Glucose </t>
  </si>
  <si>
    <t>CDP-diacylglycerol</t>
  </si>
  <si>
    <t>Tetrahydrobiopterin</t>
  </si>
  <si>
    <t xml:space="preserve">Hydrogen Sulfide </t>
  </si>
  <si>
    <t>dGTP</t>
  </si>
  <si>
    <t>HCO3-</t>
  </si>
  <si>
    <t>Inosine</t>
  </si>
  <si>
    <t>Orotate</t>
  </si>
  <si>
    <t>Uridine</t>
  </si>
  <si>
    <t>ADP-ribose</t>
  </si>
  <si>
    <t>Pyridoxine</t>
  </si>
  <si>
    <t>Thiosulfate</t>
  </si>
  <si>
    <t>Deoxyguanosine</t>
  </si>
  <si>
    <t>Acetoacetyl-CoA</t>
  </si>
  <si>
    <t>(S)-Dihydroorotate</t>
  </si>
  <si>
    <t xml:space="preserve">Thioredoxin disulfide </t>
  </si>
  <si>
    <t>6-Phospho-D-gluconate</t>
  </si>
  <si>
    <t>Phosphatidylethanolamine</t>
  </si>
  <si>
    <t>D-Glucosamine 6-phosphate</t>
  </si>
  <si>
    <t>D-Fructose 1,6-bisphosphate</t>
  </si>
  <si>
    <t>N-Acetyl-D-glucosamine 6-phosphate</t>
  </si>
  <si>
    <t>dAMP</t>
  </si>
  <si>
    <t>dGDP</t>
  </si>
  <si>
    <t>dGMP</t>
  </si>
  <si>
    <t>dTMP</t>
  </si>
  <si>
    <t>dUMP</t>
  </si>
  <si>
    <t>Starch</t>
  </si>
  <si>
    <t>Retinal</t>
  </si>
  <si>
    <t>Thiamine</t>
  </si>
  <si>
    <t>Xanthine</t>
  </si>
  <si>
    <t xml:space="preserve">Guanosine </t>
  </si>
  <si>
    <t>D-Amino acid</t>
  </si>
  <si>
    <t>L-Isoleucine</t>
  </si>
  <si>
    <t>Dihydrofolate</t>
  </si>
  <si>
    <t>Phosphatidate</t>
  </si>
  <si>
    <t>( R )-Mevalonate</t>
  </si>
  <si>
    <t>N-Carbamoyl-L-aspartate</t>
  </si>
  <si>
    <t>L-Aspartate 4-semialdehyde</t>
  </si>
  <si>
    <t>5,10-Methenyltetrahydrofolate</t>
  </si>
  <si>
    <t xml:space="preserve">alpha-D-Galactose 1-phosphate </t>
  </si>
  <si>
    <t>Sedoheptulose 1,7-bisphosphate</t>
  </si>
  <si>
    <t>NDP</t>
  </si>
  <si>
    <t>Nicotinamide-D-ribonucleotide</t>
  </si>
  <si>
    <t>dCTP</t>
  </si>
  <si>
    <t>dTTP</t>
  </si>
  <si>
    <t>dUTP</t>
  </si>
  <si>
    <t>Ethanol</t>
  </si>
  <si>
    <t>Retinol</t>
  </si>
  <si>
    <t>Cytidine</t>
  </si>
  <si>
    <t>Raffinose</t>
  </si>
  <si>
    <t>Folate</t>
  </si>
  <si>
    <t>Deoxyuridine</t>
  </si>
  <si>
    <t>Pyridoxamine</t>
  </si>
  <si>
    <t>Deoxyadenosine</t>
  </si>
  <si>
    <t xml:space="preserve">Betaine aldehyde </t>
  </si>
  <si>
    <t>Protein histidine</t>
  </si>
  <si>
    <t>Pyridoxine phosphate</t>
  </si>
  <si>
    <t>2-Phospho-D-glycerate</t>
  </si>
  <si>
    <t>Pyridoxamine phosphate</t>
  </si>
  <si>
    <t>Xanthosine 5'-phosphate</t>
  </si>
  <si>
    <t>LL-2,6-Diaminoheptanedioate</t>
  </si>
  <si>
    <t xml:space="preserve">alpha-D-Glucose 6-phosphate </t>
  </si>
  <si>
    <t>(S)-3-Methyl-2-oxopentanoic acid</t>
  </si>
  <si>
    <t>2-Deoxy-D-ribose 5-phosphate</t>
  </si>
  <si>
    <t>Deoxynucleoside triphosphate</t>
  </si>
  <si>
    <t>meso-2,6-Diaminoheptanedioate</t>
  </si>
  <si>
    <t>UDP-N-acetylmuramoyl-L-alanyl-D-glutamate</t>
  </si>
  <si>
    <t>dCDP</t>
  </si>
  <si>
    <t>Amylose</t>
  </si>
  <si>
    <t>1-Octanol</t>
  </si>
  <si>
    <t>Mevaldate</t>
  </si>
  <si>
    <t>tRNA(Tyr)</t>
  </si>
  <si>
    <t>D-Glutamine</t>
  </si>
  <si>
    <t xml:space="preserve">Pantethiene </t>
  </si>
  <si>
    <t>dTDP-glucose</t>
  </si>
  <si>
    <t>Deamino-NAD+</t>
  </si>
  <si>
    <t>Pantothenate</t>
  </si>
  <si>
    <t>tRNA uridine</t>
  </si>
  <si>
    <t>Deoxycytidine</t>
  </si>
  <si>
    <t>Dephospho-CoA</t>
  </si>
  <si>
    <t>L-Alanyl-tRNA</t>
  </si>
  <si>
    <t>Ribonucleoside</t>
  </si>
  <si>
    <t>sugar phosphate</t>
  </si>
  <si>
    <t>Mercaptopyruvate</t>
  </si>
  <si>
    <t>O-Acetyl-L-serine</t>
  </si>
  <si>
    <t>alpha-D-Galactose</t>
  </si>
  <si>
    <t>D-Alanyl-D-alanine</t>
  </si>
  <si>
    <t>O-Phospho-L-serine</t>
  </si>
  <si>
    <t>UDP-N-acetylmuramate</t>
  </si>
  <si>
    <t>D-Fructose 1-phosphate</t>
  </si>
  <si>
    <t>D-Tagatose 6-phosphate</t>
  </si>
  <si>
    <t>O-Phospho-L-homoserine</t>
  </si>
  <si>
    <t xml:space="preserve">Orotidine 5'-phosphate </t>
  </si>
  <si>
    <t>Pantetheine 4'-phosphate</t>
  </si>
  <si>
    <t>beta-D-Glucose 6-phosphate</t>
  </si>
  <si>
    <t>3-(4-Hydroxyphenyl)pyruvate</t>
  </si>
  <si>
    <t>Nicotinate D-ribonucleotide</t>
  </si>
  <si>
    <t>UDP-N-acetylmuramoyl-L-alanine</t>
  </si>
  <si>
    <t>5,6,7,8-Tetrahydromethanopterin</t>
  </si>
  <si>
    <t>D-Glucono-1,5-lactone 6-phosphate</t>
  </si>
  <si>
    <t>P1,P4-Bis(5'-adenosyl)tetraphosphate</t>
  </si>
  <si>
    <t>4-Amino-5-hydroxymethyl-2-methylpyrimidine</t>
  </si>
  <si>
    <t>dUDP</t>
  </si>
  <si>
    <t>Ketone</t>
  </si>
  <si>
    <t>Hydrogen Selenide</t>
  </si>
  <si>
    <t>Octanal</t>
  </si>
  <si>
    <t>Carbamate</t>
  </si>
  <si>
    <t>Secondary alcohol</t>
  </si>
  <si>
    <t>Stachyose</t>
  </si>
  <si>
    <t>tRNA(Ala)</t>
  </si>
  <si>
    <t>tRNA(Arg)</t>
  </si>
  <si>
    <t>tRNA(Asp)</t>
  </si>
  <si>
    <t>tRNA(Cys)</t>
  </si>
  <si>
    <t>tRNA(Glu)</t>
  </si>
  <si>
    <t>tRNA(Gly)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</si>
  <si>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</si>
  <si>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</si>
  <si>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</si>
  <si>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</si>
  <si>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</si>
  <si>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</si>
  <si>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</si>
  <si>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</si>
  <si>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</si>
  <si>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</si>
  <si>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Xanthosine</t>
  </si>
  <si>
    <t>Deoxyribose</t>
  </si>
  <si>
    <t>L-Lysyl-tRNA</t>
  </si>
  <si>
    <t>tRNA guanine</t>
  </si>
  <si>
    <t>L-Leucyl-tRNA</t>
  </si>
  <si>
    <t>Trypanothione</t>
  </si>
  <si>
    <t>dTDP-galactose</t>
  </si>
  <si>
    <t>5'-Phospho-DNA</t>
  </si>
  <si>
    <t xml:space="preserve">Acyl phosphate </t>
  </si>
  <si>
    <t>L-Arginyl-tRNA(Arg)</t>
  </si>
  <si>
    <t>tRNA precursor</t>
  </si>
  <si>
    <t>beta-D-Fructose</t>
  </si>
  <si>
    <t>(S)-2-Aminobutanoate</t>
  </si>
  <si>
    <t>6-Mercaptopurine</t>
  </si>
  <si>
    <t>Glycyl-tRNA(Gly)</t>
  </si>
  <si>
    <t>L-Methionyl-tRNA</t>
  </si>
  <si>
    <t>5'-Ribonucleotide</t>
  </si>
  <si>
    <t>L-Seryl-tRNA(Ser)</t>
  </si>
  <si>
    <t xml:space="preserve">L-Valyl-tRNA(Val) </t>
  </si>
  <si>
    <t>L-Prolyl-tRNA(Pro)</t>
  </si>
  <si>
    <t>[Protein]-L-cysteine </t>
  </si>
  <si>
    <t>tRNA pseudouridine</t>
  </si>
  <si>
    <t>L-Tyrosyl-tRNA(Tyr)</t>
  </si>
  <si>
    <t>Propanoyl phosphate</t>
  </si>
  <si>
    <t>(2-Naphthyl)methanol</t>
  </si>
  <si>
    <t>7,8-Dihydrobiopterin</t>
  </si>
  <si>
    <t>D-Allose 6-phosphate</t>
  </si>
  <si>
    <t>L-Aspartyl-tRNA(Asp)</t>
  </si>
  <si>
    <t>L-Glutamyl-tRNA(Glu)</t>
  </si>
  <si>
    <t>L-Threonyl-tRNA(Thr)</t>
  </si>
  <si>
    <t xml:space="preserve">Peptide-L-methionine </t>
  </si>
  <si>
    <t xml:space="preserve">Thiamine Triphosphate </t>
  </si>
  <si>
    <t>4-Phospho-L-aspartate</t>
  </si>
  <si>
    <t>5-Phosphoribosylamine</t>
  </si>
  <si>
    <t>L-Cysteinyl-tRNA(Cys)</t>
  </si>
  <si>
    <t>L-Isoleucyl-tRNA(Ile)</t>
  </si>
  <si>
    <t>Nicotinamide-beta-riboside</t>
  </si>
  <si>
    <t>Trypanothione disulfide</t>
  </si>
  <si>
    <t>N-Formylmethionyl-tRNA</t>
  </si>
  <si>
    <t>3-Phospho-D-erythronate</t>
  </si>
  <si>
    <t>Aminoimidazole Ribotide</t>
  </si>
  <si>
    <t>Folinic Acid</t>
  </si>
  <si>
    <t>D-4'-Phosphopantothenate</t>
  </si>
  <si>
    <t>L-Phenylalanyl-tRNA(Phe)</t>
  </si>
  <si>
    <t>L-Tryptophanyl-tRNA(Trp)</t>
  </si>
  <si>
    <t xml:space="preserve">N-Substituted amino acid </t>
  </si>
  <si>
    <t>S-Ribosyl-L-homocysteine</t>
  </si>
  <si>
    <t>L-Methionylaminoacyl-tRNA</t>
  </si>
  <si>
    <t>Peptidylproline (omega=0)</t>
  </si>
  <si>
    <t>Apo-[acyl-carrier protein]</t>
  </si>
  <si>
    <t>Ribonucleoside diphosphate</t>
  </si>
  <si>
    <t>D-Tagatose 1,6-bisphosphate</t>
  </si>
  <si>
    <t>N6-(1,2-Dicarboxyethyl)-AMP</t>
  </si>
  <si>
    <t>Peptidylproline (omega=180)</t>
  </si>
  <si>
    <t>Protein S-methyl-L-cysteine</t>
  </si>
  <si>
    <t>5'-Phosphoribosylglycinamide</t>
  </si>
  <si>
    <t>N-Substituted aminoacyl-tRNA</t>
  </si>
  <si>
    <t>Phosphatidylglycerophosphate</t>
  </si>
  <si>
    <t>Peptide-L-methionine (S)-S-oxide</t>
  </si>
  <si>
    <t>2,3,4,5-Tetrahydrodipicolinate</t>
  </si>
  <si>
    <t>5-Amino-4-imidazolecarboxyamide</t>
  </si>
  <si>
    <t>N-((R)-Pantothenoyl)-L-cysteine</t>
  </si>
  <si>
    <t>Tetrahydropteroyltri-L-glutamate</t>
  </si>
  <si>
    <t>rRNA containing N2-methylguanine</t>
  </si>
  <si>
    <t>tRNA containing N1-methylguanine</t>
  </si>
  <si>
    <t>tRNA containing N7-methylguanine</t>
  </si>
  <si>
    <t>2'-Deoxyribonucleoside diphosphate</t>
  </si>
  <si>
    <t>5-Fluorodeoxyuridine monophosphate</t>
  </si>
  <si>
    <t>DNA containing 6-O-methylguanine</t>
  </si>
  <si>
    <t>N-Formyl-L-methionylaminoacyl-tRNA</t>
  </si>
  <si>
    <t>Protein N(pi)-phospho-L-histidine</t>
  </si>
  <si>
    <t>Phosphoenol-4-deoxy-3-tetrulosonate</t>
  </si>
  <si>
    <t>( R )- 4' - Phosphopantothenoyl -L-cysteine</t>
  </si>
  <si>
    <t>5'-Phosphoribosyl-N-formylglycinamide</t>
  </si>
  <si>
    <t>5,10-Methylenetetrahydromenthanopterin</t>
  </si>
  <si>
    <t>tRNA containing 6-isopentenyladenosine</t>
  </si>
  <si>
    <t>5-Methyltetrahydropteroyltri-L-glutamate</t>
  </si>
  <si>
    <t>4-Amino-2-methyl-5-(phosphooxymethyl)pyrimidine</t>
  </si>
  <si>
    <t>di-trans,poly-cis-Undecaprenyl diphosphate</t>
  </si>
  <si>
    <t>UDP-N-acetyl-3-(1-carboxyvinyl)-D-glucosamine</t>
  </si>
  <si>
    <t>2-(Formamido)-N1-(5'-phosphoribosyl)acetamidine</t>
  </si>
  <si>
    <t>6-Thioinosine-5'-monophosphate</t>
  </si>
  <si>
    <t>1-(5'-Phosphoribosyl)-5-amino-4-imidazolecarboxamide</t>
  </si>
  <si>
    <t>UDPMurNAc(oyl-L-Ala-D-gamma-Glu-L-Lys-D-Ala-D-Ala)</t>
  </si>
  <si>
    <t>1-(5-Phospho-D-ribosyl)-5-amino-4-imidazolecarboxylate</t>
  </si>
  <si>
    <t>O-1-Alk-1-enyl-2-acyl-sn-glycero-3-phosphoethanolamine</t>
  </si>
  <si>
    <t>1-(5'-Phosphoribosyl)-5-amino-4-(N-succinocarboxamide)-imidazole</t>
  </si>
  <si>
    <t>MurAc(oyl-L-Ala-D-gamma-Glu-L-Lys-D-Ala-D-Ala)-diphospho-undecaprenol</t>
  </si>
  <si>
    <t>UDP-N-acetylmuramoyl-L-alanyl-gamma-D-glutamyl-meso-2,6-diaminopimelate</t>
  </si>
  <si>
    <t xml:space="preserve">UDP-N-acetylmuramoyl-L-alanyl-D-glutamyl-6-carboxyl-L-lysyl-D-alanyl-D-alanine </t>
  </si>
  <si>
    <t>5'-Deoxyadenosine</t>
  </si>
  <si>
    <t>L-Selenomethionine</t>
  </si>
  <si>
    <t>Selenomethionyl-tRNA(Met)</t>
  </si>
  <si>
    <t>beta-D-Fructose 6-phosphate</t>
  </si>
  <si>
    <t>beta-D-Fructose 1,6-bisphosphate</t>
  </si>
  <si>
    <t>Sedoheptulose 7-phosphate</t>
  </si>
  <si>
    <t>Melibiose</t>
  </si>
  <si>
    <t>D-Gal alpha 1-&gt;6D-Gal alpha 1-&gt;6D-Glucose</t>
  </si>
  <si>
    <t>3alpha,7alpha,26-Trihydroxy-5beta-cholestane</t>
  </si>
  <si>
    <t>3alpha,7alpha-Dihydroxy-5beta-cholestan-26-al</t>
  </si>
  <si>
    <t>Deoxyinosine</t>
  </si>
  <si>
    <t>S-Glutathionyl-L-cysteine</t>
  </si>
  <si>
    <t>3-Sulfopyruvate</t>
  </si>
  <si>
    <t>3,4-Dihydroxyphenylethyleneglycol</t>
  </si>
  <si>
    <t>3,4-Dihydroxymandelaldehyde</t>
  </si>
  <si>
    <t>Selenite</t>
  </si>
  <si>
    <t>L-Selenocysteine</t>
  </si>
  <si>
    <t>Se-Adenosylselenomethionine</t>
  </si>
  <si>
    <t>Selenohomocysteine</t>
  </si>
  <si>
    <t>Methaneselenol</t>
  </si>
  <si>
    <t>3-Mercaptolactate</t>
  </si>
  <si>
    <t>Nicotinate D-ribonucleoside</t>
  </si>
  <si>
    <t>UDP-N-acetylmuramoyl-L-alanyl-gamma-D-glutamyl-L-lysine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</si>
  <si>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</si>
  <si>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</si>
  <si>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Undecaprenyl-diphospho-N-acetylmuramoyl-(N-acetylglucosamine)-L-alanyl-D-glutamyl-meso-2,6-diaminopimeloyl-D-alanyl-D-alanine</t>
  </si>
  <si>
    <t>(4R)-4-Hydroxy-2-oxoglutarate</t>
  </si>
  <si>
    <t>L-erythro-4-Hydroxyglutamate</t>
  </si>
  <si>
    <t xml:space="preserve">2-Hydroxybutanoic acid </t>
  </si>
  <si>
    <t>O-Phospho-4-hydroxy-L-threonine</t>
  </si>
  <si>
    <t>4-Hydroxy-L-threonine</t>
  </si>
  <si>
    <t>alpha-D-Glucosamine 1-phosphate</t>
  </si>
  <si>
    <t>2'-Deoxyinosine 5'-phosphate</t>
  </si>
  <si>
    <t>L-Seryl-tRNA(Sec)</t>
  </si>
  <si>
    <t>trans-3-Chloro-2-propene-1-ol</t>
  </si>
  <si>
    <t>cis-3-Chloro-2-propene-1-ol</t>
  </si>
  <si>
    <t>trans-3-Chloroallyl aldehyde</t>
  </si>
  <si>
    <t>Chloral hydrate</t>
  </si>
  <si>
    <t>Trichloroethanol</t>
  </si>
  <si>
    <t>Aldophosphamide</t>
  </si>
  <si>
    <t>Thioguanine</t>
  </si>
  <si>
    <t>5-FU</t>
  </si>
  <si>
    <t>3-Hexenol</t>
  </si>
  <si>
    <t>2'-Deoxy-5-hydroxymethylcytidine-5'-triphosphate</t>
  </si>
  <si>
    <t>1-Deoxy-D-xylulose 5-phosphate</t>
  </si>
  <si>
    <t>Formyl-L-methionyl peptide</t>
  </si>
  <si>
    <t>Methionyl peptide</t>
  </si>
  <si>
    <t>DNA containing guanine</t>
  </si>
  <si>
    <t>Sugar</t>
  </si>
  <si>
    <t>[GlcNAc-(1-&gt;4)-Mur2Ac(oyl-L-Ala-g-D-Glu-L-Lys-D-Ala-D-Ala)]n-diphosphoundecaprenol</t>
  </si>
  <si>
    <t>[GlcNAc-(1-&gt;4)-Mur2Ac(oyl-L-Ala-g-D-Glu-A2pm-D-Ala-D-Ala)]n-diphosphoundecaprenol</t>
  </si>
  <si>
    <t>(S)-4,5-Dihydroxypentane-2,3-dione</t>
  </si>
  <si>
    <t>1-Hydroxymethylnaphthalene</t>
  </si>
  <si>
    <t>1-Naphthaldehyde</t>
  </si>
  <si>
    <t>2-Naphthaldehyde</t>
  </si>
  <si>
    <t>Peptide-L-methionine (R)-S-oxide</t>
  </si>
  <si>
    <t>5-Carboxyamino-1-(5-phospho-D-ribosyl)imidazole</t>
  </si>
  <si>
    <t>[Enzyme]-cysteine</t>
  </si>
  <si>
    <t>[Enzyme]-S-sulfanylcysteine</t>
  </si>
  <si>
    <t>Thiocarboxy-[sulfur-carrier protein]</t>
  </si>
  <si>
    <t>L-Methionine (S)-S-oxide</t>
  </si>
  <si>
    <t>3-Hexenal</t>
  </si>
  <si>
    <t>cis-3-Chloroallyl aldehyde</t>
  </si>
  <si>
    <t>Alcophosphamide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</si>
  <si>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</si>
  <si>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</si>
  <si>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</si>
  <si>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</si>
  <si>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</si>
  <si>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6-Methylthiopurine 5'-monophosphate ribonucleotide</t>
  </si>
  <si>
    <t>6-Thioxanthine 5'-monophosphate</t>
  </si>
  <si>
    <t>6-Thioguanosine monophosphate</t>
  </si>
  <si>
    <t>5-Fluorouridine monophosphate</t>
  </si>
  <si>
    <t>tRNA(Sec)</t>
  </si>
  <si>
    <t xml:space="preserve">Tryparedoxin </t>
  </si>
  <si>
    <t>Tryparedoxin disulfide</t>
  </si>
  <si>
    <t>Sucrose 6-phosphate</t>
  </si>
  <si>
    <t>tRNA adenine</t>
  </si>
  <si>
    <t>di-trans,poly-cis-Undecaprenyl phosphate</t>
  </si>
  <si>
    <t>D-Allulose 6-phosphate</t>
  </si>
  <si>
    <t xml:space="preserve">Methylselenic acid </t>
  </si>
  <si>
    <t>tRNA with a 3' cytidine</t>
  </si>
  <si>
    <t>tRNA with a 3' CC end</t>
  </si>
  <si>
    <t>tRNA with a 3' CCA end</t>
  </si>
  <si>
    <t>(2S,4S)-4-Hydroxy-2,3,4,5-tetrahydrodipicolinate</t>
  </si>
  <si>
    <t>tRNA hypoxanthine</t>
  </si>
  <si>
    <t>L-Threonylcarbamoyladenylate</t>
  </si>
  <si>
    <t>Adenine in rRNA</t>
  </si>
  <si>
    <t>N6-Dimethyladenine in rRNA</t>
  </si>
  <si>
    <t>5'Triphospho-[mRNA]</t>
  </si>
  <si>
    <t>Carboxyphosphate</t>
  </si>
  <si>
    <t>5-Hydroxymethylcytosine in DNA</t>
  </si>
  <si>
    <t>5-Fluorouridine diphosphate</t>
  </si>
  <si>
    <t>5-Fluorodeoxyuridine diphosphate</t>
  </si>
  <si>
    <t xml:space="preserve"> N6-Succino-2-amino-2'-deoxyadenylate</t>
  </si>
  <si>
    <t>dZMP</t>
  </si>
  <si>
    <t>dZDP</t>
  </si>
  <si>
    <t>Manninotriose</t>
  </si>
  <si>
    <t>1,4-alpha-D-Glucan</t>
  </si>
  <si>
    <t>Sucrose 6'-phosphate</t>
  </si>
  <si>
    <t>(GlcNAc)1 (MurNAc)1 (D-Ala-D-Ala-Lys-D-Glu-Ala)1 (PP-Und)1</t>
  </si>
  <si>
    <t>(MurNAc)1 (D-Ala-D-Ala-Lys-D-Glu-Ala)1 (PP-Und)1</t>
  </si>
  <si>
    <t>(MurNAc)1 (D-Ala-D-Ala-Lys-gamma-D-Glu-Ala)1 (PP-Und)1</t>
  </si>
  <si>
    <t>(GlcNAc)1 (MurNAc)1 (D-Ala-D-Ala-Lys-gamma-D-Glu-Ala)1 (PP-Und)1</t>
  </si>
  <si>
    <t>(GlcNAc)1 (MurNAc)1 (*)1 (D-Ala-D-Ala-Lys-gamma-D-Glu-Ala)1 (PP-Und)1</t>
  </si>
  <si>
    <t>(GlcNAc)1 (MurNAc)1 (D-Ala-D-Ala-A2pm-gamma-D-Glu-Ala)1 (PP-Und)1</t>
  </si>
  <si>
    <t>(MurNAc)1 (D-Ala-D-Ala-A2pm-gamma-D-Glu-Ala)1 (PP-Und)1</t>
  </si>
  <si>
    <t>(GlcNAc)1 (MurNAc)1 (*)1 (D-Ala-D-Ala-A2pm-gamma-D-Glu-Ala)1 (PP-Und)1</t>
  </si>
  <si>
    <t>UDP-N-acetyl-D-glucosamine</t>
  </si>
  <si>
    <t>C00001:1000</t>
  </si>
  <si>
    <t>C00002:1000</t>
  </si>
  <si>
    <t>C00003:1000</t>
  </si>
  <si>
    <t>C00004:1000</t>
  </si>
  <si>
    <t>C00005:1000</t>
  </si>
  <si>
    <t>C00006:1000</t>
  </si>
  <si>
    <t>C00007:1000</t>
  </si>
  <si>
    <t>C00008:1</t>
  </si>
  <si>
    <t>C00009:1</t>
  </si>
  <si>
    <t>C00010:1</t>
  </si>
  <si>
    <t>C00011:1000</t>
  </si>
  <si>
    <t>C00012:1</t>
  </si>
  <si>
    <t>C00013:1</t>
  </si>
  <si>
    <t>C00014:1000</t>
  </si>
  <si>
    <t>C00015:1</t>
  </si>
  <si>
    <t>C00016:1</t>
  </si>
  <si>
    <t>C00018:1</t>
  </si>
  <si>
    <t>C00019:1</t>
  </si>
  <si>
    <t>C00020:1</t>
  </si>
  <si>
    <t>C00021:1</t>
  </si>
  <si>
    <t>C00022:1</t>
  </si>
  <si>
    <t>C00024:1</t>
  </si>
  <si>
    <t>C00025:1000</t>
  </si>
  <si>
    <t>C00026:1</t>
  </si>
  <si>
    <t>C00027:1</t>
  </si>
  <si>
    <t>C00028:1</t>
  </si>
  <si>
    <t>C00029:1</t>
  </si>
  <si>
    <t>C00030:1</t>
  </si>
  <si>
    <t>C00031:1000</t>
  </si>
  <si>
    <t>C00033:1</t>
  </si>
  <si>
    <t>C00035:1</t>
  </si>
  <si>
    <t>C00036:1</t>
  </si>
  <si>
    <t>C00037:1000</t>
  </si>
  <si>
    <t>C00039:1</t>
  </si>
  <si>
    <t>C00041:1000</t>
  </si>
  <si>
    <t>C00043:1</t>
  </si>
  <si>
    <t>C00044:1</t>
  </si>
  <si>
    <t>C00046:1</t>
  </si>
  <si>
    <t>C00047:1000</t>
  </si>
  <si>
    <t>C00048:1</t>
  </si>
  <si>
    <t>C00049:1000</t>
  </si>
  <si>
    <t>C00051:1</t>
  </si>
  <si>
    <t>C00052:1</t>
  </si>
  <si>
    <t>C00053:1</t>
  </si>
  <si>
    <t>C00054:1</t>
  </si>
  <si>
    <t>C00055:1</t>
  </si>
  <si>
    <t>C00058:1</t>
  </si>
  <si>
    <t>C00060:1</t>
  </si>
  <si>
    <t>C00061:1</t>
  </si>
  <si>
    <t>C00062:1</t>
  </si>
  <si>
    <t>C00063:1</t>
  </si>
  <si>
    <t>C00064:1000</t>
  </si>
  <si>
    <t>C00065:1000</t>
  </si>
  <si>
    <t>C00066:1</t>
  </si>
  <si>
    <t>C00068:1</t>
  </si>
  <si>
    <t>C00071:1</t>
  </si>
  <si>
    <t>C00073:1000</t>
  </si>
  <si>
    <t>C00074:1</t>
  </si>
  <si>
    <t>C00075:1</t>
  </si>
  <si>
    <t>C00078:1</t>
  </si>
  <si>
    <t>C00079:1</t>
  </si>
  <si>
    <t>C00080:1</t>
  </si>
  <si>
    <t>C00081:1</t>
  </si>
  <si>
    <t>C00082:1</t>
  </si>
  <si>
    <t>C00084:1</t>
  </si>
  <si>
    <t>C00085:1</t>
  </si>
  <si>
    <t>C00089:1</t>
  </si>
  <si>
    <t>C00092:1</t>
  </si>
  <si>
    <t>C00093:1</t>
  </si>
  <si>
    <t>C00094:1</t>
  </si>
  <si>
    <t>C00095:1</t>
  </si>
  <si>
    <t>C00097:1000</t>
  </si>
  <si>
    <t>C00100:1</t>
  </si>
  <si>
    <t>C00101:1</t>
  </si>
  <si>
    <t>C00103:1</t>
  </si>
  <si>
    <t>C00104:1</t>
  </si>
  <si>
    <t>C00105:1</t>
  </si>
  <si>
    <t>C00106:1</t>
  </si>
  <si>
    <t>C00133:1000</t>
  </si>
  <si>
    <t>C00147:1</t>
  </si>
  <si>
    <t>C00148:1000</t>
  </si>
  <si>
    <t>C00149:1</t>
  </si>
  <si>
    <t>C00152:1</t>
  </si>
  <si>
    <t>Protein</t>
  </si>
  <si>
    <t>Heme</t>
  </si>
  <si>
    <t>Succinate</t>
  </si>
  <si>
    <t>Sulfate</t>
  </si>
  <si>
    <t>Formaldehyde</t>
  </si>
  <si>
    <t>Alcohol</t>
  </si>
  <si>
    <t>L-ornithine</t>
  </si>
  <si>
    <t>Urea</t>
  </si>
  <si>
    <t>Nitrite</t>
  </si>
  <si>
    <t>Succinyl-CoA</t>
  </si>
  <si>
    <t>GDP-mannose</t>
  </si>
  <si>
    <t>beta-Alanine</t>
  </si>
  <si>
    <t>Anthranilate</t>
  </si>
  <si>
    <t>Dolichyl phosphate</t>
  </si>
  <si>
    <t>Biotin</t>
  </si>
  <si>
    <t>D-Galactose</t>
  </si>
  <si>
    <t>Ferricytochrome c</t>
  </si>
  <si>
    <t>Ferrocytochrome c</t>
  </si>
  <si>
    <t>Methanol</t>
  </si>
  <si>
    <t>L-Histidine</t>
  </si>
  <si>
    <t>myo-Inositol</t>
  </si>
  <si>
    <t>Reduced ferredoxin</t>
  </si>
  <si>
    <t>Oxidized ferredoxin</t>
  </si>
  <si>
    <t>N-Acetyl-D-glucosamine</t>
  </si>
  <si>
    <t>Thiol</t>
  </si>
  <si>
    <t>Palmitoyl-CoA</t>
  </si>
  <si>
    <t>Fatty acid</t>
  </si>
  <si>
    <t>Acetoacetate</t>
  </si>
  <si>
    <t>UDP-glucuronate</t>
  </si>
  <si>
    <t>Hydroxypyruvate</t>
  </si>
  <si>
    <t>Cyanide ion</t>
  </si>
  <si>
    <t>Thymine</t>
  </si>
  <si>
    <t>Benzoate</t>
  </si>
  <si>
    <t>Cobamide coenzyme</t>
  </si>
  <si>
    <t>hn</t>
  </si>
  <si>
    <t>Maltose</t>
  </si>
  <si>
    <t>Nucleotide</t>
  </si>
  <si>
    <t>beta-D-Glucose</t>
  </si>
  <si>
    <t>Succinate semialdehyde</t>
  </si>
  <si>
    <t>CO</t>
  </si>
  <si>
    <t>Lipoamide</t>
  </si>
  <si>
    <t>Hexadecanoic acid</t>
  </si>
  <si>
    <t>Chorismate</t>
  </si>
  <si>
    <t>Prephenate</t>
  </si>
  <si>
    <t>3-Oxoacyl-CoA</t>
  </si>
  <si>
    <t>Glycolaldehyde</t>
  </si>
  <si>
    <t>D-Mannose 6-phosphate</t>
  </si>
  <si>
    <t>D-Erythrose 4-phosphate</t>
  </si>
  <si>
    <t>Aniline</t>
  </si>
  <si>
    <t>Isocitrate</t>
  </si>
  <si>
    <t>L-Citrulline</t>
  </si>
  <si>
    <t>4-Aminobutanoate</t>
  </si>
  <si>
    <t>Geranyl diphosphate</t>
  </si>
  <si>
    <t>Phosphatidylglycerol</t>
  </si>
  <si>
    <t>Ethanolamine phosphate</t>
  </si>
  <si>
    <t>2-Methyl-3-oxopropanoate</t>
  </si>
  <si>
    <t>Geranylgeranyl diphosphate</t>
  </si>
  <si>
    <t>dTDP</t>
  </si>
  <si>
    <t>Cytosine</t>
  </si>
  <si>
    <t>Ubiquinol</t>
  </si>
  <si>
    <t>Pyrimidine</t>
  </si>
  <si>
    <t>Ubiquinone</t>
  </si>
  <si>
    <t>D-Aspartate</t>
  </si>
  <si>
    <t>Polyphosphate</t>
  </si>
  <si>
    <t>L-Pipecolate</t>
  </si>
  <si>
    <t>cis-Aconitate</t>
  </si>
  <si>
    <t>5-Aminolevulinate</t>
  </si>
  <si>
    <t>5-Aminopentanoate</t>
  </si>
  <si>
    <t>2,5-Dioxopentanoate</t>
  </si>
  <si>
    <t>N-Acetylornithine</t>
  </si>
  <si>
    <t>N-Formimino-L-glutamate</t>
  </si>
  <si>
    <t>5-Methyltetrahydrofolate</t>
  </si>
  <si>
    <t>trans,trans-Farnesyl diphosphate</t>
  </si>
  <si>
    <t>Indole</t>
  </si>
  <si>
    <t>Formamide</t>
  </si>
  <si>
    <t>L-Cystine</t>
  </si>
  <si>
    <t>Shikimate</t>
  </si>
  <si>
    <t>Biliverdin</t>
  </si>
  <si>
    <t>D-Ornithine</t>
  </si>
  <si>
    <t>(S)-Limonene</t>
  </si>
  <si>
    <t>(R)-Pantoate</t>
  </si>
  <si>
    <t>Nitric oxide</t>
  </si>
  <si>
    <t>Triphosphate</t>
  </si>
  <si>
    <t>Cystathionine</t>
  </si>
  <si>
    <t>Methylglyoxal</t>
  </si>
  <si>
    <t>4-Aminobutyraldehyde</t>
  </si>
  <si>
    <t>Phosphoprotein</t>
  </si>
  <si>
    <t>4-Aminobenzoate</t>
  </si>
  <si>
    <t>3',5'-Cyclic AMP</t>
  </si>
  <si>
    <t>D-Glyceraldehyde</t>
  </si>
  <si>
    <t>Dihydrolipoamide</t>
  </si>
  <si>
    <t>Choline phosphate</t>
  </si>
  <si>
    <t>(S)-Ureidoglycolate</t>
  </si>
  <si>
    <t>Long-chain aldehyde</t>
  </si>
  <si>
    <t>alpha-D-Ribose 1-phosphate</t>
  </si>
  <si>
    <t>N-Acetyl-L-glutamate</t>
  </si>
  <si>
    <t>3-Hydroxyanthranilate</t>
  </si>
  <si>
    <t>D-Mannose 1-phosphate</t>
  </si>
  <si>
    <t>Indole-3-acetaldehyde</t>
  </si>
  <si>
    <t>Long-chain fatty acid</t>
  </si>
  <si>
    <t>(3S)-3-Hydroxyacyl-CoA</t>
  </si>
  <si>
    <t>1,2-Diacyl-sn-glycerol</t>
  </si>
  <si>
    <t>trans-2,3-Dehydroacyl-CoA</t>
  </si>
  <si>
    <t>Reduced adrenal ferredoxin</t>
  </si>
  <si>
    <t>Oxidized adrenal ferredoxin</t>
  </si>
  <si>
    <t>sn-Glycero-3-phosphocholine</t>
  </si>
  <si>
    <t>2-Deoxy-D-ribose 1-phosphate</t>
  </si>
  <si>
    <t>(S)-Methylmalonyl-CoA</t>
  </si>
  <si>
    <t>3-Oxoacyl-[acyl-carrier protein]</t>
  </si>
  <si>
    <t>N-Acyl-D-mannosamine 6-phosphate</t>
  </si>
  <si>
    <t>dTDP-4-dehydro-beta-L-rhamnose</t>
  </si>
  <si>
    <t>alpha,alpha'-Trehalose 6-phosphate</t>
  </si>
  <si>
    <t>Cl-</t>
  </si>
  <si>
    <t>Superoxide</t>
  </si>
  <si>
    <t>Betaine</t>
  </si>
  <si>
    <t>Dextrin</t>
  </si>
  <si>
    <t>Epoxide</t>
  </si>
  <si>
    <t>D-Lysine</t>
  </si>
  <si>
    <t>D-Serine</t>
  </si>
  <si>
    <t>Urocanate</t>
  </si>
  <si>
    <t>D-Arginine</t>
  </si>
  <si>
    <t>Propynoate</t>
  </si>
  <si>
    <t>(R)-Acetoin</t>
  </si>
  <si>
    <t>Alkyl thiol</t>
  </si>
  <si>
    <t>D-Glucarate</t>
  </si>
  <si>
    <t>DNA adenine</t>
  </si>
  <si>
    <t>L-Arogenate</t>
  </si>
  <si>
    <t>Menaquinone</t>
  </si>
  <si>
    <t>L-Histidinol</t>
  </si>
  <si>
    <t>4-Nitrophenol</t>
  </si>
  <si>
    <t>Crotonoyl-CoA</t>
  </si>
  <si>
    <t>Isochorismate</t>
  </si>
  <si>
    <t>Propenoyl-CoA</t>
  </si>
  <si>
    <t>2-Acetolactate</t>
  </si>
  <si>
    <t>Dihydropteroate</t>
  </si>
  <si>
    <t>Porphobilinogen</t>
  </si>
  <si>
    <t>UDP-L-arabinose</t>
  </si>
  <si>
    <t>(R)-Lactaldehyde</t>
  </si>
  <si>
    <t>2-Oxoglutaramate</t>
  </si>
  <si>
    <t>3',5'-Cyclic GMP</t>
  </si>
  <si>
    <t>3-Dehydroquinate</t>
  </si>
  <si>
    <t>Indole-3-acetate</t>
  </si>
  <si>
    <t>2-Dehydropantoate</t>
  </si>
  <si>
    <t>Ferricytochrome c2</t>
  </si>
  <si>
    <t>Ferrocytochrome c2</t>
  </si>
  <si>
    <t>Hydroxymethylbilane</t>
  </si>
  <si>
    <t>7,8-Diaminononanoate</t>
  </si>
  <si>
    <t>Uroporphyrinogen III</t>
  </si>
  <si>
    <t>Pimeloyl-CoA</t>
  </si>
  <si>
    <t>O-Acetyl-L-homoserine</t>
  </si>
  <si>
    <t>Protoporphyrinogen IX</t>
  </si>
  <si>
    <t>Thiamin monophosphate</t>
  </si>
  <si>
    <t>alpha,alpha-Trehalose</t>
  </si>
  <si>
    <t>(3R)-3-Hydroxyacyl-CoA</t>
  </si>
  <si>
    <t>8-Amino-7-oxononanoate</t>
  </si>
  <si>
    <t>L-Histidinol phosphate</t>
  </si>
  <si>
    <t>5-Amino-2-oxopentanoic acid</t>
  </si>
  <si>
    <t>O-Succinyl-L-homoserine</t>
  </si>
  <si>
    <t>cis-2,3-Dehydroacyl-CoA</t>
  </si>
  <si>
    <t>N-Acetyl-D-galactosamine</t>
  </si>
  <si>
    <t>(S)-3-Hydroxybutanoyl-CoA</t>
  </si>
  <si>
    <t>4-Trimethylammoniobutanal</t>
  </si>
  <si>
    <t>Orthophosphoric monoester</t>
  </si>
  <si>
    <t>Hydroxyproline</t>
  </si>
  <si>
    <t>3-Carboxy-cis,cis-muconate</t>
  </si>
  <si>
    <t>L-Glutamate 5-semialdehyde</t>
  </si>
  <si>
    <t>Inositol 1-phosphate</t>
  </si>
  <si>
    <t>4-Trimethylammoniobutanoate</t>
  </si>
  <si>
    <t>3-Hydroxy-2-methylpropanoate</t>
  </si>
  <si>
    <t>1-Phosphatidyl-D-myo-inositol</t>
  </si>
  <si>
    <t>Malonyl-[acyl-carrier protein]</t>
  </si>
  <si>
    <t>Guanosine 3',5'-bis(diphosphate)</t>
  </si>
  <si>
    <t>Phospholipid olefinic fatty acid</t>
  </si>
  <si>
    <t>sn-Glycero-3-phosphoethanolamine</t>
  </si>
  <si>
    <t>[Protein]-S8-aminomethyldihydrolipoyllysine</t>
  </si>
  <si>
    <t>N-Acetyl-L-glutamate 5-semialdehyde</t>
  </si>
  <si>
    <t>3-(Imidazol-4-yl)-2-oxopropyl phosphate</t>
  </si>
  <si>
    <t>5-O-(1-Carboxyvinyl)-3-phosphoshikimate</t>
  </si>
  <si>
    <t>(3R)-3-Hydroxyacyl-[acyl-carrier protein]</t>
  </si>
  <si>
    <t>2-Carboxy-2,5-dihydro-5-oxofuran-2-acetate</t>
  </si>
  <si>
    <t>[L-Glutamate:ammonia ligase (ADP-forming)]</t>
  </si>
  <si>
    <t>Lactosylceramide</t>
  </si>
  <si>
    <t>Adenylyl-[L-glutamate:ammonia ligase (ADP-forming)]</t>
  </si>
  <si>
    <t>6-(Hydroxymethyl)-7,8-dihydropterin</t>
  </si>
  <si>
    <t>1-(2-Carboxyphenylamino)-1-deoxy-D-ribulose 5-phosphate</t>
  </si>
  <si>
    <t>Hydrogen cyanide</t>
  </si>
  <si>
    <t>ROH</t>
  </si>
  <si>
    <t>Aryl thiol</t>
  </si>
  <si>
    <t>dIDP</t>
  </si>
  <si>
    <t>dITP</t>
  </si>
  <si>
    <t>FADH2</t>
  </si>
  <si>
    <t>Carbonic acid</t>
  </si>
  <si>
    <t>Ethylene glycol</t>
  </si>
  <si>
    <t>Anilide</t>
  </si>
  <si>
    <t>Cocaine</t>
  </si>
  <si>
    <t>Cys-Gly</t>
  </si>
  <si>
    <t>Chlorous acid</t>
  </si>
  <si>
    <t>Protamine</t>
  </si>
  <si>
    <t>Vitamin K</t>
  </si>
  <si>
    <t>tRNA(His)</t>
  </si>
  <si>
    <t>3-Oxo acid</t>
  </si>
  <si>
    <t>Chitobiose</t>
  </si>
  <si>
    <t>Thiocyanate</t>
  </si>
  <si>
    <t>Reduced FMN</t>
  </si>
  <si>
    <t>Dethiobiotin</t>
  </si>
  <si>
    <t>L-Histidinal</t>
  </si>
  <si>
    <t>Maltodextrin</t>
  </si>
  <si>
    <t>Thiocysteine</t>
  </si>
  <si>
    <t>Lipoylprotein</t>
  </si>
  <si>
    <t>Phylloquinone</t>
  </si>
  <si>
    <t>Methylmalonate</t>
  </si>
  <si>
    <t>[Protein]-L-serine</t>
  </si>
  <si>
    <t>Protoporphyrin</t>
  </si>
  <si>
    <t>Dehydroalanine</t>
  </si>
  <si>
    <t>2-Methylcitrate</t>
  </si>
  <si>
    <t>D-Phenylalanine</t>
  </si>
  <si>
    <t>L-Cystathionine</t>
  </si>
  <si>
    <t>Ester</t>
  </si>
  <si>
    <t>Precorrin 2</t>
  </si>
  <si>
    <t>Uroporphyrin III</t>
  </si>
  <si>
    <t>alpha-Isopropylmalate</t>
  </si>
  <si>
    <t>O-Phospho-D-serine</t>
  </si>
  <si>
    <t>Perillyl aldehyde</t>
  </si>
  <si>
    <t>2-Hydroxyglutarate</t>
  </si>
  <si>
    <t>2-Isopropylmaleate</t>
  </si>
  <si>
    <t>3-Dehydroshikimate</t>
  </si>
  <si>
    <t>Pimelate</t>
  </si>
  <si>
    <t>D-Glucuronolactone</t>
  </si>
  <si>
    <t>N-Acetylmuramate</t>
  </si>
  <si>
    <t>O-Phosphoprotamine</t>
  </si>
  <si>
    <t>2-Succinylbenzoate</t>
  </si>
  <si>
    <t>1-(5-Phospho-D-ribosyl)-ATP</t>
  </si>
  <si>
    <t>S-Alkyl-L-cysteine</t>
  </si>
  <si>
    <t>2,5-Didehydro-D-gluconate</t>
  </si>
  <si>
    <t>Imidazole-4-acetate</t>
  </si>
  <si>
    <t>Long-chain acyl-CoA</t>
  </si>
  <si>
    <t>3-O-(alpha-D-Mannosyl)-L-serinyl-[protein]</t>
  </si>
  <si>
    <t>L-Cysteine-S-conjugate</t>
  </si>
  <si>
    <t>4-Acetamidobutanoate</t>
  </si>
  <si>
    <t>Decaprenol phosphate</t>
  </si>
  <si>
    <t>Dihydrolipoylprotein</t>
  </si>
  <si>
    <t>L-Histidyl-tRNA(His)</t>
  </si>
  <si>
    <t>N-Acetylmuramoyl-Ala</t>
  </si>
  <si>
    <t>[Reduced NADPH---hemoprotein reductase]</t>
  </si>
  <si>
    <t>3-Methylcrotonyl-CoA</t>
  </si>
  <si>
    <t>Cyclobutadipyrimidine</t>
  </si>
  <si>
    <t>Dimethylbenzimidazole</t>
  </si>
  <si>
    <t>Glycerophosphodiester</t>
  </si>
  <si>
    <t>2-Succinylbenzoyl-CoA</t>
  </si>
  <si>
    <t>[Oxidized NADPH---hemoprotein reductase]</t>
  </si>
  <si>
    <t>Pyrimidine nucleoside</t>
  </si>
  <si>
    <t>Shikimate 3-phosphate</t>
  </si>
  <si>
    <t>2-trans-Dodecenoyl-CoA</t>
  </si>
  <si>
    <t>3-Phosphonooxypyruvate</t>
  </si>
  <si>
    <t>6-Amino-2-oxohexanoate</t>
  </si>
  <si>
    <t>Coproporphyrinogen III</t>
  </si>
  <si>
    <t>Globoside</t>
  </si>
  <si>
    <t>5-Oxopentanoate</t>
  </si>
  <si>
    <t>L-Glutamyl 5-phosphate</t>
  </si>
  <si>
    <t>Phylloquino</t>
  </si>
  <si>
    <t>2-Methylacetoacetyl-CoA</t>
  </si>
  <si>
    <t>2-Methylbut-2-enoyl-CoA</t>
  </si>
  <si>
    <t>4-Nitrophenyl phosphate</t>
  </si>
  <si>
    <t>DNA 6-methylaminopurine</t>
  </si>
  <si>
    <t>Lactosylceramide sulfate</t>
  </si>
  <si>
    <t>N-(L-Arginino)succinate</t>
  </si>
  <si>
    <t>Prephytoene diphosphate</t>
  </si>
  <si>
    <t>1-Alkenyl-2-acylglycerol</t>
  </si>
  <si>
    <t>2-Methylprop-2-enoyl-CoA</t>
  </si>
  <si>
    <t>Indoleglycerol phosphate</t>
  </si>
  <si>
    <t>Magnesium protoporphyrin</t>
  </si>
  <si>
    <t>THF-polyglutamate</t>
  </si>
  <si>
    <t>myo-Inositol 4-phosphate</t>
  </si>
  <si>
    <t>(R)-3-Hydroxybutanoyl-CoA</t>
  </si>
  <si>
    <t>1,4-Dihydroxy-2-naphthoate</t>
  </si>
  <si>
    <t>4-Imidazolone-5-propanoate</t>
  </si>
  <si>
    <t>Quinolinate</t>
  </si>
  <si>
    <t>UDP-alpha-D-galactofuranose</t>
  </si>
  <si>
    <t>(S)-4-Amino-5-oxopentanoate</t>
  </si>
  <si>
    <t>5-Guanidino-2-oxopentanoate</t>
  </si>
  <si>
    <t>Dolichyl phosphate D-mannose</t>
  </si>
  <si>
    <t>(S)-1-Pyrroline-5-carboxylate</t>
  </si>
  <si>
    <t>Acetyl-[acyl-carrier protein]</t>
  </si>
  <si>
    <t>1D-myo-Inositol 3-phosphate</t>
  </si>
  <si>
    <t>2,3-Dihydroxy-3-methylbutanoate</t>
  </si>
  <si>
    <t>N-Acetyl-D-glucosamine 6-sulfate</t>
  </si>
  <si>
    <t>N-Acetyl-L-glutamate 5-phosphate</t>
  </si>
  <si>
    <t>N-Acyl-D-glucosamine 6-phosphate</t>
  </si>
  <si>
    <t>rRNA containing N1-methylguanine</t>
  </si>
  <si>
    <t>3-Hydroxy-3-methyl-2-oxobutanoic acid</t>
  </si>
  <si>
    <t>all-trans-Heptaprenyl diphosphate</t>
  </si>
  <si>
    <t>alpha,alpha'-Trehalose 6-mycolate</t>
  </si>
  <si>
    <t>(Z)-But-2-ene-1,2,3-tricarboxylate</t>
  </si>
  <si>
    <t>(2S)-2-Isopropyl-3-oxosuccinate</t>
  </si>
  <si>
    <t>N-Acetyl-D-mannosamine 6-phosphate</t>
  </si>
  <si>
    <t>(R)-2,3-Dihydroxy-3-methylbutanoate</t>
  </si>
  <si>
    <t>L-1-Pyrroline-3-hydroxy-5-carboxylate</t>
  </si>
  <si>
    <t>5-(2-Hydroxyethyl)-4-methylthiazole</t>
  </si>
  <si>
    <t>4-Methyl-5-(2-phosphooxyethyl)thiazole</t>
  </si>
  <si>
    <t>6,7-Dimethyl-8-(D-ribityl)lumazine</t>
  </si>
  <si>
    <t>Phospholipid cyclopropane fatty acid</t>
  </si>
  <si>
    <t>(2S,3S)-3-Hydroxy-2-methylbutanoyl-CoA</t>
  </si>
  <si>
    <t>(2R,3S)-3-Isopropylmalate</t>
  </si>
  <si>
    <t>Carboxybiotin-carboxyl-carrier protein</t>
  </si>
  <si>
    <t>N-Succinyl-LL-2,6-diaminoheptanedioate</t>
  </si>
  <si>
    <t>S-Adenosyl-4-methylthio-2-oxobutanoate</t>
  </si>
  <si>
    <t>alpha,alpha'-Trehalose 6,6'-bismycolate</t>
  </si>
  <si>
    <t>Guanosine 3'-diphosphate 5'-triphosphate</t>
  </si>
  <si>
    <t>Magnesium protoporphyrin monomethyl ester</t>
  </si>
  <si>
    <t>tRNA containing 2'-O-methylguanosine</t>
  </si>
  <si>
    <t>3alpha,7alpha-Dihydroxy-5beta-cholestanate</t>
  </si>
  <si>
    <t>(3R)-3-Hydroxybutanoyl-[acyl-carrier protein]</t>
  </si>
  <si>
    <t>(3R)-3-Hydroxydecanoyl-[acyl-carrier protein]</t>
  </si>
  <si>
    <t>(3R)-3-Hydroxyoctanoyl-[acyl-carrier protein]</t>
  </si>
  <si>
    <t>(3R)-3-Hydroxypalmitoyl-[acyl-carrier protein]</t>
  </si>
  <si>
    <t>L-Phosphinothricin</t>
  </si>
  <si>
    <t>D-erythro-1-(Imidazol-4-yl)glycerol 3-phosphate</t>
  </si>
  <si>
    <t>[Acetyl-CoA:carbon-dioxide ligase (ADP-forming)]</t>
  </si>
  <si>
    <t>(3R)-3-Hydroxytetradecanoyl-[acyl-carrier protein]</t>
  </si>
  <si>
    <t>2-Dehydro-3-deoxy-D-arabino-heptonate 7-phosphate</t>
  </si>
  <si>
    <t>GM3</t>
  </si>
  <si>
    <t>5-Amino-6-(1-D-ribitylamino)uracil</t>
  </si>
  <si>
    <t>Apo-[acetyl-CoA:carbon-dioxide ligase (ADP-forming)]</t>
  </si>
  <si>
    <t>alpha-D-Galactosyl-(1-&gt;4)-beta-D-galactosyl-(1-&gt;4)-beta-D-glucosyl-(1&lt;-&gt;1)-ceramide</t>
  </si>
  <si>
    <t>N1-(5-Phospho-alpha-D-ribosyl)-5,6-dimethylbenzimidazole</t>
  </si>
  <si>
    <t>6-Hydroxymethyl-7,8-dihydropterin diphosphate</t>
  </si>
  <si>
    <t>7,8-Dihydroneopterin</t>
  </si>
  <si>
    <t>N-Acetyl-D-galactosaminyl-(N-acetylneuraminyl)-D-galactosyl-D-glucosylceramide</t>
  </si>
  <si>
    <t>7,8-Dihydroneopterin 3'-triphosphate</t>
  </si>
  <si>
    <t>5-(5-Phospho-D-ribosylaminoformimino)-1-(5-phosphoribosyl)-imidazole-4-carboxamide</t>
  </si>
  <si>
    <t>N-(5'-Phospho-D-1'-ribulosylformimino)-5-amino-1-(5''-phospho-D-ribosyl)-4-imidazolecarboxamide</t>
  </si>
  <si>
    <t>(3E)-3-Enoyl-CoA</t>
  </si>
  <si>
    <t>3-Hydroxybutanoyl-CoA</t>
  </si>
  <si>
    <t>2-(alpha-Hydroxyethyl)thiamine diphosphate</t>
  </si>
  <si>
    <t>Imidazole-4-acetaldehyde</t>
  </si>
  <si>
    <t>alpha-Amino acid</t>
  </si>
  <si>
    <t>Selenophosphoric acid</t>
  </si>
  <si>
    <t>Dihydroflavodoxin</t>
  </si>
  <si>
    <t>Protein glycine</t>
  </si>
  <si>
    <t>Flavodoxin semiquinone</t>
  </si>
  <si>
    <t>Dodecanoyl-[acyl-carrier protein]</t>
  </si>
  <si>
    <t>(S)-3-Hydroxyhexadecanoyl-CoA</t>
  </si>
  <si>
    <t>(S)-3-Hydroxytetradecanoyl-CoA</t>
  </si>
  <si>
    <t>(S)-3-Hydroxydodecanoyl-CoA</t>
  </si>
  <si>
    <t>(S)-Hydroxydecanoyl-CoA</t>
  </si>
  <si>
    <t>(S)-3-Hydroxyoctanoyl-CoA</t>
  </si>
  <si>
    <t>S)-Hydroxyhexanoyl-CoA</t>
  </si>
  <si>
    <t>3-Oxohexanoyl-CoA</t>
  </si>
  <si>
    <t>trans-Hex-2-enoyl-CoA</t>
  </si>
  <si>
    <t>trans-Hexadec-2-enoyl-CoA</t>
  </si>
  <si>
    <t>trans-Tetradec-2-enoyl-CoA</t>
  </si>
  <si>
    <t>trans-Dec-2-enoyl-CoA</t>
  </si>
  <si>
    <t>trans-Oct-2-enoyl-CoA</t>
  </si>
  <si>
    <t>Semiquinone</t>
  </si>
  <si>
    <t>Protein glycin-2-yl radical</t>
  </si>
  <si>
    <t>Oxidized azurin</t>
  </si>
  <si>
    <t>Reduced azurin</t>
  </si>
  <si>
    <t>e-</t>
  </si>
  <si>
    <t>Hydrazine</t>
  </si>
  <si>
    <t>Oxalosuccinate</t>
  </si>
  <si>
    <t>all-trans-Phytoene</t>
  </si>
  <si>
    <t>15-cis-Phytoene</t>
  </si>
  <si>
    <t>5-Hydroxyindoleacetaldehyde</t>
  </si>
  <si>
    <t>5-Hydroxyindoleacetate</t>
  </si>
  <si>
    <t>Cinnavalininate</t>
  </si>
  <si>
    <t>3-Aminopropanal</t>
  </si>
  <si>
    <t>3-Hydroxypropionyl-CoA</t>
  </si>
  <si>
    <t>Adenylylselenate</t>
  </si>
  <si>
    <t>Se-Methyl-L-selenocysteine</t>
  </si>
  <si>
    <t>Selenate</t>
  </si>
  <si>
    <t>L-Selenocystathionine</t>
  </si>
  <si>
    <t>O-Phosphorylhomoserine</t>
  </si>
  <si>
    <t>S-Substituted L-cysteine</t>
  </si>
  <si>
    <t>S-Substituted N-acetyl-L-cysteine</t>
  </si>
  <si>
    <t>R-S-Cysteinylglycine</t>
  </si>
  <si>
    <t>Acetoacetyl-[acp]</t>
  </si>
  <si>
    <t>Butyryl-[acp]</t>
  </si>
  <si>
    <t>3-Oxohexanoyl-[acp]</t>
  </si>
  <si>
    <t>(3R)-3-Hydroxyhexanoyl-[acyl-carrier protein]</t>
  </si>
  <si>
    <t>Hexanoyl-[acp]</t>
  </si>
  <si>
    <t>3-Oxooctanoyl-[acp]</t>
  </si>
  <si>
    <t>Octanoyl-[acp]</t>
  </si>
  <si>
    <t>3-Oxodecanoyl-[acp]</t>
  </si>
  <si>
    <t>Decanoyl-[acp]</t>
  </si>
  <si>
    <t>3-Oxododecanoyl-[acp]</t>
  </si>
  <si>
    <t>(3R)-3-Hydroxydodecanoyl-[acyl-carrier protein]</t>
  </si>
  <si>
    <t>3-Oxotetradecanoyl-[acp]</t>
  </si>
  <si>
    <t>Tetradecanoyl-[acp]</t>
  </si>
  <si>
    <t>3-Oxohexadecanoyl-[acp]</t>
  </si>
  <si>
    <t>Hexadecanoyl-[acp]</t>
  </si>
  <si>
    <t>Uroporphyrinogen I</t>
  </si>
  <si>
    <t>Coproporphyrinogen I</t>
  </si>
  <si>
    <t>alpha-Ribazole</t>
  </si>
  <si>
    <t>Sirohydrochlorin</t>
  </si>
  <si>
    <t>Menaquinol</t>
  </si>
  <si>
    <t>Iminoaspartate</t>
  </si>
  <si>
    <t>all-trans-Polyprenyl diphosphate</t>
  </si>
  <si>
    <t>Reduced Vitamin K</t>
  </si>
  <si>
    <t>Biotinyl-5'-AMP</t>
  </si>
  <si>
    <t>Formamidopyrimidine nucleoside triphosphate</t>
  </si>
  <si>
    <t>2,5-Diaminopyrimidine nucleoside triphosphate</t>
  </si>
  <si>
    <t>Molybdopterin</t>
  </si>
  <si>
    <t>(6R)-10-Formyltetrahydropteroyldiglutamate</t>
  </si>
  <si>
    <t>10-Formyltetrahydrofolylpolyglutamate</t>
  </si>
  <si>
    <t>N4-Acetylaminobutanal</t>
  </si>
  <si>
    <t>2-Propynal</t>
  </si>
  <si>
    <t>3-Hydroxyisovaleryl-CoA</t>
  </si>
  <si>
    <t>(S)-3-Hydroxyisobutyryl-CoA</t>
  </si>
  <si>
    <t>(S)-3-Hydroxyisobutyrate</t>
  </si>
  <si>
    <t>(S)-Methylmalonate semialdehyde</t>
  </si>
  <si>
    <t>(S)-2-Aceto-2-hydroxybutanoate</t>
  </si>
  <si>
    <t>(R)-2,3-Dihydroxy-3-methylpentanoate</t>
  </si>
  <si>
    <t>(S)-2-Acetolactate</t>
  </si>
  <si>
    <t>D-erythro-3-Methylmalate</t>
  </si>
  <si>
    <t>2-Oxo-3-hydroxy-4-phosphobutanoate</t>
  </si>
  <si>
    <t>Amidine</t>
  </si>
  <si>
    <t>(R)-Limonene</t>
  </si>
  <si>
    <t>GA2</t>
  </si>
  <si>
    <t>2,5-Diamino-6-(5'-triphosphoryl-3',4'-trihydroxy-2'-oxopentyl)-amino-4-oxopyrimidine</t>
  </si>
  <si>
    <t>Benzoyl phosphate</t>
  </si>
  <si>
    <t>Molybdate</t>
  </si>
  <si>
    <t>Apo-[carboxylase]</t>
  </si>
  <si>
    <t>Holo-[carboxylase]</t>
  </si>
  <si>
    <t>1-Carboxyvinyl carboxyphosphonate</t>
  </si>
  <si>
    <t>3-(Hydrohydroxyphosphoryl)pyruvate</t>
  </si>
  <si>
    <t>L-Selenocysteinyl-tRNA(Sec)</t>
  </si>
  <si>
    <t>Ethylene oxide</t>
  </si>
  <si>
    <t>trans-3-Chloroacrylic acid</t>
  </si>
  <si>
    <t>cis-3-Chloroacrylic acid</t>
  </si>
  <si>
    <t>Arsenite</t>
  </si>
  <si>
    <t>Mycothiol</t>
  </si>
  <si>
    <t>S-Formylmycothiol</t>
  </si>
  <si>
    <t>Chloroacetaldehyde</t>
  </si>
  <si>
    <t>Chloroacetic acid</t>
  </si>
  <si>
    <t>Isoniazid</t>
  </si>
  <si>
    <t>Lidocaine</t>
  </si>
  <si>
    <t>Acetophenone</t>
  </si>
  <si>
    <t>Limonene-1,2-epoxide</t>
  </si>
  <si>
    <t>Isonicotinic acid</t>
  </si>
  <si>
    <t>Acetylhydrazine</t>
  </si>
  <si>
    <t>N-Acetylisoniazid</t>
  </si>
  <si>
    <t>Pyrimidine 5'-deoxynucleotide</t>
  </si>
  <si>
    <t>THF-L-glutamate</t>
  </si>
  <si>
    <t>2,6-Dimethylaniline</t>
  </si>
  <si>
    <t>2'-Deoxy-5-hydroxymethylcytidine-5'-diphosphate</t>
  </si>
  <si>
    <t>SN-38</t>
  </si>
  <si>
    <t>Arsenate ion</t>
  </si>
  <si>
    <t>(S)-1-Phenylethanol</t>
  </si>
  <si>
    <t>4-Amino-4-deoxychorismate</t>
  </si>
  <si>
    <t>2-C-Methyl-D-erythritol 4-phosphate</t>
  </si>
  <si>
    <t>4-(Cytidine 5'-diphospho)-2-C-methyl-D-erythritol</t>
  </si>
  <si>
    <t>2-Phospho-4-(cytidine 5'-diphospho)-2-C-methyl-D-erythritol</t>
  </si>
  <si>
    <t>2-C-Methyl-D-erythritol 2,4-cyclodiphosphate</t>
  </si>
  <si>
    <t>Mycothione</t>
  </si>
  <si>
    <t>(2R)-3-Sulfolactate</t>
  </si>
  <si>
    <t>N-Ethylglycine</t>
  </si>
  <si>
    <t>1-Hydroxy-2-methyl-2-butenyl 4-diphosphate</t>
  </si>
  <si>
    <t>2,3-Ene acid</t>
  </si>
  <si>
    <t>dTDP-4-oxo-6-deoxy-D-glucose</t>
  </si>
  <si>
    <t>Perillic acid</t>
  </si>
  <si>
    <t>trans-2-Methyl-5-isopropylhexa-2,5-dienoyl-CoA</t>
  </si>
  <si>
    <t>cis-2-Methyl-5-isopropylhexa-2,5-dienoyl-CoA</t>
  </si>
  <si>
    <t>3-Hydroxy-2,6-dimethyl-5-methylene-heptanoyl-CoA</t>
  </si>
  <si>
    <t>Aminofructose 6-phosphate</t>
  </si>
  <si>
    <t>Iminoerythrose 4-phosphate</t>
  </si>
  <si>
    <t>Ecgonine methyl ester</t>
  </si>
  <si>
    <t>Capecitabine</t>
  </si>
  <si>
    <t>5'-Deoxy-5-fluorouridine</t>
  </si>
  <si>
    <t>alpha,beta-Dihydroxyethyl-TPP</t>
  </si>
  <si>
    <t>5-Carboxy-2-pentenoyl-CoA</t>
  </si>
  <si>
    <t>(3S)-3-Hydroxyadipyl-CoA</t>
  </si>
  <si>
    <t>(R)-3-Hydroxy-3-methyl-2-oxopentanoate</t>
  </si>
  <si>
    <t>5,6-EET</t>
  </si>
  <si>
    <t>8,9-EET</t>
  </si>
  <si>
    <t>11,12-EET</t>
  </si>
  <si>
    <t>14,15-EET</t>
  </si>
  <si>
    <t>5,6-DHET</t>
  </si>
  <si>
    <t>8,9-DHET</t>
  </si>
  <si>
    <t>11,12-DHET</t>
  </si>
  <si>
    <t>14,15-DHET</t>
  </si>
  <si>
    <t>Fe2+</t>
  </si>
  <si>
    <t>Fe3+</t>
  </si>
  <si>
    <t>ROOH</t>
  </si>
  <si>
    <t>Precorrin 1</t>
  </si>
  <si>
    <t>D-Mannosyl-1-phosphoundecaprenol</t>
  </si>
  <si>
    <t>1,4-Dihydroxy-2-naphthoyl-CoA</t>
  </si>
  <si>
    <t>L-3,4-Dihydroxybutan-2-one 4-phosphate</t>
  </si>
  <si>
    <t>N-Benzylformamide</t>
  </si>
  <si>
    <t>Benzylamine</t>
  </si>
  <si>
    <t>myo-Inositol phosphate</t>
  </si>
  <si>
    <t>Glycol</t>
  </si>
  <si>
    <t>Quinone</t>
  </si>
  <si>
    <t>Hydroquinone</t>
  </si>
  <si>
    <t>2-Dehydro-L-idonate</t>
  </si>
  <si>
    <t>Iminoglycine</t>
  </si>
  <si>
    <t>Sulfur-carrier protein</t>
  </si>
  <si>
    <t>Enzyme N6-(lipoyl)lysine</t>
  </si>
  <si>
    <t>Enzyme N6-(dihydrolipoyl)lysine</t>
  </si>
  <si>
    <t>4,4'-Diapophytoene</t>
  </si>
  <si>
    <t>4,4'-Diaponeurosporene</t>
  </si>
  <si>
    <t>3-Oxostearoyl-[acp]</t>
  </si>
  <si>
    <t>(3R)-3-Hydroxyoctadecanoyl-[acyl-carrier protein]</t>
  </si>
  <si>
    <t>[Protein]-N6-(octanoyl)-L-lysine</t>
  </si>
  <si>
    <t>Protein N6-(lipoyl)lysine</t>
  </si>
  <si>
    <t>Lipoyl-[acp]</t>
  </si>
  <si>
    <t>[Lipoyl-carrier protein]-L-lysine</t>
  </si>
  <si>
    <t>[Dihydrolipoyllysine-residue acetyltransferase] S-acetyldihydrolipoyllysine</t>
  </si>
  <si>
    <t>trans-2-Enoyl-OPC8-CoA</t>
  </si>
  <si>
    <t>3-Hydroxy-OPC8-CoA</t>
  </si>
  <si>
    <t>trans-2-Enoyl-OPC6-CoA</t>
  </si>
  <si>
    <t>3-Hydroxy-OPC6-CoA</t>
  </si>
  <si>
    <t>trans-2-Enoyl-OPC4-CoA</t>
  </si>
  <si>
    <t>3-Hydroxy-OPC4-CoA</t>
  </si>
  <si>
    <t>(2E)-5-Methylhexa-2,4-dienoyl-CoA</t>
  </si>
  <si>
    <t>3-Hydroxy-5-methylhex-4-enoyl-CoA</t>
  </si>
  <si>
    <t>Farnesoic acid</t>
  </si>
  <si>
    <t>2-Succinyl-5-enolpyruvyl-6-hydroxy-3-cyclohexene-1-carboxylate</t>
  </si>
  <si>
    <t>NPC</t>
  </si>
  <si>
    <t>Monoethylglycinexylidide</t>
  </si>
  <si>
    <t>5'-Deoxy-5-fluorocytidine</t>
  </si>
  <si>
    <t>Irinotecan</t>
  </si>
  <si>
    <t>N,N-Diethylglycine</t>
  </si>
  <si>
    <t>7-Aminomethyl-7-carbaguanine</t>
  </si>
  <si>
    <t>2-cis,6-trans-Farnesyl diphosphate</t>
  </si>
  <si>
    <t>[Protein]-N6-[(R)-dihydrolipoyl]-L-lysine</t>
  </si>
  <si>
    <t>1-Pentanol</t>
  </si>
  <si>
    <t>1,4'-Bipiperidine-1'-carboxylic acid</t>
  </si>
  <si>
    <t>4-Amino-1-piperidinecarboxylic acid</t>
  </si>
  <si>
    <t>Sulfur donor</t>
  </si>
  <si>
    <t>2-Aminobut-2-enoate</t>
  </si>
  <si>
    <t>Thymine dimer</t>
  </si>
  <si>
    <t>Two thymine residues (in DNA)</t>
  </si>
  <si>
    <t>Carboxyphosphonopyruvate</t>
  </si>
  <si>
    <t>N-Acetyldemethylphosphinothricin</t>
  </si>
  <si>
    <t>N-Acetylphosphinothricin</t>
  </si>
  <si>
    <t>Demethylphosphinothricin</t>
  </si>
  <si>
    <t>(2S)-Ethylmalonyl-CoA</t>
  </si>
  <si>
    <t>UDP-L-arabinofuranose</t>
  </si>
  <si>
    <t>S-(Hydroxymethyl)mycothiol</t>
  </si>
  <si>
    <t>Molybdoenzyme molybdenum cofactor</t>
  </si>
  <si>
    <t>Precursor Z</t>
  </si>
  <si>
    <t>(4S)-Limonene-1,2-epoxide</t>
  </si>
  <si>
    <t>Malonyl-[acp] methyl ester</t>
  </si>
  <si>
    <t>1-O-(2-Amino-2-deoxy-alpha-D-glucopyranosyl)-1D-myo-inositol</t>
  </si>
  <si>
    <t>1-O-[2-(L-Cysteinamido)-2-deoxy-alpha-D-glucopyranosyl]-1D-myo-inositol</t>
  </si>
  <si>
    <t>1-O-(2-Acetamido-2-deoxy-alpha-D-glucopyranosyl)-1D-myo-inositol 3-phosphate</t>
  </si>
  <si>
    <t>1-O-(2-Acetamido-2-deoxy-alpha-D-glucopyranosyl)-1D-myo-inositol</t>
  </si>
  <si>
    <t>4,4'-Diapolycopene</t>
  </si>
  <si>
    <t>[Protein]-L-threonine</t>
  </si>
  <si>
    <t>4,4'-Diapophytofluene</t>
  </si>
  <si>
    <t>4,4'-Diapo-zeta-carotene</t>
  </si>
  <si>
    <t>Pimeloyl-[acyl-carrier protein]</t>
  </si>
  <si>
    <t>Demethylmenaquinol</t>
  </si>
  <si>
    <t>Adenylated molybdopterin</t>
  </si>
  <si>
    <t>trans,polycis-Polyprenyl diphosphate</t>
  </si>
  <si>
    <t>8-Oxo-dGTP</t>
  </si>
  <si>
    <t>8-Oxo-dGMP</t>
  </si>
  <si>
    <t>2-[(2R,5Z)-2-Carboxy-4-methylthiazol-5(2H)-ylidene]ethyl phosphate</t>
  </si>
  <si>
    <t>trans,octacis-Decaprenylphospho-beta-D-ribofuranose 5-phosphate</t>
  </si>
  <si>
    <t>3-Ketoglutaryl-[acp] methyl ester</t>
  </si>
  <si>
    <t>3-Hydroxyglutaryl-[acp] methyl ester</t>
  </si>
  <si>
    <t>Glutaryl-[acp] methyl ester</t>
  </si>
  <si>
    <t>3-Ketopimeloyl-[acp] methyl ester</t>
  </si>
  <si>
    <t>3-Hydroxypimeloyl-[acp] methyl ester</t>
  </si>
  <si>
    <t>tRNA 7-aminomethyl-7-carbaguanine</t>
  </si>
  <si>
    <t>3-O-(alpha-D-Mannosyl)-L-threonyl-[protein]</t>
  </si>
  <si>
    <t>Mycothiol S-conjugate</t>
  </si>
  <si>
    <t>2-Iminopropanoate</t>
  </si>
  <si>
    <t>2-Iminobutanoate</t>
  </si>
  <si>
    <t>NMNH</t>
  </si>
  <si>
    <t>Adenosylcobalamin 5'-phosphate</t>
  </si>
  <si>
    <t>[Protein]-S-sulfanyl-L-cysteine</t>
  </si>
  <si>
    <t>2-O-(alpha-D-Mannosyl)-1-phosphatidyl-1D-myo-inositol</t>
  </si>
  <si>
    <t>5-Fluorouridine triphosphate</t>
  </si>
  <si>
    <t>5-Fluorodeoxyuridine triphosphate</t>
  </si>
  <si>
    <t>Reduced [2Fe-2S] ferredoxin</t>
  </si>
  <si>
    <t>Oxidized [2Fe-2S] ferredoxin</t>
  </si>
  <si>
    <t>[Fe-S] cluster scaffold protein carrying a [4Fe-4S]2+ cluster</t>
  </si>
  <si>
    <t>[Fe-S] cluster scaffold protein</t>
  </si>
  <si>
    <t>Glycine cleavage system H</t>
  </si>
  <si>
    <t>Lipoyl-carrier protein E2</t>
  </si>
  <si>
    <t>[Glycine cleavage system H]-N6-octanoyl-L-lysine</t>
  </si>
  <si>
    <t>[Lipoyl-carrier protein E2]-N6-octanoyl-L-lysine</t>
  </si>
  <si>
    <t>3,5-Dehydroshikimate</t>
  </si>
  <si>
    <t>dZTP</t>
  </si>
  <si>
    <t>8-Amino-7-(carboxyamino)nonanoate</t>
  </si>
  <si>
    <t>Gangliotriaosylceramide-II3 sulfate</t>
  </si>
  <si>
    <t>Trehalose monomycolate</t>
  </si>
  <si>
    <t>Trehalose dimycolate</t>
  </si>
  <si>
    <t>Globotriaosylceramide</t>
  </si>
  <si>
    <t>GM2</t>
  </si>
  <si>
    <t>Trehalose</t>
  </si>
  <si>
    <t>(GlcA)1 (GlcNAc)2</t>
  </si>
  <si>
    <t>(Gal)1 (GlcNAc)1 (S)1</t>
  </si>
  <si>
    <t>(GlcNAc)3 (LFuc)2 (Man)3</t>
  </si>
  <si>
    <t>Trehalose 6-phosphate</t>
  </si>
  <si>
    <t>(GlcA)1 (GlcNAc)1</t>
  </si>
  <si>
    <t>UDP-D-glucose</t>
  </si>
  <si>
    <t>GDP-D-mannose</t>
  </si>
  <si>
    <t>(GlcNAc)2 (LFuc)1 (Man)3 (Xyl)1 (Asn)1</t>
  </si>
  <si>
    <t>(GlcNAc)2 (LFuc)2 (Man)3 (Asn)1</t>
  </si>
  <si>
    <t>Phosphatidyl-myo-inositol monomannoside</t>
  </si>
  <si>
    <t>(Man)1 (Ser/Thr)1</t>
  </si>
  <si>
    <t>(GlcNAc)4 (LFuc)1 (Man)3 (Xyl)1 (Asn)1</t>
  </si>
  <si>
    <t>(Gal)1 (GlcNAc)3 (LFuc)1 (Man)3 (Asn)1</t>
  </si>
  <si>
    <t>(Gal)1 (GlcNAc)2 (LFuc)1 (Man)3 (Asn)1</t>
  </si>
  <si>
    <t>(Gal)1 (GlcNAc)2 (S)2</t>
  </si>
  <si>
    <t>(Gal)1 (GlcNAc)2 (S)1</t>
  </si>
  <si>
    <t>Rhamnosyl-N-acetyl-glucosaminyl-decaprenyl diphosphate</t>
  </si>
  <si>
    <t>Glycolipid 3</t>
  </si>
  <si>
    <t>Glycolipid 4</t>
  </si>
  <si>
    <t>Glycolipid 5</t>
  </si>
  <si>
    <t>URL</t>
  </si>
  <si>
    <t>NCBI RefSeq assembly</t>
  </si>
  <si>
    <t>BioSample ID</t>
  </si>
  <si>
    <t xml:space="preserve">Sample name </t>
  </si>
  <si>
    <t xml:space="preserve">Assembly number </t>
  </si>
  <si>
    <t>Chromosome ref seq</t>
  </si>
  <si>
    <t xml:space="preserve">Genome Size </t>
  </si>
  <si>
    <t>Total ungapped length</t>
  </si>
  <si>
    <t xml:space="preserve">Number of chromosomes </t>
  </si>
  <si>
    <t xml:space="preserve">Number of scaffolds </t>
  </si>
  <si>
    <t>Scaffold N50</t>
  </si>
  <si>
    <t>Scaffold L50</t>
  </si>
  <si>
    <t xml:space="preserve">Number of contigs </t>
  </si>
  <si>
    <t>Contig N50</t>
  </si>
  <si>
    <t>Contig L50</t>
  </si>
  <si>
    <t xml:space="preserve">GC percent </t>
  </si>
  <si>
    <t>Assembly level</t>
  </si>
  <si>
    <t xml:space="preserve">Genes </t>
  </si>
  <si>
    <t xml:space="preserve">Protein-coding </t>
  </si>
  <si>
    <t xml:space="preserve">Chromosome </t>
  </si>
  <si>
    <t xml:space="preserve">CheckM analysis </t>
  </si>
  <si>
    <t>Completeness</t>
  </si>
  <si>
    <t>Contamination</t>
  </si>
  <si>
    <t>Ref Seq</t>
  </si>
  <si>
    <t>GenBank</t>
  </si>
  <si>
    <t>https://www.ncbi.nlm.nih.gov/datasets/taxonomy/38284/</t>
  </si>
  <si>
    <t>2.5 Mb</t>
  </si>
  <si>
    <t>Complete Genome</t>
  </si>
  <si>
    <t>SAMN13404507</t>
  </si>
  <si>
    <t>ASM2352079v1</t>
  </si>
  <si>
    <t>NZ_CP046605.1</t>
  </si>
  <si>
    <t>CP000033.3</t>
  </si>
  <si>
    <t>NC_006814.3</t>
  </si>
  <si>
    <t>Corynebacterium accolens</t>
  </si>
  <si>
    <t>2_7_7_7</t>
  </si>
  <si>
    <t>1_5_1_20</t>
  </si>
  <si>
    <t>2_1_1_14</t>
  </si>
  <si>
    <t>5_2_1_8</t>
  </si>
  <si>
    <t>3_5_1_25</t>
  </si>
  <si>
    <t>3_5_99_6</t>
  </si>
  <si>
    <t>2_7_11_1</t>
  </si>
  <si>
    <t>3_1_3_16</t>
  </si>
  <si>
    <t>3_5_1_18</t>
  </si>
  <si>
    <t>2_8_1_6</t>
  </si>
  <si>
    <t>3_2_2_4</t>
  </si>
  <si>
    <t>1_16_3_1</t>
  </si>
  <si>
    <t>1_2_1_8</t>
  </si>
  <si>
    <t>1_1_99_1</t>
  </si>
  <si>
    <t>2_1_1_63</t>
  </si>
  <si>
    <t>3_5_1_91</t>
  </si>
  <si>
    <t>2_6_1_48</t>
  </si>
  <si>
    <t>2_2_1_6</t>
  </si>
  <si>
    <t>1_1_1_36</t>
  </si>
  <si>
    <t>2_4_1_287</t>
  </si>
  <si>
    <t>1_6_5_5</t>
  </si>
  <si>
    <t>2_8_1_12</t>
  </si>
  <si>
    <t>2_10_1_1</t>
  </si>
  <si>
    <t>3_6_1_55</t>
  </si>
  <si>
    <t>1_14_14_18</t>
  </si>
  <si>
    <t>3_5_4_33</t>
  </si>
  <si>
    <t>2_4_2_29</t>
  </si>
  <si>
    <t>2_3_3_13</t>
  </si>
  <si>
    <t>2_7_2_4</t>
  </si>
  <si>
    <t>1_2_1_11</t>
  </si>
  <si>
    <t>1_11_1_6</t>
  </si>
  <si>
    <t>3_3_2_10</t>
  </si>
  <si>
    <t>4_6_1_1</t>
  </si>
  <si>
    <t>6_2_1_3</t>
  </si>
  <si>
    <t>1_1_1_306</t>
  </si>
  <si>
    <t>2_7_7_24</t>
  </si>
  <si>
    <t>5_1_3_13</t>
  </si>
  <si>
    <t>4_2_1_46</t>
  </si>
  <si>
    <t>3_4_11_2</t>
  </si>
  <si>
    <t>2_3_1_122</t>
  </si>
  <si>
    <t>1_8_1_4</t>
  </si>
  <si>
    <t>1_3_5_1</t>
  </si>
  <si>
    <t>1_3_1_98</t>
  </si>
  <si>
    <t>4_4_1_21</t>
  </si>
  <si>
    <t>2_4_1_250</t>
  </si>
  <si>
    <t>3_6_1_11</t>
  </si>
  <si>
    <t>1_5_1_2</t>
  </si>
  <si>
    <t>3_1_3_3</t>
  </si>
  <si>
    <t>1_2_1_70</t>
  </si>
  <si>
    <t>2_5_1_61</t>
  </si>
  <si>
    <t>2_1_1_107</t>
  </si>
  <si>
    <t>4_2_1_24</t>
  </si>
  <si>
    <t>4_1_1_37</t>
  </si>
  <si>
    <t>1_3_3_4</t>
  </si>
  <si>
    <t>1_1_1_31</t>
  </si>
  <si>
    <t>5_4_3_8</t>
  </si>
  <si>
    <t>2_5_1_74</t>
  </si>
  <si>
    <t>6_2_1_26</t>
  </si>
  <si>
    <t>4_1_3_36</t>
  </si>
  <si>
    <t>2_2_1_9</t>
  </si>
  <si>
    <t>2_1_1_163</t>
  </si>
  <si>
    <t>2_5_1_30</t>
  </si>
  <si>
    <t>5_4_2_8</t>
  </si>
  <si>
    <t>2_4_2_1</t>
  </si>
  <si>
    <t>4_1_99_3</t>
  </si>
  <si>
    <t>2_7_7_6</t>
  </si>
  <si>
    <t>2_1_1_79</t>
  </si>
  <si>
    <t>2_7_4_3</t>
  </si>
  <si>
    <t>5_4_99_12</t>
  </si>
  <si>
    <t>5_4_2_10</t>
  </si>
  <si>
    <t>2_6_1_16</t>
  </si>
  <si>
    <t>5_1_1_1</t>
  </si>
  <si>
    <t>1_1_1_205</t>
  </si>
  <si>
    <t>2_3_1_31</t>
  </si>
  <si>
    <t>1_1_1_42</t>
  </si>
  <si>
    <t>6_1_1_2</t>
  </si>
  <si>
    <t>4_2_1_130</t>
  </si>
  <si>
    <t>3_1_1_1</t>
  </si>
  <si>
    <t>2_4_2_9</t>
  </si>
  <si>
    <t>1_6_5_2</t>
  </si>
  <si>
    <t>4_2_1_79</t>
  </si>
  <si>
    <t>2_7_8_23</t>
  </si>
  <si>
    <t>6_4_1_7</t>
  </si>
  <si>
    <t>3_5_4_5</t>
  </si>
  <si>
    <t>2_4_2_2</t>
  </si>
  <si>
    <t>2_8_1_1</t>
  </si>
  <si>
    <t>6_4_1_3</t>
  </si>
  <si>
    <t>3_2_1_1</t>
  </si>
  <si>
    <t>6_3_4_15</t>
  </si>
  <si>
    <t>4_1_1_5</t>
  </si>
  <si>
    <t>6_3_4_18</t>
  </si>
  <si>
    <t>2_7_1_15</t>
  </si>
  <si>
    <t>5_1_3_3</t>
  </si>
  <si>
    <t>2_7_7_12</t>
  </si>
  <si>
    <t>2_7_1_6</t>
  </si>
  <si>
    <t>6_3_4_14</t>
  </si>
  <si>
    <t>1_18_1_2</t>
  </si>
  <si>
    <t>2_5_1_19</t>
  </si>
  <si>
    <t>3_6_1_22</t>
  </si>
  <si>
    <t>3_1_3_15</t>
  </si>
  <si>
    <t>3_1_3_25</t>
  </si>
  <si>
    <t>2_6_1_52</t>
  </si>
  <si>
    <t>2_3_3_1</t>
  </si>
  <si>
    <t>1_5_1_3</t>
  </si>
  <si>
    <t>2_1_1_45</t>
  </si>
  <si>
    <t>3_1_3_7</t>
  </si>
  <si>
    <t>5_3_1_9</t>
  </si>
  <si>
    <t>5_4_99_5</t>
  </si>
  <si>
    <t>2_1_2_2</t>
  </si>
  <si>
    <t>5_5_1_2</t>
  </si>
  <si>
    <t>2_7_7_9</t>
  </si>
  <si>
    <t>2_4_1_109</t>
  </si>
  <si>
    <t>6_1_1_10</t>
  </si>
  <si>
    <t>2_1_1_182</t>
  </si>
  <si>
    <t>2_7_1_148</t>
  </si>
  <si>
    <t>4_2_1_17</t>
  </si>
  <si>
    <t>1_1_1_100</t>
  </si>
  <si>
    <t>3_1_1_29</t>
  </si>
  <si>
    <t>1_2_1_12</t>
  </si>
  <si>
    <t>4_3_2_3</t>
  </si>
  <si>
    <t>2_7_6_1</t>
  </si>
  <si>
    <t>2_4_2_19</t>
  </si>
  <si>
    <t>2_5_1_72</t>
  </si>
  <si>
    <t>3_6_1_8</t>
  </si>
  <si>
    <t>4_2_1_11</t>
  </si>
  <si>
    <t>3_6_1_40</t>
  </si>
  <si>
    <t>3_5_1_115</t>
  </si>
  <si>
    <t>2_5_1_68</t>
  </si>
  <si>
    <t>2_7_1_33</t>
  </si>
  <si>
    <t>2_1_2_1</t>
  </si>
  <si>
    <t>4_2_1_2</t>
  </si>
  <si>
    <t>3_1_3_11</t>
  </si>
  <si>
    <t>1_17_7_4</t>
  </si>
  <si>
    <t>1_17_1_9</t>
  </si>
  <si>
    <t>1_17_5_3</t>
  </si>
  <si>
    <t>2_7_9_3</t>
  </si>
  <si>
    <t>2_9_1_1</t>
  </si>
  <si>
    <t>3_5_1_103</t>
  </si>
  <si>
    <t>2_6_1_83</t>
  </si>
  <si>
    <t>2_3_1_117</t>
  </si>
  <si>
    <t>2_1_1_188</t>
  </si>
  <si>
    <t>3_2_1_26</t>
  </si>
  <si>
    <t>3_6_1_65</t>
  </si>
  <si>
    <t>3_5_3_8</t>
  </si>
  <si>
    <t>4_3_1_3</t>
  </si>
  <si>
    <t>4_2_1_49</t>
  </si>
  <si>
    <t>3_5_2_7</t>
  </si>
  <si>
    <t>6_1_1_19</t>
  </si>
  <si>
    <t>4_1_1_20</t>
  </si>
  <si>
    <t>1_1_1_3</t>
  </si>
  <si>
    <t>2_7_1_39</t>
  </si>
  <si>
    <t>1_7_2_1</t>
  </si>
  <si>
    <t>2_7_7_87</t>
  </si>
  <si>
    <t>7_1_2_2</t>
  </si>
  <si>
    <t>2_8_1_7</t>
  </si>
  <si>
    <t>6_5_1_2</t>
  </si>
  <si>
    <t>2_7_1_11</t>
  </si>
  <si>
    <t>4_2_1_9</t>
  </si>
  <si>
    <t>1_1_1_86</t>
  </si>
  <si>
    <t>1_1_1_95</t>
  </si>
  <si>
    <t>1_1_1_85</t>
  </si>
  <si>
    <t>5_4_4_2</t>
  </si>
  <si>
    <t>6_1_1_17</t>
  </si>
  <si>
    <t>4_2_1_33</t>
  </si>
  <si>
    <t>1_1_1_94</t>
  </si>
  <si>
    <t>6_3_2_4</t>
  </si>
  <si>
    <t>2_7_4_16</t>
  </si>
  <si>
    <t>2_1_1_171</t>
  </si>
  <si>
    <t>2_7_7_3</t>
  </si>
  <si>
    <t>2_7_1_24</t>
  </si>
  <si>
    <t>6_1_1_20</t>
  </si>
  <si>
    <t>1_2_1_38</t>
  </si>
  <si>
    <t>2_7_2_8</t>
  </si>
  <si>
    <t>2_6_1_11</t>
  </si>
  <si>
    <t>2_1_3_3</t>
  </si>
  <si>
    <t>6_3_4_5</t>
  </si>
  <si>
    <t>4_3_2_1</t>
  </si>
  <si>
    <t>4_3_1_28</t>
  </si>
  <si>
    <t>2_8_1_10</t>
  </si>
  <si>
    <t>1_4_99_5</t>
  </si>
  <si>
    <t>4_1_99_17</t>
  </si>
  <si>
    <t>6_1_1_1</t>
  </si>
  <si>
    <t>2_7_1_23</t>
  </si>
  <si>
    <t>3_6_1_13</t>
  </si>
  <si>
    <t>2_7_4_25</t>
  </si>
  <si>
    <t>1_1_1_44</t>
  </si>
  <si>
    <t>2_1_1_11</t>
  </si>
  <si>
    <t>2_7_1_49</t>
  </si>
  <si>
    <t>2_7_1_50</t>
  </si>
  <si>
    <t>2_4_1_54</t>
  </si>
  <si>
    <t>6_3_4_3</t>
  </si>
  <si>
    <t>4_3_1_1</t>
  </si>
  <si>
    <t>2_4_2_17</t>
  </si>
  <si>
    <t>6_3_1_13</t>
  </si>
  <si>
    <t>3_6_1_27</t>
  </si>
  <si>
    <t>1_3_5_2</t>
  </si>
  <si>
    <t>4_2_1_3</t>
  </si>
  <si>
    <t>2_2_1_1</t>
  </si>
  <si>
    <t>2_2_1_2</t>
  </si>
  <si>
    <t>1_1_1_49</t>
  </si>
  <si>
    <t>3_1_1_31</t>
  </si>
  <si>
    <t>5_3_1_1</t>
  </si>
  <si>
    <t>2_7_2_3</t>
  </si>
  <si>
    <t>2_5_1_78</t>
  </si>
  <si>
    <t>2_5_1_9</t>
  </si>
  <si>
    <t>5_1_3_1</t>
  </si>
  <si>
    <t>2_1_2_9</t>
  </si>
  <si>
    <t>3_5_1_88</t>
  </si>
  <si>
    <t>2_5_1_6</t>
  </si>
  <si>
    <t>2_7_4_8</t>
  </si>
  <si>
    <t>6_3_5_5</t>
  </si>
  <si>
    <t>3_5_2_3</t>
  </si>
  <si>
    <t>2_1_3_2</t>
  </si>
  <si>
    <t>4_2_1_10</t>
  </si>
  <si>
    <t>4_2_3_4</t>
  </si>
  <si>
    <t>2_7_1_71</t>
  </si>
  <si>
    <t>4_2_3_5</t>
  </si>
  <si>
    <t>1_1_1_25</t>
  </si>
  <si>
    <t>6_1_1_7</t>
  </si>
  <si>
    <t>6_1_1_12</t>
  </si>
  <si>
    <t>1_14_14_3</t>
  </si>
  <si>
    <t>1_5_1_38</t>
  </si>
  <si>
    <t>4_3_1_17</t>
  </si>
  <si>
    <t>6_1_1_21</t>
  </si>
  <si>
    <t>1_15_1_1</t>
  </si>
  <si>
    <t>2_4_2_7</t>
  </si>
  <si>
    <t>2_4_1_345</t>
  </si>
  <si>
    <t>2_7_8_11</t>
  </si>
  <si>
    <t>2_7_7_53</t>
  </si>
  <si>
    <t>6_1_1_3</t>
  </si>
  <si>
    <t>1_8_4_12</t>
  </si>
  <si>
    <t>1_13_11_49</t>
  </si>
  <si>
    <t>2_2_1_7</t>
  </si>
  <si>
    <t>3_6_1_23</t>
  </si>
  <si>
    <t>2_7_1_63</t>
  </si>
  <si>
    <t>5_1_3_2</t>
  </si>
  <si>
    <t>1_11_1_24</t>
  </si>
  <si>
    <t>2_7_3_9</t>
  </si>
  <si>
    <t>2_7_1_144</t>
  </si>
  <si>
    <t>5_1_1_7</t>
  </si>
  <si>
    <t>2_5_1_75</t>
  </si>
  <si>
    <t>2_7_8_5</t>
  </si>
  <si>
    <t>4_3_3_7</t>
  </si>
  <si>
    <t>2_7_7_8</t>
  </si>
  <si>
    <t>2_7_8_7</t>
  </si>
  <si>
    <t>6_1_1_15</t>
  </si>
  <si>
    <t>1_1_5_4</t>
  </si>
  <si>
    <t>1_8_1_15</t>
  </si>
  <si>
    <t>1_17_7_1</t>
  </si>
  <si>
    <t>1_1_1_267</t>
  </si>
  <si>
    <t>2_7_7_41</t>
  </si>
  <si>
    <t>2_7_4_22</t>
  </si>
  <si>
    <t>2_1_1_228</t>
  </si>
  <si>
    <t>3_6_1_7</t>
  </si>
  <si>
    <t>1_4_1_2</t>
  </si>
  <si>
    <t>2_7_1_165</t>
  </si>
  <si>
    <t>2_7_1_40</t>
  </si>
  <si>
    <t>4_1_1_48</t>
  </si>
  <si>
    <t>5_3_1_16</t>
  </si>
  <si>
    <t>4_2_1_19</t>
  </si>
  <si>
    <t>2_6_1_9</t>
  </si>
  <si>
    <t>1_1_1_23</t>
  </si>
  <si>
    <t>2_7_6_5</t>
  </si>
  <si>
    <t>4_3_1_19</t>
  </si>
  <si>
    <t>3_5_1_1</t>
  </si>
  <si>
    <t>6_1_1_5</t>
  </si>
  <si>
    <t>6_3_2_8</t>
  </si>
  <si>
    <t>2_4_1_227</t>
  </si>
  <si>
    <t>6_3_2_9</t>
  </si>
  <si>
    <t>2_7_8_13</t>
  </si>
  <si>
    <t>6_3_2_10</t>
  </si>
  <si>
    <t>6_3_2_13</t>
  </si>
  <si>
    <t>2_4_1_129</t>
  </si>
  <si>
    <t>2_5_1_10</t>
  </si>
  <si>
    <t>2_5_1_54</t>
  </si>
  <si>
    <t>2_7_1_2</t>
  </si>
  <si>
    <t>1_20_9_1</t>
  </si>
  <si>
    <t>7_1_1_9</t>
  </si>
  <si>
    <t>6_3_5_4</t>
  </si>
  <si>
    <t>2_4_2_21</t>
  </si>
  <si>
    <t>2_6_1_42</t>
  </si>
  <si>
    <t>3_4_11_1</t>
  </si>
  <si>
    <t>2_3_1_12</t>
  </si>
  <si>
    <t>1_4_4_2</t>
  </si>
  <si>
    <t>2_1_2_10</t>
  </si>
  <si>
    <t>2_3_1_181</t>
  </si>
  <si>
    <t>2_8_1_8</t>
  </si>
  <si>
    <t>6_3_1_2</t>
  </si>
  <si>
    <t>4_2_3_1</t>
  </si>
  <si>
    <t>2_7_7_42</t>
  </si>
  <si>
    <t>1_1_1_1</t>
  </si>
  <si>
    <t>3_5_4_16</t>
  </si>
  <si>
    <t>1_2_4_1</t>
  </si>
  <si>
    <t>3_1_3_5</t>
  </si>
  <si>
    <t>2_3_1_47</t>
  </si>
  <si>
    <t>6_2_1_14</t>
  </si>
  <si>
    <t>1_2_1_79</t>
  </si>
  <si>
    <t>2_8_3_5</t>
  </si>
  <si>
    <t>2_3_1_9</t>
  </si>
  <si>
    <t>3_1_5_1</t>
  </si>
  <si>
    <t>6_1_1_14</t>
  </si>
  <si>
    <t>2_5_1_88</t>
  </si>
  <si>
    <t>3_5_1_49</t>
  </si>
  <si>
    <t>2_7_1_35</t>
  </si>
  <si>
    <t>1_3_98_3</t>
  </si>
  <si>
    <t>5_3_3_2</t>
  </si>
  <si>
    <t>4_4_1_8</t>
  </si>
  <si>
    <t>1_14_13_107</t>
  </si>
  <si>
    <t>3_1_4_3</t>
  </si>
  <si>
    <t>2_1_1_72</t>
  </si>
  <si>
    <t>2_7_7_18</t>
  </si>
  <si>
    <t>1_2_1_41</t>
  </si>
  <si>
    <t>1_1_1_79</t>
  </si>
  <si>
    <t>2_7_2_11</t>
  </si>
  <si>
    <t>2_7_4_6</t>
  </si>
  <si>
    <t>6_3_2_17</t>
  </si>
  <si>
    <t>6_1_1_9</t>
  </si>
  <si>
    <t>2_1_2_11</t>
  </si>
  <si>
    <t>6_3_2_1</t>
  </si>
  <si>
    <t>1_1_1_37</t>
  </si>
  <si>
    <t>1_1_1_311</t>
  </si>
  <si>
    <t>1_1_1_346</t>
  </si>
  <si>
    <t>5_3_1_6</t>
  </si>
  <si>
    <t>2_5_1_48</t>
  </si>
  <si>
    <t>1_4_1_1</t>
  </si>
  <si>
    <t>3_5_1_2</t>
  </si>
  <si>
    <t>6_3_3_3</t>
  </si>
  <si>
    <t>2_6_1_62</t>
  </si>
  <si>
    <t>3_4_11_5</t>
  </si>
  <si>
    <t>1_97_1_4</t>
  </si>
  <si>
    <t>2_3_1_54</t>
  </si>
  <si>
    <t>3_6_1_9</t>
  </si>
  <si>
    <t>2_7_7_56</t>
  </si>
  <si>
    <t>5_1_1_3</t>
  </si>
  <si>
    <t>6_3_4_21</t>
  </si>
  <si>
    <t>1_17_4_1</t>
  </si>
  <si>
    <t>6_3_1_5</t>
  </si>
  <si>
    <t>2_5_1_7</t>
  </si>
  <si>
    <t>2_5_1_47</t>
  </si>
  <si>
    <t>2_3_1_30</t>
  </si>
  <si>
    <t>2_3_1_189</t>
  </si>
  <si>
    <t>2_7_1_107</t>
  </si>
  <si>
    <t>2_6_1_21</t>
  </si>
  <si>
    <t>6_3_3_1</t>
  </si>
  <si>
    <t>2_4_2_14</t>
  </si>
  <si>
    <t>6_3_5_3</t>
  </si>
  <si>
    <t>6_3_2_6</t>
  </si>
  <si>
    <t>4_3_2_2</t>
  </si>
  <si>
    <t>6_3_4_13</t>
  </si>
  <si>
    <t>1_2_5_1</t>
  </si>
  <si>
    <t>3_1_3_12</t>
  </si>
  <si>
    <t>6_1_1_16</t>
  </si>
  <si>
    <t>4_6_1_12</t>
  </si>
  <si>
    <t>2_7_7_60</t>
  </si>
  <si>
    <t>4_2_1_1</t>
  </si>
  <si>
    <t>2_5_1_32</t>
  </si>
  <si>
    <t>1_3_8_2</t>
  </si>
  <si>
    <t>6_1_1_6</t>
  </si>
  <si>
    <t>2_7_6_3</t>
  </si>
  <si>
    <t>4_1_2_25</t>
  </si>
  <si>
    <t>2_5_1_15</t>
  </si>
  <si>
    <t>2_4_2_8</t>
  </si>
  <si>
    <t>3_6_1_1</t>
  </si>
  <si>
    <t>2_3_1_183</t>
  </si>
  <si>
    <t>2_7_2_1</t>
  </si>
  <si>
    <t>2_3_1_8</t>
  </si>
  <si>
    <t>6_3_4_4</t>
  </si>
  <si>
    <t>4_1_2_13</t>
  </si>
  <si>
    <t>2_1_1_34</t>
  </si>
  <si>
    <t>2_4_2_10</t>
  </si>
  <si>
    <t>2_8_1_2</t>
  </si>
  <si>
    <t>1_18_1_7</t>
  </si>
  <si>
    <t>3_5_1_111</t>
  </si>
  <si>
    <t>1_2_1_3</t>
  </si>
  <si>
    <t>2_7_7_4</t>
  </si>
  <si>
    <t>1_8_4_8</t>
  </si>
  <si>
    <t>2_6_1_2</t>
  </si>
  <si>
    <t>1_1_1_22</t>
  </si>
  <si>
    <t>3_2_1_52</t>
  </si>
  <si>
    <t>2_4_1_11</t>
  </si>
  <si>
    <t>3_5_3_6</t>
  </si>
  <si>
    <t>5_1_3_9</t>
  </si>
  <si>
    <t>4_1_1_32</t>
  </si>
  <si>
    <t>2_1_1_33</t>
  </si>
  <si>
    <t>2_3_1_41</t>
  </si>
  <si>
    <t>2_4_2_45</t>
  </si>
  <si>
    <t>2_4_1_288</t>
  </si>
  <si>
    <t>2_6_1_85</t>
  </si>
  <si>
    <t>5_4_99_9</t>
  </si>
  <si>
    <t>3_1_3_23</t>
  </si>
  <si>
    <t>2_7_1_30</t>
  </si>
  <si>
    <t>1_1_5_3</t>
  </si>
  <si>
    <t>6_1_1_11</t>
  </si>
  <si>
    <t>3_1_3_73</t>
  </si>
  <si>
    <t>4_2_1_51</t>
  </si>
  <si>
    <t>3_5_1_13</t>
  </si>
  <si>
    <t>3_1_4_46</t>
  </si>
  <si>
    <t>1_1_1_27</t>
  </si>
  <si>
    <t>1_8_4_11</t>
  </si>
  <si>
    <t>5_5_1_4</t>
  </si>
  <si>
    <t>6_1_1_4</t>
  </si>
  <si>
    <t>3_1_3_1</t>
  </si>
  <si>
    <t>4_1_3_27</t>
  </si>
  <si>
    <t>4_2_1_20</t>
  </si>
  <si>
    <t>2_7_7_72</t>
  </si>
  <si>
    <t>1_8_1_9</t>
  </si>
  <si>
    <t>3_5_1_28</t>
  </si>
  <si>
    <t>C00007 *  C14818 *  C00080</t>
  </si>
  <si>
    <t>C00007 + C14818 +  C00080</t>
  </si>
  <si>
    <t>C15602 * C00005 * C00080</t>
  </si>
  <si>
    <t>C05309 + C00006</t>
  </si>
  <si>
    <t xml:space="preserve"> C05309 * C00006</t>
  </si>
  <si>
    <t xml:space="preserve"> C00022</t>
  </si>
  <si>
    <t>C18239 + C15814</t>
  </si>
  <si>
    <t>C18239 *  C15814</t>
  </si>
  <si>
    <t>C05924 + C15810</t>
  </si>
  <si>
    <t>C05924 * C15810</t>
  </si>
  <si>
    <t>C00719 * C00004 * C00080</t>
  </si>
  <si>
    <t>C00719 * C00005 * C00080</t>
  </si>
  <si>
    <t>C00719 + C00004 + C00080</t>
  </si>
  <si>
    <t>C00719 + C00005 + C00080</t>
  </si>
  <si>
    <t>C14819 + C00001</t>
  </si>
  <si>
    <t>C00120 + C00073 + C05198</t>
  </si>
  <si>
    <t>C14819 * C00001</t>
  </si>
  <si>
    <t>C00500 * C00237 * C14818 * C03161 *  C00001</t>
  </si>
  <si>
    <t>C00500 + C00237 + C14818 + C03161 + C00001</t>
  </si>
  <si>
    <t>C00032 *  C03024 *  C00007</t>
  </si>
  <si>
    <t>C00032 +  C03024 + C00007</t>
  </si>
  <si>
    <t>C00032 +  C03024 +  C00007</t>
  </si>
  <si>
    <t>C00500 + C00237 + C14818 +  C03161 +  C00001</t>
  </si>
  <si>
    <t>C00500 * C00237 * C14818 *  C03161 *  C00001</t>
  </si>
  <si>
    <t>C00007 + C00001</t>
  </si>
  <si>
    <t>C00007 *  C00001</t>
  </si>
  <si>
    <t>C00067 *  C00001</t>
  </si>
  <si>
    <t>C00067 +  C00001</t>
  </si>
  <si>
    <t xml:space="preserve"> C00632 *  C00007 </t>
  </si>
  <si>
    <t>C05640 + C00704 +  C00027 +  C00080</t>
  </si>
  <si>
    <t>C05640 *  C00704 *  C00027 *  C00080</t>
  </si>
  <si>
    <t>C00931 * C00001</t>
  </si>
  <si>
    <t>C01024 * C00014</t>
  </si>
  <si>
    <t xml:space="preserve"> C00021 + C02463</t>
  </si>
  <si>
    <t>C00019 * C02469</t>
  </si>
  <si>
    <t>C01024 +  C00014</t>
  </si>
  <si>
    <t>C00021 * C05778</t>
  </si>
  <si>
    <t>C03263 * C00011</t>
  </si>
  <si>
    <t>C03263 + C00011</t>
  </si>
  <si>
    <t>C01079 * C00007</t>
  </si>
  <si>
    <t>C02191 + C00027</t>
  </si>
  <si>
    <t>C02191 * C00027</t>
  </si>
  <si>
    <t>C04216 * C00013</t>
  </si>
  <si>
    <t>C04216 +  C00013</t>
  </si>
  <si>
    <t xml:space="preserve">C00448 * C00129 </t>
  </si>
  <si>
    <t>C00138 * C00006 * C00080</t>
  </si>
  <si>
    <t>C00139 + C00005</t>
  </si>
  <si>
    <t>C00139 * C00005</t>
  </si>
  <si>
    <t>C00667 * C00005</t>
  </si>
  <si>
    <t>C00667 + C00005</t>
  </si>
  <si>
    <t>C00662 * C00006 * C00080</t>
  </si>
  <si>
    <t>C00021 + C05778</t>
  </si>
  <si>
    <t>C00101 * C00006</t>
  </si>
  <si>
    <t>C00019 * C20648</t>
  </si>
  <si>
    <t>C00021 + C20796</t>
  </si>
  <si>
    <t>C00021 * C20796</t>
  </si>
  <si>
    <t>C00235 * C00139 * C00001</t>
  </si>
  <si>
    <t>C11811 * C00138 * C00080</t>
  </si>
  <si>
    <t>C00129 + C00139 + C00001</t>
  </si>
  <si>
    <t>C11811 + C00138 + C00080</t>
  </si>
  <si>
    <t>C00129 * C00139 * C00001</t>
  </si>
  <si>
    <t>C00028 + C00533 + C00001</t>
  </si>
  <si>
    <t>C00028 * C00533 * C00001</t>
  </si>
  <si>
    <t>C00030 + C00088</t>
  </si>
  <si>
    <t>C00030 * C00088</t>
  </si>
  <si>
    <t>C00037 + C00028</t>
  </si>
  <si>
    <t xml:space="preserve">C00037 + C00028 </t>
  </si>
  <si>
    <t>C00037 * C00028</t>
  </si>
  <si>
    <t xml:space="preserve">C00037 * C00028 </t>
  </si>
  <si>
    <t>C01326 + C00011 + C00030</t>
  </si>
  <si>
    <t>C20246 + C15810 + C00001</t>
  </si>
  <si>
    <t>C20246 * C15810 * C00001</t>
  </si>
  <si>
    <t>C01326 * C00011 * C00030</t>
  </si>
  <si>
    <t>C00177 + C00011 + C00030 + C00080</t>
  </si>
  <si>
    <t>C00177 * C00011 * C00030 * C00080</t>
  </si>
  <si>
    <t>C00199 * C00011 * C00005 * C00080</t>
  </si>
  <si>
    <t>C00199 + C00011 + C00005 + C00080</t>
  </si>
  <si>
    <t>C05309 * C00006</t>
  </si>
  <si>
    <t>C00008 * C00009 * C00169</t>
  </si>
  <si>
    <t>C00008 + C00009 + C00169</t>
  </si>
  <si>
    <t>C00002 * C00288 * C00014</t>
  </si>
  <si>
    <t>C00002 * C00064 * C00288 * C00001</t>
  </si>
  <si>
    <t>C00002 + C00064 + C00288 + C00001</t>
  </si>
  <si>
    <t>C00008 + C00009 + C00025 + C00169</t>
  </si>
  <si>
    <t>C00008 * C00009 * C00025 * C00169</t>
  </si>
  <si>
    <t>C00002 + C00288 + C00014</t>
  </si>
  <si>
    <t>C00704 * C00080</t>
  </si>
  <si>
    <t>C00224 * C00002</t>
  </si>
  <si>
    <t xml:space="preserve">C06717 * C00003 </t>
  </si>
  <si>
    <t xml:space="preserve">C06717 * C00006 </t>
  </si>
  <si>
    <t>G11174 * C00003</t>
  </si>
  <si>
    <t>G11174 * C00006</t>
  </si>
  <si>
    <t>C11811 * C00001 * C00139</t>
  </si>
  <si>
    <t>C11811 + C00001 + C00139</t>
  </si>
  <si>
    <t>C00112 + C00074</t>
  </si>
  <si>
    <t>C00112 * C00074</t>
  </si>
  <si>
    <t>C00206 + C00074</t>
  </si>
  <si>
    <t>C00860 * C00003 * C00001</t>
  </si>
  <si>
    <t>C00105 * C04851</t>
  </si>
  <si>
    <t>C11215 * C05358 * C00080</t>
  </si>
  <si>
    <t>C11215 * C00126 * C00080</t>
  </si>
  <si>
    <t>C11215 + C05358 + C00080</t>
  </si>
  <si>
    <t>C06697 * C00001 * C05357</t>
  </si>
  <si>
    <t>C06697 * C00001 * C00125</t>
  </si>
  <si>
    <t>C00007 * C00126 * C00080</t>
  </si>
  <si>
    <t xml:space="preserve">C00007 * C01000 </t>
  </si>
  <si>
    <t>C11215 + C00126 + C00080</t>
  </si>
  <si>
    <t>C00125 + C00001 + C00080</t>
  </si>
  <si>
    <t>C00997 + C00001</t>
  </si>
  <si>
    <t>C00125 + C00001 +  C00080</t>
  </si>
  <si>
    <t>C00020 + C00013 + C00152</t>
  </si>
  <si>
    <t>C00125 * C00001 *  C00080</t>
  </si>
  <si>
    <t>C00125 *  C00001 *  C00080</t>
  </si>
  <si>
    <t>C00997 *  C00001</t>
  </si>
  <si>
    <t>C00125 * C00001 * C00080</t>
  </si>
  <si>
    <t>C00997 * C00001</t>
  </si>
  <si>
    <t>C00020 * C00013 * C00152</t>
  </si>
  <si>
    <t>C16236 + C22154 + C00019 +  C22150 +  C00080</t>
  </si>
  <si>
    <t>C16832 + C22155 +  C00283 +  C14818 +  C00073 +  C05198 +  C22151</t>
  </si>
  <si>
    <t>C16832 * C22155 *  C00283 *  C14818 *  C00073 *  C05198 *  C22151</t>
  </si>
  <si>
    <t>C22160 + C22154 +  C00019 +  C22150 +  C00080</t>
  </si>
  <si>
    <t>C22160 * C22154 *  C00019 *  C22150 *  C00080</t>
  </si>
  <si>
    <t xml:space="preserve"> C15973 + C22155 +  C00283 +  C14818 +  C00073 +  C05198 +  C22151</t>
  </si>
  <si>
    <t xml:space="preserve"> C15973 * C22155 *  C00283 *  C14818 *  C00073 *  C05198 *  C22151</t>
  </si>
  <si>
    <t>C22159 + C22154 +  C00019 +  C22150 +  C00080</t>
  </si>
  <si>
    <t>C22159 * C22154 *  C00019 *  C22150 *  C00080</t>
  </si>
  <si>
    <t>C02972 + C22155 +  C00283 +  C14818 +  C00073 +  C05198 +  C22151</t>
  </si>
  <si>
    <t>C02972 * C22155 *  C00283 *  C14818 *  C00073 *  C05198 *  C22151</t>
  </si>
  <si>
    <t>C00071 * C00004 * C00080</t>
  </si>
  <si>
    <t>C00013 * C19853</t>
  </si>
  <si>
    <t>C00013 + C19853</t>
  </si>
  <si>
    <t>C16826 * C00129</t>
  </si>
  <si>
    <t>C16826 + C00129</t>
  </si>
  <si>
    <t>C00002 + C00534</t>
  </si>
  <si>
    <t>C00002 * C00534</t>
  </si>
  <si>
    <t>C03263 *  C00019</t>
  </si>
  <si>
    <t>C01079 + C00011 +  C00073 +  C05198</t>
  </si>
  <si>
    <t>C01079 *  C00011 *  C00073 *  C05198</t>
  </si>
  <si>
    <t>C00007 * C01000</t>
  </si>
  <si>
    <t>C00007 * C00126 *  C00080</t>
  </si>
  <si>
    <t>C00007 + C00126 + C00080</t>
  </si>
  <si>
    <t>C00007 + C01000</t>
  </si>
  <si>
    <t>C05421 * C00013</t>
  </si>
  <si>
    <t>C05421 + C00013</t>
  </si>
  <si>
    <t xml:space="preserve">C00353 </t>
  </si>
  <si>
    <t xml:space="preserve"> C05413 * C00013</t>
  </si>
  <si>
    <t xml:space="preserve"> C19797 * C01352</t>
  </si>
  <si>
    <t xml:space="preserve">C16144 * C00016 </t>
  </si>
  <si>
    <t>C00013 + C00921</t>
  </si>
  <si>
    <t>C22150 * C00003 * C00080</t>
  </si>
  <si>
    <t>C00138 + C00006 + C00080</t>
  </si>
  <si>
    <t>C00662 + C00006 + C00080</t>
  </si>
  <si>
    <t xml:space="preserve">C22150 + C00006 + C00080 </t>
  </si>
  <si>
    <t xml:space="preserve">C22150 * C00006 * C00080 </t>
  </si>
  <si>
    <t>C22151 + C00004</t>
  </si>
  <si>
    <t>C22151 + C00005</t>
  </si>
  <si>
    <t>C22151 * C00004</t>
  </si>
  <si>
    <t>C22151 * C00005</t>
  </si>
  <si>
    <t>C22150 + C00003 + C00080</t>
  </si>
  <si>
    <t xml:space="preserve">C02670 + C00003 + C00001 </t>
  </si>
  <si>
    <t xml:space="preserve">C02670 * C00003 * C00001 </t>
  </si>
  <si>
    <t>C06614 * C00080</t>
  </si>
  <si>
    <t>C06615 * C00080</t>
  </si>
  <si>
    <t>C06614 + C00080</t>
  </si>
  <si>
    <t>C06615 + C00080</t>
  </si>
  <si>
    <t xml:space="preserve">C00029 + C00001 + C00003 </t>
  </si>
  <si>
    <t xml:space="preserve">C00029 * C00001 * C00003 </t>
  </si>
  <si>
    <t>C00167 * C00004 * C00080</t>
  </si>
  <si>
    <t xml:space="preserve">C00704 + C00080 </t>
  </si>
  <si>
    <t xml:space="preserve">C00704 * C00080 </t>
  </si>
  <si>
    <t>C04874 + C00009</t>
  </si>
  <si>
    <t>C04874 * C00009</t>
  </si>
  <si>
    <t>C02211 + C00063 + C00002</t>
  </si>
  <si>
    <t>C02211 * C00063 * C00002</t>
  </si>
  <si>
    <t>C00005 * C00080 * C18902</t>
  </si>
  <si>
    <t>C01528 * C00006 * C00001</t>
  </si>
  <si>
    <t>C01528 +  C00006 + C00001</t>
  </si>
  <si>
    <t>C00005 + C00080 + C18902</t>
  </si>
  <si>
    <t>C05684 + C00005 + C00080</t>
  </si>
  <si>
    <t>C05684 * C00005 * C00080</t>
  </si>
  <si>
    <t>C01909 + C17023 + C00019 + C05359 + C00080</t>
  </si>
  <si>
    <t>C01909 * C17023 * C00019 * C05359 * C00080</t>
  </si>
  <si>
    <t>C15602 + C00005 + C00080</t>
  </si>
  <si>
    <t xml:space="preserve">C00632 +  C00007 </t>
  </si>
  <si>
    <t>C00931 + C00001</t>
  </si>
  <si>
    <t>C00019 + C02469</t>
  </si>
  <si>
    <t>C00931 +  C00001</t>
  </si>
  <si>
    <t>C05768 + C00011</t>
  </si>
  <si>
    <t>C05768 * C00011</t>
  </si>
  <si>
    <t xml:space="preserve">C00448 +  C00129 </t>
  </si>
  <si>
    <t>C00026 + C00011 + C00005 + C00080</t>
  </si>
  <si>
    <t>C00026 * C00011 * C00005 * C00080</t>
  </si>
  <si>
    <t xml:space="preserve"> C00662 + C00006 + C00080</t>
  </si>
  <si>
    <t>C00101 + C00006</t>
  </si>
  <si>
    <t>C00019 + C20648</t>
  </si>
  <si>
    <t xml:space="preserve">C03722 + C00001 + C00009 </t>
  </si>
  <si>
    <t xml:space="preserve">C03722 * C00001 * C00009 </t>
  </si>
  <si>
    <t>C00235 + C00139 + C00001</t>
  </si>
  <si>
    <t>C00047 * C00011</t>
  </si>
  <si>
    <t>C00002 + C00133</t>
  </si>
  <si>
    <t>C00002 * C00133</t>
  </si>
  <si>
    <t>C04332 * C00001 * C00009</t>
  </si>
  <si>
    <t>C00224 + C00002</t>
  </si>
  <si>
    <t>C00704 + C00080</t>
  </si>
  <si>
    <t>C00020 + C00013 + C00886</t>
  </si>
  <si>
    <t>C00020 * C00013 * C00886</t>
  </si>
  <si>
    <t>C00235 + C17324</t>
  </si>
  <si>
    <t>C00235 * C17324</t>
  </si>
  <si>
    <t xml:space="preserve">C06717 + C00003 </t>
  </si>
  <si>
    <t>G11174 + C00003</t>
  </si>
  <si>
    <t xml:space="preserve">C06717 + C00006 </t>
  </si>
  <si>
    <t>G11174 + C00006</t>
  </si>
  <si>
    <t>C11453 + C00138</t>
  </si>
  <si>
    <t>C11453 * C00138</t>
  </si>
  <si>
    <t>C00206 * C00074</t>
  </si>
  <si>
    <t>C00860 + C00003 + C00001</t>
  </si>
  <si>
    <t>C06697 + C00001 + C05357</t>
  </si>
  <si>
    <t>C06697 + C00001 + C00125</t>
  </si>
  <si>
    <t xml:space="preserve">C00007 + C01000 </t>
  </si>
  <si>
    <t>C00007 + C00126 +  C00080</t>
  </si>
  <si>
    <t>C16236 * C22154 * C00019 *  C22150 * C00080</t>
  </si>
  <si>
    <t>C03263 + C00019</t>
  </si>
  <si>
    <t>C00008 +  C00009 + C05929</t>
  </si>
  <si>
    <t>C00109 * C00042 * C00014</t>
  </si>
  <si>
    <t>C00020 * C00013 * C00864</t>
  </si>
  <si>
    <t>C00008 *  C00009 * C05929</t>
  </si>
  <si>
    <t>C00342 * C00112</t>
  </si>
  <si>
    <t xml:space="preserve">C16144 + C00016 </t>
  </si>
  <si>
    <t>C19841 + C01352</t>
  </si>
  <si>
    <t>C00020 + C00013 + C00864</t>
  </si>
  <si>
    <t>C00111 + C00279</t>
  </si>
  <si>
    <t>C00167 + C00004 + C00080</t>
  </si>
  <si>
    <t>C00022 * C00025</t>
  </si>
  <si>
    <t>C00006 + C00001 + C05703</t>
  </si>
  <si>
    <t>C00006 * C00001 * C05703</t>
  </si>
  <si>
    <t>C01079 + C00007</t>
  </si>
  <si>
    <t>C03523 + C00066</t>
  </si>
  <si>
    <t>C03523 * C00066</t>
  </si>
  <si>
    <t>C11811 +  C00138 +  C00080</t>
  </si>
  <si>
    <t>C00020 * C05172  * C00009</t>
  </si>
  <si>
    <t>C00047 + C00011</t>
  </si>
  <si>
    <t>C04332 +  C00001 + C00009</t>
  </si>
  <si>
    <t>C00008 + C00009 + C05379</t>
  </si>
  <si>
    <t>C00008 * C00009 * C05379</t>
  </si>
  <si>
    <t>C00008 * C00009 * C05379</t>
  </si>
  <si>
    <t>C00008 + C00009 + C05379</t>
  </si>
  <si>
    <t>C00002 * C00026 * C00288</t>
  </si>
  <si>
    <t>C00002 + C00026 + C00288</t>
  </si>
  <si>
    <t>C00008 + C00009 + C04419</t>
  </si>
  <si>
    <t>C00008 * C00009 * C04419</t>
  </si>
  <si>
    <t>C00008 + C00009 + C04419</t>
  </si>
  <si>
    <t>C00008 * C00009 * C04419</t>
  </si>
  <si>
    <t>C00349 + C00004 + C00080</t>
  </si>
  <si>
    <t>C00349 * C00004 * C00080</t>
  </si>
  <si>
    <t>C00020 + C00013 + C02430</t>
  </si>
  <si>
    <t>C00020 * C00013 * C02430</t>
  </si>
  <si>
    <t>C00020 + C00013 + C03512</t>
  </si>
  <si>
    <t>C00020 * C00013 * C03512</t>
  </si>
  <si>
    <t>C00352 * C00033</t>
  </si>
  <si>
    <t>C00900 + C00011</t>
  </si>
  <si>
    <t>C00900 * C00011</t>
  </si>
  <si>
    <t>C00020 * C00013 * C02843</t>
  </si>
  <si>
    <t>C00020 + C00013 + C02843</t>
  </si>
  <si>
    <t>C06718 * C00004 * C00080</t>
  </si>
  <si>
    <t>C06718 + C00004 + C00080</t>
  </si>
  <si>
    <t>C18235 * C00003</t>
  </si>
  <si>
    <t>C00002 + C00638 + C00010</t>
  </si>
  <si>
    <t>C00002 * C00638 * C00010</t>
  </si>
  <si>
    <t>C00299 * C00014</t>
  </si>
  <si>
    <t>C00299 + C00014</t>
  </si>
  <si>
    <t>C00020 * C00013 * C02843</t>
  </si>
  <si>
    <t>C00020 + C00013 + C02843</t>
  </si>
  <si>
    <t>C00120 * C00073 * C05198</t>
  </si>
  <si>
    <t>https://www.ncbi.nlm.nih.gov/datasets/genome/GCF_023520795.1/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</si>
</sst>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0"/>
      <name val="Aptos Narrow"/>
      <family val="2"/>
      <scheme val="minor"/>
    </font>
    <font>
      <sz val="12"/>
      <color theme="1"/>
      <name val="Aptos Narrow (Body)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rgb="FF46788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onsolas"/>
      <family val="2"/>
    </font>
    <font>
      <sz val="11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3D7E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3D7E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F"/>
        <bgColor rgb="FF000000"/>
      </patternFill>
    </fill>
    <fill>
      <patternFill patternType="solid">
        <fgColor rgb="FFBDD7E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F1F1F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6">
    <xf numFmtId="0" fontId="0" fillId="0" borderId="0" xfId="0"/>
    <xf numFmtId="0" fontId="18" fillId="0" borderId="0" xfId="42"/>
    <xf numFmtId="0" fontId="19" fillId="0" borderId="0" xfId="42" applyFont="1"/>
    <xf numFmtId="0" fontId="20" fillId="0" borderId="0" xfId="0" applyFont="1"/>
    <xf numFmtId="0" fontId="21" fillId="0" borderId="0" xfId="0" applyFont="1"/>
    <xf numFmtId="0" fontId="20" fillId="0" borderId="0" xfId="42" applyFont="1"/>
    <xf numFmtId="0" fontId="22" fillId="0" borderId="0" xfId="0" applyFont="1"/>
    <xf numFmtId="0" fontId="24" fillId="0" borderId="0" xfId="0" applyFont="1"/>
    <xf numFmtId="0" fontId="25" fillId="0" borderId="0" xfId="0" applyFont="1" applyAlignment="1">
      <alignment wrapText="1"/>
    </xf>
    <xf numFmtId="0" fontId="18" fillId="0" borderId="0" xfId="42" applyFill="1"/>
    <xf numFmtId="0" fontId="26" fillId="0" borderId="0" xfId="0" applyFont="1"/>
    <xf numFmtId="0" fontId="25" fillId="33" borderId="0" xfId="0" applyFont="1" applyFill="1" applyAlignment="1">
      <alignment wrapText="1"/>
    </xf>
    <xf numFmtId="0" fontId="27" fillId="0" borderId="0" xfId="0" applyFont="1" applyAlignment="1">
      <alignment wrapText="1"/>
    </xf>
    <xf numFmtId="0" fontId="27" fillId="34" borderId="0" xfId="0" applyFont="1" applyFill="1" applyAlignment="1">
      <alignment wrapText="1"/>
    </xf>
    <xf numFmtId="0" fontId="27" fillId="35" borderId="0" xfId="0" applyFont="1" applyFill="1" applyAlignment="1">
      <alignment wrapText="1"/>
    </xf>
    <xf numFmtId="0" fontId="27" fillId="36" borderId="0" xfId="0" applyFont="1" applyFill="1" applyAlignment="1">
      <alignment wrapText="1"/>
    </xf>
    <xf numFmtId="0" fontId="27" fillId="37" borderId="0" xfId="0" applyFont="1" applyFill="1" applyAlignment="1">
      <alignment wrapText="1"/>
    </xf>
    <xf numFmtId="0" fontId="27" fillId="38" borderId="0" xfId="0" applyFont="1" applyFill="1" applyAlignment="1">
      <alignment wrapText="1"/>
    </xf>
    <xf numFmtId="0" fontId="27" fillId="39" borderId="0" xfId="0" applyFont="1" applyFill="1" applyAlignment="1">
      <alignment wrapText="1"/>
    </xf>
    <xf numFmtId="0" fontId="27" fillId="40" borderId="0" xfId="0" applyFont="1" applyFill="1" applyAlignment="1">
      <alignment wrapText="1"/>
    </xf>
    <xf numFmtId="0" fontId="27" fillId="41" borderId="0" xfId="0" applyFont="1" applyFill="1" applyAlignment="1">
      <alignment wrapText="1"/>
    </xf>
    <xf numFmtId="0" fontId="0" fillId="33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28" fillId="0" borderId="0" xfId="0" applyFont="1"/>
    <xf numFmtId="0" fontId="29" fillId="0" borderId="0" xfId="0" applyFont="1"/>
    <xf numFmtId="0" fontId="29" fillId="39" borderId="0" xfId="0" applyFont="1" applyFill="1"/>
    <xf numFmtId="0" fontId="30" fillId="0" borderId="0" xfId="0" applyFont="1"/>
    <xf numFmtId="0" fontId="31" fillId="0" borderId="0" xfId="0" applyFont="1"/>
    <xf numFmtId="0" fontId="30" fillId="47" borderId="0" xfId="0" applyFont="1" applyFill="1"/>
    <xf numFmtId="0" fontId="29" fillId="50" borderId="0" xfId="0" applyFont="1" applyFill="1"/>
    <xf numFmtId="0" fontId="30" fillId="51" borderId="0" xfId="0" applyFont="1" applyFill="1"/>
    <xf numFmtId="0" fontId="32" fillId="0" borderId="0" xfId="0" applyFont="1" applyAlignment="1">
      <alignment vertical="top"/>
    </xf>
    <xf numFmtId="0" fontId="32" fillId="0" borderId="10" xfId="0" applyFont="1" applyBorder="1" applyAlignment="1">
      <alignment horizontal="left" vertical="top" wrapText="1"/>
    </xf>
    <xf numFmtId="0" fontId="32" fillId="0" borderId="10" xfId="0" applyFont="1" applyBorder="1" applyAlignment="1">
      <alignment vertical="top" wrapText="1"/>
    </xf>
    <xf numFmtId="0" fontId="32" fillId="0" borderId="0" xfId="0" applyFont="1" applyAlignment="1">
      <alignment horizontal="left" vertical="top" wrapText="1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DD7EF"/>
      <color rgb="FFFFCCCC"/>
      <color rgb="FF5656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datasets/taxonomy/38284/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genome.jp/entry/R01158/R01163/R03012" TargetMode="External"/><Relationship Id="rId3182" Type="http://schemas.openxmlformats.org/officeDocument/2006/relationships/hyperlink" Target="https://www.genome.jp/dbget-bin/www_bget?ec:2.7.7.7" TargetMode="External"/><Relationship Id="rId3042" Type="http://schemas.openxmlformats.org/officeDocument/2006/relationships/hyperlink" Target="https://www.genome.jp/entry/R00022/R03492/R04184/R04586/R05963/R06001/R06004/R06141/R07809/R07810/R09323/R10831/R11316/R11317/R12963" TargetMode="External"/><Relationship Id="rId170" Type="http://schemas.openxmlformats.org/officeDocument/2006/relationships/hyperlink" Target="https://enzyme.expasy.org/EC/3.2.1.1" TargetMode="External"/><Relationship Id="rId3859" Type="http://schemas.openxmlformats.org/officeDocument/2006/relationships/hyperlink" Target="https://www.genome.jp/dbget-bin/www_bget?ec:2.7.1.11" TargetMode="External"/><Relationship Id="rId987" Type="http://schemas.openxmlformats.org/officeDocument/2006/relationships/hyperlink" Target="https://www.genome.jp/entry/R03194/R07237/R07238/R03950" TargetMode="External"/><Relationship Id="rId2668" Type="http://schemas.openxmlformats.org/officeDocument/2006/relationships/hyperlink" Target="https://www.genome.jp/dbget-bin/www_bget?ec:1.1.1.100" TargetMode="External"/><Relationship Id="rId2875" Type="http://schemas.openxmlformats.org/officeDocument/2006/relationships/hyperlink" Target="https://www.genome.jp/entry/R03067/R03066" TargetMode="External"/><Relationship Id="rId3719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926" Type="http://schemas.openxmlformats.org/officeDocument/2006/relationships/hyperlink" Target="https://www.genome.jp/entry/R03968/R04001/R10170" TargetMode="External"/><Relationship Id="rId847" Type="http://schemas.openxmlformats.org/officeDocument/2006/relationships/hyperlink" Target="https://www.genome.jp/dbget-bin/www_bget?ec:2.7.13.3" TargetMode="External"/><Relationship Id="rId1477" Type="http://schemas.openxmlformats.org/officeDocument/2006/relationships/hyperlink" Target="https://www.genome.jp/entry/R00256/R00575/R01395/R10948/R10949/R07641" TargetMode="External"/><Relationship Id="rId1684" Type="http://schemas.openxmlformats.org/officeDocument/2006/relationships/hyperlink" Target="https://enzyme.expasy.org/EC/2.3.1.41" TargetMode="External"/><Relationship Id="rId1891" Type="http://schemas.openxmlformats.org/officeDocument/2006/relationships/hyperlink" Target="https://www.genome.jp/entry/R06178/R06179/R04519/R06177" TargetMode="External"/><Relationship Id="rId2528" Type="http://schemas.openxmlformats.org/officeDocument/2006/relationships/hyperlink" Target="https://enzyme.expasy.org/EC/2.7.4.6" TargetMode="External"/><Relationship Id="rId2735" Type="http://schemas.openxmlformats.org/officeDocument/2006/relationships/hyperlink" Target="https://enzyme.expasy.org/EC/3.6.1.9" TargetMode="External"/><Relationship Id="rId2942" Type="http://schemas.openxmlformats.org/officeDocument/2006/relationships/hyperlink" Target="https://www.genome.jp/dbget-bin/www_bget?ec:1.2.1.3" TargetMode="External"/><Relationship Id="rId707" Type="http://schemas.openxmlformats.org/officeDocument/2006/relationships/hyperlink" Target="https://enzyme.expasy.org/EC/2.8.1.1" TargetMode="External"/><Relationship Id="rId914" Type="http://schemas.openxmlformats.org/officeDocument/2006/relationships/hyperlink" Target="https://www.genome.jp/dbget-bin/www_bget?ec:2.3.3.13" TargetMode="External"/><Relationship Id="rId1337" Type="http://schemas.openxmlformats.org/officeDocument/2006/relationships/hyperlink" Target="https://www.genome.jp/dbget-bin/www_bget?ec:7.6.2.2" TargetMode="External"/><Relationship Id="rId1544" Type="http://schemas.openxmlformats.org/officeDocument/2006/relationships/hyperlink" Target="https://enzyme.expasy.org/EC/4.3.1.17" TargetMode="External"/><Relationship Id="rId1751" Type="http://schemas.openxmlformats.org/officeDocument/2006/relationships/hyperlink" Target="https://www.genome.jp/dbget-bin/www_bget?ec:2.7.7.41" TargetMode="External"/><Relationship Id="rId2802" Type="http://schemas.openxmlformats.org/officeDocument/2006/relationships/hyperlink" Target="https://www.genome.jp/dbget-bin/www_bget?ec:6.3.5.3" TargetMode="External"/><Relationship Id="rId43" Type="http://schemas.openxmlformats.org/officeDocument/2006/relationships/hyperlink" Target="https://enzyme.expasy.org/EC/6.1.1.2" TargetMode="External"/><Relationship Id="rId1404" Type="http://schemas.openxmlformats.org/officeDocument/2006/relationships/hyperlink" Target="https://www.genome.jp/dbget-bin/www_bget?ec:5.3.1.1" TargetMode="External"/><Relationship Id="rId1611" Type="http://schemas.openxmlformats.org/officeDocument/2006/relationships/hyperlink" Target="https://www.genome.jp/entry/5.6.2.5" TargetMode="External"/><Relationship Id="rId3369" Type="http://schemas.openxmlformats.org/officeDocument/2006/relationships/hyperlink" Target="https://www.genome.jp/entry/R00009/R00602/R02670" TargetMode="External"/><Relationship Id="rId3576" Type="http://schemas.openxmlformats.org/officeDocument/2006/relationships/hyperlink" Target="https://www.genome.jp/dbget-bin/www_bget?ec:1.6.5.2" TargetMode="External"/><Relationship Id="rId497" Type="http://schemas.openxmlformats.org/officeDocument/2006/relationships/hyperlink" Target="https://enzyme.expasy.org/EC/1.8.1.15" TargetMode="External"/><Relationship Id="rId2178" Type="http://schemas.openxmlformats.org/officeDocument/2006/relationships/hyperlink" Target="https://www.genome.jp/entry/R00230/R00921" TargetMode="External"/><Relationship Id="rId2385" Type="http://schemas.openxmlformats.org/officeDocument/2006/relationships/hyperlink" Target="https://www.genome.jp/dbget-bin/www_bget?ec:7.2.2.8" TargetMode="External"/><Relationship Id="rId3229" Type="http://schemas.openxmlformats.org/officeDocument/2006/relationships/hyperlink" Target="https://enzyme.expasy.org/EC/2.7.7.7" TargetMode="External"/><Relationship Id="rId3783" Type="http://schemas.openxmlformats.org/officeDocument/2006/relationships/hyperlink" Target="https://enzyme.expasy.org/EC/2.7.1.33" TargetMode="External"/><Relationship Id="rId357" Type="http://schemas.openxmlformats.org/officeDocument/2006/relationships/hyperlink" Target="https://enzyme.expasy.org/EC/6.3.4.5" TargetMode="External"/><Relationship Id="rId1194" Type="http://schemas.openxmlformats.org/officeDocument/2006/relationships/hyperlink" Target="https://www.genome.jp/entry/R00658/R04206" TargetMode="External"/><Relationship Id="rId2038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592" Type="http://schemas.openxmlformats.org/officeDocument/2006/relationships/hyperlink" Target="https://enzyme.expasy.org/EC/2.5.1.48" TargetMode="External"/><Relationship Id="rId3436" Type="http://schemas.openxmlformats.org/officeDocument/2006/relationships/hyperlink" Target="https://www.genome.jp/dbget-bin/www_bget?ec:1.8.1.4" TargetMode="External"/><Relationship Id="rId3643" Type="http://schemas.openxmlformats.org/officeDocument/2006/relationships/hyperlink" Target="https://www.genome.jp/dbget-bin/www_bget?ec:3.1.3.25" TargetMode="External"/><Relationship Id="rId3850" Type="http://schemas.openxmlformats.org/officeDocument/2006/relationships/hyperlink" Target="https://www.genome.jp/dbget-bin/www_bget?ec:2.8.1.7" TargetMode="External"/><Relationship Id="rId217" Type="http://schemas.openxmlformats.org/officeDocument/2006/relationships/hyperlink" Target="https://enzyme.expasy.org/EC/3.6.3.-" TargetMode="External"/><Relationship Id="rId564" Type="http://schemas.openxmlformats.org/officeDocument/2006/relationships/hyperlink" Target="https://enzyme.expasy.org/EC/6.3.1.2" TargetMode="External"/><Relationship Id="rId771" Type="http://schemas.openxmlformats.org/officeDocument/2006/relationships/hyperlink" Target="https://enzyme.expasy.org/EC/3.5.1.25" TargetMode="External"/><Relationship Id="rId2245" Type="http://schemas.openxmlformats.org/officeDocument/2006/relationships/hyperlink" Target="https://www.genome.jp/entry/R00630/R06728/R08255/R08258/R08220/R08249/R08251/R08295/R08300" TargetMode="External"/><Relationship Id="rId2452" Type="http://schemas.openxmlformats.org/officeDocument/2006/relationships/hyperlink" Target="https://www.genome.jp/dbget-bin/www_bget?ec:4.1.3.27" TargetMode="External"/><Relationship Id="rId3503" Type="http://schemas.openxmlformats.org/officeDocument/2006/relationships/hyperlink" Target="https://enzyme.expasy.org/EC/2.7.7.6" TargetMode="External"/><Relationship Id="rId3710" Type="http://schemas.openxmlformats.org/officeDocument/2006/relationships/hyperlink" Target="https://enzyme.expasy.org/EC/6.1.1.10" TargetMode="External"/><Relationship Id="rId424" Type="http://schemas.openxmlformats.org/officeDocument/2006/relationships/hyperlink" Target="https://enzyme.expasy.org/EC/2.7.4.8" TargetMode="External"/><Relationship Id="rId631" Type="http://schemas.openxmlformats.org/officeDocument/2006/relationships/hyperlink" Target="https://enzyme.expasy.org/EC/2.5.1.48" TargetMode="External"/><Relationship Id="rId1054" Type="http://schemas.openxmlformats.org/officeDocument/2006/relationships/hyperlink" Target="https://www.genome.jp/dbget-bin/www_bget?ec:3.1.11.2" TargetMode="External"/><Relationship Id="rId1261" Type="http://schemas.openxmlformats.org/officeDocument/2006/relationships/hyperlink" Target="https://www.genome.jp/dbget-bin/www_bget?ec:2.7.7.87" TargetMode="External"/><Relationship Id="rId2105" Type="http://schemas.openxmlformats.org/officeDocument/2006/relationships/hyperlink" Target="https://www.genome.jp/dbget-bin/www_bget?ec:3.1.3.5" TargetMode="External"/><Relationship Id="rId2312" Type="http://schemas.openxmlformats.org/officeDocument/2006/relationships/hyperlink" Target="https://www.genome.jp/entry/R02961" TargetMode="External"/><Relationship Id="rId1121" Type="http://schemas.openxmlformats.org/officeDocument/2006/relationships/hyperlink" Target="https://www.genome.jp/dbget-bin/www_bget?ec:3.6.4.12" TargetMode="External"/><Relationship Id="rId3086" Type="http://schemas.openxmlformats.org/officeDocument/2006/relationships/hyperlink" Target="https://www.genome.jp/dbget-bin/www_bget?ec:3.1.1.1" TargetMode="External"/><Relationship Id="rId3293" Type="http://schemas.openxmlformats.org/officeDocument/2006/relationships/hyperlink" Target="https://www.genome.jp/dbget-bin/www_bget?ec:2.7.7.7" TargetMode="External"/><Relationship Id="rId1938" Type="http://schemas.openxmlformats.org/officeDocument/2006/relationships/hyperlink" Target="https://enzyme.expasy.org/EC/2.6.1.42" TargetMode="External"/><Relationship Id="rId3153" Type="http://schemas.openxmlformats.org/officeDocument/2006/relationships/hyperlink" Target="https://www.genome.jp/entry/R00379/R00375/R00376/R00377/R00378/R11029" TargetMode="External"/><Relationship Id="rId3360" Type="http://schemas.openxmlformats.org/officeDocument/2006/relationships/hyperlink" Target="https://www.genome.jp/entry/R01779/R01977" TargetMode="External"/><Relationship Id="rId281" Type="http://schemas.openxmlformats.org/officeDocument/2006/relationships/hyperlink" Target="https://enzyme.expasy.org/EC/2.3.1.117" TargetMode="External"/><Relationship Id="rId3013" Type="http://schemas.openxmlformats.org/officeDocument/2006/relationships/hyperlink" Target="https://enzyme.expasy.org/EC/3.2.1.52" TargetMode="External"/><Relationship Id="rId141" Type="http://schemas.openxmlformats.org/officeDocument/2006/relationships/hyperlink" Target="https://enzyme.expasy.org/EC/1.3.1.98" TargetMode="External"/><Relationship Id="rId3220" Type="http://schemas.openxmlformats.org/officeDocument/2006/relationships/hyperlink" Target="https://enzyme.expasy.org/EC/2.7.7.7" TargetMode="External"/><Relationship Id="rId7" Type="http://schemas.openxmlformats.org/officeDocument/2006/relationships/hyperlink" Target="https://enzyme.expasy.org/EC/4.1.99.3" TargetMode="External"/><Relationship Id="rId2779" Type="http://schemas.openxmlformats.org/officeDocument/2006/relationships/hyperlink" Target="https://www.genome.jp/dbget-bin/www_bget?ec:2.6.1.21" TargetMode="External"/><Relationship Id="rId2986" Type="http://schemas.openxmlformats.org/officeDocument/2006/relationships/hyperlink" Target="https://enzyme.expasy.org/EC/1.2.1.3" TargetMode="External"/><Relationship Id="rId958" Type="http://schemas.openxmlformats.org/officeDocument/2006/relationships/hyperlink" Target="https://www.genome.jp/dbget-bin/www_bget?ec:1.3.5.4" TargetMode="External"/><Relationship Id="rId1588" Type="http://schemas.openxmlformats.org/officeDocument/2006/relationships/hyperlink" Target="https://www.genome.jp/entry/5.6.2.7" TargetMode="External"/><Relationship Id="rId1795" Type="http://schemas.openxmlformats.org/officeDocument/2006/relationships/hyperlink" Target="https://www.genome.jp/dbget-bin/www_bget?ec:2.7.1.40" TargetMode="External"/><Relationship Id="rId2639" Type="http://schemas.openxmlformats.org/officeDocument/2006/relationships/hyperlink" Target="https://www.genome.jp/dbget-bin/www_bget?ec:1.1.1.100" TargetMode="External"/><Relationship Id="rId2846" Type="http://schemas.openxmlformats.org/officeDocument/2006/relationships/hyperlink" Target="https://enzyme.expasy.org/EC/2.5.1.32" TargetMode="External"/><Relationship Id="rId87" Type="http://schemas.openxmlformats.org/officeDocument/2006/relationships/hyperlink" Target="https://enzyme.expasy.org/EC/1.1.99.1" TargetMode="External"/><Relationship Id="rId818" Type="http://schemas.openxmlformats.org/officeDocument/2006/relationships/hyperlink" Target="https://www.genome.jp/dbget-bin/www_bget?ec:5.6.2.2" TargetMode="External"/><Relationship Id="rId1448" Type="http://schemas.openxmlformats.org/officeDocument/2006/relationships/hyperlink" Target="https://enzyme.expasy.org/EC/2.5.1.6" TargetMode="External"/><Relationship Id="rId1655" Type="http://schemas.openxmlformats.org/officeDocument/2006/relationships/hyperlink" Target="https://enzyme.expasy.org/EC/2.7.1.2" TargetMode="External"/><Relationship Id="rId2706" Type="http://schemas.openxmlformats.org/officeDocument/2006/relationships/hyperlink" Target="https://www.genome.jp/dbget-bin/www_bget?ec:1.97.1.4" TargetMode="External"/><Relationship Id="rId1308" Type="http://schemas.openxmlformats.org/officeDocument/2006/relationships/hyperlink" Target="https://www.genome.jp/dbget-bin/www_bget?ec:1.2.1.38" TargetMode="External"/><Relationship Id="rId1862" Type="http://schemas.openxmlformats.org/officeDocument/2006/relationships/hyperlink" Target="https://www.genome.jp/entry/R05662/R06173/R05032/R06172/R06174" TargetMode="External"/><Relationship Id="rId2913" Type="http://schemas.openxmlformats.org/officeDocument/2006/relationships/hyperlink" Target="https://www.genome.jp/dbget-bin/www_bget?ec:2.1.1.34" TargetMode="External"/><Relationship Id="rId1515" Type="http://schemas.openxmlformats.org/officeDocument/2006/relationships/hyperlink" Target="https://www.genome.jp/entry/R10551" TargetMode="External"/><Relationship Id="rId1722" Type="http://schemas.openxmlformats.org/officeDocument/2006/relationships/hyperlink" Target="https://enzyme.expasy.org/EC/2.7.7.8" TargetMode="External"/><Relationship Id="rId14" Type="http://schemas.openxmlformats.org/officeDocument/2006/relationships/hyperlink" Target="https://enzyme.expasy.org/EC/2.1.1.79" TargetMode="External"/><Relationship Id="rId3687" Type="http://schemas.openxmlformats.org/officeDocument/2006/relationships/hyperlink" Target="https://www.genome.jp/dbget-bin/www_bget?ec:3.1.3.7" TargetMode="External"/><Relationship Id="rId3894" Type="http://schemas.openxmlformats.org/officeDocument/2006/relationships/hyperlink" Target="https://enzyme.expasy.org/EC/1.1.1.86" TargetMode="External"/><Relationship Id="rId2289" Type="http://schemas.openxmlformats.org/officeDocument/2006/relationships/hyperlink" Target="https://www.genome.jp/dbget-bin/www_bget?ec:1.14.13.107" TargetMode="External"/><Relationship Id="rId2496" Type="http://schemas.openxmlformats.org/officeDocument/2006/relationships/hyperlink" Target="https://www.genome.jp/dbget-bin/www_bget?ec:1.8.1.9" TargetMode="External"/><Relationship Id="rId3547" Type="http://schemas.openxmlformats.org/officeDocument/2006/relationships/hyperlink" Target="https://www.genome.jp/entry/R00444/R00435/R00441/R00442/R00443/R10813" TargetMode="External"/><Relationship Id="rId3754" Type="http://schemas.openxmlformats.org/officeDocument/2006/relationships/hyperlink" Target="https://www.genome.jp/dbget-bin/www_bget?ec:4.2.1.17" TargetMode="External"/><Relationship Id="rId3961" Type="http://schemas.openxmlformats.org/officeDocument/2006/relationships/hyperlink" Target="https://enzyme.expasy.org/EC/3.1.1.1" TargetMode="External"/><Relationship Id="rId468" Type="http://schemas.openxmlformats.org/officeDocument/2006/relationships/hyperlink" Target="https://enzyme.expasy.org/EC/4.3.1.17" TargetMode="External"/><Relationship Id="rId675" Type="http://schemas.openxmlformats.org/officeDocument/2006/relationships/hyperlink" Target="https://enzyme.expasy.org/EC/3.4.21.83" TargetMode="External"/><Relationship Id="rId882" Type="http://schemas.openxmlformats.org/officeDocument/2006/relationships/hyperlink" Target="https://www.genome.jp/dbget-bin/www_bget?ec:2.2.1.6" TargetMode="External"/><Relationship Id="rId1098" Type="http://schemas.openxmlformats.org/officeDocument/2006/relationships/hyperlink" Target="https://www.genome.jp/entry/R07404" TargetMode="External"/><Relationship Id="rId2149" Type="http://schemas.openxmlformats.org/officeDocument/2006/relationships/hyperlink" Target="https://www.genome.jp/dbget-bin/www_bget?ec:2.3.1.9" TargetMode="External"/><Relationship Id="rId2356" Type="http://schemas.openxmlformats.org/officeDocument/2006/relationships/hyperlink" Target="https://www.genome.jp/entry/R04594/R11173" TargetMode="External"/><Relationship Id="rId2563" Type="http://schemas.openxmlformats.org/officeDocument/2006/relationships/hyperlink" Target="https://www.genome.jp/entry/R01226/R01216" TargetMode="External"/><Relationship Id="rId2770" Type="http://schemas.openxmlformats.org/officeDocument/2006/relationships/hyperlink" Target="https://www.genome.jp/entry/R00586" TargetMode="External"/><Relationship Id="rId3407" Type="http://schemas.openxmlformats.org/officeDocument/2006/relationships/hyperlink" Target="https://www.genome.jp/entry/R07248/R13277" TargetMode="External"/><Relationship Id="rId3614" Type="http://schemas.openxmlformats.org/officeDocument/2006/relationships/hyperlink" Target="https://enzyme.expasy.org/EC/3.2.1.1" TargetMode="External"/><Relationship Id="rId3821" Type="http://schemas.openxmlformats.org/officeDocument/2006/relationships/hyperlink" Target="https://www.genome.jp/entry/R00801/R00802/R02410/R03635/R03921/R06087/R06088/R06100/R06101/R06102" TargetMode="External"/><Relationship Id="rId328" Type="http://schemas.openxmlformats.org/officeDocument/2006/relationships/hyperlink" Target="https://enzyme.expasy.org/EC/1.1.1.86" TargetMode="External"/><Relationship Id="rId535" Type="http://schemas.openxmlformats.org/officeDocument/2006/relationships/hyperlink" Target="https://enzyme.expasy.org/EC/6.3.2.8" TargetMode="External"/><Relationship Id="rId742" Type="http://schemas.openxmlformats.org/officeDocument/2006/relationships/hyperlink" Target="https://enzyme.expasy.org/EC/3.6.4.12" TargetMode="External"/><Relationship Id="rId1165" Type="http://schemas.openxmlformats.org/officeDocument/2006/relationships/hyperlink" Target="https://www.genome.jp/entry/R04072/R07620/R11399" TargetMode="External"/><Relationship Id="rId1372" Type="http://schemas.openxmlformats.org/officeDocument/2006/relationships/hyperlink" Target="https://enzyme.expasy.org/EC/4.2.1.3" TargetMode="External"/><Relationship Id="rId2009" Type="http://schemas.openxmlformats.org/officeDocument/2006/relationships/hyperlink" Target="https://enzyme.expasy.org/EC/1.1.1.1" TargetMode="External"/><Relationship Id="rId2216" Type="http://schemas.openxmlformats.org/officeDocument/2006/relationships/hyperlink" Target="https://enzyme.expasy.org/EC/3.1.1.1" TargetMode="External"/><Relationship Id="rId2423" Type="http://schemas.openxmlformats.org/officeDocument/2006/relationships/hyperlink" Target="https://www.genome.jp/dbget-bin/www_bget?ec:1.17.4.1" TargetMode="External"/><Relationship Id="rId2630" Type="http://schemas.openxmlformats.org/officeDocument/2006/relationships/hyperlink" Target="https://www.genome.jp/dbget-bin/www_bget?ec:1.1.1.100" TargetMode="External"/><Relationship Id="rId602" Type="http://schemas.openxmlformats.org/officeDocument/2006/relationships/hyperlink" Target="https://enzyme.expasy.org/EC/4.4.1.8" TargetMode="External"/><Relationship Id="rId1025" Type="http://schemas.openxmlformats.org/officeDocument/2006/relationships/hyperlink" Target="https://www.genome.jp/entry/R00444/R00435/R00441/R00442/R00443/R10813" TargetMode="External"/><Relationship Id="rId1232" Type="http://schemas.openxmlformats.org/officeDocument/2006/relationships/hyperlink" Target="https://www.genome.jp/entry/R00801/R00802/R02410/R03635/R03921/R06087/R06088/R06100/R06101/R06102" TargetMode="External"/><Relationship Id="rId3197" Type="http://schemas.openxmlformats.org/officeDocument/2006/relationships/hyperlink" Target="https://www.genome.jp/dbget-bin/www_bget?ec:2.7.7.7" TargetMode="External"/><Relationship Id="rId3057" Type="http://schemas.openxmlformats.org/officeDocument/2006/relationships/hyperlink" Target="https://www.genome.jp/dbget-bin/www_bget?ec:2.4.1.11" TargetMode="External"/><Relationship Id="rId185" Type="http://schemas.openxmlformats.org/officeDocument/2006/relationships/hyperlink" Target="https://enzyme.expasy.org/EC/7.6.2.9" TargetMode="External"/><Relationship Id="rId1909" Type="http://schemas.openxmlformats.org/officeDocument/2006/relationships/hyperlink" Target="https://enzyme.expasy.org/EC/7.1.1.9" TargetMode="External"/><Relationship Id="rId3264" Type="http://schemas.openxmlformats.org/officeDocument/2006/relationships/hyperlink" Target="https://www.genome.jp/dbget-bin/www_bget?ec:2.7.7.7" TargetMode="External"/><Relationship Id="rId3471" Type="http://schemas.openxmlformats.org/officeDocument/2006/relationships/hyperlink" Target="https://www.genome.jp/dbget-bin/www_bget?ec:2.1.1.107" TargetMode="External"/><Relationship Id="rId392" Type="http://schemas.openxmlformats.org/officeDocument/2006/relationships/hyperlink" Target="https://enzyme.expasy.org/EC/3.4.11.-" TargetMode="External"/><Relationship Id="rId2073" Type="http://schemas.openxmlformats.org/officeDocument/2006/relationships/hyperlink" Target="https://www.genome.jp/dbget-bin/www_bget?ec:1.2.4.1" TargetMode="External"/><Relationship Id="rId2280" Type="http://schemas.openxmlformats.org/officeDocument/2006/relationships/hyperlink" Target="https://enzyme.expasy.org/EC/1.14.13.107" TargetMode="External"/><Relationship Id="rId3124" Type="http://schemas.openxmlformats.org/officeDocument/2006/relationships/hyperlink" Target="https://enzyme.expasy.org/EC/6.2.1.3" TargetMode="External"/><Relationship Id="rId3331" Type="http://schemas.openxmlformats.org/officeDocument/2006/relationships/hyperlink" Target="https://enzyme.expasy.org/EC/2.2.1.6" TargetMode="External"/><Relationship Id="rId252" Type="http://schemas.openxmlformats.org/officeDocument/2006/relationships/hyperlink" Target="https://enzyme.expasy.org/EC/4.3.2.3" TargetMode="External"/><Relationship Id="rId2140" Type="http://schemas.openxmlformats.org/officeDocument/2006/relationships/hyperlink" Target="https://enzyme.expasy.org/EC/2.8.3.5" TargetMode="External"/><Relationship Id="rId112" Type="http://schemas.openxmlformats.org/officeDocument/2006/relationships/hyperlink" Target="https://enzyme.expasy.org/EC/6.1.1.-" TargetMode="External"/><Relationship Id="rId1699" Type="http://schemas.openxmlformats.org/officeDocument/2006/relationships/hyperlink" Target="https://enzyme.expasy.org/EC/2.3.1.41" TargetMode="External"/><Relationship Id="rId2000" Type="http://schemas.openxmlformats.org/officeDocument/2006/relationships/hyperlink" Target="https://enzyme.expasy.org/EC/1.1.1.1" TargetMode="External"/><Relationship Id="rId2957" Type="http://schemas.openxmlformats.org/officeDocument/2006/relationships/hyperlink" Target="https://www.genome.jp/dbget-bin/www_bget?ec:1.2.1.3" TargetMode="External"/><Relationship Id="rId929" Type="http://schemas.openxmlformats.org/officeDocument/2006/relationships/hyperlink" Target="https://www.genome.jp/entry/R00390/R01280" TargetMode="External"/><Relationship Id="rId1559" Type="http://schemas.openxmlformats.org/officeDocument/2006/relationships/hyperlink" Target="https://www.genome.jp/entry/R11702/R12038" TargetMode="External"/><Relationship Id="rId1766" Type="http://schemas.openxmlformats.org/officeDocument/2006/relationships/hyperlink" Target="https://www.genome.jp/dbget-bin/www_bget?ec:3.6.1.7" TargetMode="External"/><Relationship Id="rId1973" Type="http://schemas.openxmlformats.org/officeDocument/2006/relationships/hyperlink" Target="https://www.genome.jp/entry/R07767/R12423/R12424" TargetMode="External"/><Relationship Id="rId2817" Type="http://schemas.openxmlformats.org/officeDocument/2006/relationships/hyperlink" Target="https://www.genome.jp/dbget-bin/www_bget?enzyme+1.2.5.1" TargetMode="External"/><Relationship Id="rId58" Type="http://schemas.openxmlformats.org/officeDocument/2006/relationships/hyperlink" Target="https://enzyme.expasy.org/EC/5.6.2.2" TargetMode="External"/><Relationship Id="rId1419" Type="http://schemas.openxmlformats.org/officeDocument/2006/relationships/hyperlink" Target="https://www.genome.jp/dbget-bin/www_bget?ec:5.1.3.2" TargetMode="External"/><Relationship Id="rId1626" Type="http://schemas.openxmlformats.org/officeDocument/2006/relationships/hyperlink" Target="https://www.genome.jp/entry/2.7.1.63" TargetMode="External"/><Relationship Id="rId1833" Type="http://schemas.openxmlformats.org/officeDocument/2006/relationships/hyperlink" Target="https://www.genome.jp/dbget-bin/www_bget?ec:4.3.1.19" TargetMode="External"/><Relationship Id="rId1900" Type="http://schemas.openxmlformats.org/officeDocument/2006/relationships/hyperlink" Target="https://www.genome.jp/entry/R02003" TargetMode="External"/><Relationship Id="rId3798" Type="http://schemas.openxmlformats.org/officeDocument/2006/relationships/hyperlink" Target="https://enzyme.expasy.org/EC/1.17.7.4" TargetMode="External"/><Relationship Id="rId3658" Type="http://schemas.openxmlformats.org/officeDocument/2006/relationships/hyperlink" Target="https://www.genome.jp/dbget-bin/www_bget?ec:3.1.3.25" TargetMode="External"/><Relationship Id="rId3865" Type="http://schemas.openxmlformats.org/officeDocument/2006/relationships/hyperlink" Target="https://www.genome.jp/dbget-bin/www_bget?ec:2.7.1.11" TargetMode="External"/><Relationship Id="rId579" Type="http://schemas.openxmlformats.org/officeDocument/2006/relationships/hyperlink" Target="https://enzyme.expasy.org/EC/2.3.1.47" TargetMode="External"/><Relationship Id="rId786" Type="http://schemas.openxmlformats.org/officeDocument/2006/relationships/hyperlink" Target="https://enzyme.expasy.org/EC/1.2.1.79" TargetMode="External"/><Relationship Id="rId993" Type="http://schemas.openxmlformats.org/officeDocument/2006/relationships/hyperlink" Target="https://www.genome.jp/entry/R03197/R04972" TargetMode="External"/><Relationship Id="rId2467" Type="http://schemas.openxmlformats.org/officeDocument/2006/relationships/hyperlink" Target="https://www.genome.jp/dbget-bin/www_bget?EC:4.2.1.20" TargetMode="External"/><Relationship Id="rId2674" Type="http://schemas.openxmlformats.org/officeDocument/2006/relationships/hyperlink" Target="https://www.genome.jp/dbget-bin/www_bget?ec:1.1.1.100" TargetMode="External"/><Relationship Id="rId3518" Type="http://schemas.openxmlformats.org/officeDocument/2006/relationships/hyperlink" Target="https://enzyme.expasy.org/EC/2.7.7.6" TargetMode="External"/><Relationship Id="rId439" Type="http://schemas.openxmlformats.org/officeDocument/2006/relationships/hyperlink" Target="https://enzyme.expasy.org/EC/1.5.1.38" TargetMode="External"/><Relationship Id="rId646" Type="http://schemas.openxmlformats.org/officeDocument/2006/relationships/hyperlink" Target="https://enzyme.expasy.org/EC/3.6.1.9" TargetMode="External"/><Relationship Id="rId1069" Type="http://schemas.openxmlformats.org/officeDocument/2006/relationships/hyperlink" Target="https://www.genome.jp/entry/R00966" TargetMode="External"/><Relationship Id="rId1276" Type="http://schemas.openxmlformats.org/officeDocument/2006/relationships/hyperlink" Target="https://www.genome.jp/dbget-bin/www_bget?ec:4.2.1.9" TargetMode="External"/><Relationship Id="rId1483" Type="http://schemas.openxmlformats.org/officeDocument/2006/relationships/hyperlink" Target="https://www.genome.jp/dbget-bin/www_bget?ec:6.3.5.5" TargetMode="External"/><Relationship Id="rId2327" Type="http://schemas.openxmlformats.org/officeDocument/2006/relationships/hyperlink" Target="https://www.genome.jp/entry/R00465/R01392/R02527" TargetMode="External"/><Relationship Id="rId2881" Type="http://schemas.openxmlformats.org/officeDocument/2006/relationships/hyperlink" Target="https://enzyme.expasy.org/EC/2.4.2.8" TargetMode="External"/><Relationship Id="rId3725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932" Type="http://schemas.openxmlformats.org/officeDocument/2006/relationships/hyperlink" Target="https://www.genome.jp/dbget-bin/www_bget?ec:1.4.99.5" TargetMode="External"/><Relationship Id="rId506" Type="http://schemas.openxmlformats.org/officeDocument/2006/relationships/hyperlink" Target="https://enzyme.expasy.org/EC/3.4.21.89" TargetMode="External"/><Relationship Id="rId853" Type="http://schemas.openxmlformats.org/officeDocument/2006/relationships/hyperlink" Target="https://www.genome.jp/dbget-bin/www_bget?ec:2.7.13.3" TargetMode="External"/><Relationship Id="rId1136" Type="http://schemas.openxmlformats.org/officeDocument/2006/relationships/hyperlink" Target="https://www.genome.jp/dbget-bin/www_bget?ec:2.3.3.1" TargetMode="External"/><Relationship Id="rId1690" Type="http://schemas.openxmlformats.org/officeDocument/2006/relationships/hyperlink" Target="https://enzyme.expasy.org/EC/2.3.1.41" TargetMode="External"/><Relationship Id="rId2534" Type="http://schemas.openxmlformats.org/officeDocument/2006/relationships/hyperlink" Target="https://enzyme.expasy.org/EC/2.7.4.6" TargetMode="External"/><Relationship Id="rId2741" Type="http://schemas.openxmlformats.org/officeDocument/2006/relationships/hyperlink" Target="https://enzyme.expasy.org/EC/3.6.1.9" TargetMode="External"/><Relationship Id="rId713" Type="http://schemas.openxmlformats.org/officeDocument/2006/relationships/hyperlink" Target="https://enzyme.expasy.org/EC/2.3.1.183" TargetMode="External"/><Relationship Id="rId920" Type="http://schemas.openxmlformats.org/officeDocument/2006/relationships/hyperlink" Target="https://www.genome.jp/dbget-bin/www_bget?ec:1.11.1.6" TargetMode="External"/><Relationship Id="rId1343" Type="http://schemas.openxmlformats.org/officeDocument/2006/relationships/hyperlink" Target="https://www.genome.jp/entry/R03471" TargetMode="External"/><Relationship Id="rId1550" Type="http://schemas.openxmlformats.org/officeDocument/2006/relationships/hyperlink" Target="https://www.genome.jp/entry/R00275" TargetMode="External"/><Relationship Id="rId2601" Type="http://schemas.openxmlformats.org/officeDocument/2006/relationships/hyperlink" Target="https://enzyme.expasy.org/EC/2.5.1.48" TargetMode="External"/><Relationship Id="rId1203" Type="http://schemas.openxmlformats.org/officeDocument/2006/relationships/hyperlink" Target="https://www.genome.jp/dbget-bin/www_bget?ec:2.1.2.1" TargetMode="External"/><Relationship Id="rId1410" Type="http://schemas.openxmlformats.org/officeDocument/2006/relationships/hyperlink" Target="https://www.genome.jp/entry/R01061" TargetMode="External"/><Relationship Id="rId3168" Type="http://schemas.openxmlformats.org/officeDocument/2006/relationships/hyperlink" Target="https://www.genome.jp/entry/R00379/R00375/R00376/R00377/R00378/R11029" TargetMode="External"/><Relationship Id="rId3375" Type="http://schemas.openxmlformats.org/officeDocument/2006/relationships/hyperlink" Target="https://enzyme.expasy.org/EC/3.3.2.10" TargetMode="External"/><Relationship Id="rId3582" Type="http://schemas.openxmlformats.org/officeDocument/2006/relationships/hyperlink" Target="https://www.genome.jp/dbget-bin/www_bget?ec:1.6.5.2" TargetMode="External"/><Relationship Id="rId296" Type="http://schemas.openxmlformats.org/officeDocument/2006/relationships/hyperlink" Target="https://enzyme.expasy.org/EC/6.1.1.19" TargetMode="External"/><Relationship Id="rId2184" Type="http://schemas.openxmlformats.org/officeDocument/2006/relationships/hyperlink" Target="https://www.genome.jp/dbget-bin/www_bget?ec:1.18.1.2" TargetMode="External"/><Relationship Id="rId2391" Type="http://schemas.openxmlformats.org/officeDocument/2006/relationships/hyperlink" Target="https://www.genome.jp/dbget-bin/www_bget?ec:1.17.4.1" TargetMode="External"/><Relationship Id="rId3028" Type="http://schemas.openxmlformats.org/officeDocument/2006/relationships/hyperlink" Target="https://enzyme.expasy.org/EC/3.2.1.52" TargetMode="External"/><Relationship Id="rId3235" Type="http://schemas.openxmlformats.org/officeDocument/2006/relationships/hyperlink" Target="https://enzyme.expasy.org/EC/2.7.7.7" TargetMode="External"/><Relationship Id="rId3442" Type="http://schemas.openxmlformats.org/officeDocument/2006/relationships/hyperlink" Target="https://www.genome.jp/dbget-bin/www_bget?ec:1.3.5.1" TargetMode="External"/><Relationship Id="rId156" Type="http://schemas.openxmlformats.org/officeDocument/2006/relationships/hyperlink" Target="https://enzyme.expasy.org/EC/4.2.1.24" TargetMode="External"/><Relationship Id="rId363" Type="http://schemas.openxmlformats.org/officeDocument/2006/relationships/hyperlink" Target="https://enzyme.expasy.org/EC/4.1.99.17" TargetMode="External"/><Relationship Id="rId570" Type="http://schemas.openxmlformats.org/officeDocument/2006/relationships/hyperlink" Target="https://enzyme.expasy.org/EC/3.1.3.3" TargetMode="External"/><Relationship Id="rId2044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251" Type="http://schemas.openxmlformats.org/officeDocument/2006/relationships/hyperlink" Target="https://www.genome.jp/entry/R00630/R06728/R08255/R08258/R08220/R08249/R08251/R08295/R08300" TargetMode="External"/><Relationship Id="rId3302" Type="http://schemas.openxmlformats.org/officeDocument/2006/relationships/hyperlink" Target="https://www.genome.jp/dbget-bin/www_bget?ec:1.2.1.8" TargetMode="External"/><Relationship Id="rId223" Type="http://schemas.openxmlformats.org/officeDocument/2006/relationships/hyperlink" Target="https://enzyme.expasy.org/EC/5.3.1.9" TargetMode="External"/><Relationship Id="rId430" Type="http://schemas.openxmlformats.org/officeDocument/2006/relationships/hyperlink" Target="https://enzyme.expasy.org/EC/4.2.1.10" TargetMode="External"/><Relationship Id="rId1060" Type="http://schemas.openxmlformats.org/officeDocument/2006/relationships/hyperlink" Target="https://www.genome.jp/dbget-bin/www_bget?ec:3.1.1.1" TargetMode="External"/><Relationship Id="rId2111" Type="http://schemas.openxmlformats.org/officeDocument/2006/relationships/hyperlink" Target="https://www.genome.jp/dbget-bin/www_bget?ec:3.1.3.5" TargetMode="External"/><Relationship Id="rId1877" Type="http://schemas.openxmlformats.org/officeDocument/2006/relationships/hyperlink" Target="https://enzyme.expasy.org/EC/2.7.8.13" TargetMode="External"/><Relationship Id="rId2928" Type="http://schemas.openxmlformats.org/officeDocument/2006/relationships/hyperlink" Target="https://www.genome.jp/dbget-bin/www_bget?EC:1.18.1.7" TargetMode="External"/><Relationship Id="rId1737" Type="http://schemas.openxmlformats.org/officeDocument/2006/relationships/hyperlink" Target="https://enzyme.expasy.org/EC/1.1.5.4" TargetMode="External"/><Relationship Id="rId1944" Type="http://schemas.openxmlformats.org/officeDocument/2006/relationships/hyperlink" Target="https://www.genome.jp/dbget-bin/www_bget?ec:3.4.11.1" TargetMode="External"/><Relationship Id="rId3092" Type="http://schemas.openxmlformats.org/officeDocument/2006/relationships/hyperlink" Target="https://www.genome.jp/dbget-bin/www_bget?ec:3.1.1.1" TargetMode="External"/><Relationship Id="rId29" Type="http://schemas.openxmlformats.org/officeDocument/2006/relationships/hyperlink" Target="https://enzyme.expasy.org/EC/6.3.5.2" TargetMode="External"/><Relationship Id="rId1804" Type="http://schemas.openxmlformats.org/officeDocument/2006/relationships/hyperlink" Target="https://www.genome.jp/dbget-bin/www_bget?ec:2.7.1.40" TargetMode="External"/><Relationship Id="rId3769" Type="http://schemas.openxmlformats.org/officeDocument/2006/relationships/hyperlink" Target="https://www.genome.jp/dbget-bin/www_bget?ec:4.2.1.17" TargetMode="External"/><Relationship Id="rId897" Type="http://schemas.openxmlformats.org/officeDocument/2006/relationships/hyperlink" Target="https://www.genome.jp/entry/R09395" TargetMode="External"/><Relationship Id="rId2578" Type="http://schemas.openxmlformats.org/officeDocument/2006/relationships/hyperlink" Target="https://www.genome.jp/dbget-bin/www_bget?ec:1.1.1.37" TargetMode="External"/><Relationship Id="rId2785" Type="http://schemas.openxmlformats.org/officeDocument/2006/relationships/hyperlink" Target="https://www.genome.jp/dbget-bin/www_bget?ec:2.6.1.21" TargetMode="External"/><Relationship Id="rId2992" Type="http://schemas.openxmlformats.org/officeDocument/2006/relationships/hyperlink" Target="https://enzyme.expasy.org/EC/1.2.1.3" TargetMode="External"/><Relationship Id="rId3629" Type="http://schemas.openxmlformats.org/officeDocument/2006/relationships/hyperlink" Target="https://enzyme.expasy.org/EC/5.1.3.3" TargetMode="External"/><Relationship Id="rId3836" Type="http://schemas.openxmlformats.org/officeDocument/2006/relationships/hyperlink" Target="https://www.genome.jp/entry/R01773/R01775" TargetMode="External"/><Relationship Id="rId757" Type="http://schemas.openxmlformats.org/officeDocument/2006/relationships/hyperlink" Target="https://enzyme.expasy.org/EC/3.1.3.23" TargetMode="External"/><Relationship Id="rId964" Type="http://schemas.openxmlformats.org/officeDocument/2006/relationships/hyperlink" Target="https://www.genome.jp/entry/R03192/R03191" TargetMode="External"/><Relationship Id="rId1387" Type="http://schemas.openxmlformats.org/officeDocument/2006/relationships/hyperlink" Target="https://www.genome.jp/dbget-bin/www_bget?ec:2.2.1.1" TargetMode="External"/><Relationship Id="rId1594" Type="http://schemas.openxmlformats.org/officeDocument/2006/relationships/hyperlink" Target="https://www.genome.jp/dbget-bin/www_bget?ec:2.7.8.11" TargetMode="External"/><Relationship Id="rId2438" Type="http://schemas.openxmlformats.org/officeDocument/2006/relationships/hyperlink" Target="https://enzyme.expasy.org/EC/3.1.3.1" TargetMode="External"/><Relationship Id="rId2645" Type="http://schemas.openxmlformats.org/officeDocument/2006/relationships/hyperlink" Target="https://www.genome.jp/dbget-bin/www_bget?ec:1.1.1.100" TargetMode="External"/><Relationship Id="rId2852" Type="http://schemas.openxmlformats.org/officeDocument/2006/relationships/hyperlink" Target="https://www.genome.jp/dbget-bin/www_bget?ec:1.3.8.2" TargetMode="External"/><Relationship Id="rId3903" Type="http://schemas.openxmlformats.org/officeDocument/2006/relationships/hyperlink" Target="https://enzyme.expasy.org/EC/1.1.1.86" TargetMode="External"/><Relationship Id="rId93" Type="http://schemas.openxmlformats.org/officeDocument/2006/relationships/hyperlink" Target="https://enzyme.expasy.org/EC/2.2.1.6" TargetMode="External"/><Relationship Id="rId617" Type="http://schemas.openxmlformats.org/officeDocument/2006/relationships/hyperlink" Target="https://enzyme.expasy.org/EC/2.7.4.6" TargetMode="External"/><Relationship Id="rId824" Type="http://schemas.openxmlformats.org/officeDocument/2006/relationships/hyperlink" Target="https://www.genome.jp/dbget-bin/www_bget?ec:1.5.1.20" TargetMode="External"/><Relationship Id="rId1247" Type="http://schemas.openxmlformats.org/officeDocument/2006/relationships/hyperlink" Target="https://www.genome.jp/dbget-bin/www_bget?enzyme+1.1.1.3" TargetMode="External"/><Relationship Id="rId1454" Type="http://schemas.openxmlformats.org/officeDocument/2006/relationships/hyperlink" Target="https://www.genome.jp/dbget-bin/www_bget?ec:2.7.4.8" TargetMode="External"/><Relationship Id="rId1661" Type="http://schemas.openxmlformats.org/officeDocument/2006/relationships/hyperlink" Target="https://enzyme.expasy.org/EC/2.7.1.2" TargetMode="External"/><Relationship Id="rId2505" Type="http://schemas.openxmlformats.org/officeDocument/2006/relationships/hyperlink" Target="https://www.genome.jp/dbget-bin/www_bget?ec:2.7.4.6" TargetMode="External"/><Relationship Id="rId2712" Type="http://schemas.openxmlformats.org/officeDocument/2006/relationships/hyperlink" Target="https://enzyme.expasy.org/EC/2.3.1.54" TargetMode="External"/><Relationship Id="rId1107" Type="http://schemas.openxmlformats.org/officeDocument/2006/relationships/hyperlink" Target="https://www.genome.jp/entry/R04385" TargetMode="External"/><Relationship Id="rId1314" Type="http://schemas.openxmlformats.org/officeDocument/2006/relationships/hyperlink" Target="https://www.genome.jp/dbget-bin/www_bget?ec:2.1.3.3" TargetMode="External"/><Relationship Id="rId1521" Type="http://schemas.openxmlformats.org/officeDocument/2006/relationships/hyperlink" Target="https://www.genome.jp/dbget-bin/www_bget?ec:4.3.1.17" TargetMode="External"/><Relationship Id="rId3279" Type="http://schemas.openxmlformats.org/officeDocument/2006/relationships/hyperlink" Target="https://www.genome.jp/entry/R00379/R00375/R00376/R00377/R00378/R11029" TargetMode="External"/><Relationship Id="rId3486" Type="http://schemas.openxmlformats.org/officeDocument/2006/relationships/hyperlink" Target="https://www.genome.jp/dbget-bin/www_bget?ec:4.1.1.37" TargetMode="External"/><Relationship Id="rId3693" Type="http://schemas.openxmlformats.org/officeDocument/2006/relationships/hyperlink" Target="https://www.genome.jp/dbget-bin/www_bget?ec:5.3.1.9" TargetMode="External"/><Relationship Id="rId20" Type="http://schemas.openxmlformats.org/officeDocument/2006/relationships/hyperlink" Target="https://enzyme.expasy.org/EC/5.4.2.10" TargetMode="External"/><Relationship Id="rId2088" Type="http://schemas.openxmlformats.org/officeDocument/2006/relationships/hyperlink" Target="https://www.genome.jp/entry/R07297/R00183/R00511/R00963/R01126/R01227/R02323/R02719/R03346/R01569/R01664/R01968/R02088/R02102/R12958" TargetMode="External"/><Relationship Id="rId2295" Type="http://schemas.openxmlformats.org/officeDocument/2006/relationships/hyperlink" Target="https://www.genome.jp/dbget-bin/www_bget?ec:1.14.13.107" TargetMode="External"/><Relationship Id="rId3139" Type="http://schemas.openxmlformats.org/officeDocument/2006/relationships/hyperlink" Target="https://enzyme.expasy.org/EC/2.7.11.1" TargetMode="External"/><Relationship Id="rId3346" Type="http://schemas.openxmlformats.org/officeDocument/2006/relationships/hyperlink" Target="https://enzyme.expasy.org/EC/2.2.1.6" TargetMode="External"/><Relationship Id="rId267" Type="http://schemas.openxmlformats.org/officeDocument/2006/relationships/hyperlink" Target="https://enzyme.expasy.org/EC/4.2.1.2" TargetMode="External"/><Relationship Id="rId474" Type="http://schemas.openxmlformats.org/officeDocument/2006/relationships/hyperlink" Target="https://enzyme.expasy.org/EC/2.7.3.9" TargetMode="External"/><Relationship Id="rId2155" Type="http://schemas.openxmlformats.org/officeDocument/2006/relationships/hyperlink" Target="https://www.genome.jp/dbget-bin/www_bget?ec:3.1.5.1" TargetMode="External"/><Relationship Id="rId3553" Type="http://schemas.openxmlformats.org/officeDocument/2006/relationships/hyperlink" Target="https://www.genome.jp/entry/R00444/R00435/R00441/R00442/R00443/R10813" TargetMode="External"/><Relationship Id="rId3760" Type="http://schemas.openxmlformats.org/officeDocument/2006/relationships/hyperlink" Target="https://www.genome.jp/dbget-bin/www_bget?ec:4.2.1.17" TargetMode="External"/><Relationship Id="rId127" Type="http://schemas.openxmlformats.org/officeDocument/2006/relationships/hyperlink" Target="https://enzyme.expasy.org/EC/2.7.7.24" TargetMode="External"/><Relationship Id="rId681" Type="http://schemas.openxmlformats.org/officeDocument/2006/relationships/hyperlink" Target="https://enzyme.expasy.org/EC/1.2.5.1" TargetMode="External"/><Relationship Id="rId2362" Type="http://schemas.openxmlformats.org/officeDocument/2006/relationships/hyperlink" Target="https://www.genome.jp/dbget-bin/www_bget?ec:3.5.1.13" TargetMode="External"/><Relationship Id="rId3206" Type="http://schemas.openxmlformats.org/officeDocument/2006/relationships/hyperlink" Target="https://www.genome.jp/dbget-bin/www_bget?ec:2.7.7.7" TargetMode="External"/><Relationship Id="rId3413" Type="http://schemas.openxmlformats.org/officeDocument/2006/relationships/hyperlink" Target="https://www.genome.jp/entry/R08550/R03815/R07618/R01698" TargetMode="External"/><Relationship Id="rId3620" Type="http://schemas.openxmlformats.org/officeDocument/2006/relationships/hyperlink" Target="https://enzyme.expasy.org/EC/6.3.4.15" TargetMode="External"/><Relationship Id="rId334" Type="http://schemas.openxmlformats.org/officeDocument/2006/relationships/hyperlink" Target="https://enzyme.expasy.org/EC/6.1.1.17" TargetMode="External"/><Relationship Id="rId541" Type="http://schemas.openxmlformats.org/officeDocument/2006/relationships/hyperlink" Target="https://enzyme.expasy.org/EC/2.4.1.129" TargetMode="External"/><Relationship Id="rId1171" Type="http://schemas.openxmlformats.org/officeDocument/2006/relationships/hyperlink" Target="https://www.genome.jp/dbget-bin/www_bget?ec:2.7.1.148" TargetMode="External"/><Relationship Id="rId2015" Type="http://schemas.openxmlformats.org/officeDocument/2006/relationships/hyperlink" Target="https://enzyme.expasy.org/EC/1.1.1.1" TargetMode="External"/><Relationship Id="rId2222" Type="http://schemas.openxmlformats.org/officeDocument/2006/relationships/hyperlink" Target="https://enzyme.expasy.org/EC/3.1.1.1" TargetMode="External"/><Relationship Id="rId401" Type="http://schemas.openxmlformats.org/officeDocument/2006/relationships/hyperlink" Target="https://enzyme.expasy.org/EC/4.2.1.3" TargetMode="External"/><Relationship Id="rId1031" Type="http://schemas.openxmlformats.org/officeDocument/2006/relationships/hyperlink" Target="https://www.genome.jp/entry/R00127/R01547/R11319" TargetMode="External"/><Relationship Id="rId1988" Type="http://schemas.openxmlformats.org/officeDocument/2006/relationships/hyperlink" Target="https://www.genome.jp/entry/R03473" TargetMode="External"/><Relationship Id="rId1848" Type="http://schemas.openxmlformats.org/officeDocument/2006/relationships/hyperlink" Target="https://www.genome.jp/dbget-bin/www_bget?ec:3.5.1.1" TargetMode="External"/><Relationship Id="rId3063" Type="http://schemas.openxmlformats.org/officeDocument/2006/relationships/hyperlink" Target="https://www.genome.jp/entry/R00552/R06138" TargetMode="External"/><Relationship Id="rId3270" Type="http://schemas.openxmlformats.org/officeDocument/2006/relationships/hyperlink" Target="https://www.genome.jp/entry/R00379/R00375/R00376/R00377/R00378/R11029" TargetMode="External"/><Relationship Id="rId191" Type="http://schemas.openxmlformats.org/officeDocument/2006/relationships/hyperlink" Target="https://enzyme.expasy.org/EC/5.3.1.8" TargetMode="External"/><Relationship Id="rId1708" Type="http://schemas.openxmlformats.org/officeDocument/2006/relationships/hyperlink" Target="https://enzyme.expasy.org/EC/2.3.1.41" TargetMode="External"/><Relationship Id="rId1915" Type="http://schemas.openxmlformats.org/officeDocument/2006/relationships/hyperlink" Target="https://www.genome.jp/entry/R00081/R00082" TargetMode="External"/><Relationship Id="rId3130" Type="http://schemas.openxmlformats.org/officeDocument/2006/relationships/hyperlink" Target="https://enzyme.expasy.org/EC/2.7.11.1" TargetMode="External"/><Relationship Id="rId2689" Type="http://schemas.openxmlformats.org/officeDocument/2006/relationships/hyperlink" Target="https://www.genome.jp/dbget-bin/www_bget?ec:3.5.1.2" TargetMode="External"/><Relationship Id="rId2896" Type="http://schemas.openxmlformats.org/officeDocument/2006/relationships/hyperlink" Target="https://www.genome.jp/dbget-bin/www_bget?ec:3.4.16.4" TargetMode="External"/><Relationship Id="rId3947" Type="http://schemas.openxmlformats.org/officeDocument/2006/relationships/hyperlink" Target="https://www.genome.jp/dbget-bin/www_bget?ec:3.1.1.1" TargetMode="External"/><Relationship Id="rId868" Type="http://schemas.openxmlformats.org/officeDocument/2006/relationships/hyperlink" Target="https://www.genome.jp/dbget-bin/www_bget?ec:1.16.3.1" TargetMode="External"/><Relationship Id="rId1498" Type="http://schemas.openxmlformats.org/officeDocument/2006/relationships/hyperlink" Target="https://www.genome.jp/entry/R03084" TargetMode="External"/><Relationship Id="rId2549" Type="http://schemas.openxmlformats.org/officeDocument/2006/relationships/hyperlink" Target="https://www.genome.jp/dbget-bin/www_bget?ec:6.3.2.17" TargetMode="External"/><Relationship Id="rId2756" Type="http://schemas.openxmlformats.org/officeDocument/2006/relationships/hyperlink" Target="https://www.genome.jp/dbget-bin/www_bget?ec:2.5.1.7" TargetMode="External"/><Relationship Id="rId2963" Type="http://schemas.openxmlformats.org/officeDocument/2006/relationships/hyperlink" Target="https://www.genome.jp/dbget-bin/www_bget?ec:1.2.1.3" TargetMode="External"/><Relationship Id="rId3807" Type="http://schemas.openxmlformats.org/officeDocument/2006/relationships/hyperlink" Target="https://enzyme.expasy.org/EC/3.2.1.26" TargetMode="External"/><Relationship Id="rId728" Type="http://schemas.openxmlformats.org/officeDocument/2006/relationships/hyperlink" Target="https://enzyme.expasy.org/EC/4.2.1.20" TargetMode="External"/><Relationship Id="rId935" Type="http://schemas.openxmlformats.org/officeDocument/2006/relationships/hyperlink" Target="https://www.genome.jp/entry/R06514" TargetMode="External"/><Relationship Id="rId1358" Type="http://schemas.openxmlformats.org/officeDocument/2006/relationships/hyperlink" Target="https://www.genome.jp/entry/R09591" TargetMode="External"/><Relationship Id="rId1565" Type="http://schemas.openxmlformats.org/officeDocument/2006/relationships/hyperlink" Target="https://www.genome.jp/entry/R11702/R12038" TargetMode="External"/><Relationship Id="rId1772" Type="http://schemas.openxmlformats.org/officeDocument/2006/relationships/hyperlink" Target="https://www.genome.jp/dbget-bin/www_bget?ec:3.1.26.3" TargetMode="External"/><Relationship Id="rId2409" Type="http://schemas.openxmlformats.org/officeDocument/2006/relationships/hyperlink" Target="https://www.genome.jp/dbget-bin/www_bget?ec:1.17.4.1" TargetMode="External"/><Relationship Id="rId2616" Type="http://schemas.openxmlformats.org/officeDocument/2006/relationships/hyperlink" Target="https://www.genome.jp/entry/R00396/R00145/R00146/R00365" TargetMode="External"/><Relationship Id="rId64" Type="http://schemas.openxmlformats.org/officeDocument/2006/relationships/hyperlink" Target="https://enzyme.expasy.org/EC/2.1.1.14" TargetMode="External"/><Relationship Id="rId1218" Type="http://schemas.openxmlformats.org/officeDocument/2006/relationships/hyperlink" Target="https://www.genome.jp/entry/R03595" TargetMode="External"/><Relationship Id="rId1425" Type="http://schemas.openxmlformats.org/officeDocument/2006/relationships/hyperlink" Target="https://enzyme.expasy.org/EC/5.1.3.2" TargetMode="External"/><Relationship Id="rId2823" Type="http://schemas.openxmlformats.org/officeDocument/2006/relationships/hyperlink" Target="https://www.genome.jp/entry/R02778/R06228" TargetMode="External"/><Relationship Id="rId1632" Type="http://schemas.openxmlformats.org/officeDocument/2006/relationships/hyperlink" Target="https://www.genome.jp/entry/2.7.1.63" TargetMode="External"/><Relationship Id="rId2199" Type="http://schemas.openxmlformats.org/officeDocument/2006/relationships/hyperlink" Target="https://www.genome.jp/dbget-bin/www_bget?ec:2.1.1.193" TargetMode="External"/><Relationship Id="rId3597" Type="http://schemas.openxmlformats.org/officeDocument/2006/relationships/hyperlink" Target="https://www.genome.jp/dbget-bin/www_bget?ec:3.5.4.5" TargetMode="External"/><Relationship Id="rId3457" Type="http://schemas.openxmlformats.org/officeDocument/2006/relationships/hyperlink" Target="https://www.genome.jp/entry/R03042/R03409" TargetMode="External"/><Relationship Id="rId3664" Type="http://schemas.openxmlformats.org/officeDocument/2006/relationships/hyperlink" Target="https://www.genome.jp/dbget-bin/www_bget?ec:3.1.3.25" TargetMode="External"/><Relationship Id="rId3871" Type="http://schemas.openxmlformats.org/officeDocument/2006/relationships/hyperlink" Target="https://www.genome.jp/dbget-bin/www_bget?ec:2.7.1.11" TargetMode="External"/><Relationship Id="rId378" Type="http://schemas.openxmlformats.org/officeDocument/2006/relationships/hyperlink" Target="https://enzyme.expasy.org/EC/3.1.2.-" TargetMode="External"/><Relationship Id="rId585" Type="http://schemas.openxmlformats.org/officeDocument/2006/relationships/hyperlink" Target="https://enzyme.expasy.org/EC/2.8.3.5" TargetMode="External"/><Relationship Id="rId792" Type="http://schemas.openxmlformats.org/officeDocument/2006/relationships/hyperlink" Target="https://enzyme.expasy.org/EC/1.18.1.7" TargetMode="External"/><Relationship Id="rId2059" Type="http://schemas.openxmlformats.org/officeDocument/2006/relationships/hyperlink" Target="https://www.genome.jp/dbget-bin/www_bget?ec:3.5.4.16" TargetMode="External"/><Relationship Id="rId2266" Type="http://schemas.openxmlformats.org/officeDocument/2006/relationships/hyperlink" Target="https://www.genome.jp/entry/4.4.1.13" TargetMode="External"/><Relationship Id="rId2473" Type="http://schemas.openxmlformats.org/officeDocument/2006/relationships/hyperlink" Target="https://www.genome.jp/dbget-bin/www_bget?EC:4.2.1.20" TargetMode="External"/><Relationship Id="rId2680" Type="http://schemas.openxmlformats.org/officeDocument/2006/relationships/hyperlink" Target="https://www.genome.jp/dbget-bin/www_bget?ec:1.1.1.100" TargetMode="External"/><Relationship Id="rId3317" Type="http://schemas.openxmlformats.org/officeDocument/2006/relationships/hyperlink" Target="https://www.genome.jp/dbget-bin/www_bget?ec:2.2.1.6" TargetMode="External"/><Relationship Id="rId3524" Type="http://schemas.openxmlformats.org/officeDocument/2006/relationships/hyperlink" Target="https://enzyme.expasy.org/EC/2.7.7.6" TargetMode="External"/><Relationship Id="rId3731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238" Type="http://schemas.openxmlformats.org/officeDocument/2006/relationships/hyperlink" Target="https://enzyme.expasy.org/EC/2.3.1.-" TargetMode="External"/><Relationship Id="rId445" Type="http://schemas.openxmlformats.org/officeDocument/2006/relationships/hyperlink" Target="https://enzyme.expasy.org/EC/1.15.1.1" TargetMode="External"/><Relationship Id="rId652" Type="http://schemas.openxmlformats.org/officeDocument/2006/relationships/hyperlink" Target="https://enzyme.expasy.org/EC/3.1.3.3" TargetMode="External"/><Relationship Id="rId1075" Type="http://schemas.openxmlformats.org/officeDocument/2006/relationships/hyperlink" Target="https://www.genome.jp/entry/R05165/R08868/R08869" TargetMode="External"/><Relationship Id="rId1282" Type="http://schemas.openxmlformats.org/officeDocument/2006/relationships/hyperlink" Target="https://www.genome.jp/dbget-bin/www_bget?ec:1.1.1.85" TargetMode="External"/><Relationship Id="rId2126" Type="http://schemas.openxmlformats.org/officeDocument/2006/relationships/hyperlink" Target="https://www.genome.jp/entry/R03210/R10124" TargetMode="External"/><Relationship Id="rId2333" Type="http://schemas.openxmlformats.org/officeDocument/2006/relationships/hyperlink" Target="https://www.genome.jp/dbget-bin/www_bget?ec:5.4.99.9" TargetMode="External"/><Relationship Id="rId2540" Type="http://schemas.openxmlformats.org/officeDocument/2006/relationships/hyperlink" Target="https://enzyme.expasy.org/EC/2.7.4.6" TargetMode="External"/><Relationship Id="rId305" Type="http://schemas.openxmlformats.org/officeDocument/2006/relationships/hyperlink" Target="https://enzyme.expasy.org/EC/2.10.1.1" TargetMode="External"/><Relationship Id="rId512" Type="http://schemas.openxmlformats.org/officeDocument/2006/relationships/hyperlink" Target="https://enzyme.expasy.org/EC/3.1.26.3" TargetMode="External"/><Relationship Id="rId1142" Type="http://schemas.openxmlformats.org/officeDocument/2006/relationships/hyperlink" Target="https://www.genome.jp/entry/R04273" TargetMode="External"/><Relationship Id="rId2400" Type="http://schemas.openxmlformats.org/officeDocument/2006/relationships/hyperlink" Target="https://www.genome.jp/dbget-bin/www_bget?ec:1.17.4.1" TargetMode="External"/><Relationship Id="rId1002" Type="http://schemas.openxmlformats.org/officeDocument/2006/relationships/hyperlink" Target="https://www.genome.jp/dbget-bin/www_bget?ec:6.2.1.26" TargetMode="External"/><Relationship Id="rId1959" Type="http://schemas.openxmlformats.org/officeDocument/2006/relationships/hyperlink" Target="https://www.genome.jp/entry/R07766/R12427/R12428/R07769" TargetMode="External"/><Relationship Id="rId3174" Type="http://schemas.openxmlformats.org/officeDocument/2006/relationships/hyperlink" Target="https://www.genome.jp/entry/R00379/R00375/R00376/R00377/R00378/R11029" TargetMode="External"/><Relationship Id="rId1819" Type="http://schemas.openxmlformats.org/officeDocument/2006/relationships/hyperlink" Target="https://www.genome.jp/entry/R03243/R00694/R00734" TargetMode="External"/><Relationship Id="rId3381" Type="http://schemas.openxmlformats.org/officeDocument/2006/relationships/hyperlink" Target="https://enzyme.expasy.org/EC/3.3.2.10" TargetMode="External"/><Relationship Id="rId2190" Type="http://schemas.openxmlformats.org/officeDocument/2006/relationships/hyperlink" Target="https://www.genome.jp/entry/R00524" TargetMode="External"/><Relationship Id="rId3034" Type="http://schemas.openxmlformats.org/officeDocument/2006/relationships/hyperlink" Target="https://enzyme.expasy.org/EC/3.2.1.52" TargetMode="External"/><Relationship Id="rId3241" Type="http://schemas.openxmlformats.org/officeDocument/2006/relationships/hyperlink" Target="https://enzyme.expasy.org/EC/2.7.7.7" TargetMode="External"/><Relationship Id="rId162" Type="http://schemas.openxmlformats.org/officeDocument/2006/relationships/hyperlink" Target="https://enzyme.expasy.org/EC/6.2.1.26" TargetMode="External"/><Relationship Id="rId2050" Type="http://schemas.openxmlformats.org/officeDocument/2006/relationships/hyperlink" Target="https://enzyme.expasy.org/EC/3.5.4.16" TargetMode="External"/><Relationship Id="rId3101" Type="http://schemas.openxmlformats.org/officeDocument/2006/relationships/hyperlink" Target="https://www.genome.jp/dbget-bin/www_bget?ec:3.1.1.1" TargetMode="External"/><Relationship Id="rId979" Type="http://schemas.openxmlformats.org/officeDocument/2006/relationships/hyperlink" Target="https://www.genome.jp/entry/R00582/R02853" TargetMode="External"/><Relationship Id="rId839" Type="http://schemas.openxmlformats.org/officeDocument/2006/relationships/hyperlink" Target="https://www.genome.jp/entry/R00162/R03632" TargetMode="External"/><Relationship Id="rId1469" Type="http://schemas.openxmlformats.org/officeDocument/2006/relationships/hyperlink" Target="https://enzyme.expasy.org/EC/6.3.5.5" TargetMode="External"/><Relationship Id="rId2867" Type="http://schemas.openxmlformats.org/officeDocument/2006/relationships/hyperlink" Target="https://www.genome.jp/entry/R03658" TargetMode="External"/><Relationship Id="rId3918" Type="http://schemas.openxmlformats.org/officeDocument/2006/relationships/hyperlink" Target="https://enzyme.expasy.org/EC/4.2.1.33" TargetMode="External"/><Relationship Id="rId1676" Type="http://schemas.openxmlformats.org/officeDocument/2006/relationships/hyperlink" Target="https://www.genome.jp/entry/R00431/R00726" TargetMode="External"/><Relationship Id="rId1883" Type="http://schemas.openxmlformats.org/officeDocument/2006/relationships/hyperlink" Target="https://www.genome.jp/dbget-bin/www_bget?ec:6.3.2.10" TargetMode="External"/><Relationship Id="rId2727" Type="http://schemas.openxmlformats.org/officeDocument/2006/relationships/hyperlink" Target="https://www.genome.jp/dbget-bin/www_bget?ec:3.6.1.9" TargetMode="External"/><Relationship Id="rId2934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906" Type="http://schemas.openxmlformats.org/officeDocument/2006/relationships/hyperlink" Target="https://www.genome.jp/dbget-bin/www_bget?ec:1.14.14.18" TargetMode="External"/><Relationship Id="rId1329" Type="http://schemas.openxmlformats.org/officeDocument/2006/relationships/hyperlink" Target="https://www.genome.jp/entry/R02918" TargetMode="External"/><Relationship Id="rId1536" Type="http://schemas.openxmlformats.org/officeDocument/2006/relationships/hyperlink" Target="https://www.genome.jp/dbget-bin/www_bget?ec:4.3.1.17" TargetMode="External"/><Relationship Id="rId1743" Type="http://schemas.openxmlformats.org/officeDocument/2006/relationships/hyperlink" Target="https://enzyme.expasy.org/EC/1.8.1.15" TargetMode="External"/><Relationship Id="rId1950" Type="http://schemas.openxmlformats.org/officeDocument/2006/relationships/hyperlink" Target="https://www.genome.jp/entry/R02569" TargetMode="External"/><Relationship Id="rId35" Type="http://schemas.openxmlformats.org/officeDocument/2006/relationships/hyperlink" Target="https://enzyme.expasy.org/EC/1.8.-.-" TargetMode="External"/><Relationship Id="rId1603" Type="http://schemas.openxmlformats.org/officeDocument/2006/relationships/hyperlink" Target="https://www.genome.jp/dbget-bin/www_bget?ec:2.4.2.47" TargetMode="External"/><Relationship Id="rId1810" Type="http://schemas.openxmlformats.org/officeDocument/2006/relationships/hyperlink" Target="https://www.genome.jp/dbget-bin/www_bget?ec:4.2.1.19" TargetMode="External"/><Relationship Id="rId3568" Type="http://schemas.openxmlformats.org/officeDocument/2006/relationships/hyperlink" Target="https://www.genome.jp/entry/R01130/R08240" TargetMode="External"/><Relationship Id="rId3775" Type="http://schemas.openxmlformats.org/officeDocument/2006/relationships/hyperlink" Target="https://www.genome.jp/dbget-bin/www_bget?ec:4.2.1.17" TargetMode="External"/><Relationship Id="rId489" Type="http://schemas.openxmlformats.org/officeDocument/2006/relationships/hyperlink" Target="https://enzyme.expasy.org/EC/2.7.8.7" TargetMode="External"/><Relationship Id="rId696" Type="http://schemas.openxmlformats.org/officeDocument/2006/relationships/hyperlink" Target="https://enzyme.expasy.org/EC/6.3.2.1" TargetMode="External"/><Relationship Id="rId2377" Type="http://schemas.openxmlformats.org/officeDocument/2006/relationships/hyperlink" Target="https://enzyme.expasy.org/EC/1.1.1.27" TargetMode="External"/><Relationship Id="rId2584" Type="http://schemas.openxmlformats.org/officeDocument/2006/relationships/hyperlink" Target="https://www.genome.jp/dbget-bin/www_bget?ec:2.5.1.48" TargetMode="External"/><Relationship Id="rId2791" Type="http://schemas.openxmlformats.org/officeDocument/2006/relationships/hyperlink" Target="https://www.genome.jp/dbget-bin/www_bget?ec:2.6.1.21" TargetMode="External"/><Relationship Id="rId3428" Type="http://schemas.openxmlformats.org/officeDocument/2006/relationships/hyperlink" Target="https://www.genome.jp/entry/R08550/R03815/R07618/R01698" TargetMode="External"/><Relationship Id="rId3635" Type="http://schemas.openxmlformats.org/officeDocument/2006/relationships/hyperlink" Target="https://enzyme.expasy.org/EC/3.6.1.22" TargetMode="External"/><Relationship Id="rId349" Type="http://schemas.openxmlformats.org/officeDocument/2006/relationships/hyperlink" Target="https://enzyme.expasy.org/EC/3.-.-.-" TargetMode="External"/><Relationship Id="rId556" Type="http://schemas.openxmlformats.org/officeDocument/2006/relationships/hyperlink" Target="https://enzyme.expasy.org/EC/2.4.2.21" TargetMode="External"/><Relationship Id="rId763" Type="http://schemas.openxmlformats.org/officeDocument/2006/relationships/hyperlink" Target="https://enzyme.expasy.org/EC/2.3.1.122" TargetMode="External"/><Relationship Id="rId1186" Type="http://schemas.openxmlformats.org/officeDocument/2006/relationships/hyperlink" Target="https://www.genome.jp/entry/R01049" TargetMode="External"/><Relationship Id="rId1393" Type="http://schemas.openxmlformats.org/officeDocument/2006/relationships/hyperlink" Target="https://www.genome.jp/entry/R08575/R01827" TargetMode="External"/><Relationship Id="rId2237" Type="http://schemas.openxmlformats.org/officeDocument/2006/relationships/hyperlink" Target="https://enzyme.expasy.org/EC/3.1.1.1" TargetMode="External"/><Relationship Id="rId2444" Type="http://schemas.openxmlformats.org/officeDocument/2006/relationships/hyperlink" Target="https://enzyme.expasy.org/EC/3.1.3.1" TargetMode="External"/><Relationship Id="rId3842" Type="http://schemas.openxmlformats.org/officeDocument/2006/relationships/hyperlink" Target="https://www.genome.jp/entry/R00783/R00784/R00280/R00785" TargetMode="External"/><Relationship Id="rId209" Type="http://schemas.openxmlformats.org/officeDocument/2006/relationships/hyperlink" Target="https://enzyme.expasy.org/EC/3.-.-.-" TargetMode="External"/><Relationship Id="rId416" Type="http://schemas.openxmlformats.org/officeDocument/2006/relationships/hyperlink" Target="https://enzyme.expasy.org/EC/2.5.1.9" TargetMode="External"/><Relationship Id="rId970" Type="http://schemas.openxmlformats.org/officeDocument/2006/relationships/hyperlink" Target="https://www.genome.jp/entry/R09634" TargetMode="External"/><Relationship Id="rId1046" Type="http://schemas.openxmlformats.org/officeDocument/2006/relationships/hyperlink" Target="https://www.genome.jp/entry/R01130/R08240" TargetMode="External"/><Relationship Id="rId1253" Type="http://schemas.openxmlformats.org/officeDocument/2006/relationships/hyperlink" Target="https://www.genome.jp/dbget-bin/www_bget?ec:1.7.99.4" TargetMode="External"/><Relationship Id="rId2651" Type="http://schemas.openxmlformats.org/officeDocument/2006/relationships/hyperlink" Target="https://www.genome.jp/dbget-bin/www_bget?ec:1.1.1.100" TargetMode="External"/><Relationship Id="rId3702" Type="http://schemas.openxmlformats.org/officeDocument/2006/relationships/hyperlink" Target="https://www.genome.jp/dbget-bin/www_bget?ec:2.1.2.2" TargetMode="External"/><Relationship Id="rId623" Type="http://schemas.openxmlformats.org/officeDocument/2006/relationships/hyperlink" Target="https://enzyme.expasy.org/EC/1.1.1.311" TargetMode="External"/><Relationship Id="rId830" Type="http://schemas.openxmlformats.org/officeDocument/2006/relationships/hyperlink" Target="https://www.genome.jp/dbget-bin/www_bget?ec:5.6.2.2" TargetMode="External"/><Relationship Id="rId1460" Type="http://schemas.openxmlformats.org/officeDocument/2006/relationships/hyperlink" Target="https://www.genome.jp/entry/R00256/R00575/R01395/R10948/R10949/R07641" TargetMode="External"/><Relationship Id="rId2304" Type="http://schemas.openxmlformats.org/officeDocument/2006/relationships/hyperlink" Target="https://www.genome.jp/entry/R01312/R02027/R02052/R03332/R07381" TargetMode="External"/><Relationship Id="rId2511" Type="http://schemas.openxmlformats.org/officeDocument/2006/relationships/hyperlink" Target="https://www.genome.jp/dbget-bin/www_bget?ec:2.7.4.6" TargetMode="External"/><Relationship Id="rId1113" Type="http://schemas.openxmlformats.org/officeDocument/2006/relationships/hyperlink" Target="https://www.genome.jp/dbget-bin/www_bget?ec:3.6.4.12" TargetMode="External"/><Relationship Id="rId1320" Type="http://schemas.openxmlformats.org/officeDocument/2006/relationships/hyperlink" Target="https://www.genome.jp/dbget-bin/www_bget?enzyme+4.3.1.28" TargetMode="External"/><Relationship Id="rId3078" Type="http://schemas.openxmlformats.org/officeDocument/2006/relationships/hyperlink" Target="https://www.genome.jp/entry/R00256/R01716/R05552" TargetMode="External"/><Relationship Id="rId3285" Type="http://schemas.openxmlformats.org/officeDocument/2006/relationships/hyperlink" Target="https://www.genome.jp/entry/R00379/R00375/R00376/R00377/R00378/R11029" TargetMode="External"/><Relationship Id="rId3492" Type="http://schemas.openxmlformats.org/officeDocument/2006/relationships/hyperlink" Target="https://www.genome.jp/dbget-bin/www_bget?ec:4.1.3.36" TargetMode="External"/><Relationship Id="rId2094" Type="http://schemas.openxmlformats.org/officeDocument/2006/relationships/hyperlink" Target="https://www.genome.jp/entry/R07297/R00183/R00511/R00963/R01126/R01227/R02323/R02719/R03346/R01569/R01664/R01968/R02088/R02102/R12958" TargetMode="External"/><Relationship Id="rId3145" Type="http://schemas.openxmlformats.org/officeDocument/2006/relationships/hyperlink" Target="https://enzyme.expasy.org/EC/2.7.7.7" TargetMode="External"/><Relationship Id="rId3352" Type="http://schemas.openxmlformats.org/officeDocument/2006/relationships/hyperlink" Target="https://enzyme.expasy.org/EC/2.2.1.6" TargetMode="External"/><Relationship Id="rId273" Type="http://schemas.openxmlformats.org/officeDocument/2006/relationships/hyperlink" Target="https://enzyme.expasy.org/EC/3.4.19.3" TargetMode="External"/><Relationship Id="rId480" Type="http://schemas.openxmlformats.org/officeDocument/2006/relationships/hyperlink" Target="https://enzyme.expasy.org/EC/3.6.3.-" TargetMode="External"/><Relationship Id="rId2161" Type="http://schemas.openxmlformats.org/officeDocument/2006/relationships/hyperlink" Target="https://www.genome.jp/dbget-bin/www_bget?ec:3.5.1.88" TargetMode="External"/><Relationship Id="rId3005" Type="http://schemas.openxmlformats.org/officeDocument/2006/relationships/hyperlink" Target="https://www.genome.jp/dbget-bin/www_bget?ec:3.2.1.52" TargetMode="External"/><Relationship Id="rId3212" Type="http://schemas.openxmlformats.org/officeDocument/2006/relationships/hyperlink" Target="https://www.genome.jp/dbget-bin/www_bget?ec:2.7.7.7" TargetMode="External"/><Relationship Id="rId133" Type="http://schemas.openxmlformats.org/officeDocument/2006/relationships/hyperlink" Target="https://enzyme.expasy.org/EC/1.3.5.4" TargetMode="External"/><Relationship Id="rId340" Type="http://schemas.openxmlformats.org/officeDocument/2006/relationships/hyperlink" Target="https://enzyme.expasy.org/EC/6.3.2.4" TargetMode="External"/><Relationship Id="rId2021" Type="http://schemas.openxmlformats.org/officeDocument/2006/relationships/hyperlink" Target="https://enzyme.expasy.org/EC/1.1.1.1" TargetMode="External"/><Relationship Id="rId200" Type="http://schemas.openxmlformats.org/officeDocument/2006/relationships/hyperlink" Target="https://enzyme.expasy.org/EC/3.6.4.12" TargetMode="External"/><Relationship Id="rId2978" Type="http://schemas.openxmlformats.org/officeDocument/2006/relationships/hyperlink" Target="https://www.genome.jp/dbget-bin/www_bget?ec:1.2.1.3" TargetMode="External"/><Relationship Id="rId1787" Type="http://schemas.openxmlformats.org/officeDocument/2006/relationships/hyperlink" Target="https://www.genome.jp/entry/R00200/R00430/R00572/R00659/R00724/R01138/R01858/R02320" TargetMode="External"/><Relationship Id="rId1994" Type="http://schemas.openxmlformats.org/officeDocument/2006/relationships/hyperlink" Target="https://enzyme.expasy.org/EC/1.1.1.1" TargetMode="External"/><Relationship Id="rId2838" Type="http://schemas.openxmlformats.org/officeDocument/2006/relationships/hyperlink" Target="https://www.genome.jp/dbget-bin/www_bget?ec:2.5.1.32" TargetMode="External"/><Relationship Id="rId79" Type="http://schemas.openxmlformats.org/officeDocument/2006/relationships/hyperlink" Target="https://enzyme.expasy.org/EC/1.16.3.1" TargetMode="External"/><Relationship Id="rId1647" Type="http://schemas.openxmlformats.org/officeDocument/2006/relationships/hyperlink" Target="https://www.genome.jp/entry/R10147" TargetMode="External"/><Relationship Id="rId1854" Type="http://schemas.openxmlformats.org/officeDocument/2006/relationships/hyperlink" Target="https://www.genome.jp/entry/R00485/R06134" TargetMode="External"/><Relationship Id="rId2905" Type="http://schemas.openxmlformats.org/officeDocument/2006/relationships/hyperlink" Target="https://www.genome.jp/dbget-bin/www_bget?ec:4.1.2.13" TargetMode="External"/><Relationship Id="rId1507" Type="http://schemas.openxmlformats.org/officeDocument/2006/relationships/hyperlink" Target="https://enzyme.expasy.org/EC/1.1.1.25" TargetMode="External"/><Relationship Id="rId1714" Type="http://schemas.openxmlformats.org/officeDocument/2006/relationships/hyperlink" Target="https://www.genome.jp/dbget-bin/www_bget?enzyme+2.7.7.8" TargetMode="External"/><Relationship Id="rId1921" Type="http://schemas.openxmlformats.org/officeDocument/2006/relationships/hyperlink" Target="https://www.genome.jp/dbget-bin/www_bget?ec:7.1.1.9" TargetMode="External"/><Relationship Id="rId3679" Type="http://schemas.openxmlformats.org/officeDocument/2006/relationships/hyperlink" Target="https://www.genome.jp/dbget-bin/www_bget?ec:1.5.1.3" TargetMode="External"/><Relationship Id="rId2488" Type="http://schemas.openxmlformats.org/officeDocument/2006/relationships/hyperlink" Target="https://www.genome.jp/entry/R09382/R09383/R09384/R09386" TargetMode="External"/><Relationship Id="rId3886" Type="http://schemas.openxmlformats.org/officeDocument/2006/relationships/hyperlink" Target="https://www.genome.jp/dbget-bin/www_bget?ec:4.2.1.9" TargetMode="External"/><Relationship Id="rId1297" Type="http://schemas.openxmlformats.org/officeDocument/2006/relationships/hyperlink" Target="https://www.genome.jp/dbget-bin/www_bget?ec:3.6.4.12" TargetMode="External"/><Relationship Id="rId2695" Type="http://schemas.openxmlformats.org/officeDocument/2006/relationships/hyperlink" Target="https://www.genome.jp/entry/R03182/R12933/R12934" TargetMode="External"/><Relationship Id="rId3539" Type="http://schemas.openxmlformats.org/officeDocument/2006/relationships/hyperlink" Target="https://enzyme.expasy.org/EC/2.7.7.6" TargetMode="External"/><Relationship Id="rId3746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953" Type="http://schemas.openxmlformats.org/officeDocument/2006/relationships/hyperlink" Target="https://www.genome.jp/dbget-bin/www_bget?ec:3.1.1.1" TargetMode="External"/><Relationship Id="rId667" Type="http://schemas.openxmlformats.org/officeDocument/2006/relationships/hyperlink" Target="https://enzyme.expasy.org/EC/2.6.1.21" TargetMode="External"/><Relationship Id="rId874" Type="http://schemas.openxmlformats.org/officeDocument/2006/relationships/hyperlink" Target="https://www.genome.jp/dbget-bin/www_bget?ec:2.1.1.63" TargetMode="External"/><Relationship Id="rId2348" Type="http://schemas.openxmlformats.org/officeDocument/2006/relationships/hyperlink" Target="https://www.genome.jp/entry/R03662/R08218" TargetMode="External"/><Relationship Id="rId2555" Type="http://schemas.openxmlformats.org/officeDocument/2006/relationships/hyperlink" Target="https://www.genome.jp/dbget-bin/www_bget?ec:6.3.2.17" TargetMode="External"/><Relationship Id="rId2762" Type="http://schemas.openxmlformats.org/officeDocument/2006/relationships/hyperlink" Target="https://www.genome.jp/entry/R00897/R03601/R04859/R07274" TargetMode="External"/><Relationship Id="rId3606" Type="http://schemas.openxmlformats.org/officeDocument/2006/relationships/hyperlink" Target="https://www.genome.jp/dbget-bin/www_bget?ec:2.4.2.2" TargetMode="External"/><Relationship Id="rId3813" Type="http://schemas.openxmlformats.org/officeDocument/2006/relationships/hyperlink" Target="https://enzyme.expasy.org/EC/3.2.1.26" TargetMode="External"/><Relationship Id="rId527" Type="http://schemas.openxmlformats.org/officeDocument/2006/relationships/hyperlink" Target="https://enzyme.expasy.org/EC/2.7.6.5" TargetMode="External"/><Relationship Id="rId734" Type="http://schemas.openxmlformats.org/officeDocument/2006/relationships/hyperlink" Target="https://enzyme.expasy.org/EC/6.1.1.4" TargetMode="External"/><Relationship Id="rId941" Type="http://schemas.openxmlformats.org/officeDocument/2006/relationships/hyperlink" Target="https://www.genome.jp/entry/R00899/R04951" TargetMode="External"/><Relationship Id="rId1157" Type="http://schemas.openxmlformats.org/officeDocument/2006/relationships/hyperlink" Target="https://www.genome.jp/dbget-bin/www_bget?ec:3.4.21.107" TargetMode="External"/><Relationship Id="rId1364" Type="http://schemas.openxmlformats.org/officeDocument/2006/relationships/hyperlink" Target="https://www.genome.jp/entry/R01324/R01325/R01900" TargetMode="External"/><Relationship Id="rId1571" Type="http://schemas.openxmlformats.org/officeDocument/2006/relationships/hyperlink" Target="https://www.genome.jp/dbget-bin/www_bget?enzyme+1.20.9.1" TargetMode="External"/><Relationship Id="rId2208" Type="http://schemas.openxmlformats.org/officeDocument/2006/relationships/hyperlink" Target="https://www.genome.jp/dbget-bin/www_bget?ec:3.1.1.1" TargetMode="External"/><Relationship Id="rId2415" Type="http://schemas.openxmlformats.org/officeDocument/2006/relationships/hyperlink" Target="https://www.genome.jp/entry/R04294/R02017/R02018/R02019/R02024/R08363/R08364/R11893" TargetMode="External"/><Relationship Id="rId2622" Type="http://schemas.openxmlformats.org/officeDocument/2006/relationships/hyperlink" Target="https://www.genome.jp/entry/R00396/R00145/R00146/R00365" TargetMode="External"/><Relationship Id="rId70" Type="http://schemas.openxmlformats.org/officeDocument/2006/relationships/hyperlink" Target="https://enzyme.expasy.org/EC/2.7.11.1" TargetMode="External"/><Relationship Id="rId801" Type="http://schemas.openxmlformats.org/officeDocument/2006/relationships/hyperlink" Target="https://www.genome.jp/entry/R00379/R00375/R00376/R00377/R00378/R11029" TargetMode="External"/><Relationship Id="rId1017" Type="http://schemas.openxmlformats.org/officeDocument/2006/relationships/hyperlink" Target="https://www.genome.jp/entry/R00034/R08765" TargetMode="External"/><Relationship Id="rId1224" Type="http://schemas.openxmlformats.org/officeDocument/2006/relationships/hyperlink" Target="https://www.genome.jp/entry/R07613" TargetMode="External"/><Relationship Id="rId1431" Type="http://schemas.openxmlformats.org/officeDocument/2006/relationships/hyperlink" Target="https://www.genome.jp/dbget-bin/www_bget?ec:5.1.3.2" TargetMode="External"/><Relationship Id="rId3189" Type="http://schemas.openxmlformats.org/officeDocument/2006/relationships/hyperlink" Target="https://www.genome.jp/entry/R00379/R00375/R00376/R00377/R00378/R11029" TargetMode="External"/><Relationship Id="rId3396" Type="http://schemas.openxmlformats.org/officeDocument/2006/relationships/hyperlink" Target="https://enzyme.expasy.org/EC/3.4.11.2" TargetMode="External"/><Relationship Id="rId3049" Type="http://schemas.openxmlformats.org/officeDocument/2006/relationships/hyperlink" Target="https://www.genome.jp/dbget-bin/www_bget?ec:2.7.7.4" TargetMode="External"/><Relationship Id="rId3256" Type="http://schemas.openxmlformats.org/officeDocument/2006/relationships/hyperlink" Target="https://enzyme.expasy.org/EC/2.7.7.7" TargetMode="External"/><Relationship Id="rId3463" Type="http://schemas.openxmlformats.org/officeDocument/2006/relationships/hyperlink" Target="https://www.genome.jp/entry/R01248/R01251/R03291/R03293" TargetMode="External"/><Relationship Id="rId177" Type="http://schemas.openxmlformats.org/officeDocument/2006/relationships/hyperlink" Target="https://enzyme.expasy.org/EC/5.1.3.3" TargetMode="External"/><Relationship Id="rId384" Type="http://schemas.openxmlformats.org/officeDocument/2006/relationships/hyperlink" Target="https://enzyme.expasy.org/EC/1.11.1.-" TargetMode="External"/><Relationship Id="rId591" Type="http://schemas.openxmlformats.org/officeDocument/2006/relationships/hyperlink" Target="https://enzyme.expasy.org/EC/6.1.1.14" TargetMode="External"/><Relationship Id="rId2065" Type="http://schemas.openxmlformats.org/officeDocument/2006/relationships/hyperlink" Target="https://www.genome.jp/dbget-bin/www_bget?ec:3.5.4.16" TargetMode="External"/><Relationship Id="rId2272" Type="http://schemas.openxmlformats.org/officeDocument/2006/relationships/hyperlink" Target="https://www.genome.jp/entry/R12188/R01286/R02408/R02953/R03528/R00782/R04941/R09366" TargetMode="External"/><Relationship Id="rId3116" Type="http://schemas.openxmlformats.org/officeDocument/2006/relationships/hyperlink" Target="https://www.genome.jp/dbget-bin/www_bget?ec:6.2.1.3" TargetMode="External"/><Relationship Id="rId3670" Type="http://schemas.openxmlformats.org/officeDocument/2006/relationships/hyperlink" Target="https://www.genome.jp/dbget-bin/www_bget?ec:1.5.1.3" TargetMode="External"/><Relationship Id="rId244" Type="http://schemas.openxmlformats.org/officeDocument/2006/relationships/hyperlink" Target="https://enzyme.expasy.org/EC/2.3.1.-" TargetMode="External"/><Relationship Id="rId1081" Type="http://schemas.openxmlformats.org/officeDocument/2006/relationships/hyperlink" Target="https://www.genome.jp/entry/R01878/R02485/R08221" TargetMode="External"/><Relationship Id="rId3323" Type="http://schemas.openxmlformats.org/officeDocument/2006/relationships/hyperlink" Target="https://www.genome.jp/dbget-bin/www_bget?ec:2.2.1.6" TargetMode="External"/><Relationship Id="rId3530" Type="http://schemas.openxmlformats.org/officeDocument/2006/relationships/hyperlink" Target="https://enzyme.expasy.org/EC/2.7.7.6" TargetMode="External"/><Relationship Id="rId451" Type="http://schemas.openxmlformats.org/officeDocument/2006/relationships/hyperlink" Target="https://enzyme.expasy.org/EC/3.1.2.-" TargetMode="External"/><Relationship Id="rId2132" Type="http://schemas.openxmlformats.org/officeDocument/2006/relationships/hyperlink" Target="https://www.genome.jp/dbget-bin/www_bget?enzyme+1.2.1.79" TargetMode="External"/><Relationship Id="rId104" Type="http://schemas.openxmlformats.org/officeDocument/2006/relationships/hyperlink" Target="https://enzyme.expasy.org/EC/2.10.1.1" TargetMode="External"/><Relationship Id="rId311" Type="http://schemas.openxmlformats.org/officeDocument/2006/relationships/hyperlink" Target="https://enzyme.expasy.org/EC/7.1.2.2" TargetMode="External"/><Relationship Id="rId1898" Type="http://schemas.openxmlformats.org/officeDocument/2006/relationships/hyperlink" Target="https://www.genome.jp/dbget-bin/www_bget?ec:2.1.1.199" TargetMode="External"/><Relationship Id="rId2949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1758" Type="http://schemas.openxmlformats.org/officeDocument/2006/relationships/hyperlink" Target="https://www.genome.jp/dbget-bin/www_bget?ec:2.1.1.228" TargetMode="External"/><Relationship Id="rId2809" Type="http://schemas.openxmlformats.org/officeDocument/2006/relationships/hyperlink" Target="https://enzyme.expasy.org/EC/4.3.2.2" TargetMode="External"/><Relationship Id="rId1965" Type="http://schemas.openxmlformats.org/officeDocument/2006/relationships/hyperlink" Target="https://www.genome.jp/entry/R07766/R12427/R12428/R07769" TargetMode="External"/><Relationship Id="rId3180" Type="http://schemas.openxmlformats.org/officeDocument/2006/relationships/hyperlink" Target="https://www.genome.jp/entry/R00379/R00375/R00376/R00377/R00378/R11029" TargetMode="External"/><Relationship Id="rId1618" Type="http://schemas.openxmlformats.org/officeDocument/2006/relationships/hyperlink" Target="https://www.genome.jp/dbget-bin/www_bget?ec:3.1.13.5" TargetMode="External"/><Relationship Id="rId1825" Type="http://schemas.openxmlformats.org/officeDocument/2006/relationships/hyperlink" Target="https://enzyme.expasy.org/EC/1.1.1.23" TargetMode="External"/><Relationship Id="rId3040" Type="http://schemas.openxmlformats.org/officeDocument/2006/relationships/hyperlink" Target="https://enzyme.expasy.org/EC/3.2.1.52" TargetMode="External"/><Relationship Id="rId2599" Type="http://schemas.openxmlformats.org/officeDocument/2006/relationships/hyperlink" Target="https://www.genome.jp/dbget-bin/www_bget?ec:2.5.1.48" TargetMode="External"/><Relationship Id="rId3857" Type="http://schemas.openxmlformats.org/officeDocument/2006/relationships/hyperlink" Target="https://www.genome.jp/entry/R07460/R11528/R11529" TargetMode="External"/><Relationship Id="rId778" Type="http://schemas.openxmlformats.org/officeDocument/2006/relationships/hyperlink" Target="https://enzyme.expasy.org/EC/3.5.3.6" TargetMode="External"/><Relationship Id="rId985" Type="http://schemas.openxmlformats.org/officeDocument/2006/relationships/hyperlink" Target="https://www.genome.jp/dbget-bin/www_bget?ec:2.1.1.107" TargetMode="External"/><Relationship Id="rId2459" Type="http://schemas.openxmlformats.org/officeDocument/2006/relationships/hyperlink" Target="https://enzyme.expasy.org/EC/4.1.3.27" TargetMode="External"/><Relationship Id="rId2666" Type="http://schemas.openxmlformats.org/officeDocument/2006/relationships/hyperlink" Target="https://www.genome.jp/entry/R02767/R04533/R04534/R04536/R04543/R04566/R04953/R04964/R07763/R10116/R10120" TargetMode="External"/><Relationship Id="rId2873" Type="http://schemas.openxmlformats.org/officeDocument/2006/relationships/hyperlink" Target="https://www.genome.jp/entry/R03504" TargetMode="External"/><Relationship Id="rId3717" Type="http://schemas.openxmlformats.org/officeDocument/2006/relationships/hyperlink" Target="https://enzyme.expasy.org/EC/4.2.1.17" TargetMode="External"/><Relationship Id="rId3924" Type="http://schemas.openxmlformats.org/officeDocument/2006/relationships/hyperlink" Target="https://enzyme.expasy.org/EC/4.2.1.33" TargetMode="External"/><Relationship Id="rId638" Type="http://schemas.openxmlformats.org/officeDocument/2006/relationships/hyperlink" Target="https://enzyme.expasy.org/EC/3.5.1.2" TargetMode="External"/><Relationship Id="rId845" Type="http://schemas.openxmlformats.org/officeDocument/2006/relationships/hyperlink" Target="https://www.genome.jp/dbget-bin/www_bget?ec:2.7.13.3" TargetMode="External"/><Relationship Id="rId1268" Type="http://schemas.openxmlformats.org/officeDocument/2006/relationships/hyperlink" Target="https://www.genome.jp/dbget-bin/www_bget?ec:2.8.1.7" TargetMode="External"/><Relationship Id="rId1475" Type="http://schemas.openxmlformats.org/officeDocument/2006/relationships/hyperlink" Target="https://enzyme.expasy.org/EC/6.3.5.5" TargetMode="External"/><Relationship Id="rId1682" Type="http://schemas.openxmlformats.org/officeDocument/2006/relationships/hyperlink" Target="https://www.genome.jp/dbget-bin/www_bget?ec:2.3.1.41" TargetMode="External"/><Relationship Id="rId2319" Type="http://schemas.openxmlformats.org/officeDocument/2006/relationships/hyperlink" Target="https://www.genome.jp/entry/R03313" TargetMode="External"/><Relationship Id="rId2526" Type="http://schemas.openxmlformats.org/officeDocument/2006/relationships/hyperlink" Target="https://www.genome.jp/dbget-bin/www_bget?ec:2.7.4.6" TargetMode="External"/><Relationship Id="rId2733" Type="http://schemas.openxmlformats.org/officeDocument/2006/relationships/hyperlink" Target="https://www.genome.jp/dbget-bin/www_bget?ec:3.6.1.9" TargetMode="External"/><Relationship Id="rId705" Type="http://schemas.openxmlformats.org/officeDocument/2006/relationships/hyperlink" Target="https://enzyme.expasy.org/EC/3.6.1.1" TargetMode="External"/><Relationship Id="rId1128" Type="http://schemas.openxmlformats.org/officeDocument/2006/relationships/hyperlink" Target="https://www.genome.jp/dbget-bin/www_bget?ec:3.1.3.25" TargetMode="External"/><Relationship Id="rId1335" Type="http://schemas.openxmlformats.org/officeDocument/2006/relationships/hyperlink" Target="https://www.genome.jp/dbget-bin/www_bget?ec:2.7.4.25" TargetMode="External"/><Relationship Id="rId1542" Type="http://schemas.openxmlformats.org/officeDocument/2006/relationships/hyperlink" Target="https://enzyme.expasy.org/EC/4.3.1.17" TargetMode="External"/><Relationship Id="rId2940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912" Type="http://schemas.openxmlformats.org/officeDocument/2006/relationships/hyperlink" Target="https://www.genome.jp/dbget-bin/www_bget?ec:2.4.2.29" TargetMode="External"/><Relationship Id="rId2800" Type="http://schemas.openxmlformats.org/officeDocument/2006/relationships/hyperlink" Target="https://www.genome.jp/entry/R04463" TargetMode="External"/><Relationship Id="rId41" Type="http://schemas.openxmlformats.org/officeDocument/2006/relationships/hyperlink" Target="https://enzyme.expasy.org/EC/1.1.1.42" TargetMode="External"/><Relationship Id="rId1402" Type="http://schemas.openxmlformats.org/officeDocument/2006/relationships/hyperlink" Target="https://www.genome.jp/entry/R00835/R02736" TargetMode="External"/><Relationship Id="rId288" Type="http://schemas.openxmlformats.org/officeDocument/2006/relationships/hyperlink" Target="https://enzyme.expasy.org/EC/3.6.1.65" TargetMode="External"/><Relationship Id="rId3367" Type="http://schemas.openxmlformats.org/officeDocument/2006/relationships/hyperlink" Target="https://enzyme.expasy.org/EC/1.11.1.6" TargetMode="External"/><Relationship Id="rId3574" Type="http://schemas.openxmlformats.org/officeDocument/2006/relationships/hyperlink" Target="https://www.genome.jp/entry/R00267/R00268/R01899" TargetMode="External"/><Relationship Id="rId3781" Type="http://schemas.openxmlformats.org/officeDocument/2006/relationships/hyperlink" Target="https://www.genome.jp/dbget-bin/www_bget?ec:4.2.1.11" TargetMode="External"/><Relationship Id="rId495" Type="http://schemas.openxmlformats.org/officeDocument/2006/relationships/hyperlink" Target="https://enzyme.expasy.org/EC/5.1.-.-" TargetMode="External"/><Relationship Id="rId2176" Type="http://schemas.openxmlformats.org/officeDocument/2006/relationships/hyperlink" Target="https://enzyme.expasy.org/EC/2.3.1.8" TargetMode="External"/><Relationship Id="rId2383" Type="http://schemas.openxmlformats.org/officeDocument/2006/relationships/hyperlink" Target="https://www.genome.jp/dbget-bin/www_bget?ec:1.8.4.11" TargetMode="External"/><Relationship Id="rId2590" Type="http://schemas.openxmlformats.org/officeDocument/2006/relationships/hyperlink" Target="https://www.genome.jp/dbget-bin/www_bget?ec:2.5.1.48" TargetMode="External"/><Relationship Id="rId3227" Type="http://schemas.openxmlformats.org/officeDocument/2006/relationships/hyperlink" Target="https://www.genome.jp/dbget-bin/www_bget?ec:2.7.7.7" TargetMode="External"/><Relationship Id="rId3434" Type="http://schemas.openxmlformats.org/officeDocument/2006/relationships/hyperlink" Target="https://www.genome.jp/entry/R08550/R03815/R07618/R01698" TargetMode="External"/><Relationship Id="rId3641" Type="http://schemas.openxmlformats.org/officeDocument/2006/relationships/hyperlink" Target="https://www.genome.jp/entry/R07343/R01185/R01186/R01187" TargetMode="External"/><Relationship Id="rId148" Type="http://schemas.openxmlformats.org/officeDocument/2006/relationships/hyperlink" Target="https://enzyme.expasy.org/EC/5.4.2.11" TargetMode="External"/><Relationship Id="rId355" Type="http://schemas.openxmlformats.org/officeDocument/2006/relationships/hyperlink" Target="https://enzyme.expasy.org/EC/2.6.1.11" TargetMode="External"/><Relationship Id="rId562" Type="http://schemas.openxmlformats.org/officeDocument/2006/relationships/hyperlink" Target="https://enzyme.expasy.org/EC/2.3.1.181" TargetMode="External"/><Relationship Id="rId1192" Type="http://schemas.openxmlformats.org/officeDocument/2006/relationships/hyperlink" Target="https://www.genome.jp/entry/R00087/R00086" TargetMode="External"/><Relationship Id="rId2036" Type="http://schemas.openxmlformats.org/officeDocument/2006/relationships/hyperlink" Target="https://enzyme.expasy.org/EC/1.1.1.1" TargetMode="External"/><Relationship Id="rId2243" Type="http://schemas.openxmlformats.org/officeDocument/2006/relationships/hyperlink" Target="https://enzyme.expasy.org/EC/3.1.1.1" TargetMode="External"/><Relationship Id="rId2450" Type="http://schemas.openxmlformats.org/officeDocument/2006/relationships/hyperlink" Target="https://www.genome.jp/dbget-bin/www_bget?enzyme+1.2.1.79" TargetMode="External"/><Relationship Id="rId3501" Type="http://schemas.openxmlformats.org/officeDocument/2006/relationships/hyperlink" Target="https://www.genome.jp/dbget-bin/www_bget?ec:2.7.7.6" TargetMode="External"/><Relationship Id="rId215" Type="http://schemas.openxmlformats.org/officeDocument/2006/relationships/hyperlink" Target="https://enzyme.expasy.org/EC/3.6.3.-" TargetMode="External"/><Relationship Id="rId422" Type="http://schemas.openxmlformats.org/officeDocument/2006/relationships/hyperlink" Target="https://enzyme.expasy.org/EC/2.5.1.6" TargetMode="External"/><Relationship Id="rId1052" Type="http://schemas.openxmlformats.org/officeDocument/2006/relationships/hyperlink" Target="https://www.genome.jp/dbget-bin/www_bget?ec:1.1.1.42" TargetMode="External"/><Relationship Id="rId2103" Type="http://schemas.openxmlformats.org/officeDocument/2006/relationships/hyperlink" Target="https://www.genome.jp/entry/R07297/R00183/R00511/R00963/R01126/R01227/R02323/R02719/R03346/R01569/R01664/R01968/R02088/R02102/R12958" TargetMode="External"/><Relationship Id="rId2310" Type="http://schemas.openxmlformats.org/officeDocument/2006/relationships/hyperlink" Target="https://www.genome.jp/entry/R01312/R02027/R02052/R03332/R07381" TargetMode="External"/><Relationship Id="rId1869" Type="http://schemas.openxmlformats.org/officeDocument/2006/relationships/hyperlink" Target="https://enzyme.expasy.org/EC/2.4.1.227" TargetMode="External"/><Relationship Id="rId3084" Type="http://schemas.openxmlformats.org/officeDocument/2006/relationships/hyperlink" Target="https://www.genome.jp/entry/R00630/R06728/R08255/R08258/R08220/R08249/R08251/R08295/R08300" TargetMode="External"/><Relationship Id="rId3291" Type="http://schemas.openxmlformats.org/officeDocument/2006/relationships/hyperlink" Target="https://www.genome.jp/entry/R00379/R00375/R00376/R00377/R00378/R11029" TargetMode="External"/><Relationship Id="rId1729" Type="http://schemas.openxmlformats.org/officeDocument/2006/relationships/hyperlink" Target="https://www.genome.jp/entry/R01625" TargetMode="External"/><Relationship Id="rId1936" Type="http://schemas.openxmlformats.org/officeDocument/2006/relationships/hyperlink" Target="https://www.genome.jp/dbget-bin/www_bget?ec:2.6.1.42" TargetMode="External"/><Relationship Id="rId3151" Type="http://schemas.openxmlformats.org/officeDocument/2006/relationships/hyperlink" Target="https://enzyme.expasy.org/EC/2.7.7.7" TargetMode="External"/><Relationship Id="rId3011" Type="http://schemas.openxmlformats.org/officeDocument/2006/relationships/hyperlink" Target="https://www.genome.jp/dbget-bin/www_bget?ec:3.2.1.52" TargetMode="External"/><Relationship Id="rId3968" Type="http://schemas.openxmlformats.org/officeDocument/2006/relationships/hyperlink" Target="https://www.genome.jp/dbget-bin/www_bget?ec:3.1.1.1" TargetMode="External"/><Relationship Id="rId5" Type="http://schemas.openxmlformats.org/officeDocument/2006/relationships/hyperlink" Target="https://enzyme.expasy.org/EC/5.4.2.8" TargetMode="External"/><Relationship Id="rId889" Type="http://schemas.openxmlformats.org/officeDocument/2006/relationships/hyperlink" Target="https://www.genome.jp/entry/R01779/R01977" TargetMode="External"/><Relationship Id="rId2777" Type="http://schemas.openxmlformats.org/officeDocument/2006/relationships/hyperlink" Target="https://www.genome.jp/entry/R01148/R01344/R01582/R02459/R02851/R02924/R05053" TargetMode="External"/><Relationship Id="rId749" Type="http://schemas.openxmlformats.org/officeDocument/2006/relationships/hyperlink" Target="https://enzyme.expasy.org/EC/3.1.4.46" TargetMode="External"/><Relationship Id="rId1379" Type="http://schemas.openxmlformats.org/officeDocument/2006/relationships/hyperlink" Target="https://www.genome.jp/entry/R01641/R01067/R01830/R06590/R06861/R06863" TargetMode="External"/><Relationship Id="rId1586" Type="http://schemas.openxmlformats.org/officeDocument/2006/relationships/hyperlink" Target="https://www.genome.jp/entry/5.6.2.6" TargetMode="External"/><Relationship Id="rId2984" Type="http://schemas.openxmlformats.org/officeDocument/2006/relationships/hyperlink" Target="https://www.genome.jp/dbget-bin/www_bget?ec:1.2.1.3" TargetMode="External"/><Relationship Id="rId3828" Type="http://schemas.openxmlformats.org/officeDocument/2006/relationships/hyperlink" Target="https://enzyme.expasy.org/EC/3.6.1.65" TargetMode="External"/><Relationship Id="rId609" Type="http://schemas.openxmlformats.org/officeDocument/2006/relationships/hyperlink" Target="https://enzyme.expasy.org/EC/2.1.1.72" TargetMode="External"/><Relationship Id="rId956" Type="http://schemas.openxmlformats.org/officeDocument/2006/relationships/hyperlink" Target="https://www.genome.jp/dbget-bin/www_bget?ec:1.3.5.4" TargetMode="External"/><Relationship Id="rId1239" Type="http://schemas.openxmlformats.org/officeDocument/2006/relationships/hyperlink" Target="https://www.genome.jp/dbget-bin/www_bget?ec:4.2.1.49" TargetMode="External"/><Relationship Id="rId1793" Type="http://schemas.openxmlformats.org/officeDocument/2006/relationships/hyperlink" Target="https://www.genome.jp/entry/R00200/R00430/R00572/R00659/R00724/R01138/R01858/R02320" TargetMode="External"/><Relationship Id="rId2637" Type="http://schemas.openxmlformats.org/officeDocument/2006/relationships/hyperlink" Target="https://www.genome.jp/entry/R02767/R04533/R04534/R04536/R04543/R04566/R04953/R04964/R07763/R10116/R10120" TargetMode="External"/><Relationship Id="rId2844" Type="http://schemas.openxmlformats.org/officeDocument/2006/relationships/hyperlink" Target="https://www.genome.jp/dbget-bin/www_bget?ec:2.5.1.32" TargetMode="External"/><Relationship Id="rId85" Type="http://schemas.openxmlformats.org/officeDocument/2006/relationships/hyperlink" Target="https://enzyme.expasy.org/EC/1.1.1.-" TargetMode="External"/><Relationship Id="rId816" Type="http://schemas.openxmlformats.org/officeDocument/2006/relationships/hyperlink" Target="https://www.genome.jp/entry/R00379/R00375/R00376/R00377/R00378/R11029" TargetMode="External"/><Relationship Id="rId1446" Type="http://schemas.openxmlformats.org/officeDocument/2006/relationships/hyperlink" Target="https://www.genome.jp/dbget-bin/www_bget?ec:2.5.1.6" TargetMode="External"/><Relationship Id="rId1653" Type="http://schemas.openxmlformats.org/officeDocument/2006/relationships/hyperlink" Target="https://www.genome.jp/entry/R00299/R01600/R01786" TargetMode="External"/><Relationship Id="rId1860" Type="http://schemas.openxmlformats.org/officeDocument/2006/relationships/hyperlink" Target="https://www.genome.jp/entry/R03193" TargetMode="External"/><Relationship Id="rId2704" Type="http://schemas.openxmlformats.org/officeDocument/2006/relationships/hyperlink" Target="https://www.genome.jp/dbget-bin/www_bget?ec:3.4.11.5" TargetMode="External"/><Relationship Id="rId2911" Type="http://schemas.openxmlformats.org/officeDocument/2006/relationships/hyperlink" Target="https://www.genome.jp/dbget-bin/www_bget?ec:4.1.2.13" TargetMode="External"/><Relationship Id="rId1306" Type="http://schemas.openxmlformats.org/officeDocument/2006/relationships/hyperlink" Target="https://www.genome.jp/entry/R03660" TargetMode="External"/><Relationship Id="rId1513" Type="http://schemas.openxmlformats.org/officeDocument/2006/relationships/hyperlink" Target="https://www.genome.jp/entry/R05577" TargetMode="External"/><Relationship Id="rId1720" Type="http://schemas.openxmlformats.org/officeDocument/2006/relationships/hyperlink" Target="https://www.genome.jp/dbget-bin/www_bget?enzyme+2.7.7.8" TargetMode="External"/><Relationship Id="rId12" Type="http://schemas.openxmlformats.org/officeDocument/2006/relationships/hyperlink" Target="https://enzyme.expasy.org/EC/3.6.3.-" TargetMode="External"/><Relationship Id="rId3478" Type="http://schemas.openxmlformats.org/officeDocument/2006/relationships/hyperlink" Target="https://www.genome.jp/entry/R03194/R07237/R07238/R03950" TargetMode="External"/><Relationship Id="rId3685" Type="http://schemas.openxmlformats.org/officeDocument/2006/relationships/hyperlink" Target="https://www.genome.jp/dbget-bin/www_bget?ec:1.5.1.3" TargetMode="External"/><Relationship Id="rId3892" Type="http://schemas.openxmlformats.org/officeDocument/2006/relationships/hyperlink" Target="https://www.genome.jp/dbget-bin/www_bget?ec:1.1.1.86" TargetMode="External"/><Relationship Id="rId399" Type="http://schemas.openxmlformats.org/officeDocument/2006/relationships/hyperlink" Target="https://enzyme.expasy.org/EC/3.6.1.27" TargetMode="External"/><Relationship Id="rId2287" Type="http://schemas.openxmlformats.org/officeDocument/2006/relationships/hyperlink" Target="https://www.genome.jp/entry/R06398/R09385/R09389/R09393" TargetMode="External"/><Relationship Id="rId2494" Type="http://schemas.openxmlformats.org/officeDocument/2006/relationships/hyperlink" Target="https://www.genome.jp/entry/R02016/R00900/R03596/R09372" TargetMode="External"/><Relationship Id="rId3338" Type="http://schemas.openxmlformats.org/officeDocument/2006/relationships/hyperlink" Target="https://www.genome.jp/dbget-bin/www_bget?ec:2.2.1.6" TargetMode="External"/><Relationship Id="rId3545" Type="http://schemas.openxmlformats.org/officeDocument/2006/relationships/hyperlink" Target="https://enzyme.expasy.org/EC/2.7.7.6" TargetMode="External"/><Relationship Id="rId3752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259" Type="http://schemas.openxmlformats.org/officeDocument/2006/relationships/hyperlink" Target="https://enzyme.expasy.org/EC/3.6.1.8" TargetMode="External"/><Relationship Id="rId466" Type="http://schemas.openxmlformats.org/officeDocument/2006/relationships/hyperlink" Target="https://enzyme.expasy.org/EC/2.7.1.63" TargetMode="External"/><Relationship Id="rId673" Type="http://schemas.openxmlformats.org/officeDocument/2006/relationships/hyperlink" Target="https://enzyme.expasy.org/EC/6.3.5.3" TargetMode="External"/><Relationship Id="rId880" Type="http://schemas.openxmlformats.org/officeDocument/2006/relationships/hyperlink" Target="https://www.genome.jp/dbget-bin/www_bget?enzyme+2.6.1.48" TargetMode="External"/><Relationship Id="rId1096" Type="http://schemas.openxmlformats.org/officeDocument/2006/relationships/hyperlink" Target="https://www.genome.jp/entry/R02948" TargetMode="External"/><Relationship Id="rId2147" Type="http://schemas.openxmlformats.org/officeDocument/2006/relationships/hyperlink" Target="https://www.genome.jp/entry/R00238/R00927/R01177" TargetMode="External"/><Relationship Id="rId2354" Type="http://schemas.openxmlformats.org/officeDocument/2006/relationships/hyperlink" Target="https://enzyme.expasy.org/EC/3.1.3.73" TargetMode="External"/><Relationship Id="rId2561" Type="http://schemas.openxmlformats.org/officeDocument/2006/relationships/hyperlink" Target="https://www.genome.jp/entry/R03665" TargetMode="External"/><Relationship Id="rId3405" Type="http://schemas.openxmlformats.org/officeDocument/2006/relationships/hyperlink" Target="https://enzyme.expasy.org/EC/2.3.1.122" TargetMode="External"/><Relationship Id="rId119" Type="http://schemas.openxmlformats.org/officeDocument/2006/relationships/hyperlink" Target="https://enzyme.expasy.org/EC/3.-.-.-" TargetMode="External"/><Relationship Id="rId326" Type="http://schemas.openxmlformats.org/officeDocument/2006/relationships/hyperlink" Target="https://enzyme.expasy.org/EC/2.2.1.6" TargetMode="External"/><Relationship Id="rId533" Type="http://schemas.openxmlformats.org/officeDocument/2006/relationships/hyperlink" Target="https://enzyme.expasy.org/EC/2.7.7.7" TargetMode="External"/><Relationship Id="rId1163" Type="http://schemas.openxmlformats.org/officeDocument/2006/relationships/hyperlink" Target="https://www.genome.jp/dbget-bin/www_bget?ec:3.2.2.20" TargetMode="External"/><Relationship Id="rId1370" Type="http://schemas.openxmlformats.org/officeDocument/2006/relationships/hyperlink" Target="https://www.genome.jp/entry/R01324/R01325/R01900" TargetMode="External"/><Relationship Id="rId2007" Type="http://schemas.openxmlformats.org/officeDocument/2006/relationships/hyperlink" Target="https://www.genome.jp/dbget-bin/www_bget?ec:1.1.1.1" TargetMode="External"/><Relationship Id="rId2214" Type="http://schemas.openxmlformats.org/officeDocument/2006/relationships/hyperlink" Target="https://www.genome.jp/dbget-bin/www_bget?ec:3.1.1.1" TargetMode="External"/><Relationship Id="rId3612" Type="http://schemas.openxmlformats.org/officeDocument/2006/relationships/hyperlink" Target="https://www.genome.jp/dbget-bin/www_bget?ec:3.2.1.1" TargetMode="External"/><Relationship Id="rId740" Type="http://schemas.openxmlformats.org/officeDocument/2006/relationships/hyperlink" Target="https://enzyme.expasy.org/EC/3.2.2.-" TargetMode="External"/><Relationship Id="rId1023" Type="http://schemas.openxmlformats.org/officeDocument/2006/relationships/hyperlink" Target="https://www.genome.jp/entry/R00444/R00435/R00441/R00442/R00443/R10813" TargetMode="External"/><Relationship Id="rId2421" Type="http://schemas.openxmlformats.org/officeDocument/2006/relationships/hyperlink" Target="https://www.genome.jp/entry/R04294/R02017/R02018/R02019/R02024/R08363/R08364/R11893" TargetMode="External"/><Relationship Id="rId600" Type="http://schemas.openxmlformats.org/officeDocument/2006/relationships/hyperlink" Target="https://enzyme.expasy.org/EC/5.3.3.2" TargetMode="External"/><Relationship Id="rId1230" Type="http://schemas.openxmlformats.org/officeDocument/2006/relationships/hyperlink" Target="https://www.genome.jp/entry/R07233" TargetMode="External"/><Relationship Id="rId3195" Type="http://schemas.openxmlformats.org/officeDocument/2006/relationships/hyperlink" Target="https://www.genome.jp/entry/R00379/R00375/R00376/R00377/R00378/R11029" TargetMode="External"/><Relationship Id="rId3055" Type="http://schemas.openxmlformats.org/officeDocument/2006/relationships/hyperlink" Target="https://www.genome.jp/entry/R00292/R06051" TargetMode="External"/><Relationship Id="rId3262" Type="http://schemas.openxmlformats.org/officeDocument/2006/relationships/hyperlink" Target="https://enzyme.expasy.org/EC/2.7.7.7" TargetMode="External"/><Relationship Id="rId183" Type="http://schemas.openxmlformats.org/officeDocument/2006/relationships/hyperlink" Target="https://enzyme.expasy.org/EC/3.1.21.-" TargetMode="External"/><Relationship Id="rId390" Type="http://schemas.openxmlformats.org/officeDocument/2006/relationships/hyperlink" Target="https://enzyme.expasy.org/EC/3.4.-.-" TargetMode="External"/><Relationship Id="rId1907" Type="http://schemas.openxmlformats.org/officeDocument/2006/relationships/hyperlink" Target="https://www.genome.jp/entry/R00081/R00082" TargetMode="External"/><Relationship Id="rId2071" Type="http://schemas.openxmlformats.org/officeDocument/2006/relationships/hyperlink" Target="https://www.genome.jp/dbget-bin/www_bget?ec:3.5.4.16" TargetMode="External"/><Relationship Id="rId3122" Type="http://schemas.openxmlformats.org/officeDocument/2006/relationships/hyperlink" Target="https://www.genome.jp/dbget-bin/www_bget?ec:6.2.1.3" TargetMode="External"/><Relationship Id="rId250" Type="http://schemas.openxmlformats.org/officeDocument/2006/relationships/hyperlink" Target="https://enzyme.expasy.org/EC/3.6.3.-" TargetMode="External"/><Relationship Id="rId110" Type="http://schemas.openxmlformats.org/officeDocument/2006/relationships/hyperlink" Target="https://enzyme.expasy.org/EC/1.14.14.18" TargetMode="External"/><Relationship Id="rId2888" Type="http://schemas.openxmlformats.org/officeDocument/2006/relationships/hyperlink" Target="https://www.genome.jp/dbget-bin/www_bget?ec:2.4.2.8" TargetMode="External"/><Relationship Id="rId3939" Type="http://schemas.openxmlformats.org/officeDocument/2006/relationships/hyperlink" Target="https://www.genome.jp/entry/R00162/R03632" TargetMode="External"/><Relationship Id="rId1697" Type="http://schemas.openxmlformats.org/officeDocument/2006/relationships/hyperlink" Target="https://www.genome.jp/dbget-bin/www_bget?ec:2.3.1.41" TargetMode="External"/><Relationship Id="rId2748" Type="http://schemas.openxmlformats.org/officeDocument/2006/relationships/hyperlink" Target="https://www.genome.jp/dbget-bin/www_bget?ec:3.6.1.9" TargetMode="External"/><Relationship Id="rId2955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927" Type="http://schemas.openxmlformats.org/officeDocument/2006/relationships/hyperlink" Target="https://www.genome.jp/entry/R00390/R01280" TargetMode="External"/><Relationship Id="rId1112" Type="http://schemas.openxmlformats.org/officeDocument/2006/relationships/hyperlink" Target="https://www.genome.jp/dbget-bin/www_bget?ec:3.6.4.12" TargetMode="External"/><Relationship Id="rId1557" Type="http://schemas.openxmlformats.org/officeDocument/2006/relationships/hyperlink" Target="https://www.genome.jp/dbget-bin/www_bget?ec:3.1.22.4" TargetMode="External"/><Relationship Id="rId1764" Type="http://schemas.openxmlformats.org/officeDocument/2006/relationships/hyperlink" Target="https://www.genome.jp/entry/R00539/R00317/R01421/R01515" TargetMode="External"/><Relationship Id="rId1971" Type="http://schemas.openxmlformats.org/officeDocument/2006/relationships/hyperlink" Target="https://enzyme.expasy.org/EC/2.8.1.8" TargetMode="External"/><Relationship Id="rId2608" Type="http://schemas.openxmlformats.org/officeDocument/2006/relationships/hyperlink" Target="https://www.genome.jp/entry/R01056/R09030" TargetMode="External"/><Relationship Id="rId2815" Type="http://schemas.openxmlformats.org/officeDocument/2006/relationships/hyperlink" Target="https://www.genome.jp/dbget-bin/www_bget?ec:6.3.4.13" TargetMode="External"/><Relationship Id="rId56" Type="http://schemas.openxmlformats.org/officeDocument/2006/relationships/hyperlink" Target="https://enzyme.expasy.org/EC/6.4.1.3" TargetMode="External"/><Relationship Id="rId1417" Type="http://schemas.openxmlformats.org/officeDocument/2006/relationships/hyperlink" Target="https://www.genome.jp/entry/R00291/R00418/R02984" TargetMode="External"/><Relationship Id="rId1624" Type="http://schemas.openxmlformats.org/officeDocument/2006/relationships/hyperlink" Target="https://www.genome.jp/dbget-bin/www_bget?ec:3.6.1.23" TargetMode="External"/><Relationship Id="rId1831" Type="http://schemas.openxmlformats.org/officeDocument/2006/relationships/hyperlink" Target="https://www.genome.jp/entry/R00996/R11098/R11101/R00220/R06131" TargetMode="External"/><Relationship Id="rId3077" Type="http://schemas.openxmlformats.org/officeDocument/2006/relationships/hyperlink" Target="https://www.genome.jp/dbget-bin/www_bget?ec:2.6.1.85" TargetMode="External"/><Relationship Id="rId3284" Type="http://schemas.openxmlformats.org/officeDocument/2006/relationships/hyperlink" Target="https://www.genome.jp/dbget-bin/www_bget?ec:2.7.7.7" TargetMode="External"/><Relationship Id="rId1929" Type="http://schemas.openxmlformats.org/officeDocument/2006/relationships/hyperlink" Target="https://www.genome.jp/dbget-bin/www_bget?ec:6.3.5.4" TargetMode="External"/><Relationship Id="rId2093" Type="http://schemas.openxmlformats.org/officeDocument/2006/relationships/hyperlink" Target="https://www.genome.jp/dbget-bin/www_bget?ec:3.1.3.5" TargetMode="External"/><Relationship Id="rId3491" Type="http://schemas.openxmlformats.org/officeDocument/2006/relationships/hyperlink" Target="https://enzyme.expasy.org/EC/4.1.3.36" TargetMode="External"/><Relationship Id="rId3589" Type="http://schemas.openxmlformats.org/officeDocument/2006/relationships/hyperlink" Target="https://www.genome.jp/entry/R05165/R08868/R08869" TargetMode="External"/><Relationship Id="rId3796" Type="http://schemas.openxmlformats.org/officeDocument/2006/relationships/hyperlink" Target="https://www.genome.jp/dbget-bin/www_bget?ec:3.1.3.11" TargetMode="External"/><Relationship Id="rId2398" Type="http://schemas.openxmlformats.org/officeDocument/2006/relationships/hyperlink" Target="https://www.genome.jp/entry/R04294/R02017/R02018/R02019/R02024/R08363/R08364/R11893" TargetMode="External"/><Relationship Id="rId3144" Type="http://schemas.openxmlformats.org/officeDocument/2006/relationships/hyperlink" Target="https://www.genome.jp/entry/R00379/R00375/R00376/R00377/R00378/R11029" TargetMode="External"/><Relationship Id="rId3351" Type="http://schemas.openxmlformats.org/officeDocument/2006/relationships/hyperlink" Target="https://www.genome.jp/entry/R00006/R00226/R00014/R03050/R04672/R04673/R08648" TargetMode="External"/><Relationship Id="rId3449" Type="http://schemas.openxmlformats.org/officeDocument/2006/relationships/hyperlink" Target="https://www.genome.jp/entry/R01195/R10159" TargetMode="External"/><Relationship Id="rId272" Type="http://schemas.openxmlformats.org/officeDocument/2006/relationships/hyperlink" Target="https://enzyme.expasy.org/EC/3.1.31.1" TargetMode="External"/><Relationship Id="rId577" Type="http://schemas.openxmlformats.org/officeDocument/2006/relationships/hyperlink" Target="https://enzyme.expasy.org/EC/3.1.-.-" TargetMode="External"/><Relationship Id="rId2160" Type="http://schemas.openxmlformats.org/officeDocument/2006/relationships/hyperlink" Target="https://www.genome.jp/entry/R09731" TargetMode="External"/><Relationship Id="rId2258" Type="http://schemas.openxmlformats.org/officeDocument/2006/relationships/hyperlink" Target="https://www.genome.jp/entry/4.4.1.13" TargetMode="External"/><Relationship Id="rId3004" Type="http://schemas.openxmlformats.org/officeDocument/2006/relationships/hyperlink" Target="https://enzyme.expasy.org/EC/3.2.1.52" TargetMode="External"/><Relationship Id="rId3211" Type="http://schemas.openxmlformats.org/officeDocument/2006/relationships/hyperlink" Target="https://enzyme.expasy.org/EC/2.7.7.7" TargetMode="External"/><Relationship Id="rId3656" Type="http://schemas.openxmlformats.org/officeDocument/2006/relationships/hyperlink" Target="https://www.genome.jp/entry/R07343/R01185/R01186/R01187" TargetMode="External"/><Relationship Id="rId3863" Type="http://schemas.openxmlformats.org/officeDocument/2006/relationships/hyperlink" Target="https://www.genome.jp/entry/R04779/R00756/R00767/R00769/R00770/R01843/R03236/R03237/R03238/R03239" TargetMode="External"/><Relationship Id="rId132" Type="http://schemas.openxmlformats.org/officeDocument/2006/relationships/hyperlink" Target="https://enzyme.expasy.org/EC/1.8.1.4" TargetMode="External"/><Relationship Id="rId784" Type="http://schemas.openxmlformats.org/officeDocument/2006/relationships/hyperlink" Target="https://enzyme.expasy.org/EC/1.1.1.22" TargetMode="External"/><Relationship Id="rId991" Type="http://schemas.openxmlformats.org/officeDocument/2006/relationships/hyperlink" Target="https://www.genome.jp/entry/C00430" TargetMode="External"/><Relationship Id="rId1067" Type="http://schemas.openxmlformats.org/officeDocument/2006/relationships/hyperlink" Target="https://www.genome.jp/entry/R00630/R06728/R08255/R08258/R08220/R08249/R08251/R08295/R08300" TargetMode="External"/><Relationship Id="rId2020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465" Type="http://schemas.openxmlformats.org/officeDocument/2006/relationships/hyperlink" Target="https://www.genome.jp/entry/R00674/R02340/R02722" TargetMode="External"/><Relationship Id="rId2672" Type="http://schemas.openxmlformats.org/officeDocument/2006/relationships/hyperlink" Target="https://www.genome.jp/entry/R02767/R04533/R04534/R04536/R04543/R04566/R04953/R04964/R07763/R10116/R10120" TargetMode="External"/><Relationship Id="rId3309" Type="http://schemas.openxmlformats.org/officeDocument/2006/relationships/hyperlink" Target="https://www.genome.jp/entry/R00006/R00226/R00014/R03050/R04672/R04673/R08648" TargetMode="External"/><Relationship Id="rId3516" Type="http://schemas.openxmlformats.org/officeDocument/2006/relationships/hyperlink" Target="https://www.genome.jp/dbget-bin/www_bget?ec:2.7.7.6" TargetMode="External"/><Relationship Id="rId3723" Type="http://schemas.openxmlformats.org/officeDocument/2006/relationships/hyperlink" Target="https://enzyme.expasy.org/EC/4.2.1.17" TargetMode="External"/><Relationship Id="rId3930" Type="http://schemas.openxmlformats.org/officeDocument/2006/relationships/hyperlink" Target="https://enzyme.expasy.org/EC/1.1.1.94" TargetMode="External"/><Relationship Id="rId437" Type="http://schemas.openxmlformats.org/officeDocument/2006/relationships/hyperlink" Target="https://enzyme.expasy.org/EC/6.1.1.12" TargetMode="External"/><Relationship Id="rId644" Type="http://schemas.openxmlformats.org/officeDocument/2006/relationships/hyperlink" Target="https://enzyme.expasy.org/EC/2.3.1.54" TargetMode="External"/><Relationship Id="rId851" Type="http://schemas.openxmlformats.org/officeDocument/2006/relationships/hyperlink" Target="https://www.genome.jp/dbget-bin/www_bget?ec:2.7.13.3" TargetMode="External"/><Relationship Id="rId1274" Type="http://schemas.openxmlformats.org/officeDocument/2006/relationships/hyperlink" Target="https://www.genome.jp/dbget-bin/www_bget?ec:2.7.1.11" TargetMode="External"/><Relationship Id="rId1481" Type="http://schemas.openxmlformats.org/officeDocument/2006/relationships/hyperlink" Target="https://enzyme.expasy.org/EC/6.3.5.5" TargetMode="External"/><Relationship Id="rId1579" Type="http://schemas.openxmlformats.org/officeDocument/2006/relationships/hyperlink" Target="https://enzyme.expasy.org/EC/3.6.4.13" TargetMode="External"/><Relationship Id="rId2118" Type="http://schemas.openxmlformats.org/officeDocument/2006/relationships/hyperlink" Target="https://www.genome.jp/entry/R07297/R00183/R00511/R00963/R01126/R01227/R02323/R02719/R03346/R01569/R01664/R01968/R02088/R02102/R12958" TargetMode="External"/><Relationship Id="rId2325" Type="http://schemas.openxmlformats.org/officeDocument/2006/relationships/hyperlink" Target="https://enzyme.expasy.org/EC/1.1.1.79" TargetMode="External"/><Relationship Id="rId2532" Type="http://schemas.openxmlformats.org/officeDocument/2006/relationships/hyperlink" Target="https://www.genome.jp/dbget-bin/www_bget?ec:2.7.4.6" TargetMode="External"/><Relationship Id="rId2977" Type="http://schemas.openxmlformats.org/officeDocument/2006/relationships/hyperlink" Target="https://enzyme.expasy.org/EC/1.2.1.3" TargetMode="External"/><Relationship Id="rId504" Type="http://schemas.openxmlformats.org/officeDocument/2006/relationships/hyperlink" Target="https://enzyme.expasy.org/EC/2.7.4.22" TargetMode="External"/><Relationship Id="rId711" Type="http://schemas.openxmlformats.org/officeDocument/2006/relationships/hyperlink" Target="https://enzyme.expasy.org/EC/6.3.-.-" TargetMode="External"/><Relationship Id="rId949" Type="http://schemas.openxmlformats.org/officeDocument/2006/relationships/hyperlink" Target="https://www.genome.jp/entry/R07248/R13277" TargetMode="External"/><Relationship Id="rId1134" Type="http://schemas.openxmlformats.org/officeDocument/2006/relationships/hyperlink" Target="https://www.genome.jp/dbget-bin/www_bget?ec:2.6.1.52" TargetMode="External"/><Relationship Id="rId1341" Type="http://schemas.openxmlformats.org/officeDocument/2006/relationships/hyperlink" Target="https://www.genome.jp/entry/R04237" TargetMode="External"/><Relationship Id="rId1786" Type="http://schemas.openxmlformats.org/officeDocument/2006/relationships/hyperlink" Target="https://www.genome.jp/dbget-bin/www_bget?ec:2.7.1.40" TargetMode="External"/><Relationship Id="rId1993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837" Type="http://schemas.openxmlformats.org/officeDocument/2006/relationships/hyperlink" Target="https://enzyme.expasy.org/EC/2.5.1.32" TargetMode="External"/><Relationship Id="rId78" Type="http://schemas.openxmlformats.org/officeDocument/2006/relationships/hyperlink" Target="https://enzyme.expasy.org/EC/3.2.2.4" TargetMode="External"/><Relationship Id="rId809" Type="http://schemas.openxmlformats.org/officeDocument/2006/relationships/hyperlink" Target="https://www.genome.jp/dbget-bin/www_bget?ec:2.7.7.7" TargetMode="External"/><Relationship Id="rId1201" Type="http://schemas.openxmlformats.org/officeDocument/2006/relationships/hyperlink" Target="https://www.genome.jp/dbget-bin/www_bget?ec:2.7.1.33" TargetMode="External"/><Relationship Id="rId1439" Type="http://schemas.openxmlformats.org/officeDocument/2006/relationships/hyperlink" Target="https://www.genome.jp/dbget-bin/www_bget?ec:2.1.2.9" TargetMode="External"/><Relationship Id="rId1646" Type="http://schemas.openxmlformats.org/officeDocument/2006/relationships/hyperlink" Target="https://www.genome.jp/dbget-bin/www_bget?ec:4.3.3.7" TargetMode="External"/><Relationship Id="rId1853" Type="http://schemas.openxmlformats.org/officeDocument/2006/relationships/hyperlink" Target="https://www.genome.jp/dbget-bin/www_bget?ec:3.5.1.1" TargetMode="External"/><Relationship Id="rId2904" Type="http://schemas.openxmlformats.org/officeDocument/2006/relationships/hyperlink" Target="https://enzyme.expasy.org/EC/4.1.2.13" TargetMode="External"/><Relationship Id="rId3099" Type="http://schemas.openxmlformats.org/officeDocument/2006/relationships/hyperlink" Target="https://www.genome.jp/entry/R00630/R06728/R08255/R08258/R08220/R08249/R08251/R08295/R08300" TargetMode="External"/><Relationship Id="rId1506" Type="http://schemas.openxmlformats.org/officeDocument/2006/relationships/hyperlink" Target="https://www.genome.jp/entry/R02413/R12885" TargetMode="External"/><Relationship Id="rId1713" Type="http://schemas.openxmlformats.org/officeDocument/2006/relationships/hyperlink" Target="https://www.genome.jp/dbget-bin/www_bget?ec:5.4.99.25" TargetMode="External"/><Relationship Id="rId1920" Type="http://schemas.openxmlformats.org/officeDocument/2006/relationships/hyperlink" Target="https://enzyme.expasy.org/EC/7.1.1.9" TargetMode="External"/><Relationship Id="rId3166" Type="http://schemas.openxmlformats.org/officeDocument/2006/relationships/hyperlink" Target="https://enzyme.expasy.org/EC/2.7.7.7" TargetMode="External"/><Relationship Id="rId3373" Type="http://schemas.openxmlformats.org/officeDocument/2006/relationships/hyperlink" Target="https://www.genome.jp/dbget-bin/www_bget?ec:3.3.2.10" TargetMode="External"/><Relationship Id="rId3580" Type="http://schemas.openxmlformats.org/officeDocument/2006/relationships/hyperlink" Target="https://www.genome.jp/entry/R07358/R02964/R03643/R03816/R07359" TargetMode="External"/><Relationship Id="rId294" Type="http://schemas.openxmlformats.org/officeDocument/2006/relationships/hyperlink" Target="https://enzyme.expasy.org/EC/3.6.4.13" TargetMode="External"/><Relationship Id="rId2182" Type="http://schemas.openxmlformats.org/officeDocument/2006/relationships/hyperlink" Target="https://www.genome.jp/dbget-bin/www_bget?ec:1.18.1.2" TargetMode="External"/><Relationship Id="rId3026" Type="http://schemas.openxmlformats.org/officeDocument/2006/relationships/hyperlink" Target="https://www.genome.jp/dbget-bin/www_bget?ec:3.2.1.52" TargetMode="External"/><Relationship Id="rId3233" Type="http://schemas.openxmlformats.org/officeDocument/2006/relationships/hyperlink" Target="https://www.genome.jp/dbget-bin/www_bget?ec:2.7.7.7" TargetMode="External"/><Relationship Id="rId3678" Type="http://schemas.openxmlformats.org/officeDocument/2006/relationships/hyperlink" Target="https://enzyme.expasy.org/EC/1.5.1.3" TargetMode="External"/><Relationship Id="rId3885" Type="http://schemas.openxmlformats.org/officeDocument/2006/relationships/hyperlink" Target="https://enzyme.expasy.org/EC/4.2.1.9" TargetMode="External"/><Relationship Id="rId154" Type="http://schemas.openxmlformats.org/officeDocument/2006/relationships/hyperlink" Target="https://enzyme.expasy.org/EC/2.5.1.61" TargetMode="External"/><Relationship Id="rId361" Type="http://schemas.openxmlformats.org/officeDocument/2006/relationships/hyperlink" Target="https://enzyme.expasy.org/EC/1.4.99.5" TargetMode="External"/><Relationship Id="rId599" Type="http://schemas.openxmlformats.org/officeDocument/2006/relationships/hyperlink" Target="https://enzyme.expasy.org/EC/3.1.1.1" TargetMode="External"/><Relationship Id="rId2042" Type="http://schemas.openxmlformats.org/officeDocument/2006/relationships/hyperlink" Target="https://enzyme.expasy.org/EC/1.1.1.1" TargetMode="External"/><Relationship Id="rId2487" Type="http://schemas.openxmlformats.org/officeDocument/2006/relationships/hyperlink" Target="https://www.genome.jp/dbget-bin/www_bget?ec:2.7.7.72" TargetMode="External"/><Relationship Id="rId2694" Type="http://schemas.openxmlformats.org/officeDocument/2006/relationships/hyperlink" Target="https://www.genome.jp/dbget-bin/www_bget?ec:6.3.3.3" TargetMode="External"/><Relationship Id="rId3440" Type="http://schemas.openxmlformats.org/officeDocument/2006/relationships/hyperlink" Target="https://www.genome.jp/entry/R02164/R13223" TargetMode="External"/><Relationship Id="rId3538" Type="http://schemas.openxmlformats.org/officeDocument/2006/relationships/hyperlink" Target="https://www.genome.jp/entry/R00444/R00435/R00441/R00442/R00443/R10813" TargetMode="External"/><Relationship Id="rId3745" Type="http://schemas.openxmlformats.org/officeDocument/2006/relationships/hyperlink" Target="https://www.genome.jp/dbget-bin/www_bget?ec:4.2.1.17" TargetMode="External"/><Relationship Id="rId459" Type="http://schemas.openxmlformats.org/officeDocument/2006/relationships/hyperlink" Target="https://enzyme.expasy.org/EC/1.8.4.12" TargetMode="External"/><Relationship Id="rId666" Type="http://schemas.openxmlformats.org/officeDocument/2006/relationships/hyperlink" Target="https://enzyme.expasy.org/EC/2.7.1.107" TargetMode="External"/><Relationship Id="rId873" Type="http://schemas.openxmlformats.org/officeDocument/2006/relationships/hyperlink" Target="https://www.genome.jp/entry/R01025" TargetMode="External"/><Relationship Id="rId1089" Type="http://schemas.openxmlformats.org/officeDocument/2006/relationships/hyperlink" Target="https://www.genome.jp/entry/R01859/R08924" TargetMode="External"/><Relationship Id="rId1296" Type="http://schemas.openxmlformats.org/officeDocument/2006/relationships/hyperlink" Target="https://www.genome.jp/dbget-bin/www_bget?ec:3.2.2.27" TargetMode="External"/><Relationship Id="rId2347" Type="http://schemas.openxmlformats.org/officeDocument/2006/relationships/hyperlink" Target="https://www.genome.jp/dbget-bin/www_bget?ec:6.1.1.11" TargetMode="External"/><Relationship Id="rId2554" Type="http://schemas.openxmlformats.org/officeDocument/2006/relationships/hyperlink" Target="https://enzyme.expasy.org/EC/6.3.2.17" TargetMode="External"/><Relationship Id="rId2999" Type="http://schemas.openxmlformats.org/officeDocument/2006/relationships/hyperlink" Target="https://www.genome.jp/entry/R00258" TargetMode="External"/><Relationship Id="rId3300" Type="http://schemas.openxmlformats.org/officeDocument/2006/relationships/hyperlink" Target="https://www.genome.jp/dbget-bin/www_bget?ec:2.1.1.14" TargetMode="External"/><Relationship Id="rId3952" Type="http://schemas.openxmlformats.org/officeDocument/2006/relationships/hyperlink" Target="https://enzyme.expasy.org/EC/3.1.1.1" TargetMode="External"/><Relationship Id="rId221" Type="http://schemas.openxmlformats.org/officeDocument/2006/relationships/hyperlink" Target="https://enzyme.expasy.org/EC/3.1.3.7" TargetMode="External"/><Relationship Id="rId319" Type="http://schemas.openxmlformats.org/officeDocument/2006/relationships/hyperlink" Target="https://enzyme.expasy.org/EC/6.3.5.-" TargetMode="External"/><Relationship Id="rId526" Type="http://schemas.openxmlformats.org/officeDocument/2006/relationships/hyperlink" Target="https://enzyme.expasy.org/EC/2.7.7.7" TargetMode="External"/><Relationship Id="rId1156" Type="http://schemas.openxmlformats.org/officeDocument/2006/relationships/hyperlink" Target="https://www.genome.jp/entry/R04325/R04326" TargetMode="External"/><Relationship Id="rId1363" Type="http://schemas.openxmlformats.org/officeDocument/2006/relationships/hyperlink" Target="https://www.genome.jp/dbget-bin/www_bget?ec:4.2.1.3" TargetMode="External"/><Relationship Id="rId2207" Type="http://schemas.openxmlformats.org/officeDocument/2006/relationships/hyperlink" Target="https://enzyme.expasy.org/EC/3.1.1.1" TargetMode="External"/><Relationship Id="rId2761" Type="http://schemas.openxmlformats.org/officeDocument/2006/relationships/hyperlink" Target="https://www.genome.jp/dbget-bin/www_bget?ec:2.5.1.47" TargetMode="External"/><Relationship Id="rId2859" Type="http://schemas.openxmlformats.org/officeDocument/2006/relationships/hyperlink" Target="https://www.genome.jp/entry/R09690/R09719/R09744/R09745/R09746/R07653" TargetMode="External"/><Relationship Id="rId3605" Type="http://schemas.openxmlformats.org/officeDocument/2006/relationships/hyperlink" Target="https://enzyme.expasy.org/EC/2.4.2.2" TargetMode="External"/><Relationship Id="rId3812" Type="http://schemas.openxmlformats.org/officeDocument/2006/relationships/hyperlink" Target="https://www.genome.jp/entry/R00801/R00802/R02410/R03635/R03921/R06087/R06088/R06100/R06101/R06102" TargetMode="External"/><Relationship Id="rId733" Type="http://schemas.openxmlformats.org/officeDocument/2006/relationships/hyperlink" Target="https://enzyme.expasy.org/EC/3.1.3.1" TargetMode="External"/><Relationship Id="rId940" Type="http://schemas.openxmlformats.org/officeDocument/2006/relationships/hyperlink" Target="https://www.genome.jp/dbget-bin/www_bget?ec:3.4.11.2" TargetMode="External"/><Relationship Id="rId1016" Type="http://schemas.openxmlformats.org/officeDocument/2006/relationships/hyperlink" Target="https://www.genome.jp/dbget-bin/www_bget?ec:4.1.99.3" TargetMode="External"/><Relationship Id="rId1570" Type="http://schemas.openxmlformats.org/officeDocument/2006/relationships/hyperlink" Target="https://enzyme.expasy.org/EC/1.20.9.1" TargetMode="External"/><Relationship Id="rId1668" Type="http://schemas.openxmlformats.org/officeDocument/2006/relationships/hyperlink" Target="https://www.genome.jp/dbget-bin/www_bget?ec:3.5.99.6" TargetMode="External"/><Relationship Id="rId1875" Type="http://schemas.openxmlformats.org/officeDocument/2006/relationships/hyperlink" Target="https://www.genome.jp/dbget-bin/www_bget?ec:2.7.8.13" TargetMode="External"/><Relationship Id="rId2414" Type="http://schemas.openxmlformats.org/officeDocument/2006/relationships/hyperlink" Target="https://www.genome.jp/dbget-bin/www_bget?ec:1.17.4.1" TargetMode="External"/><Relationship Id="rId2621" Type="http://schemas.openxmlformats.org/officeDocument/2006/relationships/hyperlink" Target="https://www.genome.jp/dbget-bin/www_bget?ec:1.4.1.1" TargetMode="External"/><Relationship Id="rId2719" Type="http://schemas.openxmlformats.org/officeDocument/2006/relationships/hyperlink" Target="https://www.genome.jp/entry/R01532/R00087/R00426/R00515/R00662/R11323/R00103/R00160/R00287/R03004/R03036" TargetMode="External"/><Relationship Id="rId800" Type="http://schemas.openxmlformats.org/officeDocument/2006/relationships/hyperlink" Target="https://www.genome.jp/dbget-bin/www_bget?ec:2.7.7.7" TargetMode="External"/><Relationship Id="rId1223" Type="http://schemas.openxmlformats.org/officeDocument/2006/relationships/hyperlink" Target="https://www.genome.jp/dbget-bin/www_bget?ec:2.6.1.83" TargetMode="External"/><Relationship Id="rId1430" Type="http://schemas.openxmlformats.org/officeDocument/2006/relationships/hyperlink" Target="https://www.genome.jp/dbget-bin/www_bget?ec:5.1.3.2" TargetMode="External"/><Relationship Id="rId1528" Type="http://schemas.openxmlformats.org/officeDocument/2006/relationships/hyperlink" Target="https://www.genome.jp/entry/R00220/R00590/R11099/R11100/R06131" TargetMode="External"/><Relationship Id="rId2926" Type="http://schemas.openxmlformats.org/officeDocument/2006/relationships/hyperlink" Target="https://www.genome.jp/dbget-bin/www_bget?ec:2.8.1.2" TargetMode="External"/><Relationship Id="rId3090" Type="http://schemas.openxmlformats.org/officeDocument/2006/relationships/hyperlink" Target="https://www.genome.jp/entry/R00630/R06728/R08255/R08258/R08220/R08249/R08251/R08295/R08300" TargetMode="External"/><Relationship Id="rId1735" Type="http://schemas.openxmlformats.org/officeDocument/2006/relationships/hyperlink" Target="https://www.genome.jp/dbget-bin/www_bget?ec:1.1.5.4" TargetMode="External"/><Relationship Id="rId1942" Type="http://schemas.openxmlformats.org/officeDocument/2006/relationships/hyperlink" Target="https://www.genome.jp/dbget-bin/www_bget?ec:2.6.1.42" TargetMode="External"/><Relationship Id="rId3188" Type="http://schemas.openxmlformats.org/officeDocument/2006/relationships/hyperlink" Target="https://www.genome.jp/dbget-bin/www_bget?ec:2.7.7.7" TargetMode="External"/><Relationship Id="rId3395" Type="http://schemas.openxmlformats.org/officeDocument/2006/relationships/hyperlink" Target="https://www.genome.jp/entry/R00899/R04951" TargetMode="External"/><Relationship Id="rId27" Type="http://schemas.openxmlformats.org/officeDocument/2006/relationships/hyperlink" Target="https://enzyme.expasy.org/EC/1.1.1.205" TargetMode="External"/><Relationship Id="rId1802" Type="http://schemas.openxmlformats.org/officeDocument/2006/relationships/hyperlink" Target="https://www.genome.jp/entry/R00200/R00430/R00572/R00659/R00724/R01138/R01858/R02320" TargetMode="External"/><Relationship Id="rId3048" Type="http://schemas.openxmlformats.org/officeDocument/2006/relationships/hyperlink" Target="https://enzyme.expasy.org/EC/2.7.7.4" TargetMode="External"/><Relationship Id="rId3255" Type="http://schemas.openxmlformats.org/officeDocument/2006/relationships/hyperlink" Target="https://www.genome.jp/dbget-bin/www_bget?ec:2.7.7.7" TargetMode="External"/><Relationship Id="rId3462" Type="http://schemas.openxmlformats.org/officeDocument/2006/relationships/hyperlink" Target="https://www.genome.jp/dbget-bin/www_bget?enzyme+1.5.1.2" TargetMode="External"/><Relationship Id="rId176" Type="http://schemas.openxmlformats.org/officeDocument/2006/relationships/hyperlink" Target="https://enzyme.expasy.org/EC/2.7.1.15" TargetMode="External"/><Relationship Id="rId383" Type="http://schemas.openxmlformats.org/officeDocument/2006/relationships/hyperlink" Target="https://enzyme.expasy.org/EC/1.6.99.-" TargetMode="External"/><Relationship Id="rId590" Type="http://schemas.openxmlformats.org/officeDocument/2006/relationships/hyperlink" Target="https://enzyme.expasy.org/EC/3.1.5.1" TargetMode="External"/><Relationship Id="rId2064" Type="http://schemas.openxmlformats.org/officeDocument/2006/relationships/hyperlink" Target="https://enzyme.expasy.org/EC/3.5.4.16" TargetMode="External"/><Relationship Id="rId2271" Type="http://schemas.openxmlformats.org/officeDocument/2006/relationships/hyperlink" Target="https://www.genome.jp/entry/R12188/R01286/R02408/R02953/R03528/R00782/R04941/R09366" TargetMode="External"/><Relationship Id="rId3115" Type="http://schemas.openxmlformats.org/officeDocument/2006/relationships/hyperlink" Target="https://enzyme.expasy.org/EC/6.2.1.3" TargetMode="External"/><Relationship Id="rId3322" Type="http://schemas.openxmlformats.org/officeDocument/2006/relationships/hyperlink" Target="https://enzyme.expasy.org/EC/2.2.1.6" TargetMode="External"/><Relationship Id="rId3767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243" Type="http://schemas.openxmlformats.org/officeDocument/2006/relationships/hyperlink" Target="https://enzyme.expasy.org/EC/2.7.1.148" TargetMode="External"/><Relationship Id="rId450" Type="http://schemas.openxmlformats.org/officeDocument/2006/relationships/hyperlink" Target="https://enzyme.expasy.org/EC/3.1.22.4" TargetMode="External"/><Relationship Id="rId688" Type="http://schemas.openxmlformats.org/officeDocument/2006/relationships/hyperlink" Target="https://enzyme.expasy.org/EC/4.2.1.1" TargetMode="External"/><Relationship Id="rId895" Type="http://schemas.openxmlformats.org/officeDocument/2006/relationships/hyperlink" Target="https://www.genome.jp/entry/R02364" TargetMode="External"/><Relationship Id="rId1080" Type="http://schemas.openxmlformats.org/officeDocument/2006/relationships/hyperlink" Target="https://www.genome.jp/dbget-bin/www_bget?ec:3.5.4.5" TargetMode="External"/><Relationship Id="rId2131" Type="http://schemas.openxmlformats.org/officeDocument/2006/relationships/hyperlink" Target="https://www.genome.jp/entry/R03209" TargetMode="External"/><Relationship Id="rId2369" Type="http://schemas.openxmlformats.org/officeDocument/2006/relationships/hyperlink" Target="https://enzyme.expasy.org/EC/3.1.4.46" TargetMode="External"/><Relationship Id="rId2576" Type="http://schemas.openxmlformats.org/officeDocument/2006/relationships/hyperlink" Target="https://www.genome.jp/entry/R00342/R07136" TargetMode="External"/><Relationship Id="rId2783" Type="http://schemas.openxmlformats.org/officeDocument/2006/relationships/hyperlink" Target="https://www.genome.jp/entry/R01148/R01344/R01582/R02459/R02851/R02924/R05053" TargetMode="External"/><Relationship Id="rId2990" Type="http://schemas.openxmlformats.org/officeDocument/2006/relationships/hyperlink" Target="https://www.genome.jp/dbget-bin/www_bget?ec:1.2.1.3" TargetMode="External"/><Relationship Id="rId3627" Type="http://schemas.openxmlformats.org/officeDocument/2006/relationships/hyperlink" Target="https://www.genome.jp/dbget-bin/www_bget?ec:2.7.1.15" TargetMode="External"/><Relationship Id="rId3834" Type="http://schemas.openxmlformats.org/officeDocument/2006/relationships/hyperlink" Target="https://enzyme.expasy.org/EC/1.1.1.3" TargetMode="External"/><Relationship Id="rId103" Type="http://schemas.openxmlformats.org/officeDocument/2006/relationships/hyperlink" Target="https://enzyme.expasy.org/EC/2.8.1.12" TargetMode="External"/><Relationship Id="rId310" Type="http://schemas.openxmlformats.org/officeDocument/2006/relationships/hyperlink" Target="https://enzyme.expasy.org/EC/7.1.2.2" TargetMode="External"/><Relationship Id="rId548" Type="http://schemas.openxmlformats.org/officeDocument/2006/relationships/hyperlink" Target="https://enzyme.expasy.org/EC/2.4.1.345" TargetMode="External"/><Relationship Id="rId755" Type="http://schemas.openxmlformats.org/officeDocument/2006/relationships/hyperlink" Target="https://enzyme.expasy.org/EC/1.1.5.3" TargetMode="External"/><Relationship Id="rId962" Type="http://schemas.openxmlformats.org/officeDocument/2006/relationships/hyperlink" Target="https://www.genome.jp/entry/R02164/R13223" TargetMode="External"/><Relationship Id="rId1178" Type="http://schemas.openxmlformats.org/officeDocument/2006/relationships/hyperlink" Target="https://www.genome.jp/dbget-bin/www_bget?ec:3.1.1.29" TargetMode="External"/><Relationship Id="rId1385" Type="http://schemas.openxmlformats.org/officeDocument/2006/relationships/hyperlink" Target="https://www.genome.jp/entry/R01641/R01067/R01830/R06590/R06861/R06863" TargetMode="External"/><Relationship Id="rId1592" Type="http://schemas.openxmlformats.org/officeDocument/2006/relationships/hyperlink" Target="https://www.genome.jp/entry/5.6.2.6" TargetMode="External"/><Relationship Id="rId2229" Type="http://schemas.openxmlformats.org/officeDocument/2006/relationships/hyperlink" Target="https://www.genome.jp/dbget-bin/www_bget?ec:3.1.1.1" TargetMode="External"/><Relationship Id="rId2436" Type="http://schemas.openxmlformats.org/officeDocument/2006/relationships/hyperlink" Target="https://www.genome.jp/dbget-bin/www_bget?ec:3.1.3.1" TargetMode="External"/><Relationship Id="rId2643" Type="http://schemas.openxmlformats.org/officeDocument/2006/relationships/hyperlink" Target="https://www.genome.jp/entry/R02767/R04533/R04534/R04536/R04543/R04566/R04953/R04964/R07763/R10116/R10120" TargetMode="External"/><Relationship Id="rId2850" Type="http://schemas.openxmlformats.org/officeDocument/2006/relationships/hyperlink" Target="https://www.genome.jp/entry/R09690/R09719/R09744/R09745/R09746/R07653" TargetMode="External"/><Relationship Id="rId91" Type="http://schemas.openxmlformats.org/officeDocument/2006/relationships/hyperlink" Target="https://enzyme.expasy.org/EC/2.6.1.-" TargetMode="External"/><Relationship Id="rId408" Type="http://schemas.openxmlformats.org/officeDocument/2006/relationships/hyperlink" Target="https://enzyme.expasy.org/EC/2.2.1.1" TargetMode="External"/><Relationship Id="rId615" Type="http://schemas.openxmlformats.org/officeDocument/2006/relationships/hyperlink" Target="https://enzyme.expasy.org/EC/2.7.2.11" TargetMode="External"/><Relationship Id="rId822" Type="http://schemas.openxmlformats.org/officeDocument/2006/relationships/hyperlink" Target="https://enzyme.expasy.org/EC/5.2.1.8" TargetMode="External"/><Relationship Id="rId1038" Type="http://schemas.openxmlformats.org/officeDocument/2006/relationships/hyperlink" Target="https://www.genome.jp/entry/R02060" TargetMode="External"/><Relationship Id="rId1245" Type="http://schemas.openxmlformats.org/officeDocument/2006/relationships/hyperlink" Target="https://www.genome.jp/dbget-bin/www_bget?ec:4.1.1.20" TargetMode="External"/><Relationship Id="rId1452" Type="http://schemas.openxmlformats.org/officeDocument/2006/relationships/hyperlink" Target="https://www.genome.jp/entry/R00332/R02090/R12852" TargetMode="External"/><Relationship Id="rId1897" Type="http://schemas.openxmlformats.org/officeDocument/2006/relationships/hyperlink" Target="https://www.genome.jp/entry/R06178/R06179/R04519/R06177" TargetMode="External"/><Relationship Id="rId2503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948" Type="http://schemas.openxmlformats.org/officeDocument/2006/relationships/hyperlink" Target="https://www.genome.jp/dbget-bin/www_bget?ec:1.2.1.3" TargetMode="External"/><Relationship Id="rId3901" Type="http://schemas.openxmlformats.org/officeDocument/2006/relationships/hyperlink" Target="https://www.genome.jp/dbget-bin/www_bget?ec:1.1.1.86" TargetMode="External"/><Relationship Id="rId1105" Type="http://schemas.openxmlformats.org/officeDocument/2006/relationships/hyperlink" Target="https://www.genome.jp/entry/R01092" TargetMode="External"/><Relationship Id="rId1312" Type="http://schemas.openxmlformats.org/officeDocument/2006/relationships/hyperlink" Target="https://www.genome.jp/dbget-bin/www_bget?ec:2.6.1.11" TargetMode="External"/><Relationship Id="rId1757" Type="http://schemas.openxmlformats.org/officeDocument/2006/relationships/hyperlink" Target="https://www.genome.jp/dbget-bin/www_bget?ec:3.4.21.89" TargetMode="External"/><Relationship Id="rId1964" Type="http://schemas.openxmlformats.org/officeDocument/2006/relationships/hyperlink" Target="https://www.genome.jp/dbget-bin/www_bget?ec:2.3.1.181" TargetMode="External"/><Relationship Id="rId2710" Type="http://schemas.openxmlformats.org/officeDocument/2006/relationships/hyperlink" Target="https://www.genome.jp/dbget-bin/www_bget?ec:2.3.1.54" TargetMode="External"/><Relationship Id="rId2808" Type="http://schemas.openxmlformats.org/officeDocument/2006/relationships/hyperlink" Target="https://www.genome.jp/entry/R01083/R04559/R12851" TargetMode="External"/><Relationship Id="rId49" Type="http://schemas.openxmlformats.org/officeDocument/2006/relationships/hyperlink" Target="https://enzyme.expasy.org/EC/1.6.5.2" TargetMode="External"/><Relationship Id="rId1617" Type="http://schemas.openxmlformats.org/officeDocument/2006/relationships/hyperlink" Target="https://www.genome.jp/entry/R05721" TargetMode="External"/><Relationship Id="rId1824" Type="http://schemas.openxmlformats.org/officeDocument/2006/relationships/hyperlink" Target="https://www.genome.jp/entry/R01158/R01163/R03012" TargetMode="External"/><Relationship Id="rId3277" Type="http://schemas.openxmlformats.org/officeDocument/2006/relationships/hyperlink" Target="https://enzyme.expasy.org/EC/2.7.7.7" TargetMode="External"/><Relationship Id="rId198" Type="http://schemas.openxmlformats.org/officeDocument/2006/relationships/hyperlink" Target="https://enzyme.expasy.org/EC/4.2.-.-" TargetMode="External"/><Relationship Id="rId2086" Type="http://schemas.openxmlformats.org/officeDocument/2006/relationships/hyperlink" Target="https://enzyme.expasy.org/EC/3.1.3.5" TargetMode="External"/><Relationship Id="rId3484" Type="http://schemas.openxmlformats.org/officeDocument/2006/relationships/hyperlink" Target="https://www.genome.jp/entry/R03194/R07237/R07238/R03950" TargetMode="External"/><Relationship Id="rId3691" Type="http://schemas.openxmlformats.org/officeDocument/2006/relationships/hyperlink" Target="https://www.genome.jp/entry/R02740/R00771/R02739/R03321/R13199" TargetMode="External"/><Relationship Id="rId3789" Type="http://schemas.openxmlformats.org/officeDocument/2006/relationships/hyperlink" Target="https://enzyme.expasy.org/EC/2.1.2.1" TargetMode="External"/><Relationship Id="rId2293" Type="http://schemas.openxmlformats.org/officeDocument/2006/relationships/hyperlink" Target="https://www.genome.jp/entry/R06398/R09385/R09389/R09393" TargetMode="External"/><Relationship Id="rId2598" Type="http://schemas.openxmlformats.org/officeDocument/2006/relationships/hyperlink" Target="https://enzyme.expasy.org/EC/2.5.1.48" TargetMode="External"/><Relationship Id="rId3137" Type="http://schemas.openxmlformats.org/officeDocument/2006/relationships/hyperlink" Target="https://www.genome.jp/dbget-bin/www_bget?ec:2.7.11.1" TargetMode="External"/><Relationship Id="rId3344" Type="http://schemas.openxmlformats.org/officeDocument/2006/relationships/hyperlink" Target="https://www.genome.jp/dbget-bin/www_bget?ec:2.2.1.6" TargetMode="External"/><Relationship Id="rId3551" Type="http://schemas.openxmlformats.org/officeDocument/2006/relationships/hyperlink" Target="https://enzyme.expasy.org/EC/2.7.7.6" TargetMode="External"/><Relationship Id="rId265" Type="http://schemas.openxmlformats.org/officeDocument/2006/relationships/hyperlink" Target="https://enzyme.expasy.org/EC/2.1.2.1" TargetMode="External"/><Relationship Id="rId472" Type="http://schemas.openxmlformats.org/officeDocument/2006/relationships/hyperlink" Target="https://enzyme.expasy.org/EC/3.6.4.13" TargetMode="External"/><Relationship Id="rId2153" Type="http://schemas.openxmlformats.org/officeDocument/2006/relationships/hyperlink" Target="https://www.genome.jp/entry/R00238/R00927/R01177" TargetMode="External"/><Relationship Id="rId2360" Type="http://schemas.openxmlformats.org/officeDocument/2006/relationships/hyperlink" Target="https://www.genome.jp/dbget-bin/www_bget?enzyme+4.2.1.51" TargetMode="External"/><Relationship Id="rId3204" Type="http://schemas.openxmlformats.org/officeDocument/2006/relationships/hyperlink" Target="https://www.genome.jp/entry/R00379/R00375/R00376/R00377/R00378/R11029" TargetMode="External"/><Relationship Id="rId3411" Type="http://schemas.openxmlformats.org/officeDocument/2006/relationships/hyperlink" Target="https://enzyme.expasy.org/EC/1.8.1.4" TargetMode="External"/><Relationship Id="rId3649" Type="http://schemas.openxmlformats.org/officeDocument/2006/relationships/hyperlink" Target="https://www.genome.jp/dbget-bin/www_bget?ec:3.1.3.25" TargetMode="External"/><Relationship Id="rId3856" Type="http://schemas.openxmlformats.org/officeDocument/2006/relationships/hyperlink" Target="https://www.genome.jp/dbget-bin/www_bget?ec:2.8.1.7" TargetMode="External"/><Relationship Id="rId125" Type="http://schemas.openxmlformats.org/officeDocument/2006/relationships/hyperlink" Target="https://enzyme.expasy.org/EC/1.1.1.306" TargetMode="External"/><Relationship Id="rId332" Type="http://schemas.openxmlformats.org/officeDocument/2006/relationships/hyperlink" Target="https://enzyme.expasy.org/EC/5.4.4.2" TargetMode="External"/><Relationship Id="rId777" Type="http://schemas.openxmlformats.org/officeDocument/2006/relationships/hyperlink" Target="https://enzyme.expasy.org/EC/2.7.1.-" TargetMode="External"/><Relationship Id="rId984" Type="http://schemas.openxmlformats.org/officeDocument/2006/relationships/hyperlink" Target="https://www.genome.jp/entry/R00084" TargetMode="External"/><Relationship Id="rId2013" Type="http://schemas.openxmlformats.org/officeDocument/2006/relationships/hyperlink" Target="https://www.genome.jp/dbget-bin/www_bget?ec:1.1.1.1" TargetMode="External"/><Relationship Id="rId2220" Type="http://schemas.openxmlformats.org/officeDocument/2006/relationships/hyperlink" Target="https://www.genome.jp/dbget-bin/www_bget?ec:3.1.1.1" TargetMode="External"/><Relationship Id="rId2458" Type="http://schemas.openxmlformats.org/officeDocument/2006/relationships/hyperlink" Target="https://www.genome.jp/entry/R00986/R00985" TargetMode="External"/><Relationship Id="rId2665" Type="http://schemas.openxmlformats.org/officeDocument/2006/relationships/hyperlink" Target="https://www.genome.jp/dbget-bin/www_bget?ec:1.1.1.100" TargetMode="External"/><Relationship Id="rId2872" Type="http://schemas.openxmlformats.org/officeDocument/2006/relationships/hyperlink" Target="https://www.genome.jp/dbget-bin/www_bget?ec:4.1.2.25" TargetMode="External"/><Relationship Id="rId3509" Type="http://schemas.openxmlformats.org/officeDocument/2006/relationships/hyperlink" Target="https://enzyme.expasy.org/EC/2.7.7.6" TargetMode="External"/><Relationship Id="rId3716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923" Type="http://schemas.openxmlformats.org/officeDocument/2006/relationships/hyperlink" Target="https://www.genome.jp/entry/R03968/R04001/R10170" TargetMode="External"/><Relationship Id="rId637" Type="http://schemas.openxmlformats.org/officeDocument/2006/relationships/hyperlink" Target="https://enzyme.expasy.org/EC/7.2.2.16" TargetMode="External"/><Relationship Id="rId844" Type="http://schemas.openxmlformats.org/officeDocument/2006/relationships/hyperlink" Target="https://www.genome.jp/dbget-bin/www_bget?ec:2.7.13.3" TargetMode="External"/><Relationship Id="rId1267" Type="http://schemas.openxmlformats.org/officeDocument/2006/relationships/hyperlink" Target="https://www.genome.jp/dbget-bin/www_bget?ec:2.8.1.7" TargetMode="External"/><Relationship Id="rId1474" Type="http://schemas.openxmlformats.org/officeDocument/2006/relationships/hyperlink" Target="https://www.genome.jp/entry/R00256/R00575/R01395/R10948/R10949/R07641" TargetMode="External"/><Relationship Id="rId1681" Type="http://schemas.openxmlformats.org/officeDocument/2006/relationships/hyperlink" Target="https://enzyme.expasy.org/EC/2.3.1.41" TargetMode="External"/><Relationship Id="rId2318" Type="http://schemas.openxmlformats.org/officeDocument/2006/relationships/hyperlink" Target="https://www.genome.jp/dbget-bin/www_bget?ec:1.2.1.41" TargetMode="External"/><Relationship Id="rId2525" Type="http://schemas.openxmlformats.org/officeDocument/2006/relationships/hyperlink" Target="https://enzyme.expasy.org/EC/2.7.4.6" TargetMode="External"/><Relationship Id="rId2732" Type="http://schemas.openxmlformats.org/officeDocument/2006/relationships/hyperlink" Target="https://enzyme.expasy.org/EC/3.6.1.9" TargetMode="External"/><Relationship Id="rId704" Type="http://schemas.openxmlformats.org/officeDocument/2006/relationships/hyperlink" Target="https://enzyme.expasy.org/EC/3.4.16.4" TargetMode="External"/><Relationship Id="rId911" Type="http://schemas.openxmlformats.org/officeDocument/2006/relationships/hyperlink" Target="https://www.genome.jp/entry/R10223" TargetMode="External"/><Relationship Id="rId1127" Type="http://schemas.openxmlformats.org/officeDocument/2006/relationships/hyperlink" Target="https://www.genome.jp/dbget-bin/www_bget?ec:3.1.3.25" TargetMode="External"/><Relationship Id="rId1334" Type="http://schemas.openxmlformats.org/officeDocument/2006/relationships/hyperlink" Target="https://www.genome.jp/entry/R01054" TargetMode="External"/><Relationship Id="rId1541" Type="http://schemas.openxmlformats.org/officeDocument/2006/relationships/hyperlink" Target="https://www.genome.jp/entry/R00220/R00590/R11099/R11100/R06131" TargetMode="External"/><Relationship Id="rId1779" Type="http://schemas.openxmlformats.org/officeDocument/2006/relationships/hyperlink" Target="https://www.genome.jp/dbget-bin/www_bget?ec:1.4.1.2" TargetMode="External"/><Relationship Id="rId1986" Type="http://schemas.openxmlformats.org/officeDocument/2006/relationships/hyperlink" Target="https://www.genome.jp/dbget-bin/www_bget?ec:7.6.2.8" TargetMode="External"/><Relationship Id="rId40" Type="http://schemas.openxmlformats.org/officeDocument/2006/relationships/hyperlink" Target="https://enzyme.expasy.org/EC/3.4.15.5" TargetMode="External"/><Relationship Id="rId1401" Type="http://schemas.openxmlformats.org/officeDocument/2006/relationships/hyperlink" Target="https://www.genome.jp/dbget-bin/www_bget?ec:1.1.1.49" TargetMode="External"/><Relationship Id="rId1639" Type="http://schemas.openxmlformats.org/officeDocument/2006/relationships/hyperlink" Target="https://www.genome.jp/dbget-bin/www_bget?ec:5.1.1.7" TargetMode="External"/><Relationship Id="rId1846" Type="http://schemas.openxmlformats.org/officeDocument/2006/relationships/hyperlink" Target="https://www.genome.jp/entry/R00485/R06134" TargetMode="External"/><Relationship Id="rId3061" Type="http://schemas.openxmlformats.org/officeDocument/2006/relationships/hyperlink" Target="https://enzyme.expasy.org/EC/3.5.3.6" TargetMode="External"/><Relationship Id="rId3299" Type="http://schemas.openxmlformats.org/officeDocument/2006/relationships/hyperlink" Target="https://www.genome.jp/entry/R04405/R09365" TargetMode="External"/><Relationship Id="rId1706" Type="http://schemas.openxmlformats.org/officeDocument/2006/relationships/hyperlink" Target="https://www.genome.jp/dbget-bin/www_bget?ec:2.3.1.41" TargetMode="External"/><Relationship Id="rId1913" Type="http://schemas.openxmlformats.org/officeDocument/2006/relationships/hyperlink" Target="https://www.genome.jp/dbget-bin/www_bget?ec:7.1.1.9" TargetMode="External"/><Relationship Id="rId3159" Type="http://schemas.openxmlformats.org/officeDocument/2006/relationships/hyperlink" Target="https://www.genome.jp/entry/R00379/R00375/R00376/R00377/R00378/R11029" TargetMode="External"/><Relationship Id="rId3366" Type="http://schemas.openxmlformats.org/officeDocument/2006/relationships/hyperlink" Target="https://www.genome.jp/entry/R00009/R00602/R02670" TargetMode="External"/><Relationship Id="rId3573" Type="http://schemas.openxmlformats.org/officeDocument/2006/relationships/hyperlink" Target="https://www.genome.jp/dbget-bin/www_bget?ec:1.1.1.42" TargetMode="External"/><Relationship Id="rId287" Type="http://schemas.openxmlformats.org/officeDocument/2006/relationships/hyperlink" Target="https://enzyme.expasy.org/EC/3.1.1.-" TargetMode="External"/><Relationship Id="rId494" Type="http://schemas.openxmlformats.org/officeDocument/2006/relationships/hyperlink" Target="https://enzyme.expasy.org/EC/2.7.13.3" TargetMode="External"/><Relationship Id="rId2175" Type="http://schemas.openxmlformats.org/officeDocument/2006/relationships/hyperlink" Target="https://www.genome.jp/entry/R00230/R00921" TargetMode="External"/><Relationship Id="rId2382" Type="http://schemas.openxmlformats.org/officeDocument/2006/relationships/hyperlink" Target="https://enzyme.expasy.org/EC/1.8.4.11" TargetMode="External"/><Relationship Id="rId3019" Type="http://schemas.openxmlformats.org/officeDocument/2006/relationships/hyperlink" Target="https://enzyme.expasy.org/EC/3.2.1.52" TargetMode="External"/><Relationship Id="rId3226" Type="http://schemas.openxmlformats.org/officeDocument/2006/relationships/hyperlink" Target="https://enzyme.expasy.org/EC/2.7.7.7" TargetMode="External"/><Relationship Id="rId3780" Type="http://schemas.openxmlformats.org/officeDocument/2006/relationships/hyperlink" Target="https://enzyme.expasy.org/EC/4.2.1.11" TargetMode="External"/><Relationship Id="rId3878" Type="http://schemas.openxmlformats.org/officeDocument/2006/relationships/hyperlink" Target="https://www.genome.jp/entry/R04779/R00756/R00767/R00769/R00770/R01843/R03236/R03237/R03238/R03239" TargetMode="External"/><Relationship Id="rId147" Type="http://schemas.openxmlformats.org/officeDocument/2006/relationships/hyperlink" Target="https://enzyme.expasy.org/EC/2.4.1.250" TargetMode="External"/><Relationship Id="rId354" Type="http://schemas.openxmlformats.org/officeDocument/2006/relationships/hyperlink" Target="https://enzyme.expasy.org/EC/2.7.2.8" TargetMode="External"/><Relationship Id="rId799" Type="http://schemas.openxmlformats.org/officeDocument/2006/relationships/hyperlink" Target="https://enzyme.expasy.org/EC/1.18.1.2" TargetMode="External"/><Relationship Id="rId1191" Type="http://schemas.openxmlformats.org/officeDocument/2006/relationships/hyperlink" Target="https://www.genome.jp/dbget-bin/www_bget?enzyme+3.6.1.8" TargetMode="External"/><Relationship Id="rId2035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687" Type="http://schemas.openxmlformats.org/officeDocument/2006/relationships/hyperlink" Target="https://www.genome.jp/entry/R00256/R01579/R06134" TargetMode="External"/><Relationship Id="rId2894" Type="http://schemas.openxmlformats.org/officeDocument/2006/relationships/hyperlink" Target="https://www.genome.jp/dbget-bin/www_bget?ec:2.4.2.8" TargetMode="External"/><Relationship Id="rId3433" Type="http://schemas.openxmlformats.org/officeDocument/2006/relationships/hyperlink" Target="https://www.genome.jp/dbget-bin/www_bget?ec:1.8.1.4" TargetMode="External"/><Relationship Id="rId3640" Type="http://schemas.openxmlformats.org/officeDocument/2006/relationships/hyperlink" Target="https://www.genome.jp/dbget-bin/www_bget?ec:3.1.3.25" TargetMode="External"/><Relationship Id="rId3738" Type="http://schemas.openxmlformats.org/officeDocument/2006/relationships/hyperlink" Target="https://enzyme.expasy.org/EC/4.2.1.17" TargetMode="External"/><Relationship Id="rId561" Type="http://schemas.openxmlformats.org/officeDocument/2006/relationships/hyperlink" Target="https://enzyme.expasy.org/EC/2.1.2.10" TargetMode="External"/><Relationship Id="rId659" Type="http://schemas.openxmlformats.org/officeDocument/2006/relationships/hyperlink" Target="https://enzyme.expasy.org/EC/2.5.1.7" TargetMode="External"/><Relationship Id="rId866" Type="http://schemas.openxmlformats.org/officeDocument/2006/relationships/hyperlink" Target="https://www.genome.jp/dbget-bin/www_bget?ec:3.2.2.4" TargetMode="External"/><Relationship Id="rId1289" Type="http://schemas.openxmlformats.org/officeDocument/2006/relationships/hyperlink" Target="https://www.genome.jp/dbget-bin/www_bget?ec:4.2.1.33" TargetMode="External"/><Relationship Id="rId1496" Type="http://schemas.openxmlformats.org/officeDocument/2006/relationships/hyperlink" Target="https://www.genome.jp/entry/R01397" TargetMode="External"/><Relationship Id="rId2242" Type="http://schemas.openxmlformats.org/officeDocument/2006/relationships/hyperlink" Target="https://www.genome.jp/entry/R00630/R06728/R08255/R08258/R08220/R08249/R08251/R08295/R08300" TargetMode="External"/><Relationship Id="rId2547" Type="http://schemas.openxmlformats.org/officeDocument/2006/relationships/hyperlink" Target="https://www.genome.jp/entry/R04241/R00942/R01654/R02237/R05197" TargetMode="External"/><Relationship Id="rId3500" Type="http://schemas.openxmlformats.org/officeDocument/2006/relationships/hyperlink" Target="https://enzyme.expasy.org/EC/2.7.7.6" TargetMode="External"/><Relationship Id="rId3945" Type="http://schemas.openxmlformats.org/officeDocument/2006/relationships/hyperlink" Target="https://www.genome.jp/entry/R01859/R08924" TargetMode="External"/><Relationship Id="rId214" Type="http://schemas.openxmlformats.org/officeDocument/2006/relationships/hyperlink" Target="https://enzyme.expasy.org/EC/1.-.-.-" TargetMode="External"/><Relationship Id="rId421" Type="http://schemas.openxmlformats.org/officeDocument/2006/relationships/hyperlink" Target="https://enzyme.expasy.org/EC/3.6.4.-" TargetMode="External"/><Relationship Id="rId519" Type="http://schemas.openxmlformats.org/officeDocument/2006/relationships/hyperlink" Target="https://enzyme.expasy.org/EC/4.1.3.-" TargetMode="External"/><Relationship Id="rId1051" Type="http://schemas.openxmlformats.org/officeDocument/2006/relationships/hyperlink" Target="https://www.genome.jp/dbget-bin/www_bget?ec:3.4.15.5" TargetMode="External"/><Relationship Id="rId1149" Type="http://schemas.openxmlformats.org/officeDocument/2006/relationships/hyperlink" Target="https://www.genome.jp/entry/R00188/R00508" TargetMode="External"/><Relationship Id="rId1356" Type="http://schemas.openxmlformats.org/officeDocument/2006/relationships/hyperlink" Target="https://www.genome.jp/entry/R01071" TargetMode="External"/><Relationship Id="rId2102" Type="http://schemas.openxmlformats.org/officeDocument/2006/relationships/hyperlink" Target="https://www.genome.jp/dbget-bin/www_bget?ec:3.1.3.5" TargetMode="External"/><Relationship Id="rId2754" Type="http://schemas.openxmlformats.org/officeDocument/2006/relationships/hyperlink" Target="https://www.genome.jp/dbget-bin/www_bget?ec:6.3.4.21" TargetMode="External"/><Relationship Id="rId2961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805" Type="http://schemas.openxmlformats.org/officeDocument/2006/relationships/hyperlink" Target="https://www.genome.jp/dbget-bin/www_bget?ec:3.2.1.26" TargetMode="External"/><Relationship Id="rId726" Type="http://schemas.openxmlformats.org/officeDocument/2006/relationships/hyperlink" Target="https://enzyme.expasy.org/EC/3.6.1.-" TargetMode="External"/><Relationship Id="rId933" Type="http://schemas.openxmlformats.org/officeDocument/2006/relationships/hyperlink" Target="https://www.genome.jp/entry/R02328" TargetMode="External"/><Relationship Id="rId1009" Type="http://schemas.openxmlformats.org/officeDocument/2006/relationships/hyperlink" Target="https://www.genome.jp/entry/R09736" TargetMode="External"/><Relationship Id="rId1563" Type="http://schemas.openxmlformats.org/officeDocument/2006/relationships/hyperlink" Target="https://enzyme.expasy.org/EC/2.4.1.345" TargetMode="External"/><Relationship Id="rId1770" Type="http://schemas.openxmlformats.org/officeDocument/2006/relationships/hyperlink" Target="https://www.genome.jp/entry/R00539/R00317/R01421/R01515" TargetMode="External"/><Relationship Id="rId1868" Type="http://schemas.openxmlformats.org/officeDocument/2006/relationships/hyperlink" Target="https://www.genome.jp/entry/R05662/R06173/R05032/R06172/R06174" TargetMode="External"/><Relationship Id="rId2407" Type="http://schemas.openxmlformats.org/officeDocument/2006/relationships/hyperlink" Target="https://www.genome.jp/entry/R04294/R02017/R02018/R02019/R02024/R08363/R08364/R11893" TargetMode="External"/><Relationship Id="rId2614" Type="http://schemas.openxmlformats.org/officeDocument/2006/relationships/hyperlink" Target="https://enzyme.expasy.org/EC/1.4.1.1" TargetMode="External"/><Relationship Id="rId2821" Type="http://schemas.openxmlformats.org/officeDocument/2006/relationships/hyperlink" Target="https://enzyme.expasy.org/EC/3.1.3.12" TargetMode="External"/><Relationship Id="rId62" Type="http://schemas.openxmlformats.org/officeDocument/2006/relationships/hyperlink" Target="https://enzyme.expasy.org/EC/2.3.1.-" TargetMode="External"/><Relationship Id="rId1216" Type="http://schemas.openxmlformats.org/officeDocument/2006/relationships/hyperlink" Target="https://www.genome.jp/entry/R09494" TargetMode="External"/><Relationship Id="rId1423" Type="http://schemas.openxmlformats.org/officeDocument/2006/relationships/hyperlink" Target="https://www.genome.jp/entry/R00291/R00418/R02984" TargetMode="External"/><Relationship Id="rId1630" Type="http://schemas.openxmlformats.org/officeDocument/2006/relationships/hyperlink" Target="https://www.genome.jp/entry/R02185/R02187/R02189" TargetMode="External"/><Relationship Id="rId2919" Type="http://schemas.openxmlformats.org/officeDocument/2006/relationships/hyperlink" Target="https://www.genome.jp/entry/R01870/R08231" TargetMode="External"/><Relationship Id="rId3083" Type="http://schemas.openxmlformats.org/officeDocument/2006/relationships/hyperlink" Target="https://www.genome.jp/dbget-bin/www_bget?ec:3.1.1.1" TargetMode="External"/><Relationship Id="rId3290" Type="http://schemas.openxmlformats.org/officeDocument/2006/relationships/hyperlink" Target="https://www.genome.jp/dbget-bin/www_bget?ec:2.7.7.7" TargetMode="External"/><Relationship Id="rId1728" Type="http://schemas.openxmlformats.org/officeDocument/2006/relationships/hyperlink" Target="https://www.genome.jp/dbget-bin/www_bget?ec:2.7.8.7" TargetMode="External"/><Relationship Id="rId1935" Type="http://schemas.openxmlformats.org/officeDocument/2006/relationships/hyperlink" Target="https://enzyme.expasy.org/EC/2.6.1.42" TargetMode="External"/><Relationship Id="rId3150" Type="http://schemas.openxmlformats.org/officeDocument/2006/relationships/hyperlink" Target="https://www.genome.jp/entry/R00379/R00375/R00376/R00377/R00378/R11029" TargetMode="External"/><Relationship Id="rId3388" Type="http://schemas.openxmlformats.org/officeDocument/2006/relationships/hyperlink" Target="https://www.genome.jp/dbget-bin/www_bget?ec:4.6.1.1" TargetMode="External"/><Relationship Id="rId3595" Type="http://schemas.openxmlformats.org/officeDocument/2006/relationships/hyperlink" Target="https://www.genome.jp/entry/R01878/R02485/R08221" TargetMode="External"/><Relationship Id="rId2197" Type="http://schemas.openxmlformats.org/officeDocument/2006/relationships/hyperlink" Target="https://www.genome.jp/dbget-bin/www_bget?ec:2.7.1.35" TargetMode="External"/><Relationship Id="rId3010" Type="http://schemas.openxmlformats.org/officeDocument/2006/relationships/hyperlink" Target="https://enzyme.expasy.org/EC/3.2.1.52" TargetMode="External"/><Relationship Id="rId3248" Type="http://schemas.openxmlformats.org/officeDocument/2006/relationships/hyperlink" Target="https://www.genome.jp/entry/R00379/R00375/R00376/R00377/R00378/R11029" TargetMode="External"/><Relationship Id="rId3455" Type="http://schemas.openxmlformats.org/officeDocument/2006/relationships/hyperlink" Target="https://enzyme.expasy.org/EC/3.6.1.11" TargetMode="External"/><Relationship Id="rId3662" Type="http://schemas.openxmlformats.org/officeDocument/2006/relationships/hyperlink" Target="https://www.genome.jp/entry/R07343/R01185/R01186/R01187" TargetMode="External"/><Relationship Id="rId169" Type="http://schemas.openxmlformats.org/officeDocument/2006/relationships/hyperlink" Target="https://enzyme.expasy.org/EC/2.2.1.9" TargetMode="External"/><Relationship Id="rId376" Type="http://schemas.openxmlformats.org/officeDocument/2006/relationships/hyperlink" Target="https://enzyme.expasy.org/EC/3.6.4.13" TargetMode="External"/><Relationship Id="rId583" Type="http://schemas.openxmlformats.org/officeDocument/2006/relationships/hyperlink" Target="https://enzyme.expasy.org/EC/6.3.4.14" TargetMode="External"/><Relationship Id="rId790" Type="http://schemas.openxmlformats.org/officeDocument/2006/relationships/hyperlink" Target="https://enzyme.expasy.org/EC/1.2.1.3" TargetMode="External"/><Relationship Id="rId2057" Type="http://schemas.openxmlformats.org/officeDocument/2006/relationships/hyperlink" Target="https://www.genome.jp/dbget-bin/www_bget?ec:3.5.4.16" TargetMode="External"/><Relationship Id="rId2264" Type="http://schemas.openxmlformats.org/officeDocument/2006/relationships/hyperlink" Target="https://www.genome.jp/entry/4.4.1.13" TargetMode="External"/><Relationship Id="rId2471" Type="http://schemas.openxmlformats.org/officeDocument/2006/relationships/hyperlink" Target="https://www.genome.jp/entry/R00674/R02340/R02722" TargetMode="External"/><Relationship Id="rId3108" Type="http://schemas.openxmlformats.org/officeDocument/2006/relationships/hyperlink" Target="https://www.genome.jp/entry/R00582/R02853" TargetMode="External"/><Relationship Id="rId3315" Type="http://schemas.openxmlformats.org/officeDocument/2006/relationships/hyperlink" Target="https://www.genome.jp/entry/R00006/R00226/R00014/R03050/R04672/R04673/R08648" TargetMode="External"/><Relationship Id="rId3522" Type="http://schemas.openxmlformats.org/officeDocument/2006/relationships/hyperlink" Target="https://www.genome.jp/dbget-bin/www_bget?ec:2.7.7.6" TargetMode="External"/><Relationship Id="rId3967" Type="http://schemas.openxmlformats.org/officeDocument/2006/relationships/hyperlink" Target="https://enzyme.expasy.org/EC/3.1.1.1" TargetMode="External"/><Relationship Id="rId4" Type="http://schemas.openxmlformats.org/officeDocument/2006/relationships/hyperlink" Target="https://enzyme.expasy.org/EC/2.5.1.30" TargetMode="External"/><Relationship Id="rId236" Type="http://schemas.openxmlformats.org/officeDocument/2006/relationships/hyperlink" Target="https://enzyme.expasy.org/EC/2.1.1.198" TargetMode="External"/><Relationship Id="rId443" Type="http://schemas.openxmlformats.org/officeDocument/2006/relationships/hyperlink" Target="https://enzyme.expasy.org/EC/1.11.1.-" TargetMode="External"/><Relationship Id="rId650" Type="http://schemas.openxmlformats.org/officeDocument/2006/relationships/hyperlink" Target="https://enzyme.expasy.org/EC/6.3.4.21" TargetMode="External"/><Relationship Id="rId888" Type="http://schemas.openxmlformats.org/officeDocument/2006/relationships/hyperlink" Target="https://www.genome.jp/dbget-bin/www_bget?ec:1.1.1.36" TargetMode="External"/><Relationship Id="rId1073" Type="http://schemas.openxmlformats.org/officeDocument/2006/relationships/hyperlink" Target="https://www.genome.jp/entry/R04424" TargetMode="External"/><Relationship Id="rId1280" Type="http://schemas.openxmlformats.org/officeDocument/2006/relationships/hyperlink" Target="https://www.genome.jp/dbget-bin/www_bget?ec:1.1.1.95" TargetMode="External"/><Relationship Id="rId2124" Type="http://schemas.openxmlformats.org/officeDocument/2006/relationships/hyperlink" Target="https://www.genome.jp/entry/R07297/R00183/R00511/R00963/R01126/R01227/R02323/R02719/R03346/R01569/R01664/R01968/R02088/R02102/R12958" TargetMode="External"/><Relationship Id="rId2331" Type="http://schemas.openxmlformats.org/officeDocument/2006/relationships/hyperlink" Target="https://www.genome.jp/entry/R00505/R09009" TargetMode="External"/><Relationship Id="rId2569" Type="http://schemas.openxmlformats.org/officeDocument/2006/relationships/hyperlink" Target="https://www.genome.jp/dbget-bin/www_bget?ec:6.3.1.5" TargetMode="External"/><Relationship Id="rId2776" Type="http://schemas.openxmlformats.org/officeDocument/2006/relationships/hyperlink" Target="https://www.genome.jp/dbget-bin/www_bget?ec:2.6.1.21" TargetMode="External"/><Relationship Id="rId2983" Type="http://schemas.openxmlformats.org/officeDocument/2006/relationships/hyperlink" Target="https://enzyme.expasy.org/EC/1.2.1.3" TargetMode="External"/><Relationship Id="rId3827" Type="http://schemas.openxmlformats.org/officeDocument/2006/relationships/hyperlink" Target="https://www.genome.jp/entry/R00801/R00802/R02410/R03635/R03921/R06087/R06088/R06100/R06101/R06102" TargetMode="External"/><Relationship Id="rId303" Type="http://schemas.openxmlformats.org/officeDocument/2006/relationships/hyperlink" Target="https://enzyme.expasy.org/EC/1.7.99.4" TargetMode="External"/><Relationship Id="rId748" Type="http://schemas.openxmlformats.org/officeDocument/2006/relationships/hyperlink" Target="https://enzyme.expasy.org/EC/1.1.1.27" TargetMode="External"/><Relationship Id="rId955" Type="http://schemas.openxmlformats.org/officeDocument/2006/relationships/hyperlink" Target="https://www.genome.jp/entry/R08550/R03815/R07618/R01698" TargetMode="External"/><Relationship Id="rId1140" Type="http://schemas.openxmlformats.org/officeDocument/2006/relationships/hyperlink" Target="https://www.genome.jp/dbget-bin/www_bget?ec:5.2.1.8" TargetMode="External"/><Relationship Id="rId1378" Type="http://schemas.openxmlformats.org/officeDocument/2006/relationships/hyperlink" Target="https://www.genome.jp/dbget-bin/www_bget?ec:2.2.1.1" TargetMode="External"/><Relationship Id="rId1585" Type="http://schemas.openxmlformats.org/officeDocument/2006/relationships/hyperlink" Target="https://www.genome.jp/entry/5.6.2.7" TargetMode="External"/><Relationship Id="rId1792" Type="http://schemas.openxmlformats.org/officeDocument/2006/relationships/hyperlink" Target="https://www.genome.jp/dbget-bin/www_bget?ec:2.7.1.40" TargetMode="External"/><Relationship Id="rId2429" Type="http://schemas.openxmlformats.org/officeDocument/2006/relationships/hyperlink" Target="https://www.genome.jp/dbget-bin/www_bget?ec:1.17.4.1" TargetMode="External"/><Relationship Id="rId2636" Type="http://schemas.openxmlformats.org/officeDocument/2006/relationships/hyperlink" Target="https://www.genome.jp/dbget-bin/www_bget?ec:1.1.1.100" TargetMode="External"/><Relationship Id="rId2843" Type="http://schemas.openxmlformats.org/officeDocument/2006/relationships/hyperlink" Target="https://enzyme.expasy.org/EC/2.5.1.32" TargetMode="External"/><Relationship Id="rId84" Type="http://schemas.openxmlformats.org/officeDocument/2006/relationships/hyperlink" Target="https://enzyme.expasy.org/EC/1.7.-.-" TargetMode="External"/><Relationship Id="rId510" Type="http://schemas.openxmlformats.org/officeDocument/2006/relationships/hyperlink" Target="https://enzyme.expasy.org/EC/3.6.1.7" TargetMode="External"/><Relationship Id="rId608" Type="http://schemas.openxmlformats.org/officeDocument/2006/relationships/hyperlink" Target="https://enzyme.expasy.org/EC/3.6.5.-" TargetMode="External"/><Relationship Id="rId815" Type="http://schemas.openxmlformats.org/officeDocument/2006/relationships/hyperlink" Target="https://www.genome.jp/entry/R00379/R00375/R00376/R00377/R00378/R11029" TargetMode="External"/><Relationship Id="rId1238" Type="http://schemas.openxmlformats.org/officeDocument/2006/relationships/hyperlink" Target="https://www.genome.jp/entry/R01168/R06132" TargetMode="External"/><Relationship Id="rId1445" Type="http://schemas.openxmlformats.org/officeDocument/2006/relationships/hyperlink" Target="https://www.genome.jp/entry/R05635/R04268" TargetMode="External"/><Relationship Id="rId1652" Type="http://schemas.openxmlformats.org/officeDocument/2006/relationships/hyperlink" Target="https://enzyme.expasy.org/EC/2.7.1.2" TargetMode="External"/><Relationship Id="rId1000" Type="http://schemas.openxmlformats.org/officeDocument/2006/relationships/hyperlink" Target="https://www.genome.jp/dbget-bin/www_bget?ec:2.5.1.74" TargetMode="External"/><Relationship Id="rId1305" Type="http://schemas.openxmlformats.org/officeDocument/2006/relationships/hyperlink" Target="https://www.genome.jp/dbget-bin/www_bget?ec:6.1.1.20" TargetMode="External"/><Relationship Id="rId1957" Type="http://schemas.openxmlformats.org/officeDocument/2006/relationships/hyperlink" Target="https://www.genome.jp/entry/R04125/R02300" TargetMode="External"/><Relationship Id="rId2703" Type="http://schemas.openxmlformats.org/officeDocument/2006/relationships/hyperlink" Target="https://www.genome.jp/entry/R03231" TargetMode="External"/><Relationship Id="rId2910" Type="http://schemas.openxmlformats.org/officeDocument/2006/relationships/hyperlink" Target="https://enzyme.expasy.org/EC/4.1.2.13" TargetMode="External"/><Relationship Id="rId1512" Type="http://schemas.openxmlformats.org/officeDocument/2006/relationships/hyperlink" Target="https://www.genome.jp/dbget-bin/www_bget?ec:6.1.1.12" TargetMode="External"/><Relationship Id="rId1817" Type="http://schemas.openxmlformats.org/officeDocument/2006/relationships/hyperlink" Target="https://enzyme.expasy.org/EC/2.6.1.9" TargetMode="External"/><Relationship Id="rId3172" Type="http://schemas.openxmlformats.org/officeDocument/2006/relationships/hyperlink" Target="https://enzyme.expasy.org/EC/2.7.7.7" TargetMode="External"/><Relationship Id="rId11" Type="http://schemas.openxmlformats.org/officeDocument/2006/relationships/hyperlink" Target="https://enzyme.expasy.org/EC/3.6.3.-" TargetMode="External"/><Relationship Id="rId398" Type="http://schemas.openxmlformats.org/officeDocument/2006/relationships/hyperlink" Target="https://enzyme.expasy.org/EC/6.3.1.13" TargetMode="External"/><Relationship Id="rId2079" Type="http://schemas.openxmlformats.org/officeDocument/2006/relationships/hyperlink" Target="https://www.genome.jp/dbget-bin/www_bget?ec:1.2.4.1" TargetMode="External"/><Relationship Id="rId3032" Type="http://schemas.openxmlformats.org/officeDocument/2006/relationships/hyperlink" Target="https://www.genome.jp/dbget-bin/www_bget?ec:3.2.1.52" TargetMode="External"/><Relationship Id="rId3477" Type="http://schemas.openxmlformats.org/officeDocument/2006/relationships/hyperlink" Target="https://www.genome.jp/dbget-bin/www_bget?ec:2.1.1.107" TargetMode="External"/><Relationship Id="rId3684" Type="http://schemas.openxmlformats.org/officeDocument/2006/relationships/hyperlink" Target="https://enzyme.expasy.org/EC/1.5.1.3" TargetMode="External"/><Relationship Id="rId3891" Type="http://schemas.openxmlformats.org/officeDocument/2006/relationships/hyperlink" Target="https://enzyme.expasy.org/EC/1.1.1.86" TargetMode="External"/><Relationship Id="rId160" Type="http://schemas.openxmlformats.org/officeDocument/2006/relationships/hyperlink" Target="https://enzyme.expasy.org/EC/5.4.3.8" TargetMode="External"/><Relationship Id="rId2286" Type="http://schemas.openxmlformats.org/officeDocument/2006/relationships/hyperlink" Target="https://www.genome.jp/dbget-bin/www_bget?ec:1.14.13.107" TargetMode="External"/><Relationship Id="rId2493" Type="http://schemas.openxmlformats.org/officeDocument/2006/relationships/hyperlink" Target="https://www.genome.jp/dbget-bin/www_bget?ec:1.8.1.9" TargetMode="External"/><Relationship Id="rId3337" Type="http://schemas.openxmlformats.org/officeDocument/2006/relationships/hyperlink" Target="https://enzyme.expasy.org/EC/2.2.1.6" TargetMode="External"/><Relationship Id="rId3544" Type="http://schemas.openxmlformats.org/officeDocument/2006/relationships/hyperlink" Target="https://www.genome.jp/entry/R00444/R00435/R00441/R00442/R00443/R10813" TargetMode="External"/><Relationship Id="rId3751" Type="http://schemas.openxmlformats.org/officeDocument/2006/relationships/hyperlink" Target="https://www.genome.jp/dbget-bin/www_bget?ec:4.2.1.17" TargetMode="External"/><Relationship Id="rId258" Type="http://schemas.openxmlformats.org/officeDocument/2006/relationships/hyperlink" Target="https://enzyme.expasy.org/EC/2.5.1.72" TargetMode="External"/><Relationship Id="rId465" Type="http://schemas.openxmlformats.org/officeDocument/2006/relationships/hyperlink" Target="https://enzyme.expasy.org/EC/3.1.3.25" TargetMode="External"/><Relationship Id="rId672" Type="http://schemas.openxmlformats.org/officeDocument/2006/relationships/hyperlink" Target="https://enzyme.expasy.org/EC/3.1.1.1" TargetMode="External"/><Relationship Id="rId1095" Type="http://schemas.openxmlformats.org/officeDocument/2006/relationships/hyperlink" Target="https://www.genome.jp/dbget-bin/www_bget?ec:4.1.1.5" TargetMode="External"/><Relationship Id="rId2146" Type="http://schemas.openxmlformats.org/officeDocument/2006/relationships/hyperlink" Target="https://www.genome.jp/dbget-bin/www_bget?ec:2.3.1.9" TargetMode="External"/><Relationship Id="rId2353" Type="http://schemas.openxmlformats.org/officeDocument/2006/relationships/hyperlink" Target="https://www.genome.jp/entry/R04594/R11173" TargetMode="External"/><Relationship Id="rId2560" Type="http://schemas.openxmlformats.org/officeDocument/2006/relationships/hyperlink" Target="https://www.genome.jp/dbget-bin/www_bget?enzyme+6.1.1.9" TargetMode="External"/><Relationship Id="rId2798" Type="http://schemas.openxmlformats.org/officeDocument/2006/relationships/hyperlink" Target="https://www.genome.jp/dbget-bin/www_bget?ec:2.4.2.14" TargetMode="External"/><Relationship Id="rId3404" Type="http://schemas.openxmlformats.org/officeDocument/2006/relationships/hyperlink" Target="https://www.genome.jp/entry/R07248/R13277" TargetMode="External"/><Relationship Id="rId3611" Type="http://schemas.openxmlformats.org/officeDocument/2006/relationships/hyperlink" Target="https://enzyme.expasy.org/EC/3.2.1.1" TargetMode="External"/><Relationship Id="rId3849" Type="http://schemas.openxmlformats.org/officeDocument/2006/relationships/hyperlink" Target="https://enzyme.expasy.org/EC/2.8.1.7" TargetMode="External"/><Relationship Id="rId118" Type="http://schemas.openxmlformats.org/officeDocument/2006/relationships/hyperlink" Target="https://enzyme.expasy.org/EC/3.5.4.-" TargetMode="External"/><Relationship Id="rId325" Type="http://schemas.openxmlformats.org/officeDocument/2006/relationships/hyperlink" Target="https://enzyme.expasy.org/EC/4.2.1.9" TargetMode="External"/><Relationship Id="rId532" Type="http://schemas.openxmlformats.org/officeDocument/2006/relationships/hyperlink" Target="https://enzyme.expasy.org/EC/3.5.1.1" TargetMode="External"/><Relationship Id="rId977" Type="http://schemas.openxmlformats.org/officeDocument/2006/relationships/hyperlink" Target="https://www.genome.jp/dbget-bin/www_bget?ec:3.1.3.3" TargetMode="External"/><Relationship Id="rId1162" Type="http://schemas.openxmlformats.org/officeDocument/2006/relationships/hyperlink" Target="https://www.genome.jp/entry/R00289" TargetMode="External"/><Relationship Id="rId2006" Type="http://schemas.openxmlformats.org/officeDocument/2006/relationships/hyperlink" Target="https://enzyme.expasy.org/EC/1.1.1.1" TargetMode="External"/><Relationship Id="rId2213" Type="http://schemas.openxmlformats.org/officeDocument/2006/relationships/hyperlink" Target="https://enzyme.expasy.org/EC/3.1.1.1" TargetMode="External"/><Relationship Id="rId2420" Type="http://schemas.openxmlformats.org/officeDocument/2006/relationships/hyperlink" Target="https://www.genome.jp/dbget-bin/www_bget?ec:1.17.4.1" TargetMode="External"/><Relationship Id="rId2658" Type="http://schemas.openxmlformats.org/officeDocument/2006/relationships/hyperlink" Target="https://enzyme.expasy.org/EC/1.1.1.100" TargetMode="External"/><Relationship Id="rId2865" Type="http://schemas.openxmlformats.org/officeDocument/2006/relationships/hyperlink" Target="https://www.genome.jp/entry/R09690/R09719/R09744/R09745/R09746/R07653" TargetMode="External"/><Relationship Id="rId3709" Type="http://schemas.openxmlformats.org/officeDocument/2006/relationships/hyperlink" Target="https://www.genome.jp/entry/R04072/R07620/R11399" TargetMode="External"/><Relationship Id="rId3916" Type="http://schemas.openxmlformats.org/officeDocument/2006/relationships/hyperlink" Target="https://www.genome.jp/dbget-bin/www_bget?ec:1.1.1.85" TargetMode="External"/><Relationship Id="rId837" Type="http://schemas.openxmlformats.org/officeDocument/2006/relationships/hyperlink" Target="https://www.genome.jp/dbget-bin/www_bget?ec:2.7.11.1" TargetMode="External"/><Relationship Id="rId1022" Type="http://schemas.openxmlformats.org/officeDocument/2006/relationships/hyperlink" Target="https://www.genome.jp/entry/R00444/R00435/R00441/R00442/R00443/R10813" TargetMode="External"/><Relationship Id="rId1467" Type="http://schemas.openxmlformats.org/officeDocument/2006/relationships/hyperlink" Target="https://www.genome.jp/dbget-bin/www_bget?ec:6.3.5.5" TargetMode="External"/><Relationship Id="rId1674" Type="http://schemas.openxmlformats.org/officeDocument/2006/relationships/hyperlink" Target="https://enzyme.expasy.org/EC/4.1.1.32" TargetMode="External"/><Relationship Id="rId1881" Type="http://schemas.openxmlformats.org/officeDocument/2006/relationships/hyperlink" Target="https://www.genome.jp/entry/R04573/R04617" TargetMode="External"/><Relationship Id="rId2518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25" Type="http://schemas.openxmlformats.org/officeDocument/2006/relationships/hyperlink" Target="https://www.genome.jp/entry/R01532/R00087/R00426/R00515/R00662/R11323/R00103/R00160/R00287/R03004/R03036" TargetMode="External"/><Relationship Id="rId2932" Type="http://schemas.openxmlformats.org/officeDocument/2006/relationships/hyperlink" Target="https://www.genome.jp/entry/R05875/R12422" TargetMode="External"/><Relationship Id="rId904" Type="http://schemas.openxmlformats.org/officeDocument/2006/relationships/hyperlink" Target="https://www.genome.jp/dbget-bin/www_bget?ec:3.6.1.55" TargetMode="External"/><Relationship Id="rId1327" Type="http://schemas.openxmlformats.org/officeDocument/2006/relationships/hyperlink" Target="https://www.genome.jp/entry/R03472" TargetMode="External"/><Relationship Id="rId1534" Type="http://schemas.openxmlformats.org/officeDocument/2006/relationships/hyperlink" Target="https://www.genome.jp/dbget-bin/www_bget?ec:4.3.1.17" TargetMode="External"/><Relationship Id="rId1741" Type="http://schemas.openxmlformats.org/officeDocument/2006/relationships/hyperlink" Target="https://enzyme.expasy.org/EC/1.8.1.15" TargetMode="External"/><Relationship Id="rId1979" Type="http://schemas.openxmlformats.org/officeDocument/2006/relationships/hyperlink" Target="https://www.genome.jp/entry/R00253" TargetMode="External"/><Relationship Id="rId3194" Type="http://schemas.openxmlformats.org/officeDocument/2006/relationships/hyperlink" Target="https://www.genome.jp/dbget-bin/www_bget?ec:2.7.7.7" TargetMode="External"/><Relationship Id="rId33" Type="http://schemas.openxmlformats.org/officeDocument/2006/relationships/hyperlink" Target="https://enzyme.expasy.org/EC/2.3.1.31" TargetMode="External"/><Relationship Id="rId1601" Type="http://schemas.openxmlformats.org/officeDocument/2006/relationships/hyperlink" Target="https://www.genome.jp/dbget-bin/www_bget?enzyme+6.1.1.3" TargetMode="External"/><Relationship Id="rId1839" Type="http://schemas.openxmlformats.org/officeDocument/2006/relationships/hyperlink" Target="https://www.genome.jp/dbget-bin/www_bget?ec:4.3.1.19" TargetMode="External"/><Relationship Id="rId3054" Type="http://schemas.openxmlformats.org/officeDocument/2006/relationships/hyperlink" Target="https://www.genome.jp/dbget-bin/www_bget?ec:2.4.1.11" TargetMode="External"/><Relationship Id="rId3499" Type="http://schemas.openxmlformats.org/officeDocument/2006/relationships/hyperlink" Target="https://www.genome.jp/entry/R00444/R00435/R00441/R00442/R00443/R10813" TargetMode="External"/><Relationship Id="rId182" Type="http://schemas.openxmlformats.org/officeDocument/2006/relationships/hyperlink" Target="https://enzyme.expasy.org/EC/3.2.2.8" TargetMode="External"/><Relationship Id="rId1906" Type="http://schemas.openxmlformats.org/officeDocument/2006/relationships/hyperlink" Target="https://www.genome.jp/dbget-bin/www_bget?ec:7.1.1.9" TargetMode="External"/><Relationship Id="rId3261" Type="http://schemas.openxmlformats.org/officeDocument/2006/relationships/hyperlink" Target="https://www.genome.jp/dbget-bin/www_bget?ec:2.7.7.7" TargetMode="External"/><Relationship Id="rId3359" Type="http://schemas.openxmlformats.org/officeDocument/2006/relationships/hyperlink" Target="https://www.genome.jp/dbget-bin/www_bget?ec:1.1.1.36" TargetMode="External"/><Relationship Id="rId3566" Type="http://schemas.openxmlformats.org/officeDocument/2006/relationships/hyperlink" Target="https://enzyme.expasy.org/EC/1.1.1.205" TargetMode="External"/><Relationship Id="rId487" Type="http://schemas.openxmlformats.org/officeDocument/2006/relationships/hyperlink" Target="https://enzyme.expasy.org/EC/3.2.-.-" TargetMode="External"/><Relationship Id="rId694" Type="http://schemas.openxmlformats.org/officeDocument/2006/relationships/hyperlink" Target="https://enzyme.expasy.org/EC/3.4.22.40" TargetMode="External"/><Relationship Id="rId2070" Type="http://schemas.openxmlformats.org/officeDocument/2006/relationships/hyperlink" Target="https://enzyme.expasy.org/EC/3.5.4.16" TargetMode="External"/><Relationship Id="rId2168" Type="http://schemas.openxmlformats.org/officeDocument/2006/relationships/hyperlink" Target="https://www.kegg.jp/entry/R08938/R08871" TargetMode="External"/><Relationship Id="rId2375" Type="http://schemas.openxmlformats.org/officeDocument/2006/relationships/hyperlink" Target="https://www.genome.jp/dbget-bin/www_bget?ec:1.1.1.27" TargetMode="External"/><Relationship Id="rId3121" Type="http://schemas.openxmlformats.org/officeDocument/2006/relationships/hyperlink" Target="https://enzyme.expasy.org/EC/6.2.1.3" TargetMode="External"/><Relationship Id="rId3219" Type="http://schemas.openxmlformats.org/officeDocument/2006/relationships/hyperlink" Target="https://www.genome.jp/entry/R00379/R00375/R00376/R00377/R00378/R11029" TargetMode="External"/><Relationship Id="rId3773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47" Type="http://schemas.openxmlformats.org/officeDocument/2006/relationships/hyperlink" Target="https://enzyme.expasy.org/EC/2.7.1.24" TargetMode="External"/><Relationship Id="rId999" Type="http://schemas.openxmlformats.org/officeDocument/2006/relationships/hyperlink" Target="https://www.genome.jp/entry/R02272" TargetMode="External"/><Relationship Id="rId1184" Type="http://schemas.openxmlformats.org/officeDocument/2006/relationships/hyperlink" Target="https://www.genome.jp/entry/R00776" TargetMode="External"/><Relationship Id="rId2028" Type="http://schemas.openxmlformats.org/officeDocument/2006/relationships/hyperlink" Target="https://www.genome.jp/dbget-bin/www_bget?ec:1.1.1.1" TargetMode="External"/><Relationship Id="rId2582" Type="http://schemas.openxmlformats.org/officeDocument/2006/relationships/hyperlink" Target="https://www.genome.jp/dbget-bin/www_bget?ec:1.1.1.346" TargetMode="External"/><Relationship Id="rId2887" Type="http://schemas.openxmlformats.org/officeDocument/2006/relationships/hyperlink" Target="https://enzyme.expasy.org/EC/2.4.2.8" TargetMode="External"/><Relationship Id="rId3426" Type="http://schemas.openxmlformats.org/officeDocument/2006/relationships/hyperlink" Target="https://enzyme.expasy.org/EC/1.8.1.4" TargetMode="External"/><Relationship Id="rId3633" Type="http://schemas.openxmlformats.org/officeDocument/2006/relationships/hyperlink" Target="https://www.genome.jp/dbget-bin/www_bget?ec:3.6.1.22" TargetMode="External"/><Relationship Id="rId3840" Type="http://schemas.openxmlformats.org/officeDocument/2006/relationships/hyperlink" Target="https://enzyme.expasy.org/EC/1.7.2.1" TargetMode="External"/><Relationship Id="rId554" Type="http://schemas.openxmlformats.org/officeDocument/2006/relationships/hyperlink" Target="https://enzyme.expasy.org/EC/7.1.1.9" TargetMode="External"/><Relationship Id="rId761" Type="http://schemas.openxmlformats.org/officeDocument/2006/relationships/hyperlink" Target="https://enzyme.expasy.org/EC/2.4.1.288" TargetMode="External"/><Relationship Id="rId859" Type="http://schemas.openxmlformats.org/officeDocument/2006/relationships/hyperlink" Target="https://www.genome.jp/entry/R02734" TargetMode="External"/><Relationship Id="rId1391" Type="http://schemas.openxmlformats.org/officeDocument/2006/relationships/hyperlink" Target="https://www.genome.jp/entry/R01641/R01067/R01830/R06590/R06861/R06863" TargetMode="External"/><Relationship Id="rId1489" Type="http://schemas.openxmlformats.org/officeDocument/2006/relationships/hyperlink" Target="https://www.genome.jp/dbget-bin/www_bget?ec:6.3.5.5" TargetMode="External"/><Relationship Id="rId1696" Type="http://schemas.openxmlformats.org/officeDocument/2006/relationships/hyperlink" Target="https://enzyme.expasy.org/EC/2.3.1.41" TargetMode="External"/><Relationship Id="rId2235" Type="http://schemas.openxmlformats.org/officeDocument/2006/relationships/hyperlink" Target="https://www.genome.jp/dbget-bin/www_bget?ec:3.1.1.1" TargetMode="External"/><Relationship Id="rId2442" Type="http://schemas.openxmlformats.org/officeDocument/2006/relationships/hyperlink" Target="https://www.genome.jp/dbget-bin/www_bget?ec:3.1.3.1" TargetMode="External"/><Relationship Id="rId3700" Type="http://schemas.openxmlformats.org/officeDocument/2006/relationships/hyperlink" Target="https://www.genome.jp/entry/R02740/R00771/R02739/R03321/R13199" TargetMode="External"/><Relationship Id="rId3938" Type="http://schemas.openxmlformats.org/officeDocument/2006/relationships/hyperlink" Target="https://www.genome.jp/dbget-bin/www_bget?ec:2.7.11.1" TargetMode="External"/><Relationship Id="rId207" Type="http://schemas.openxmlformats.org/officeDocument/2006/relationships/hyperlink" Target="https://enzyme.expasy.org/EC/7.2.2.16" TargetMode="External"/><Relationship Id="rId414" Type="http://schemas.openxmlformats.org/officeDocument/2006/relationships/hyperlink" Target="https://enzyme.expasy.org/EC/1.2.1.12" TargetMode="External"/><Relationship Id="rId621" Type="http://schemas.openxmlformats.org/officeDocument/2006/relationships/hyperlink" Target="https://enzyme.expasy.org/EC/6.3.2.1" TargetMode="External"/><Relationship Id="rId1044" Type="http://schemas.openxmlformats.org/officeDocument/2006/relationships/hyperlink" Target="https://www.genome.jp/entry/R01130/R08240" TargetMode="External"/><Relationship Id="rId1251" Type="http://schemas.openxmlformats.org/officeDocument/2006/relationships/hyperlink" Target="https://www.genome.jp/dbget-bin/www_bget?ec:1.7.2.1" TargetMode="External"/><Relationship Id="rId1349" Type="http://schemas.openxmlformats.org/officeDocument/2006/relationships/hyperlink" Target="https://www.genome.jp/dbget-bin/www_bget?ec:3.4.13.9" TargetMode="External"/><Relationship Id="rId2302" Type="http://schemas.openxmlformats.org/officeDocument/2006/relationships/hyperlink" Target="https://enzyme.expasy.org/EC/3.1.4.3" TargetMode="External"/><Relationship Id="rId2747" Type="http://schemas.openxmlformats.org/officeDocument/2006/relationships/hyperlink" Target="https://enzyme.expasy.org/EC/3.6.1.9" TargetMode="External"/><Relationship Id="rId2954" Type="http://schemas.openxmlformats.org/officeDocument/2006/relationships/hyperlink" Target="https://www.genome.jp/dbget-bin/www_bget?ec:1.2.1.3" TargetMode="External"/><Relationship Id="rId719" Type="http://schemas.openxmlformats.org/officeDocument/2006/relationships/hyperlink" Target="https://enzyme.expasy.org/EC/2.3.1.8" TargetMode="External"/><Relationship Id="rId926" Type="http://schemas.openxmlformats.org/officeDocument/2006/relationships/hyperlink" Target="https://www.genome.jp/dbget-bin/www_bget?ec:6.2.1.3" TargetMode="External"/><Relationship Id="rId1111" Type="http://schemas.openxmlformats.org/officeDocument/2006/relationships/hyperlink" Target="https://www.genome.jp/entry/R03460" TargetMode="External"/><Relationship Id="rId1556" Type="http://schemas.openxmlformats.org/officeDocument/2006/relationships/hyperlink" Target="https://www.genome.jp/entry/R00190/R04378" TargetMode="External"/><Relationship Id="rId1763" Type="http://schemas.openxmlformats.org/officeDocument/2006/relationships/hyperlink" Target="https://www.genome.jp/dbget-bin/www_bget?ec:3.6.1.7" TargetMode="External"/><Relationship Id="rId1970" Type="http://schemas.openxmlformats.org/officeDocument/2006/relationships/hyperlink" Target="https://www.genome.jp/entry/R07767/R12423/R12424" TargetMode="External"/><Relationship Id="rId2607" Type="http://schemas.openxmlformats.org/officeDocument/2006/relationships/hyperlink" Target="https://www.genome.jp/dbget-bin/www_bget?ec:5.3.1.6" TargetMode="External"/><Relationship Id="rId2814" Type="http://schemas.openxmlformats.org/officeDocument/2006/relationships/hyperlink" Target="https://www.genome.jp/entry/R01083/R04559/R12851" TargetMode="External"/><Relationship Id="rId55" Type="http://schemas.openxmlformats.org/officeDocument/2006/relationships/hyperlink" Target="https://enzyme.expasy.org/EC/2.8.1.1" TargetMode="External"/><Relationship Id="rId1209" Type="http://schemas.openxmlformats.org/officeDocument/2006/relationships/hyperlink" Target="https://www.genome.jp/dbget-bin/www_bget?ec:3.1.11.6" TargetMode="External"/><Relationship Id="rId1416" Type="http://schemas.openxmlformats.org/officeDocument/2006/relationships/hyperlink" Target="https://www.genome.jp/dbget-bin/www_bget?ec:5.1.3.2" TargetMode="External"/><Relationship Id="rId1623" Type="http://schemas.openxmlformats.org/officeDocument/2006/relationships/hyperlink" Target="https://enzyme.expasy.org/EC/3.6.1.23" TargetMode="External"/><Relationship Id="rId1830" Type="http://schemas.openxmlformats.org/officeDocument/2006/relationships/hyperlink" Target="https://www.genome.jp/dbget-bin/www_bget?ec:4.3.1.19" TargetMode="External"/><Relationship Id="rId3076" Type="http://schemas.openxmlformats.org/officeDocument/2006/relationships/hyperlink" Target="https://enzyme.expasy.org/EC/2.6.1.85" TargetMode="External"/><Relationship Id="rId3283" Type="http://schemas.openxmlformats.org/officeDocument/2006/relationships/hyperlink" Target="https://enzyme.expasy.org/EC/2.7.7.7" TargetMode="External"/><Relationship Id="rId3490" Type="http://schemas.openxmlformats.org/officeDocument/2006/relationships/hyperlink" Target="https://www.genome.jp/entry/R02047/R05066" TargetMode="External"/><Relationship Id="rId1928" Type="http://schemas.openxmlformats.org/officeDocument/2006/relationships/hyperlink" Target="https://enzyme.expasy.org/EC/6.3.5.4" TargetMode="External"/><Relationship Id="rId2092" Type="http://schemas.openxmlformats.org/officeDocument/2006/relationships/hyperlink" Target="https://enzyme.expasy.org/EC/3.1.3.5" TargetMode="External"/><Relationship Id="rId3143" Type="http://schemas.openxmlformats.org/officeDocument/2006/relationships/hyperlink" Target="https://www.genome.jp/dbget-bin/www_bget?ec:2.7.7.7" TargetMode="External"/><Relationship Id="rId3350" Type="http://schemas.openxmlformats.org/officeDocument/2006/relationships/hyperlink" Target="https://www.genome.jp/dbget-bin/www_bget?ec:2.2.1.6" TargetMode="External"/><Relationship Id="rId3588" Type="http://schemas.openxmlformats.org/officeDocument/2006/relationships/hyperlink" Target="https://www.genome.jp/dbget-bin/www_bget?ec:2.7.8.23" TargetMode="External"/><Relationship Id="rId3795" Type="http://schemas.openxmlformats.org/officeDocument/2006/relationships/hyperlink" Target="https://enzyme.expasy.org/EC/3.1.3.11" TargetMode="External"/><Relationship Id="rId271" Type="http://schemas.openxmlformats.org/officeDocument/2006/relationships/hyperlink" Target="https://enzyme.expasy.org/EC/3.2.-.-" TargetMode="External"/><Relationship Id="rId2397" Type="http://schemas.openxmlformats.org/officeDocument/2006/relationships/hyperlink" Target="https://www.genome.jp/dbget-bin/www_bget?ec:1.17.4.1" TargetMode="External"/><Relationship Id="rId3003" Type="http://schemas.openxmlformats.org/officeDocument/2006/relationships/hyperlink" Target="https://www.genome.jp/entry/R00022/R03492/R04184/R04586/R05963/R06001/R06004/R06141/R07809/R07810/R09323/R10831/R11316/R11317/R12963" TargetMode="External"/><Relationship Id="rId3448" Type="http://schemas.openxmlformats.org/officeDocument/2006/relationships/hyperlink" Target="https://www.genome.jp/entry/R01195/R10159" TargetMode="External"/><Relationship Id="rId3655" Type="http://schemas.openxmlformats.org/officeDocument/2006/relationships/hyperlink" Target="https://www.genome.jp/dbget-bin/www_bget?ec:3.1.3.25" TargetMode="External"/><Relationship Id="rId3862" Type="http://schemas.openxmlformats.org/officeDocument/2006/relationships/hyperlink" Target="https://www.genome.jp/dbget-bin/www_bget?ec:2.7.1.11" TargetMode="External"/><Relationship Id="rId131" Type="http://schemas.openxmlformats.org/officeDocument/2006/relationships/hyperlink" Target="https://enzyme.expasy.org/EC/2.3.1.122" TargetMode="External"/><Relationship Id="rId369" Type="http://schemas.openxmlformats.org/officeDocument/2006/relationships/hyperlink" Target="https://enzyme.expasy.org/EC/3.6.-.-" TargetMode="External"/><Relationship Id="rId576" Type="http://schemas.openxmlformats.org/officeDocument/2006/relationships/hyperlink" Target="https://enzyme.expasy.org/EC/3.1.-.-" TargetMode="External"/><Relationship Id="rId783" Type="http://schemas.openxmlformats.org/officeDocument/2006/relationships/hyperlink" Target="https://enzyme.expasy.org/EC/3.2.1.52" TargetMode="External"/><Relationship Id="rId990" Type="http://schemas.openxmlformats.org/officeDocument/2006/relationships/hyperlink" Target="https://www.genome.jp/entry/R00036" TargetMode="External"/><Relationship Id="rId2257" Type="http://schemas.openxmlformats.org/officeDocument/2006/relationships/hyperlink" Target="https://enzyme.expasy.org/EC/4.4.1.8" TargetMode="External"/><Relationship Id="rId2464" Type="http://schemas.openxmlformats.org/officeDocument/2006/relationships/hyperlink" Target="https://www.genome.jp/entry/R00674/R02340/R02722" TargetMode="External"/><Relationship Id="rId2671" Type="http://schemas.openxmlformats.org/officeDocument/2006/relationships/hyperlink" Target="https://www.genome.jp/dbget-bin/www_bget?ec:1.1.1.100" TargetMode="External"/><Relationship Id="rId3210" Type="http://schemas.openxmlformats.org/officeDocument/2006/relationships/hyperlink" Target="https://www.genome.jp/entry/R00379/R00375/R00376/R00377/R00378/R11029" TargetMode="External"/><Relationship Id="rId3308" Type="http://schemas.openxmlformats.org/officeDocument/2006/relationships/hyperlink" Target="https://www.genome.jp/dbget-bin/www_bget?ec:2.2.1.6" TargetMode="External"/><Relationship Id="rId3515" Type="http://schemas.openxmlformats.org/officeDocument/2006/relationships/hyperlink" Target="https://enzyme.expasy.org/EC/2.7.7.6" TargetMode="External"/><Relationship Id="rId229" Type="http://schemas.openxmlformats.org/officeDocument/2006/relationships/hyperlink" Target="https://enzyme.expasy.org/EC/5.5.1.2" TargetMode="External"/><Relationship Id="rId436" Type="http://schemas.openxmlformats.org/officeDocument/2006/relationships/hyperlink" Target="https://enzyme.expasy.org/EC/6.1.1.7" TargetMode="External"/><Relationship Id="rId643" Type="http://schemas.openxmlformats.org/officeDocument/2006/relationships/hyperlink" Target="https://enzyme.expasy.org/EC/1.97.1.4" TargetMode="External"/><Relationship Id="rId1066" Type="http://schemas.openxmlformats.org/officeDocument/2006/relationships/hyperlink" Target="https://www.genome.jp/entry/R00630/R06728/R08255/R08258/R08220/R08249/R08251/R08295/R08300" TargetMode="External"/><Relationship Id="rId1273" Type="http://schemas.openxmlformats.org/officeDocument/2006/relationships/hyperlink" Target="https://www.genome.jp/entry/R00382" TargetMode="External"/><Relationship Id="rId1480" Type="http://schemas.openxmlformats.org/officeDocument/2006/relationships/hyperlink" Target="https://www.genome.jp/dbget-bin/www_bget?ec:6.3.5.5" TargetMode="External"/><Relationship Id="rId2117" Type="http://schemas.openxmlformats.org/officeDocument/2006/relationships/hyperlink" Target="https://www.genome.jp/dbget-bin/www_bget?ec:3.1.3.5" TargetMode="External"/><Relationship Id="rId2324" Type="http://schemas.openxmlformats.org/officeDocument/2006/relationships/hyperlink" Target="https://www.genome.jp/entry/R00465/R01392/R02527" TargetMode="External"/><Relationship Id="rId2769" Type="http://schemas.openxmlformats.org/officeDocument/2006/relationships/hyperlink" Target="https://www.genome.jp/dbget-bin/www_bget?ec:2.3.1.30" TargetMode="External"/><Relationship Id="rId2976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722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850" Type="http://schemas.openxmlformats.org/officeDocument/2006/relationships/hyperlink" Target="https://www.genome.jp/dbget-bin/www_bget?ec:2.7.13.3" TargetMode="External"/><Relationship Id="rId948" Type="http://schemas.openxmlformats.org/officeDocument/2006/relationships/hyperlink" Target="https://www.genome.jp/dbget-bin/www_bget?ec:2.3.1.122" TargetMode="External"/><Relationship Id="rId1133" Type="http://schemas.openxmlformats.org/officeDocument/2006/relationships/hyperlink" Target="https://www.genome.jp/dbget-bin/www_bget?ec:2.1.1.185" TargetMode="External"/><Relationship Id="rId1578" Type="http://schemas.openxmlformats.org/officeDocument/2006/relationships/hyperlink" Target="https://www.genome.jp/entry/R12570" TargetMode="External"/><Relationship Id="rId1785" Type="http://schemas.openxmlformats.org/officeDocument/2006/relationships/hyperlink" Target="https://enzyme.expasy.org/EC/2.7.1.40" TargetMode="External"/><Relationship Id="rId1992" Type="http://schemas.openxmlformats.org/officeDocument/2006/relationships/hyperlink" Target="https://www.genome.jp/dbget-bin/www_bget?ec:1.1.1.1" TargetMode="External"/><Relationship Id="rId2531" Type="http://schemas.openxmlformats.org/officeDocument/2006/relationships/hyperlink" Target="https://enzyme.expasy.org/EC/2.7.4.6" TargetMode="External"/><Relationship Id="rId2629" Type="http://schemas.openxmlformats.org/officeDocument/2006/relationships/hyperlink" Target="https://enzyme.expasy.org/EC/1.1.1.100" TargetMode="External"/><Relationship Id="rId2836" Type="http://schemas.openxmlformats.org/officeDocument/2006/relationships/hyperlink" Target="https://www.genome.jp/entry/R02065/R04218/R10177/R07270/R07916" TargetMode="External"/><Relationship Id="rId77" Type="http://schemas.openxmlformats.org/officeDocument/2006/relationships/hyperlink" Target="https://enzyme.expasy.org/EC/3.1.1.3" TargetMode="External"/><Relationship Id="rId503" Type="http://schemas.openxmlformats.org/officeDocument/2006/relationships/hyperlink" Target="https://enzyme.expasy.org/EC/2.7.7.41" TargetMode="External"/><Relationship Id="rId710" Type="http://schemas.openxmlformats.org/officeDocument/2006/relationships/hyperlink" Target="https://enzyme.expasy.org/EC/2.4.1.-" TargetMode="External"/><Relationship Id="rId808" Type="http://schemas.openxmlformats.org/officeDocument/2006/relationships/hyperlink" Target="https://www.genome.jp/dbget-bin/www_bget?ec:2.7.7.7" TargetMode="External"/><Relationship Id="rId1340" Type="http://schemas.openxmlformats.org/officeDocument/2006/relationships/hyperlink" Target="https://www.genome.jp/dbget-bin/www_bget?ec:2.1.1.11" TargetMode="External"/><Relationship Id="rId1438" Type="http://schemas.openxmlformats.org/officeDocument/2006/relationships/hyperlink" Target="https://www.genome.jp/dbget-bin/www_bget?ec:2.1.1.176" TargetMode="External"/><Relationship Id="rId1645" Type="http://schemas.openxmlformats.org/officeDocument/2006/relationships/hyperlink" Target="https://www.genome.jp/dbget-bin/www_bget?ec:4.3.3.7" TargetMode="External"/><Relationship Id="rId3098" Type="http://schemas.openxmlformats.org/officeDocument/2006/relationships/hyperlink" Target="https://www.genome.jp/dbget-bin/www_bget?ec:3.1.1.1" TargetMode="External"/><Relationship Id="rId1200" Type="http://schemas.openxmlformats.org/officeDocument/2006/relationships/hyperlink" Target="https://www.genome.jp/entry/R08528" TargetMode="External"/><Relationship Id="rId1852" Type="http://schemas.openxmlformats.org/officeDocument/2006/relationships/hyperlink" Target="https://enzyme.expasy.org/EC/3.5.1.1" TargetMode="External"/><Relationship Id="rId2903" Type="http://schemas.openxmlformats.org/officeDocument/2006/relationships/hyperlink" Target="https://www.genome.jp/entry/R01068/R01070/R01829/R02568" TargetMode="External"/><Relationship Id="rId1505" Type="http://schemas.openxmlformats.org/officeDocument/2006/relationships/hyperlink" Target="https://www.genome.jp/dbget-bin/www_bget?ec:1.1.1.25" TargetMode="External"/><Relationship Id="rId1712" Type="http://schemas.openxmlformats.org/officeDocument/2006/relationships/hyperlink" Target="https://www.genome.jp/entry/R10095" TargetMode="External"/><Relationship Id="rId3165" Type="http://schemas.openxmlformats.org/officeDocument/2006/relationships/hyperlink" Target="https://www.genome.jp/entry/R00379/R00375/R00376/R00377/R00378/R11029" TargetMode="External"/><Relationship Id="rId3372" Type="http://schemas.openxmlformats.org/officeDocument/2006/relationships/hyperlink" Target="https://enzyme.expasy.org/EC/3.3.2.10" TargetMode="External"/><Relationship Id="rId293" Type="http://schemas.openxmlformats.org/officeDocument/2006/relationships/hyperlink" Target="https://enzyme.expasy.org/EC/3.5.2.7" TargetMode="External"/><Relationship Id="rId2181" Type="http://schemas.openxmlformats.org/officeDocument/2006/relationships/hyperlink" Target="https://enzyme.expasy.org/EC/1.18.1.2" TargetMode="External"/><Relationship Id="rId3025" Type="http://schemas.openxmlformats.org/officeDocument/2006/relationships/hyperlink" Target="https://enzyme.expasy.org/EC/3.2.1.52" TargetMode="External"/><Relationship Id="rId3232" Type="http://schemas.openxmlformats.org/officeDocument/2006/relationships/hyperlink" Target="https://enzyme.expasy.org/EC/2.7.7.7" TargetMode="External"/><Relationship Id="rId3677" Type="http://schemas.openxmlformats.org/officeDocument/2006/relationships/hyperlink" Target="https://www.genome.jp/entry/R00939/R00936/R00937/R00940/R02235/R02236/R11765" TargetMode="External"/><Relationship Id="rId3884" Type="http://schemas.openxmlformats.org/officeDocument/2006/relationships/hyperlink" Target="https://www.genome.jp/entry/R04779/R00756/R00767/R00769/R00770/R01843/R03236/R03237/R03238/R03239" TargetMode="External"/><Relationship Id="rId153" Type="http://schemas.openxmlformats.org/officeDocument/2006/relationships/hyperlink" Target="https://enzyme.expasy.org/EC/1.2.1.70" TargetMode="External"/><Relationship Id="rId360" Type="http://schemas.openxmlformats.org/officeDocument/2006/relationships/hyperlink" Target="https://enzyme.expasy.org/EC/2.8.1.10" TargetMode="External"/><Relationship Id="rId598" Type="http://schemas.openxmlformats.org/officeDocument/2006/relationships/hyperlink" Target="https://enzyme.expasy.org/EC/6.2.1.3" TargetMode="External"/><Relationship Id="rId2041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279" Type="http://schemas.openxmlformats.org/officeDocument/2006/relationships/hyperlink" Target="https://www.genome.jp/entry/R06398/R09385/R09389/R09393" TargetMode="External"/><Relationship Id="rId2486" Type="http://schemas.openxmlformats.org/officeDocument/2006/relationships/hyperlink" Target="https://enzyme.expasy.org/EC/2.7.7.72" TargetMode="External"/><Relationship Id="rId2693" Type="http://schemas.openxmlformats.org/officeDocument/2006/relationships/hyperlink" Target="https://www.genome.jp/entry/R00256/R01579/R06134" TargetMode="External"/><Relationship Id="rId3537" Type="http://schemas.openxmlformats.org/officeDocument/2006/relationships/hyperlink" Target="https://www.genome.jp/dbget-bin/www_bget?ec:2.7.7.6" TargetMode="External"/><Relationship Id="rId3744" Type="http://schemas.openxmlformats.org/officeDocument/2006/relationships/hyperlink" Target="https://enzyme.expasy.org/EC/4.2.1.17" TargetMode="External"/><Relationship Id="rId3951" Type="http://schemas.openxmlformats.org/officeDocument/2006/relationships/hyperlink" Target="https://www.genome.jp/entry/R00630/R06728/R08255/R08258/R08220/R08249/R08251/R08295/R08300" TargetMode="External"/><Relationship Id="rId220" Type="http://schemas.openxmlformats.org/officeDocument/2006/relationships/hyperlink" Target="https://enzyme.expasy.org/EC/2.1.1.45" TargetMode="External"/><Relationship Id="rId458" Type="http://schemas.openxmlformats.org/officeDocument/2006/relationships/hyperlink" Target="https://enzyme.expasy.org/EC/2.4.2.47" TargetMode="External"/><Relationship Id="rId665" Type="http://schemas.openxmlformats.org/officeDocument/2006/relationships/hyperlink" Target="https://enzyme.expasy.org/EC/2.3.1.189" TargetMode="External"/><Relationship Id="rId872" Type="http://schemas.openxmlformats.org/officeDocument/2006/relationships/hyperlink" Target="https://www.genome.jp/dbget-bin/www_bget?ec:1.1.99.1" TargetMode="External"/><Relationship Id="rId1088" Type="http://schemas.openxmlformats.org/officeDocument/2006/relationships/hyperlink" Target="https://www.genome.jp/dbget-bin/www_bget?ec:6.4.1.3" TargetMode="External"/><Relationship Id="rId1295" Type="http://schemas.openxmlformats.org/officeDocument/2006/relationships/hyperlink" Target="https://www.genome.jp/entry/R00617" TargetMode="External"/><Relationship Id="rId2139" Type="http://schemas.openxmlformats.org/officeDocument/2006/relationships/hyperlink" Target="https://www.genome.jp/entry/R01780/R00410" TargetMode="External"/><Relationship Id="rId2346" Type="http://schemas.openxmlformats.org/officeDocument/2006/relationships/hyperlink" Target="https://www.genome.jp/entry/R00849/R08657/R00848" TargetMode="External"/><Relationship Id="rId2553" Type="http://schemas.openxmlformats.org/officeDocument/2006/relationships/hyperlink" Target="https://www.genome.jp/entry/R04241/R00942/R01654/R02237/R05197" TargetMode="External"/><Relationship Id="rId2760" Type="http://schemas.openxmlformats.org/officeDocument/2006/relationships/hyperlink" Target="https://enzyme.expasy.org/EC/2.5.1.47" TargetMode="External"/><Relationship Id="rId2998" Type="http://schemas.openxmlformats.org/officeDocument/2006/relationships/hyperlink" Target="https://www.genome.jp/dbget-bin/www_bget?ec:2.6.1.2" TargetMode="External"/><Relationship Id="rId3604" Type="http://schemas.openxmlformats.org/officeDocument/2006/relationships/hyperlink" Target="https://www.genome.jp/entry/R01570/R01876/R02296/R02484/R02298" TargetMode="External"/><Relationship Id="rId3811" Type="http://schemas.openxmlformats.org/officeDocument/2006/relationships/hyperlink" Target="https://www.genome.jp/dbget-bin/www_bget?ec:3.2.1.26" TargetMode="External"/><Relationship Id="rId318" Type="http://schemas.openxmlformats.org/officeDocument/2006/relationships/hyperlink" Target="https://enzyme.expasy.org/EC/6.3.5.-" TargetMode="External"/><Relationship Id="rId525" Type="http://schemas.openxmlformats.org/officeDocument/2006/relationships/hyperlink" Target="https://enzyme.expasy.org/EC/1.1.1.23" TargetMode="External"/><Relationship Id="rId732" Type="http://schemas.openxmlformats.org/officeDocument/2006/relationships/hyperlink" Target="https://enzyme.expasy.org/EC/1.2.1.79" TargetMode="External"/><Relationship Id="rId1155" Type="http://schemas.openxmlformats.org/officeDocument/2006/relationships/hyperlink" Target="https://www.genome.jp/dbget-bin/www_bget?ec:2.1.2.2" TargetMode="External"/><Relationship Id="rId1362" Type="http://schemas.openxmlformats.org/officeDocument/2006/relationships/hyperlink" Target="https://www.genome.jp/entry/R01868" TargetMode="External"/><Relationship Id="rId2206" Type="http://schemas.openxmlformats.org/officeDocument/2006/relationships/hyperlink" Target="https://www.genome.jp/entry/R00630/R06728/R08255/R08258/R08220/R08249/R08251/R08295/R08300" TargetMode="External"/><Relationship Id="rId2413" Type="http://schemas.openxmlformats.org/officeDocument/2006/relationships/hyperlink" Target="https://enzyme.expasy.org/EC/1.17.4.1" TargetMode="External"/><Relationship Id="rId2620" Type="http://schemas.openxmlformats.org/officeDocument/2006/relationships/hyperlink" Target="https://enzyme.expasy.org/EC/1.4.1.1" TargetMode="External"/><Relationship Id="rId2858" Type="http://schemas.openxmlformats.org/officeDocument/2006/relationships/hyperlink" Target="https://www.genome.jp/dbget-bin/www_bget?ec:1.3.8.2" TargetMode="External"/><Relationship Id="rId3909" Type="http://schemas.openxmlformats.org/officeDocument/2006/relationships/hyperlink" Target="https://enzyme.expasy.org/EC/1.1.1.85" TargetMode="External"/><Relationship Id="rId99" Type="http://schemas.openxmlformats.org/officeDocument/2006/relationships/hyperlink" Target="https://enzyme.expasy.org/EC/2.4.1.287" TargetMode="External"/><Relationship Id="rId1015" Type="http://schemas.openxmlformats.org/officeDocument/2006/relationships/hyperlink" Target="https://www.genome.jp/entry/R01066" TargetMode="External"/><Relationship Id="rId1222" Type="http://schemas.openxmlformats.org/officeDocument/2006/relationships/hyperlink" Target="https://www.genome.jp/entry/R09651" TargetMode="External"/><Relationship Id="rId1667" Type="http://schemas.openxmlformats.org/officeDocument/2006/relationships/hyperlink" Target="https://www.genome.jp/entry/R02059" TargetMode="External"/><Relationship Id="rId1874" Type="http://schemas.openxmlformats.org/officeDocument/2006/relationships/hyperlink" Target="https://www.genome.jp/entry/R05662/R06173/R05032/R06172/R06174" TargetMode="External"/><Relationship Id="rId2718" Type="http://schemas.openxmlformats.org/officeDocument/2006/relationships/hyperlink" Target="https://www.genome.jp/dbget-bin/www_bget?ec:3.6.1.9" TargetMode="External"/><Relationship Id="rId2925" Type="http://schemas.openxmlformats.org/officeDocument/2006/relationships/hyperlink" Target="https://enzyme.expasy.org/EC/2.8.1.2" TargetMode="External"/><Relationship Id="rId1527" Type="http://schemas.openxmlformats.org/officeDocument/2006/relationships/hyperlink" Target="https://www.genome.jp/dbget-bin/www_bget?ec:4.3.1.17" TargetMode="External"/><Relationship Id="rId1734" Type="http://schemas.openxmlformats.org/officeDocument/2006/relationships/hyperlink" Target="https://enzyme.expasy.org/EC/1.1.5.4" TargetMode="External"/><Relationship Id="rId1941" Type="http://schemas.openxmlformats.org/officeDocument/2006/relationships/hyperlink" Target="https://enzyme.expasy.org/EC/2.6.1.42" TargetMode="External"/><Relationship Id="rId3187" Type="http://schemas.openxmlformats.org/officeDocument/2006/relationships/hyperlink" Target="https://enzyme.expasy.org/EC/2.7.7.7" TargetMode="External"/><Relationship Id="rId3394" Type="http://schemas.openxmlformats.org/officeDocument/2006/relationships/hyperlink" Target="https://www.genome.jp/dbget-bin/www_bget?ec:3.4.11.2" TargetMode="External"/><Relationship Id="rId26" Type="http://schemas.openxmlformats.org/officeDocument/2006/relationships/hyperlink" Target="https://enzyme.expasy.org/EC/3.6.3.-" TargetMode="External"/><Relationship Id="rId3047" Type="http://schemas.openxmlformats.org/officeDocument/2006/relationships/hyperlink" Target="https://www.genome.jp/entry/R00529/R04929" TargetMode="External"/><Relationship Id="rId3699" Type="http://schemas.openxmlformats.org/officeDocument/2006/relationships/hyperlink" Target="https://www.genome.jp/dbget-bin/www_bget?ec:5.3.1.9" TargetMode="External"/><Relationship Id="rId175" Type="http://schemas.openxmlformats.org/officeDocument/2006/relationships/hyperlink" Target="https://enzyme.expasy.org/EC/5.4.99.18" TargetMode="External"/><Relationship Id="rId1801" Type="http://schemas.openxmlformats.org/officeDocument/2006/relationships/hyperlink" Target="https://www.genome.jp/dbget-bin/www_bget?ec:2.7.1.40" TargetMode="External"/><Relationship Id="rId3254" Type="http://schemas.openxmlformats.org/officeDocument/2006/relationships/hyperlink" Target="https://www.genome.jp/entry/R00379/R00375/R00376/R00377/R00378/R11029" TargetMode="External"/><Relationship Id="rId3461" Type="http://schemas.openxmlformats.org/officeDocument/2006/relationships/hyperlink" Target="https://enzyme.expasy.org/EC/1.5.1.2" TargetMode="External"/><Relationship Id="rId3559" Type="http://schemas.openxmlformats.org/officeDocument/2006/relationships/hyperlink" Target="https://www.genome.jp/entry/R00127/R01547/R11319" TargetMode="External"/><Relationship Id="rId382" Type="http://schemas.openxmlformats.org/officeDocument/2006/relationships/hyperlink" Target="https://enzyme.expasy.org/EC/2.7.1.50" TargetMode="External"/><Relationship Id="rId687" Type="http://schemas.openxmlformats.org/officeDocument/2006/relationships/hyperlink" Target="https://enzyme.expasy.org/EC/2.7.7.60" TargetMode="External"/><Relationship Id="rId2063" Type="http://schemas.openxmlformats.org/officeDocument/2006/relationships/hyperlink" Target="https://www.genome.jp/entry/R00424/R00428/R04639/R05046/R05048" TargetMode="External"/><Relationship Id="rId2270" Type="http://schemas.openxmlformats.org/officeDocument/2006/relationships/hyperlink" Target="https://www.genome.jp/entry/R12188/R01286/R02408/R02953/R03528/R00782/R04941/R09366" TargetMode="External"/><Relationship Id="rId2368" Type="http://schemas.openxmlformats.org/officeDocument/2006/relationships/hyperlink" Target="https://www.genome.jp/entry/R00857/R01030/R01470" TargetMode="External"/><Relationship Id="rId3114" Type="http://schemas.openxmlformats.org/officeDocument/2006/relationships/hyperlink" Target="https://www.genome.jp/entry/R00390/R01280" TargetMode="External"/><Relationship Id="rId3321" Type="http://schemas.openxmlformats.org/officeDocument/2006/relationships/hyperlink" Target="https://www.genome.jp/entry/R00006/R00226/R00014/R03050/R04672/R04673/R08648" TargetMode="External"/><Relationship Id="rId3766" Type="http://schemas.openxmlformats.org/officeDocument/2006/relationships/hyperlink" Target="https://www.genome.jp/dbget-bin/www_bget?ec:4.2.1.17" TargetMode="External"/><Relationship Id="rId242" Type="http://schemas.openxmlformats.org/officeDocument/2006/relationships/hyperlink" Target="https://enzyme.expasy.org/EC/2.1.1.182" TargetMode="External"/><Relationship Id="rId894" Type="http://schemas.openxmlformats.org/officeDocument/2006/relationships/hyperlink" Target="https://www.genome.jp/entry/R02364" TargetMode="External"/><Relationship Id="rId1177" Type="http://schemas.openxmlformats.org/officeDocument/2006/relationships/hyperlink" Target="https://www.genome.jp/dbget-bin/www_bget?ec:3.1.1.29" TargetMode="External"/><Relationship Id="rId2130" Type="http://schemas.openxmlformats.org/officeDocument/2006/relationships/hyperlink" Target="https://www.genome.jp/dbget-bin/www_bget?ec:6.2.1.14" TargetMode="External"/><Relationship Id="rId2575" Type="http://schemas.openxmlformats.org/officeDocument/2006/relationships/hyperlink" Target="https://www.genome.jp/dbget-bin/www_bget?ec:1.1.1.37" TargetMode="External"/><Relationship Id="rId2782" Type="http://schemas.openxmlformats.org/officeDocument/2006/relationships/hyperlink" Target="https://www.genome.jp/dbget-bin/www_bget?ec:2.6.1.21" TargetMode="External"/><Relationship Id="rId3419" Type="http://schemas.openxmlformats.org/officeDocument/2006/relationships/hyperlink" Target="https://www.genome.jp/entry/R08550/R03815/R07618/R01698" TargetMode="External"/><Relationship Id="rId3626" Type="http://schemas.openxmlformats.org/officeDocument/2006/relationships/hyperlink" Target="https://enzyme.expasy.org/EC/2.7.1.15" TargetMode="External"/><Relationship Id="rId3833" Type="http://schemas.openxmlformats.org/officeDocument/2006/relationships/hyperlink" Target="https://www.genome.jp/entry/R01168/R06132" TargetMode="External"/><Relationship Id="rId102" Type="http://schemas.openxmlformats.org/officeDocument/2006/relationships/hyperlink" Target="https://enzyme.expasy.org/EC/1.6.5.5" TargetMode="External"/><Relationship Id="rId547" Type="http://schemas.openxmlformats.org/officeDocument/2006/relationships/hyperlink" Target="https://enzyme.expasy.org/EC/2.4.1.-" TargetMode="External"/><Relationship Id="rId754" Type="http://schemas.openxmlformats.org/officeDocument/2006/relationships/hyperlink" Target="https://enzyme.expasy.org/EC/2.3.1.-" TargetMode="External"/><Relationship Id="rId961" Type="http://schemas.openxmlformats.org/officeDocument/2006/relationships/hyperlink" Target="https://www.genome.jp/entry/R02164/R13223" TargetMode="External"/><Relationship Id="rId1384" Type="http://schemas.openxmlformats.org/officeDocument/2006/relationships/hyperlink" Target="https://www.genome.jp/dbget-bin/www_bget?ec:2.2.1.1" TargetMode="External"/><Relationship Id="rId1591" Type="http://schemas.openxmlformats.org/officeDocument/2006/relationships/hyperlink" Target="https://enzyme.expasy.org/EC/3.6.4.13" TargetMode="External"/><Relationship Id="rId1689" Type="http://schemas.openxmlformats.org/officeDocument/2006/relationships/hyperlink" Target="https://www.genome.jp/entry/R02768/R04355/R04726/R04952/R04957/R04960/R04963/R04968/R07762/R10115/R10119" TargetMode="External"/><Relationship Id="rId2228" Type="http://schemas.openxmlformats.org/officeDocument/2006/relationships/hyperlink" Target="https://enzyme.expasy.org/EC/3.1.1.1" TargetMode="External"/><Relationship Id="rId2435" Type="http://schemas.openxmlformats.org/officeDocument/2006/relationships/hyperlink" Target="https://www.genome.jp/entry/R03657" TargetMode="External"/><Relationship Id="rId2642" Type="http://schemas.openxmlformats.org/officeDocument/2006/relationships/hyperlink" Target="https://www.genome.jp/dbget-bin/www_bget?ec:1.1.1.100" TargetMode="External"/><Relationship Id="rId3900" Type="http://schemas.openxmlformats.org/officeDocument/2006/relationships/hyperlink" Target="https://enzyme.expasy.org/EC/1.1.1.86" TargetMode="External"/><Relationship Id="rId90" Type="http://schemas.openxmlformats.org/officeDocument/2006/relationships/hyperlink" Target="https://enzyme.expasy.org/EC/2.6.1.48" TargetMode="External"/><Relationship Id="rId407" Type="http://schemas.openxmlformats.org/officeDocument/2006/relationships/hyperlink" Target="https://enzyme.expasy.org/EC/2.5.1.-" TargetMode="External"/><Relationship Id="rId614" Type="http://schemas.openxmlformats.org/officeDocument/2006/relationships/hyperlink" Target="https://enzyme.expasy.org/EC/1.1.1.79" TargetMode="External"/><Relationship Id="rId821" Type="http://schemas.openxmlformats.org/officeDocument/2006/relationships/hyperlink" Target="https://www.genome.jp/dbget-bin/www_bget?ec:2.1.1.14" TargetMode="External"/><Relationship Id="rId1037" Type="http://schemas.openxmlformats.org/officeDocument/2006/relationships/hyperlink" Target="https://www.genome.jp/dbget-bin/www_bget?ec:5.4.2.10" TargetMode="External"/><Relationship Id="rId1244" Type="http://schemas.openxmlformats.org/officeDocument/2006/relationships/hyperlink" Target="https://www.genome.jp/entry/R03646" TargetMode="External"/><Relationship Id="rId1451" Type="http://schemas.openxmlformats.org/officeDocument/2006/relationships/hyperlink" Target="https://www.genome.jp/dbget-bin/www_bget?ec:2.7.4.8" TargetMode="External"/><Relationship Id="rId1896" Type="http://schemas.openxmlformats.org/officeDocument/2006/relationships/hyperlink" Target="https://www.genome.jp/entry/2.4.99.28" TargetMode="External"/><Relationship Id="rId2502" Type="http://schemas.openxmlformats.org/officeDocument/2006/relationships/hyperlink" Target="https://www.genome.jp/dbget-bin/www_bget?ec:2.7.4.6" TargetMode="External"/><Relationship Id="rId2947" Type="http://schemas.openxmlformats.org/officeDocument/2006/relationships/hyperlink" Target="https://enzyme.expasy.org/EC/1.2.1.3" TargetMode="External"/><Relationship Id="rId919" Type="http://schemas.openxmlformats.org/officeDocument/2006/relationships/hyperlink" Target="https://www.genome.jp/entry/R02291" TargetMode="External"/><Relationship Id="rId1104" Type="http://schemas.openxmlformats.org/officeDocument/2006/relationships/hyperlink" Target="https://www.genome.jp/dbget-bin/www_bget?ec:2.7.1.6" TargetMode="External"/><Relationship Id="rId1311" Type="http://schemas.openxmlformats.org/officeDocument/2006/relationships/hyperlink" Target="https://www.genome.jp/entry/R02649" TargetMode="External"/><Relationship Id="rId1549" Type="http://schemas.openxmlformats.org/officeDocument/2006/relationships/hyperlink" Target="https://www.genome.jp/entry/R00275" TargetMode="External"/><Relationship Id="rId1756" Type="http://schemas.openxmlformats.org/officeDocument/2006/relationships/hyperlink" Target="https://www.genome.jp/dbget-bin/www_bget?ec:3.4.21.89" TargetMode="External"/><Relationship Id="rId1963" Type="http://schemas.openxmlformats.org/officeDocument/2006/relationships/hyperlink" Target="https://enzyme.expasy.org/EC/2.3.1.181" TargetMode="External"/><Relationship Id="rId2807" Type="http://schemas.openxmlformats.org/officeDocument/2006/relationships/hyperlink" Target="https://www.genome.jp/dbget-bin/www_bget?ec:4.3.2.2" TargetMode="External"/><Relationship Id="rId48" Type="http://schemas.openxmlformats.org/officeDocument/2006/relationships/hyperlink" Target="https://enzyme.expasy.org/EC/3.-.-.-" TargetMode="External"/><Relationship Id="rId1409" Type="http://schemas.openxmlformats.org/officeDocument/2006/relationships/hyperlink" Target="https://www.genome.jp/dbget-bin/www_bget?ec:1.2.1.12" TargetMode="External"/><Relationship Id="rId1616" Type="http://schemas.openxmlformats.org/officeDocument/2006/relationships/hyperlink" Target="https://www.genome.jp/dbget-bin/www_bget?ec:1.13.11.49" TargetMode="External"/><Relationship Id="rId1823" Type="http://schemas.openxmlformats.org/officeDocument/2006/relationships/hyperlink" Target="https://www.genome.jp/dbget-bin/www_bget?ec:1.1.1.23" TargetMode="External"/><Relationship Id="rId3069" Type="http://schemas.openxmlformats.org/officeDocument/2006/relationships/hyperlink" Target="https://www.genome.jp/dbget-bin/www_bget?ec:2.4.1.288" TargetMode="External"/><Relationship Id="rId3276" Type="http://schemas.openxmlformats.org/officeDocument/2006/relationships/hyperlink" Target="https://www.genome.jp/entry/R00379/R00375/R00376/R00377/R00378/R11029" TargetMode="External"/><Relationship Id="rId3483" Type="http://schemas.openxmlformats.org/officeDocument/2006/relationships/hyperlink" Target="https://www.genome.jp/dbget-bin/www_bget?ec:2.1.1.107" TargetMode="External"/><Relationship Id="rId3690" Type="http://schemas.openxmlformats.org/officeDocument/2006/relationships/hyperlink" Target="https://www.genome.jp/dbget-bin/www_bget?ec:5.3.1.9" TargetMode="External"/><Relationship Id="rId197" Type="http://schemas.openxmlformats.org/officeDocument/2006/relationships/hyperlink" Target="https://enzyme.expasy.org/EC/3.4.-.-" TargetMode="External"/><Relationship Id="rId2085" Type="http://schemas.openxmlformats.org/officeDocument/2006/relationships/hyperlink" Target="https://www.genome.jp/entry/R07297/R00183/R00511/R00963/R01126/R01227/R02323/R02719/R03346/R01569/R01664/R01968/R02088/R02102/R12958" TargetMode="External"/><Relationship Id="rId2292" Type="http://schemas.openxmlformats.org/officeDocument/2006/relationships/hyperlink" Target="https://www.genome.jp/dbget-bin/www_bget?ec:1.14.13.107" TargetMode="External"/><Relationship Id="rId3136" Type="http://schemas.openxmlformats.org/officeDocument/2006/relationships/hyperlink" Target="https://enzyme.expasy.org/EC/2.7.11.1" TargetMode="External"/><Relationship Id="rId3343" Type="http://schemas.openxmlformats.org/officeDocument/2006/relationships/hyperlink" Target="https://enzyme.expasy.org/EC/2.2.1.6" TargetMode="External"/><Relationship Id="rId3788" Type="http://schemas.openxmlformats.org/officeDocument/2006/relationships/hyperlink" Target="https://www.genome.jp/entry/R03018/R02971/R04391" TargetMode="External"/><Relationship Id="rId264" Type="http://schemas.openxmlformats.org/officeDocument/2006/relationships/hyperlink" Target="https://enzyme.expasy.org/EC/2.7.1.33" TargetMode="External"/><Relationship Id="rId471" Type="http://schemas.openxmlformats.org/officeDocument/2006/relationships/hyperlink" Target="https://enzyme.expasy.org/EC/1.11.1.24" TargetMode="External"/><Relationship Id="rId2152" Type="http://schemas.openxmlformats.org/officeDocument/2006/relationships/hyperlink" Target="https://www.genome.jp/dbget-bin/www_bget?ec:2.3.1.9" TargetMode="External"/><Relationship Id="rId2597" Type="http://schemas.openxmlformats.org/officeDocument/2006/relationships/hyperlink" Target="https://www.genome.jp/entry/R03260/R00999/R01288/R02508/R03217/R04944/R04945/R04946" TargetMode="External"/><Relationship Id="rId3550" Type="http://schemas.openxmlformats.org/officeDocument/2006/relationships/hyperlink" Target="https://www.genome.jp/entry/R00444/R00435/R00441/R00442/R00443/R10813" TargetMode="External"/><Relationship Id="rId3648" Type="http://schemas.openxmlformats.org/officeDocument/2006/relationships/hyperlink" Target="https://enzyme.expasy.org/EC/3.1.3.25" TargetMode="External"/><Relationship Id="rId3855" Type="http://schemas.openxmlformats.org/officeDocument/2006/relationships/hyperlink" Target="https://enzyme.expasy.org/EC/2.8.1.7" TargetMode="External"/><Relationship Id="rId124" Type="http://schemas.openxmlformats.org/officeDocument/2006/relationships/hyperlink" Target="https://enzyme.expasy.org/EC/6.2.1.3" TargetMode="External"/><Relationship Id="rId569" Type="http://schemas.openxmlformats.org/officeDocument/2006/relationships/hyperlink" Target="https://enzyme.expasy.org/EC/1.1.1.1" TargetMode="External"/><Relationship Id="rId776" Type="http://schemas.openxmlformats.org/officeDocument/2006/relationships/hyperlink" Target="https://enzyme.expasy.org/EC/2.7.7.-" TargetMode="External"/><Relationship Id="rId983" Type="http://schemas.openxmlformats.org/officeDocument/2006/relationships/hyperlink" Target="https://www.genome.jp/dbget-bin/www_bget?EC:2.5.1.61" TargetMode="External"/><Relationship Id="rId1199" Type="http://schemas.openxmlformats.org/officeDocument/2006/relationships/hyperlink" Target="https://www.genome.jp/dbget-bin/www_bget?enzyme+2.5.1.68" TargetMode="External"/><Relationship Id="rId2457" Type="http://schemas.openxmlformats.org/officeDocument/2006/relationships/hyperlink" Target="https://www.genome.jp/dbget-bin/www_bget?ec:4.1.3.27" TargetMode="External"/><Relationship Id="rId2664" Type="http://schemas.openxmlformats.org/officeDocument/2006/relationships/hyperlink" Target="https://enzyme.expasy.org/EC/1.1.1.100" TargetMode="External"/><Relationship Id="rId3203" Type="http://schemas.openxmlformats.org/officeDocument/2006/relationships/hyperlink" Target="https://www.genome.jp/dbget-bin/www_bget?ec:2.7.7.7" TargetMode="External"/><Relationship Id="rId3410" Type="http://schemas.openxmlformats.org/officeDocument/2006/relationships/hyperlink" Target="https://www.genome.jp/entry/R07248/R13277" TargetMode="External"/><Relationship Id="rId3508" Type="http://schemas.openxmlformats.org/officeDocument/2006/relationships/hyperlink" Target="https://www.genome.jp/entry/R00444/R00435/R00441/R00442/R00443/R10813" TargetMode="External"/><Relationship Id="rId331" Type="http://schemas.openxmlformats.org/officeDocument/2006/relationships/hyperlink" Target="https://enzyme.expasy.org/EC/4.3.2.3" TargetMode="External"/><Relationship Id="rId429" Type="http://schemas.openxmlformats.org/officeDocument/2006/relationships/hyperlink" Target="https://enzyme.expasy.org/EC/3.4.13.9" TargetMode="External"/><Relationship Id="rId636" Type="http://schemas.openxmlformats.org/officeDocument/2006/relationships/hyperlink" Target="https://enzyme.expasy.org/EC/2.-.-.-" TargetMode="External"/><Relationship Id="rId1059" Type="http://schemas.openxmlformats.org/officeDocument/2006/relationships/hyperlink" Target="https://www.genome.jp/entry/R09796" TargetMode="External"/><Relationship Id="rId1266" Type="http://schemas.openxmlformats.org/officeDocument/2006/relationships/hyperlink" Target="https://www.genome.jp/entry/R00086" TargetMode="External"/><Relationship Id="rId1473" Type="http://schemas.openxmlformats.org/officeDocument/2006/relationships/hyperlink" Target="https://www.genome.jp/dbget-bin/www_bget?ec:6.3.5.5" TargetMode="External"/><Relationship Id="rId2012" Type="http://schemas.openxmlformats.org/officeDocument/2006/relationships/hyperlink" Target="https://enzyme.expasy.org/EC/1.1.1.1" TargetMode="External"/><Relationship Id="rId2317" Type="http://schemas.openxmlformats.org/officeDocument/2006/relationships/hyperlink" Target="https://www.genome.jp/entry/R03005/R00137" TargetMode="External"/><Relationship Id="rId2871" Type="http://schemas.openxmlformats.org/officeDocument/2006/relationships/hyperlink" Target="https://www.genome.jp/entry/R03503" TargetMode="External"/><Relationship Id="rId2969" Type="http://schemas.openxmlformats.org/officeDocument/2006/relationships/hyperlink" Target="https://www.genome.jp/dbget-bin/www_bget?ec:1.2.1.3" TargetMode="External"/><Relationship Id="rId3715" Type="http://schemas.openxmlformats.org/officeDocument/2006/relationships/hyperlink" Target="https://www.genome.jp/dbget-bin/www_bget?ec:4.2.1.17" TargetMode="External"/><Relationship Id="rId3922" Type="http://schemas.openxmlformats.org/officeDocument/2006/relationships/hyperlink" Target="https://www.genome.jp/dbget-bin/www_bget?ec:4.2.1.33" TargetMode="External"/><Relationship Id="rId843" Type="http://schemas.openxmlformats.org/officeDocument/2006/relationships/hyperlink" Target="https://www.genome.jp/dbget-bin/www_bget?ec:7.2.2.8" TargetMode="External"/><Relationship Id="rId1126" Type="http://schemas.openxmlformats.org/officeDocument/2006/relationships/hyperlink" Target="https://www.genome.jp/dbget-bin/www_bget?ec:3.1.3.25" TargetMode="External"/><Relationship Id="rId1680" Type="http://schemas.openxmlformats.org/officeDocument/2006/relationships/hyperlink" Target="https://www.genome.jp/entry/R02768/R04355/R04726/R04952/R04957/R04960/R04963/R04968/R07762/R10115/R10119" TargetMode="External"/><Relationship Id="rId1778" Type="http://schemas.openxmlformats.org/officeDocument/2006/relationships/hyperlink" Target="https://enzyme.expasy.org/EC/1.4.1.2" TargetMode="External"/><Relationship Id="rId1985" Type="http://schemas.openxmlformats.org/officeDocument/2006/relationships/hyperlink" Target="https://www.genome.jp/entry/R01466/R05086" TargetMode="External"/><Relationship Id="rId2524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31" Type="http://schemas.openxmlformats.org/officeDocument/2006/relationships/hyperlink" Target="https://www.genome.jp/entry/R01532/R00087/R00426/R00515/R00662/R11323/R00103/R00160/R00287/R03004/R03036" TargetMode="External"/><Relationship Id="rId2829" Type="http://schemas.openxmlformats.org/officeDocument/2006/relationships/hyperlink" Target="https://www.genome.jp/entry/R05633" TargetMode="External"/><Relationship Id="rId703" Type="http://schemas.openxmlformats.org/officeDocument/2006/relationships/hyperlink" Target="https://enzyme.expasy.org/EC/6.3.4.19" TargetMode="External"/><Relationship Id="rId910" Type="http://schemas.openxmlformats.org/officeDocument/2006/relationships/hyperlink" Target="https://www.genome.jp/dbget-bin/www_bget?ec:3.5.4.33" TargetMode="External"/><Relationship Id="rId1333" Type="http://schemas.openxmlformats.org/officeDocument/2006/relationships/hyperlink" Target="https://www.genome.jp/dbget-bin/www_bget?ec:3.6.1.13" TargetMode="External"/><Relationship Id="rId1540" Type="http://schemas.openxmlformats.org/officeDocument/2006/relationships/hyperlink" Target="https://www.genome.jp/dbget-bin/www_bget?ec:4.3.1.17" TargetMode="External"/><Relationship Id="rId1638" Type="http://schemas.openxmlformats.org/officeDocument/2006/relationships/hyperlink" Target="https://www.genome.jp/entry/R03236" TargetMode="External"/><Relationship Id="rId1400" Type="http://schemas.openxmlformats.org/officeDocument/2006/relationships/hyperlink" Target="https://www.genome.jp/dbget-bin/www_bget?ec:1.1.1.49" TargetMode="External"/><Relationship Id="rId1845" Type="http://schemas.openxmlformats.org/officeDocument/2006/relationships/hyperlink" Target="https://www.genome.jp/dbget-bin/www_bget?ec:3.5.1.1" TargetMode="External"/><Relationship Id="rId3060" Type="http://schemas.openxmlformats.org/officeDocument/2006/relationships/hyperlink" Target="https://www.genome.jp/entry/R00552/R06138" TargetMode="External"/><Relationship Id="rId3298" Type="http://schemas.openxmlformats.org/officeDocument/2006/relationships/hyperlink" Target="https://enzyme.expasy.org/EC/2.1.1.14" TargetMode="External"/><Relationship Id="rId1705" Type="http://schemas.openxmlformats.org/officeDocument/2006/relationships/hyperlink" Target="https://enzyme.expasy.org/EC/2.3.1.41" TargetMode="External"/><Relationship Id="rId1912" Type="http://schemas.openxmlformats.org/officeDocument/2006/relationships/hyperlink" Target="https://www.genome.jp/dbget-bin/www_bget?ec:7.1.1.9" TargetMode="External"/><Relationship Id="rId3158" Type="http://schemas.openxmlformats.org/officeDocument/2006/relationships/hyperlink" Target="https://www.genome.jp/dbget-bin/www_bget?ec:2.7.7.7" TargetMode="External"/><Relationship Id="rId3365" Type="http://schemas.openxmlformats.org/officeDocument/2006/relationships/hyperlink" Target="https://www.genome.jp/dbget-bin/www_bget?ec:1.11.1.6" TargetMode="External"/><Relationship Id="rId3572" Type="http://schemas.openxmlformats.org/officeDocument/2006/relationships/hyperlink" Target="https://enzyme.expasy.org/EC/1.1.1.42" TargetMode="External"/><Relationship Id="rId286" Type="http://schemas.openxmlformats.org/officeDocument/2006/relationships/hyperlink" Target="https://enzyme.expasy.org/EC/2.1.1.-" TargetMode="External"/><Relationship Id="rId493" Type="http://schemas.openxmlformats.org/officeDocument/2006/relationships/hyperlink" Target="https://enzyme.expasy.org/EC/3.6.3.-" TargetMode="External"/><Relationship Id="rId2174" Type="http://schemas.openxmlformats.org/officeDocument/2006/relationships/hyperlink" Target="https://www.genome.jp/dbget-bin/www_bget?ec:2.3.1.8" TargetMode="External"/><Relationship Id="rId2381" Type="http://schemas.openxmlformats.org/officeDocument/2006/relationships/hyperlink" Target="https://www.genome.jp/entry/R04120/R07606" TargetMode="External"/><Relationship Id="rId3018" Type="http://schemas.openxmlformats.org/officeDocument/2006/relationships/hyperlink" Target="https://www.genome.jp/entry/R00022/R03492/R04184/R04586/R05963/R06001/R06004/R06141/R07809/R07810/R09323/R10831/R11316/R11317/R12963" TargetMode="External"/><Relationship Id="rId3225" Type="http://schemas.openxmlformats.org/officeDocument/2006/relationships/hyperlink" Target="https://www.genome.jp/entry/R00379/R00375/R00376/R00377/R00378/R11029" TargetMode="External"/><Relationship Id="rId3432" Type="http://schemas.openxmlformats.org/officeDocument/2006/relationships/hyperlink" Target="https://enzyme.expasy.org/EC/1.8.1.4" TargetMode="External"/><Relationship Id="rId3877" Type="http://schemas.openxmlformats.org/officeDocument/2006/relationships/hyperlink" Target="https://www.genome.jp/dbget-bin/www_bget?ec:2.7.1.11" TargetMode="External"/><Relationship Id="rId146" Type="http://schemas.openxmlformats.org/officeDocument/2006/relationships/hyperlink" Target="https://enzyme.expasy.org/EC/6.2.1.3" TargetMode="External"/><Relationship Id="rId353" Type="http://schemas.openxmlformats.org/officeDocument/2006/relationships/hyperlink" Target="https://enzyme.expasy.org/EC/1.2.1.38" TargetMode="External"/><Relationship Id="rId560" Type="http://schemas.openxmlformats.org/officeDocument/2006/relationships/hyperlink" Target="https://enzyme.expasy.org/EC/1.4.4.2" TargetMode="External"/><Relationship Id="rId798" Type="http://schemas.openxmlformats.org/officeDocument/2006/relationships/hyperlink" Target="https://enzyme.expasy.org/EC/2.1.2.-" TargetMode="External"/><Relationship Id="rId1190" Type="http://schemas.openxmlformats.org/officeDocument/2006/relationships/hyperlink" Target="https://www.genome.jp/entry/R04292" TargetMode="External"/><Relationship Id="rId2034" Type="http://schemas.openxmlformats.org/officeDocument/2006/relationships/hyperlink" Target="https://www.genome.jp/dbget-bin/www_bget?ec:1.1.1.1" TargetMode="External"/><Relationship Id="rId2241" Type="http://schemas.openxmlformats.org/officeDocument/2006/relationships/hyperlink" Target="https://www.genome.jp/dbget-bin/www_bget?ec:3.1.1.1" TargetMode="External"/><Relationship Id="rId2479" Type="http://schemas.openxmlformats.org/officeDocument/2006/relationships/hyperlink" Target="https://www.genome.jp/entry/R09382/R09383/R09384/R09386" TargetMode="External"/><Relationship Id="rId2686" Type="http://schemas.openxmlformats.org/officeDocument/2006/relationships/hyperlink" Target="https://www.genome.jp/dbget-bin/www_bget?ec:3.5.1.2" TargetMode="External"/><Relationship Id="rId2893" Type="http://schemas.openxmlformats.org/officeDocument/2006/relationships/hyperlink" Target="https://enzyme.expasy.org/EC/2.4.2.8" TargetMode="External"/><Relationship Id="rId3737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944" Type="http://schemas.openxmlformats.org/officeDocument/2006/relationships/hyperlink" Target="https://www.genome.jp/dbget-bin/www_bget?ec:6.4.1.3" TargetMode="External"/><Relationship Id="rId213" Type="http://schemas.openxmlformats.org/officeDocument/2006/relationships/hyperlink" Target="https://enzyme.expasy.org/EC/5.2.1.8" TargetMode="External"/><Relationship Id="rId420" Type="http://schemas.openxmlformats.org/officeDocument/2006/relationships/hyperlink" Target="https://enzyme.expasy.org/EC/3.5.1.88" TargetMode="External"/><Relationship Id="rId658" Type="http://schemas.openxmlformats.org/officeDocument/2006/relationships/hyperlink" Target="https://enzyme.expasy.org/EC/2.7.11.1" TargetMode="External"/><Relationship Id="rId865" Type="http://schemas.openxmlformats.org/officeDocument/2006/relationships/hyperlink" Target="https://www.genome.jp/dbget-bin/www_bget?ec:3.1.1.3" TargetMode="External"/><Relationship Id="rId1050" Type="http://schemas.openxmlformats.org/officeDocument/2006/relationships/hyperlink" Target="https://www.genome.jp/dbget-bin/www_bget?ec:3.4.15.5" TargetMode="External"/><Relationship Id="rId1288" Type="http://schemas.openxmlformats.org/officeDocument/2006/relationships/hyperlink" Target="https://www.genome.jp/dbget-bin/www_bget?ec:4.2.1.33" TargetMode="External"/><Relationship Id="rId1495" Type="http://schemas.openxmlformats.org/officeDocument/2006/relationships/hyperlink" Target="https://www.genome.jp/dbget-bin/www_bget?ec:2.1.3.2" TargetMode="External"/><Relationship Id="rId2101" Type="http://schemas.openxmlformats.org/officeDocument/2006/relationships/hyperlink" Target="https://enzyme.expasy.org/EC/3.1.3.5" TargetMode="External"/><Relationship Id="rId2339" Type="http://schemas.openxmlformats.org/officeDocument/2006/relationships/hyperlink" Target="https://www.genome.jp/dbget-bin/www_bget?ec:1.1.5.3" TargetMode="External"/><Relationship Id="rId2546" Type="http://schemas.openxmlformats.org/officeDocument/2006/relationships/hyperlink" Target="https://www.genome.jp/dbget-bin/www_bget?ec:6.3.2.17" TargetMode="External"/><Relationship Id="rId2753" Type="http://schemas.openxmlformats.org/officeDocument/2006/relationships/hyperlink" Target="https://www.genome.jp/entry/R00260" TargetMode="External"/><Relationship Id="rId2960" Type="http://schemas.openxmlformats.org/officeDocument/2006/relationships/hyperlink" Target="https://www.genome.jp/dbget-bin/www_bget?ec:1.2.1.3" TargetMode="External"/><Relationship Id="rId3804" Type="http://schemas.openxmlformats.org/officeDocument/2006/relationships/hyperlink" Target="https://enzyme.expasy.org/EC/3.2.1.26" TargetMode="External"/><Relationship Id="rId518" Type="http://schemas.openxmlformats.org/officeDocument/2006/relationships/hyperlink" Target="https://enzyme.expasy.org/EC/4.1.1.48" TargetMode="External"/><Relationship Id="rId725" Type="http://schemas.openxmlformats.org/officeDocument/2006/relationships/hyperlink" Target="https://enzyme.expasy.org/EC/5.1.3.2" TargetMode="External"/><Relationship Id="rId932" Type="http://schemas.openxmlformats.org/officeDocument/2006/relationships/hyperlink" Target="https://www.genome.jp/dbget-bin/www_bget?ec:2.7.7.24" TargetMode="External"/><Relationship Id="rId1148" Type="http://schemas.openxmlformats.org/officeDocument/2006/relationships/hyperlink" Target="https://www.genome.jp/dbget-bin/www_bget?ec:3.1.3.7" TargetMode="External"/><Relationship Id="rId1355" Type="http://schemas.openxmlformats.org/officeDocument/2006/relationships/hyperlink" Target="https://www.genome.jp/dbget-bin/www_bget?ec:2.4.2.17" TargetMode="External"/><Relationship Id="rId1562" Type="http://schemas.openxmlformats.org/officeDocument/2006/relationships/hyperlink" Target="https://www.genome.jp/entry/R11702/R12038" TargetMode="External"/><Relationship Id="rId2406" Type="http://schemas.openxmlformats.org/officeDocument/2006/relationships/hyperlink" Target="https://www.genome.jp/dbget-bin/www_bget?ec:1.17.4.1" TargetMode="External"/><Relationship Id="rId2613" Type="http://schemas.openxmlformats.org/officeDocument/2006/relationships/hyperlink" Target="https://www.genome.jp/entry/R00396/R00145/R00146/R00365" TargetMode="External"/><Relationship Id="rId1008" Type="http://schemas.openxmlformats.org/officeDocument/2006/relationships/hyperlink" Target="https://www.genome.jp/dbget-bin/www_bget?ec:2.1.1.163" TargetMode="External"/><Relationship Id="rId1215" Type="http://schemas.openxmlformats.org/officeDocument/2006/relationships/hyperlink" Target="https://www.genome.jp/dbget-bin/www_bget?ec:1.17.5.3" TargetMode="External"/><Relationship Id="rId1422" Type="http://schemas.openxmlformats.org/officeDocument/2006/relationships/hyperlink" Target="https://www.genome.jp/dbget-bin/www_bget?ec:5.1.3.2" TargetMode="External"/><Relationship Id="rId1867" Type="http://schemas.openxmlformats.org/officeDocument/2006/relationships/hyperlink" Target="https://www.genome.jp/dbget-bin/www_bget?ec:2.4.1.227" TargetMode="External"/><Relationship Id="rId2820" Type="http://schemas.openxmlformats.org/officeDocument/2006/relationships/hyperlink" Target="https://www.genome.jp/entry/R02778/R06228" TargetMode="External"/><Relationship Id="rId2918" Type="http://schemas.openxmlformats.org/officeDocument/2006/relationships/hyperlink" Target="https://www.genome.jp/dbget-bin/www_bget?ec:2.4.2.10" TargetMode="External"/><Relationship Id="rId61" Type="http://schemas.openxmlformats.org/officeDocument/2006/relationships/hyperlink" Target="https://enzyme.expasy.org/EC/3.5.1.-" TargetMode="External"/><Relationship Id="rId1727" Type="http://schemas.openxmlformats.org/officeDocument/2006/relationships/hyperlink" Target="https://www.genome.jp/entry/R07282/R00437/R00438/R00439/R00440" TargetMode="External"/><Relationship Id="rId1934" Type="http://schemas.openxmlformats.org/officeDocument/2006/relationships/hyperlink" Target="https://www.genome.jp/entry/R01090/R01214/R02199/R10991" TargetMode="External"/><Relationship Id="rId3082" Type="http://schemas.openxmlformats.org/officeDocument/2006/relationships/hyperlink" Target="https://enzyme.expasy.org/EC/3.1.1.1" TargetMode="External"/><Relationship Id="rId3387" Type="http://schemas.openxmlformats.org/officeDocument/2006/relationships/hyperlink" Target="https://enzyme.expasy.org/EC/4.6.1.1" TargetMode="External"/><Relationship Id="rId19" Type="http://schemas.openxmlformats.org/officeDocument/2006/relationships/hyperlink" Target="https://enzyme.expasy.org/EC/3.4.21.62" TargetMode="External"/><Relationship Id="rId2196" Type="http://schemas.openxmlformats.org/officeDocument/2006/relationships/hyperlink" Target="https://enzyme.expasy.org/EC/2.7.1.35" TargetMode="External"/><Relationship Id="rId3594" Type="http://schemas.openxmlformats.org/officeDocument/2006/relationships/hyperlink" Target="https://www.genome.jp/dbget-bin/www_bget?ec:3.5.4.5" TargetMode="External"/><Relationship Id="rId3899" Type="http://schemas.openxmlformats.org/officeDocument/2006/relationships/hyperlink" Target="https://www.genome.jp/entry/R04439/R03051/R04440/R05068/R05069/R05071" TargetMode="External"/><Relationship Id="rId168" Type="http://schemas.openxmlformats.org/officeDocument/2006/relationships/hyperlink" Target="https://enzyme.expasy.org/EC/3.6.3.-" TargetMode="External"/><Relationship Id="rId3247" Type="http://schemas.openxmlformats.org/officeDocument/2006/relationships/hyperlink" Target="https://www.genome.jp/dbget-bin/www_bget?ec:5.4.99.23" TargetMode="External"/><Relationship Id="rId3454" Type="http://schemas.openxmlformats.org/officeDocument/2006/relationships/hyperlink" Target="https://www.genome.jp/entry/R03192/R03191" TargetMode="External"/><Relationship Id="rId3661" Type="http://schemas.openxmlformats.org/officeDocument/2006/relationships/hyperlink" Target="https://www.genome.jp/dbget-bin/www_bget?ec:3.1.3.25" TargetMode="External"/><Relationship Id="rId375" Type="http://schemas.openxmlformats.org/officeDocument/2006/relationships/hyperlink" Target="https://enzyme.expasy.org/EC/2.7.13.3" TargetMode="External"/><Relationship Id="rId582" Type="http://schemas.openxmlformats.org/officeDocument/2006/relationships/hyperlink" Target="https://enzyme.expasy.org/EC/1.-.-.-" TargetMode="External"/><Relationship Id="rId2056" Type="http://schemas.openxmlformats.org/officeDocument/2006/relationships/hyperlink" Target="https://enzyme.expasy.org/EC/3.5.4.16" TargetMode="External"/><Relationship Id="rId2263" Type="http://schemas.openxmlformats.org/officeDocument/2006/relationships/hyperlink" Target="https://enzyme.expasy.org/EC/4.4.1.8" TargetMode="External"/><Relationship Id="rId2470" Type="http://schemas.openxmlformats.org/officeDocument/2006/relationships/hyperlink" Target="https://www.genome.jp/dbget-bin/www_bget?EC:4.2.1.20" TargetMode="External"/><Relationship Id="rId3107" Type="http://schemas.openxmlformats.org/officeDocument/2006/relationships/hyperlink" Target="https://www.genome.jp/dbget-bin/www_bget?ec:3.1.3.3" TargetMode="External"/><Relationship Id="rId3314" Type="http://schemas.openxmlformats.org/officeDocument/2006/relationships/hyperlink" Target="https://www.genome.jp/dbget-bin/www_bget?ec:2.2.1.6" TargetMode="External"/><Relationship Id="rId3521" Type="http://schemas.openxmlformats.org/officeDocument/2006/relationships/hyperlink" Target="https://enzyme.expasy.org/EC/2.7.7.6" TargetMode="External"/><Relationship Id="rId3759" Type="http://schemas.openxmlformats.org/officeDocument/2006/relationships/hyperlink" Target="https://enzyme.expasy.org/EC/4.2.1.17" TargetMode="External"/><Relationship Id="rId3966" Type="http://schemas.openxmlformats.org/officeDocument/2006/relationships/hyperlink" Target="https://www.genome.jp/entry/R00630/R06728/R08255/R08258/R08220/R08249/R08251/R08295/R08300" TargetMode="External"/><Relationship Id="rId3" Type="http://schemas.openxmlformats.org/officeDocument/2006/relationships/hyperlink" Target="https://enzyme.expasy.org/EC/1.-.-.-" TargetMode="External"/><Relationship Id="rId235" Type="http://schemas.openxmlformats.org/officeDocument/2006/relationships/hyperlink" Target="https://enzyme.expasy.org/EC/2.4.1.109" TargetMode="External"/><Relationship Id="rId442" Type="http://schemas.openxmlformats.org/officeDocument/2006/relationships/hyperlink" Target="https://enzyme.expasy.org/EC/3.-.-.-" TargetMode="External"/><Relationship Id="rId887" Type="http://schemas.openxmlformats.org/officeDocument/2006/relationships/hyperlink" Target="https://www.genome.jp/entry/R00006/R00226/R00014/R03050/R04672/R04673/R08648" TargetMode="External"/><Relationship Id="rId1072" Type="http://schemas.openxmlformats.org/officeDocument/2006/relationships/hyperlink" Target="https://www.genome.jp/dbget-bin/www_bget?ec:4.2.1.79" TargetMode="External"/><Relationship Id="rId2123" Type="http://schemas.openxmlformats.org/officeDocument/2006/relationships/hyperlink" Target="https://www.genome.jp/dbget-bin/www_bget?ec:3.1.3.5" TargetMode="External"/><Relationship Id="rId2330" Type="http://schemas.openxmlformats.org/officeDocument/2006/relationships/hyperlink" Target="https://www.genome.jp/dbget-bin/www_bget?ec:5.4.99.9" TargetMode="External"/><Relationship Id="rId2568" Type="http://schemas.openxmlformats.org/officeDocument/2006/relationships/hyperlink" Target="https://www.genome.jp/entry/R02473" TargetMode="External"/><Relationship Id="rId2775" Type="http://schemas.openxmlformats.org/officeDocument/2006/relationships/hyperlink" Target="https://www.genome.jp/entry/R02240" TargetMode="External"/><Relationship Id="rId2982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619" Type="http://schemas.openxmlformats.org/officeDocument/2006/relationships/hyperlink" Target="https://www.genome.jp/entry/R02108/R02112/R06209/R11262" TargetMode="External"/><Relationship Id="rId3826" Type="http://schemas.openxmlformats.org/officeDocument/2006/relationships/hyperlink" Target="https://www.genome.jp/dbget-bin/www_bget?ec:3.2.1.26" TargetMode="External"/><Relationship Id="rId302" Type="http://schemas.openxmlformats.org/officeDocument/2006/relationships/hyperlink" Target="https://enzyme.expasy.org/EC/1.7.99.4" TargetMode="External"/><Relationship Id="rId747" Type="http://schemas.openxmlformats.org/officeDocument/2006/relationships/hyperlink" Target="https://enzyme.expasy.org/EC/1.8.4.11" TargetMode="External"/><Relationship Id="rId954" Type="http://schemas.openxmlformats.org/officeDocument/2006/relationships/hyperlink" Target="https://www.genome.jp/entry/R08550/R03815/R07618/R01698" TargetMode="External"/><Relationship Id="rId1377" Type="http://schemas.openxmlformats.org/officeDocument/2006/relationships/hyperlink" Target="https://enzyme.expasy.org/EC/2.2.1.1" TargetMode="External"/><Relationship Id="rId1584" Type="http://schemas.openxmlformats.org/officeDocument/2006/relationships/hyperlink" Target="https://www.genome.jp/entry/5.6.2.6" TargetMode="External"/><Relationship Id="rId1791" Type="http://schemas.openxmlformats.org/officeDocument/2006/relationships/hyperlink" Target="https://enzyme.expasy.org/EC/2.7.1.40" TargetMode="External"/><Relationship Id="rId2428" Type="http://schemas.openxmlformats.org/officeDocument/2006/relationships/hyperlink" Target="https://enzyme.expasy.org/EC/1.17.4.1" TargetMode="External"/><Relationship Id="rId2635" Type="http://schemas.openxmlformats.org/officeDocument/2006/relationships/hyperlink" Target="https://enzyme.expasy.org/EC/1.1.1.100" TargetMode="External"/><Relationship Id="rId2842" Type="http://schemas.openxmlformats.org/officeDocument/2006/relationships/hyperlink" Target="https://www.genome.jp/entry/R02065/R04218/R10177/R07270/R07916" TargetMode="External"/><Relationship Id="rId83" Type="http://schemas.openxmlformats.org/officeDocument/2006/relationships/hyperlink" Target="https://enzyme.expasy.org/EC/1.14.11.33" TargetMode="External"/><Relationship Id="rId607" Type="http://schemas.openxmlformats.org/officeDocument/2006/relationships/hyperlink" Target="https://enzyme.expasy.org/EC/3.1.4.3" TargetMode="External"/><Relationship Id="rId814" Type="http://schemas.openxmlformats.org/officeDocument/2006/relationships/hyperlink" Target="https://www.genome.jp/entry/R00379/R00375/R00376/R00377/R00378/R11029" TargetMode="External"/><Relationship Id="rId1237" Type="http://schemas.openxmlformats.org/officeDocument/2006/relationships/hyperlink" Target="https://www.genome.jp/dbget-bin/www_bget?ec:4.3.1.3" TargetMode="External"/><Relationship Id="rId1444" Type="http://schemas.openxmlformats.org/officeDocument/2006/relationships/hyperlink" Target="https://www.genome.jp/entry/R05635/R04268" TargetMode="External"/><Relationship Id="rId1651" Type="http://schemas.openxmlformats.org/officeDocument/2006/relationships/hyperlink" Target="https://www.genome.jp/dbget-bin/www_bget?ec:2.7.1.2" TargetMode="External"/><Relationship Id="rId1889" Type="http://schemas.openxmlformats.org/officeDocument/2006/relationships/hyperlink" Target="https://enzyme.expasy.org/EC/2.4.1.129" TargetMode="External"/><Relationship Id="rId2702" Type="http://schemas.openxmlformats.org/officeDocument/2006/relationships/hyperlink" Target="https://www.genome.jp/dbget-bin/www_bget?ec:2.6.1.62" TargetMode="External"/><Relationship Id="rId1304" Type="http://schemas.openxmlformats.org/officeDocument/2006/relationships/hyperlink" Target="https://www.genome.jp/dbget-bin/www_bget?ec:6.1.1.20" TargetMode="External"/><Relationship Id="rId1511" Type="http://schemas.openxmlformats.org/officeDocument/2006/relationships/hyperlink" Target="https://www.genome.jp/entry/R03038" TargetMode="External"/><Relationship Id="rId1749" Type="http://schemas.openxmlformats.org/officeDocument/2006/relationships/hyperlink" Target="https://www.genome.jp/dbget-bin/www_bget?ec:1.1.1.267" TargetMode="External"/><Relationship Id="rId1956" Type="http://schemas.openxmlformats.org/officeDocument/2006/relationships/hyperlink" Target="https://www.genome.jp/dbget-bin/www_bget?ec:2.1.2.10" TargetMode="External"/><Relationship Id="rId3171" Type="http://schemas.openxmlformats.org/officeDocument/2006/relationships/hyperlink" Target="https://www.genome.jp/entry/R00379/R00375/R00376/R00377/R00378/R11029" TargetMode="External"/><Relationship Id="rId1609" Type="http://schemas.openxmlformats.org/officeDocument/2006/relationships/hyperlink" Target="https://www.genome.jp/entry/5.6.2.5" TargetMode="External"/><Relationship Id="rId1816" Type="http://schemas.openxmlformats.org/officeDocument/2006/relationships/hyperlink" Target="https://www.genome.jp/entry/R03243/R00694/R00734" TargetMode="External"/><Relationship Id="rId3269" Type="http://schemas.openxmlformats.org/officeDocument/2006/relationships/hyperlink" Target="https://www.genome.jp/dbget-bin/www_bget?ec:2.7.7.7" TargetMode="External"/><Relationship Id="rId3476" Type="http://schemas.openxmlformats.org/officeDocument/2006/relationships/hyperlink" Target="https://enzyme.expasy.org/EC/2.1.1.107" TargetMode="External"/><Relationship Id="rId3683" Type="http://schemas.openxmlformats.org/officeDocument/2006/relationships/hyperlink" Target="https://www.genome.jp/entry/R00939/R00936/R00937/R00940/R02235/R02236/R11765" TargetMode="External"/><Relationship Id="rId10" Type="http://schemas.openxmlformats.org/officeDocument/2006/relationships/hyperlink" Target="https://enzyme.expasy.org/EC/2.7.7.6" TargetMode="External"/><Relationship Id="rId397" Type="http://schemas.openxmlformats.org/officeDocument/2006/relationships/hyperlink" Target="https://enzyme.expasy.org/EC/3.1.3.-" TargetMode="External"/><Relationship Id="rId2078" Type="http://schemas.openxmlformats.org/officeDocument/2006/relationships/hyperlink" Target="https://enzyme.expasy.org/EC/1.2.4.1" TargetMode="External"/><Relationship Id="rId2285" Type="http://schemas.openxmlformats.org/officeDocument/2006/relationships/hyperlink" Target="https://www.genome.jp/entry/R06398/R09385/R09389/R09393" TargetMode="External"/><Relationship Id="rId2492" Type="http://schemas.openxmlformats.org/officeDocument/2006/relationships/hyperlink" Target="https://enzyme.expasy.org/EC/1.8.1.9" TargetMode="External"/><Relationship Id="rId3031" Type="http://schemas.openxmlformats.org/officeDocument/2006/relationships/hyperlink" Target="https://enzyme.expasy.org/EC/3.2.1.52" TargetMode="External"/><Relationship Id="rId3129" Type="http://schemas.openxmlformats.org/officeDocument/2006/relationships/hyperlink" Target="https://www.genome.jp/entry/R00390/R01280" TargetMode="External"/><Relationship Id="rId3336" Type="http://schemas.openxmlformats.org/officeDocument/2006/relationships/hyperlink" Target="https://www.genome.jp/entry/R00006/R00226/R00014/R03050/R04672/R04673/R08648" TargetMode="External"/><Relationship Id="rId3890" Type="http://schemas.openxmlformats.org/officeDocument/2006/relationships/hyperlink" Target="https://www.genome.jp/entry/R01209/R04441/R05070" TargetMode="External"/><Relationship Id="rId257" Type="http://schemas.openxmlformats.org/officeDocument/2006/relationships/hyperlink" Target="https://enzyme.expasy.org/EC/2.4.2.19" TargetMode="External"/><Relationship Id="rId464" Type="http://schemas.openxmlformats.org/officeDocument/2006/relationships/hyperlink" Target="https://enzyme.expasy.org/EC/3.6.1.23" TargetMode="External"/><Relationship Id="rId1094" Type="http://schemas.openxmlformats.org/officeDocument/2006/relationships/hyperlink" Target="https://www.genome.jp/entry/R04562/R01074/R05145" TargetMode="External"/><Relationship Id="rId2145" Type="http://schemas.openxmlformats.org/officeDocument/2006/relationships/hyperlink" Target="https://www.genome.jp/entry/R01780/R00410" TargetMode="External"/><Relationship Id="rId2797" Type="http://schemas.openxmlformats.org/officeDocument/2006/relationships/hyperlink" Target="https://www.genome.jp/entry/R04208" TargetMode="External"/><Relationship Id="rId3543" Type="http://schemas.openxmlformats.org/officeDocument/2006/relationships/hyperlink" Target="https://www.genome.jp/dbget-bin/www_bget?ec:2.7.7.6" TargetMode="External"/><Relationship Id="rId3750" Type="http://schemas.openxmlformats.org/officeDocument/2006/relationships/hyperlink" Target="https://enzyme.expasy.org/EC/4.2.1.17" TargetMode="External"/><Relationship Id="rId3848" Type="http://schemas.openxmlformats.org/officeDocument/2006/relationships/hyperlink" Target="https://www.genome.jp/entry/R07460/R11528/R11529" TargetMode="External"/><Relationship Id="rId117" Type="http://schemas.openxmlformats.org/officeDocument/2006/relationships/hyperlink" Target="https://enzyme.expasy.org/EC/1.11.1.6" TargetMode="External"/><Relationship Id="rId671" Type="http://schemas.openxmlformats.org/officeDocument/2006/relationships/hyperlink" Target="https://enzyme.expasy.org/EC/3.5.1.1" TargetMode="External"/><Relationship Id="rId769" Type="http://schemas.openxmlformats.org/officeDocument/2006/relationships/hyperlink" Target="https://enzyme.expasy.org/EC/4.1.1.32" TargetMode="External"/><Relationship Id="rId976" Type="http://schemas.openxmlformats.org/officeDocument/2006/relationships/hyperlink" Target="https://www.genome.jp/dbget-bin/www_bget?ec:3.1.3.3" TargetMode="External"/><Relationship Id="rId1399" Type="http://schemas.openxmlformats.org/officeDocument/2006/relationships/hyperlink" Target="https://enzyme.expasy.org/EC/1.1.1.49" TargetMode="External"/><Relationship Id="rId2352" Type="http://schemas.openxmlformats.org/officeDocument/2006/relationships/hyperlink" Target="https://www.genome.jp/dbget-bin/www_bget?ec:3.1.3.73" TargetMode="External"/><Relationship Id="rId2657" Type="http://schemas.openxmlformats.org/officeDocument/2006/relationships/hyperlink" Target="https://www.genome.jp/entry/R02767/R04533/R04534/R04536/R04543/R04566/R04953/R04964/R07763/R10116/R10120" TargetMode="External"/><Relationship Id="rId3403" Type="http://schemas.openxmlformats.org/officeDocument/2006/relationships/hyperlink" Target="https://www.genome.jp/dbget-bin/www_bget?ec:2.3.1.122" TargetMode="External"/><Relationship Id="rId3610" Type="http://schemas.openxmlformats.org/officeDocument/2006/relationships/hyperlink" Target="https://www.genome.jp/entry/R01570/R01876/R02296/R02484/R02298" TargetMode="External"/><Relationship Id="rId324" Type="http://schemas.openxmlformats.org/officeDocument/2006/relationships/hyperlink" Target="https://enzyme.expasy.org/EC/2.4.1.-" TargetMode="External"/><Relationship Id="rId531" Type="http://schemas.openxmlformats.org/officeDocument/2006/relationships/hyperlink" Target="https://enzyme.expasy.org/EC/3.4.23.36" TargetMode="External"/><Relationship Id="rId629" Type="http://schemas.openxmlformats.org/officeDocument/2006/relationships/hyperlink" Target="https://enzyme.expasy.org/EC/3.4.11.2" TargetMode="External"/><Relationship Id="rId1161" Type="http://schemas.openxmlformats.org/officeDocument/2006/relationships/hyperlink" Target="https://www.genome.jp/dbget-bin/www_bget?ec:2.7.7.9" TargetMode="External"/><Relationship Id="rId1259" Type="http://schemas.openxmlformats.org/officeDocument/2006/relationships/hyperlink" Target="https://www.genome.jp/entry/R00390/R01280" TargetMode="External"/><Relationship Id="rId1466" Type="http://schemas.openxmlformats.org/officeDocument/2006/relationships/hyperlink" Target="https://enzyme.expasy.org/EC/6.3.5.5" TargetMode="External"/><Relationship Id="rId2005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212" Type="http://schemas.openxmlformats.org/officeDocument/2006/relationships/hyperlink" Target="https://www.genome.jp/entry/R00630/R06728/R08255/R08258/R08220/R08249/R08251/R08295/R08300" TargetMode="External"/><Relationship Id="rId2864" Type="http://schemas.openxmlformats.org/officeDocument/2006/relationships/hyperlink" Target="https://www.genome.jp/dbget-bin/www_bget?ec:1.3.8.2" TargetMode="External"/><Relationship Id="rId3708" Type="http://schemas.openxmlformats.org/officeDocument/2006/relationships/hyperlink" Target="https://www.genome.jp/dbget-bin/www_bget?ec:2.4.1.109" TargetMode="External"/><Relationship Id="rId3915" Type="http://schemas.openxmlformats.org/officeDocument/2006/relationships/hyperlink" Target="https://enzyme.expasy.org/EC/1.1.1.85" TargetMode="External"/><Relationship Id="rId836" Type="http://schemas.openxmlformats.org/officeDocument/2006/relationships/hyperlink" Target="https://www.genome.jp/dbget-bin/www_bget?ec:2.7.11.1" TargetMode="External"/><Relationship Id="rId1021" Type="http://schemas.openxmlformats.org/officeDocument/2006/relationships/hyperlink" Target="https://www.genome.jp/dbget-bin/www_bget?ec:2.7.7.6" TargetMode="External"/><Relationship Id="rId1119" Type="http://schemas.openxmlformats.org/officeDocument/2006/relationships/hyperlink" Target="https://www.genome.jp/dbget-bin/www_bget?ec:3.6.4.12" TargetMode="External"/><Relationship Id="rId1673" Type="http://schemas.openxmlformats.org/officeDocument/2006/relationships/hyperlink" Target="https://www.genome.jp/entry/R00431/R00726" TargetMode="External"/><Relationship Id="rId1880" Type="http://schemas.openxmlformats.org/officeDocument/2006/relationships/hyperlink" Target="https://www.genome.jp/dbget-bin/www_bget?ec:6.3.2.10" TargetMode="External"/><Relationship Id="rId1978" Type="http://schemas.openxmlformats.org/officeDocument/2006/relationships/hyperlink" Target="https://www.genome.jp/dbget-bin/www_bget?ec:6.3.1.2" TargetMode="External"/><Relationship Id="rId2517" Type="http://schemas.openxmlformats.org/officeDocument/2006/relationships/hyperlink" Target="https://www.genome.jp/dbget-bin/www_bget?ec:2.7.4.6" TargetMode="External"/><Relationship Id="rId2724" Type="http://schemas.openxmlformats.org/officeDocument/2006/relationships/hyperlink" Target="https://www.genome.jp/dbget-bin/www_bget?ec:3.6.1.9" TargetMode="External"/><Relationship Id="rId2931" Type="http://schemas.openxmlformats.org/officeDocument/2006/relationships/hyperlink" Target="https://www.genome.jp/dbget-bin/www_bget?EC:1.18.1.7" TargetMode="External"/><Relationship Id="rId903" Type="http://schemas.openxmlformats.org/officeDocument/2006/relationships/hyperlink" Target="https://www.genome.jp/entry/R09735" TargetMode="External"/><Relationship Id="rId1326" Type="http://schemas.openxmlformats.org/officeDocument/2006/relationships/hyperlink" Target="https://www.genome.jp/dbget-bin/www_bget?ec:4.1.99.17" TargetMode="External"/><Relationship Id="rId1533" Type="http://schemas.openxmlformats.org/officeDocument/2006/relationships/hyperlink" Target="https://www.genome.jp/entry/R00220/R00590/R11099/R11100/R06131" TargetMode="External"/><Relationship Id="rId1740" Type="http://schemas.openxmlformats.org/officeDocument/2006/relationships/hyperlink" Target="https://www.genome.jp/dbget-bin/www_bget?ec:1.8.1.15" TargetMode="External"/><Relationship Id="rId3193" Type="http://schemas.openxmlformats.org/officeDocument/2006/relationships/hyperlink" Target="https://enzyme.expasy.org/EC/2.7.7.7" TargetMode="External"/><Relationship Id="rId32" Type="http://schemas.openxmlformats.org/officeDocument/2006/relationships/hyperlink" Target="https://enzyme.expasy.org/EC/2.1.1.207" TargetMode="External"/><Relationship Id="rId1600" Type="http://schemas.openxmlformats.org/officeDocument/2006/relationships/hyperlink" Target="https://www.genome.jp/entry/R00126/R01618" TargetMode="External"/><Relationship Id="rId1838" Type="http://schemas.openxmlformats.org/officeDocument/2006/relationships/hyperlink" Target="https://enzyme.expasy.org/EC/4.3.1.19" TargetMode="External"/><Relationship Id="rId3053" Type="http://schemas.openxmlformats.org/officeDocument/2006/relationships/hyperlink" Target="https://www.genome.jp/dbget-bin/www_bget?ec:2.4.2.47" TargetMode="External"/><Relationship Id="rId3260" Type="http://schemas.openxmlformats.org/officeDocument/2006/relationships/hyperlink" Target="https://www.genome.jp/entry/R00379/R00375/R00376/R00377/R00378/R11029" TargetMode="External"/><Relationship Id="rId3498" Type="http://schemas.openxmlformats.org/officeDocument/2006/relationships/hyperlink" Target="https://www.genome.jp/dbget-bin/www_bget?ec:2.7.7.6" TargetMode="External"/><Relationship Id="rId181" Type="http://schemas.openxmlformats.org/officeDocument/2006/relationships/hyperlink" Target="https://enzyme.expasy.org/EC/6.3.5.-" TargetMode="External"/><Relationship Id="rId1905" Type="http://schemas.openxmlformats.org/officeDocument/2006/relationships/hyperlink" Target="https://enzyme.expasy.org/EC/7.1.1.9" TargetMode="External"/><Relationship Id="rId3120" Type="http://schemas.openxmlformats.org/officeDocument/2006/relationships/hyperlink" Target="https://www.genome.jp/entry/R00390/R01280" TargetMode="External"/><Relationship Id="rId3358" Type="http://schemas.openxmlformats.org/officeDocument/2006/relationships/hyperlink" Target="https://enzyme.expasy.org/EC/1.1.1.36" TargetMode="External"/><Relationship Id="rId3565" Type="http://schemas.openxmlformats.org/officeDocument/2006/relationships/hyperlink" Target="https://www.genome.jp/entry/R01130/R08240" TargetMode="External"/><Relationship Id="rId3772" Type="http://schemas.openxmlformats.org/officeDocument/2006/relationships/hyperlink" Target="https://www.genome.jp/dbget-bin/www_bget?ec:4.2.1.17" TargetMode="External"/><Relationship Id="rId279" Type="http://schemas.openxmlformats.org/officeDocument/2006/relationships/hyperlink" Target="https://enzyme.expasy.org/EC/2.6.1.83" TargetMode="External"/><Relationship Id="rId486" Type="http://schemas.openxmlformats.org/officeDocument/2006/relationships/hyperlink" Target="https://enzyme.expasy.org/EC/2.7.7.8" TargetMode="External"/><Relationship Id="rId693" Type="http://schemas.openxmlformats.org/officeDocument/2006/relationships/hyperlink" Target="https://enzyme.expasy.org/EC/6.1.1.6" TargetMode="External"/><Relationship Id="rId2167" Type="http://schemas.openxmlformats.org/officeDocument/2006/relationships/hyperlink" Target="https://enzyme.expasy.org/EC/2.3.1.183" TargetMode="External"/><Relationship Id="rId2374" Type="http://schemas.openxmlformats.org/officeDocument/2006/relationships/hyperlink" Target="https://enzyme.expasy.org/EC/1.1.1.27" TargetMode="External"/><Relationship Id="rId2581" Type="http://schemas.openxmlformats.org/officeDocument/2006/relationships/hyperlink" Target="https://www.genome.jp/dbget-bin/www_bget?ec:3.4.21.92" TargetMode="External"/><Relationship Id="rId3218" Type="http://schemas.openxmlformats.org/officeDocument/2006/relationships/hyperlink" Target="https://www.genome.jp/dbget-bin/www_bget?ec:2.7.7.7" TargetMode="External"/><Relationship Id="rId3425" Type="http://schemas.openxmlformats.org/officeDocument/2006/relationships/hyperlink" Target="https://www.genome.jp/entry/R08550/R03815/R07618/R01698" TargetMode="External"/><Relationship Id="rId3632" Type="http://schemas.openxmlformats.org/officeDocument/2006/relationships/hyperlink" Target="https://enzyme.expasy.org/EC/3.6.1.22" TargetMode="External"/><Relationship Id="rId139" Type="http://schemas.openxmlformats.org/officeDocument/2006/relationships/hyperlink" Target="https://enzyme.expasy.org/EC/1.3.5.1" TargetMode="External"/><Relationship Id="rId346" Type="http://schemas.openxmlformats.org/officeDocument/2006/relationships/hyperlink" Target="https://enzyme.expasy.org/EC/2.7.7.7" TargetMode="External"/><Relationship Id="rId553" Type="http://schemas.openxmlformats.org/officeDocument/2006/relationships/hyperlink" Target="https://enzyme.expasy.org/EC/7.1.1.9" TargetMode="External"/><Relationship Id="rId760" Type="http://schemas.openxmlformats.org/officeDocument/2006/relationships/hyperlink" Target="https://enzyme.expasy.org/EC/2.6.1.85" TargetMode="External"/><Relationship Id="rId998" Type="http://schemas.openxmlformats.org/officeDocument/2006/relationships/hyperlink" Target="https://www.genome.jp/dbget-bin/www_bget?ec:5.4.3.8" TargetMode="External"/><Relationship Id="rId1183" Type="http://schemas.openxmlformats.org/officeDocument/2006/relationships/hyperlink" Target="https://www.genome.jp/dbget-bin/www_bget?ec:4.3.2.3" TargetMode="External"/><Relationship Id="rId1390" Type="http://schemas.openxmlformats.org/officeDocument/2006/relationships/hyperlink" Target="https://www.genome.jp/dbget-bin/www_bget?ec:2.2.1.1" TargetMode="External"/><Relationship Id="rId2027" Type="http://schemas.openxmlformats.org/officeDocument/2006/relationships/hyperlink" Target="https://enzyme.expasy.org/EC/1.1.1.1" TargetMode="External"/><Relationship Id="rId2234" Type="http://schemas.openxmlformats.org/officeDocument/2006/relationships/hyperlink" Target="https://enzyme.expasy.org/EC/3.1.1.1" TargetMode="External"/><Relationship Id="rId2441" Type="http://schemas.openxmlformats.org/officeDocument/2006/relationships/hyperlink" Target="https://enzyme.expasy.org/EC/3.1.3.1" TargetMode="External"/><Relationship Id="rId2679" Type="http://schemas.openxmlformats.org/officeDocument/2006/relationships/hyperlink" Target="https://enzyme.expasy.org/EC/1.1.1.100" TargetMode="External"/><Relationship Id="rId2886" Type="http://schemas.openxmlformats.org/officeDocument/2006/relationships/hyperlink" Target="https://www.genome.jp/entry/R01132/R01229/R02142/R08237/R08238/R08245" TargetMode="External"/><Relationship Id="rId3937" Type="http://schemas.openxmlformats.org/officeDocument/2006/relationships/hyperlink" Target="https://enzyme.expasy.org/EC/2.7.11.1" TargetMode="External"/><Relationship Id="rId206" Type="http://schemas.openxmlformats.org/officeDocument/2006/relationships/hyperlink" Target="https://enzyme.expasy.org/EC/3.1.3.25" TargetMode="External"/><Relationship Id="rId413" Type="http://schemas.openxmlformats.org/officeDocument/2006/relationships/hyperlink" Target="https://enzyme.expasy.org/EC/2.7.2.3" TargetMode="External"/><Relationship Id="rId858" Type="http://schemas.openxmlformats.org/officeDocument/2006/relationships/hyperlink" Target="https://www.genome.jp/entry/R02734" TargetMode="External"/><Relationship Id="rId1043" Type="http://schemas.openxmlformats.org/officeDocument/2006/relationships/hyperlink" Target="https://www.genome.jp/dbget-bin/www_bget?ec:1.1.1.205" TargetMode="External"/><Relationship Id="rId1488" Type="http://schemas.openxmlformats.org/officeDocument/2006/relationships/hyperlink" Target="https://www.genome.jp/entry/R00256/R00575/R01395/R10948/R10949/R07641" TargetMode="External"/><Relationship Id="rId1695" Type="http://schemas.openxmlformats.org/officeDocument/2006/relationships/hyperlink" Target="https://www.genome.jp/entry/R02768/R04355/R04726/R04952/R04957/R04960/R04963/R04968/R07762/R10115/R10119" TargetMode="External"/><Relationship Id="rId2539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46" Type="http://schemas.openxmlformats.org/officeDocument/2006/relationships/hyperlink" Target="https://www.genome.jp/entry/R01532/R00087/R00426/R00515/R00662/R11323/R00103/R00160/R00287/R03004/R03036" TargetMode="External"/><Relationship Id="rId2953" Type="http://schemas.openxmlformats.org/officeDocument/2006/relationships/hyperlink" Target="https://enzyme.expasy.org/EC/1.2.1.3" TargetMode="External"/><Relationship Id="rId620" Type="http://schemas.openxmlformats.org/officeDocument/2006/relationships/hyperlink" Target="https://enzyme.expasy.org/EC/2.1.2.11" TargetMode="External"/><Relationship Id="rId718" Type="http://schemas.openxmlformats.org/officeDocument/2006/relationships/hyperlink" Target="https://enzyme.expasy.org/EC/2.7.2.1" TargetMode="External"/><Relationship Id="rId925" Type="http://schemas.openxmlformats.org/officeDocument/2006/relationships/hyperlink" Target="https://www.genome.jp/dbget-bin/www_bget?ec:6.2.1.3" TargetMode="External"/><Relationship Id="rId1250" Type="http://schemas.openxmlformats.org/officeDocument/2006/relationships/hyperlink" Target="https://www.genome.jp/entry/R01771" TargetMode="External"/><Relationship Id="rId1348" Type="http://schemas.openxmlformats.org/officeDocument/2006/relationships/hyperlink" Target="https://www.genome.jp/dbget-bin/www_bget?ec:3.4.13.9" TargetMode="External"/><Relationship Id="rId1555" Type="http://schemas.openxmlformats.org/officeDocument/2006/relationships/hyperlink" Target="https://www.genome.jp/dbget-bin/www_bget?ec:2.4.2.7" TargetMode="External"/><Relationship Id="rId1762" Type="http://schemas.openxmlformats.org/officeDocument/2006/relationships/hyperlink" Target="https://enzyme.expasy.org/EC/3.6.1.7" TargetMode="External"/><Relationship Id="rId2301" Type="http://schemas.openxmlformats.org/officeDocument/2006/relationships/hyperlink" Target="https://www.genome.jp/entry/R01312/R02027/R02052/R03332/R07381" TargetMode="External"/><Relationship Id="rId2606" Type="http://schemas.openxmlformats.org/officeDocument/2006/relationships/hyperlink" Target="https://www.genome.jp/entry/R03260/R00999/R01288/R02508/R03217/R04944/R04945/R04946" TargetMode="External"/><Relationship Id="rId1110" Type="http://schemas.openxmlformats.org/officeDocument/2006/relationships/hyperlink" Target="https://www.genome.jp/dbget-bin/www_bget?ec:2.5.1.19" TargetMode="External"/><Relationship Id="rId1208" Type="http://schemas.openxmlformats.org/officeDocument/2006/relationships/hyperlink" Target="https://www.genome.jp/entry/R00762/R04780/R01845" TargetMode="External"/><Relationship Id="rId1415" Type="http://schemas.openxmlformats.org/officeDocument/2006/relationships/hyperlink" Target="https://www.genome.jp/entry/R02016/R00900/R03596/R09372" TargetMode="External"/><Relationship Id="rId2813" Type="http://schemas.openxmlformats.org/officeDocument/2006/relationships/hyperlink" Target="https://www.genome.jp/dbget-bin/www_bget?ec:4.3.2.2" TargetMode="External"/><Relationship Id="rId54" Type="http://schemas.openxmlformats.org/officeDocument/2006/relationships/hyperlink" Target="https://enzyme.expasy.org/EC/2.4.2.2" TargetMode="External"/><Relationship Id="rId1622" Type="http://schemas.openxmlformats.org/officeDocument/2006/relationships/hyperlink" Target="https://www.genome.jp/entry/R02100/R11896" TargetMode="External"/><Relationship Id="rId1927" Type="http://schemas.openxmlformats.org/officeDocument/2006/relationships/hyperlink" Target="https://www.genome.jp/entry/R00256/R00483/R00578" TargetMode="External"/><Relationship Id="rId3075" Type="http://schemas.openxmlformats.org/officeDocument/2006/relationships/hyperlink" Target="https://www.genome.jp/entry/R00256/R01716/R05552" TargetMode="External"/><Relationship Id="rId3282" Type="http://schemas.openxmlformats.org/officeDocument/2006/relationships/hyperlink" Target="https://www.genome.jp/entry/R00379/R00375/R00376/R00377/R00378/R11029" TargetMode="External"/><Relationship Id="rId2091" Type="http://schemas.openxmlformats.org/officeDocument/2006/relationships/hyperlink" Target="https://www.genome.jp/entry/R07297/R00183/R00511/R00963/R01126/R01227/R02323/R02719/R03346/R01569/R01664/R01968/R02088/R02102/R12958" TargetMode="External"/><Relationship Id="rId2189" Type="http://schemas.openxmlformats.org/officeDocument/2006/relationships/hyperlink" Target="https://www.genome.jp/dbget-bin/www_bget?ec:3.5.1.49" TargetMode="External"/><Relationship Id="rId3142" Type="http://schemas.openxmlformats.org/officeDocument/2006/relationships/hyperlink" Target="https://enzyme.expasy.org/EC/2.7.7.7" TargetMode="External"/><Relationship Id="rId3587" Type="http://schemas.openxmlformats.org/officeDocument/2006/relationships/hyperlink" Target="https://enzyme.expasy.org/EC/2.7.8.23" TargetMode="External"/><Relationship Id="rId3794" Type="http://schemas.openxmlformats.org/officeDocument/2006/relationships/hyperlink" Target="https://www.genome.jp/entry/R00762/R04780/R01845" TargetMode="External"/><Relationship Id="rId270" Type="http://schemas.openxmlformats.org/officeDocument/2006/relationships/hyperlink" Target="https://enzyme.expasy.org/EC/1.17.7.4" TargetMode="External"/><Relationship Id="rId2396" Type="http://schemas.openxmlformats.org/officeDocument/2006/relationships/hyperlink" Target="https://enzyme.expasy.org/EC/1.17.4.1" TargetMode="External"/><Relationship Id="rId3002" Type="http://schemas.openxmlformats.org/officeDocument/2006/relationships/hyperlink" Target="https://www.genome.jp/dbget-bin/www_bget?ec:3.2.1.52" TargetMode="External"/><Relationship Id="rId3447" Type="http://schemas.openxmlformats.org/officeDocument/2006/relationships/hyperlink" Target="https://www.genome.jp/entry/R05715/R05716/R06289/R06290" TargetMode="External"/><Relationship Id="rId3654" Type="http://schemas.openxmlformats.org/officeDocument/2006/relationships/hyperlink" Target="https://enzyme.expasy.org/EC/3.1.3.25" TargetMode="External"/><Relationship Id="rId3861" Type="http://schemas.openxmlformats.org/officeDocument/2006/relationships/hyperlink" Target="https://enzyme.expasy.org/EC/2.7.1.11" TargetMode="External"/><Relationship Id="rId130" Type="http://schemas.openxmlformats.org/officeDocument/2006/relationships/hyperlink" Target="https://enzyme.expasy.org/EC/3.4.11.2" TargetMode="External"/><Relationship Id="rId368" Type="http://schemas.openxmlformats.org/officeDocument/2006/relationships/hyperlink" Target="https://enzyme.expasy.org/EC/3.6.1.13" TargetMode="External"/><Relationship Id="rId575" Type="http://schemas.openxmlformats.org/officeDocument/2006/relationships/hyperlink" Target="https://enzyme.expasy.org/EC/1.-.-.-" TargetMode="External"/><Relationship Id="rId782" Type="http://schemas.openxmlformats.org/officeDocument/2006/relationships/hyperlink" Target="https://enzyme.expasy.org/EC/2.4.2.47" TargetMode="External"/><Relationship Id="rId2049" Type="http://schemas.openxmlformats.org/officeDocument/2006/relationships/hyperlink" Target="https://www.genome.jp/entry/R00424/R00428/R04639/R05046/R05048" TargetMode="External"/><Relationship Id="rId2256" Type="http://schemas.openxmlformats.org/officeDocument/2006/relationships/hyperlink" Target="https://www.genome.jp/entry/4.4.1.13" TargetMode="External"/><Relationship Id="rId2463" Type="http://schemas.openxmlformats.org/officeDocument/2006/relationships/hyperlink" Target="https://www.genome.jp/dbget-bin/www_bget?EC:4.2.1.20" TargetMode="External"/><Relationship Id="rId2670" Type="http://schemas.openxmlformats.org/officeDocument/2006/relationships/hyperlink" Target="https://enzyme.expasy.org/EC/1.1.1.100" TargetMode="External"/><Relationship Id="rId3307" Type="http://schemas.openxmlformats.org/officeDocument/2006/relationships/hyperlink" Target="https://enzyme.expasy.org/EC/2.2.1.6" TargetMode="External"/><Relationship Id="rId3514" Type="http://schemas.openxmlformats.org/officeDocument/2006/relationships/hyperlink" Target="https://www.genome.jp/entry/R00444/R00435/R00441/R00442/R00443/R10813" TargetMode="External"/><Relationship Id="rId3721" Type="http://schemas.openxmlformats.org/officeDocument/2006/relationships/hyperlink" Target="https://www.genome.jp/dbget-bin/www_bget?ec:4.2.1.17" TargetMode="External"/><Relationship Id="rId3959" Type="http://schemas.openxmlformats.org/officeDocument/2006/relationships/hyperlink" Target="https://www.genome.jp/dbget-bin/www_bget?ec:3.1.1.1" TargetMode="External"/><Relationship Id="rId228" Type="http://schemas.openxmlformats.org/officeDocument/2006/relationships/hyperlink" Target="https://enzyme.expasy.org/EC/3.4.21.107" TargetMode="External"/><Relationship Id="rId435" Type="http://schemas.openxmlformats.org/officeDocument/2006/relationships/hyperlink" Target="https://enzyme.expasy.org/EC/3.1.-.-" TargetMode="External"/><Relationship Id="rId642" Type="http://schemas.openxmlformats.org/officeDocument/2006/relationships/hyperlink" Target="https://enzyme.expasy.org/EC/3.4.11.5" TargetMode="External"/><Relationship Id="rId1065" Type="http://schemas.openxmlformats.org/officeDocument/2006/relationships/hyperlink" Target="https://www.genome.jp/entry/R00630/R06728/R08255/R08258/R08220/R08249/R08251/R08295/R08300" TargetMode="External"/><Relationship Id="rId1272" Type="http://schemas.openxmlformats.org/officeDocument/2006/relationships/hyperlink" Target="https://www.genome.jp/dbget-bin/www_bget?ec:6.5.1.2" TargetMode="External"/><Relationship Id="rId2116" Type="http://schemas.openxmlformats.org/officeDocument/2006/relationships/hyperlink" Target="https://enzyme.expasy.org/EC/3.1.3.5" TargetMode="External"/><Relationship Id="rId2323" Type="http://schemas.openxmlformats.org/officeDocument/2006/relationships/hyperlink" Target="https://www.genome.jp/dbget-bin/www_bget?ec:1.1.1.79" TargetMode="External"/><Relationship Id="rId2530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68" Type="http://schemas.openxmlformats.org/officeDocument/2006/relationships/hyperlink" Target="https://www.genome.jp/entry/R00897/R03601/R04859/R07274" TargetMode="External"/><Relationship Id="rId2975" Type="http://schemas.openxmlformats.org/officeDocument/2006/relationships/hyperlink" Target="https://www.genome.jp/dbget-bin/www_bget?ec:1.2.1.3" TargetMode="External"/><Relationship Id="rId3819" Type="http://schemas.openxmlformats.org/officeDocument/2006/relationships/hyperlink" Target="https://enzyme.expasy.org/EC/3.2.1.26" TargetMode="External"/><Relationship Id="rId502" Type="http://schemas.openxmlformats.org/officeDocument/2006/relationships/hyperlink" Target="https://enzyme.expasy.org/EC/2.1.1.-" TargetMode="External"/><Relationship Id="rId947" Type="http://schemas.openxmlformats.org/officeDocument/2006/relationships/hyperlink" Target="https://www.genome.jp/entry/R07248/R13277" TargetMode="External"/><Relationship Id="rId1132" Type="http://schemas.openxmlformats.org/officeDocument/2006/relationships/hyperlink" Target="https://www.genome.jp/dbget-bin/www_bget?ec:7.2.2.16" TargetMode="External"/><Relationship Id="rId1577" Type="http://schemas.openxmlformats.org/officeDocument/2006/relationships/hyperlink" Target="https://www.genome.jp/dbget-bin/www_bget?ec:1.11.1.24" TargetMode="External"/><Relationship Id="rId1784" Type="http://schemas.openxmlformats.org/officeDocument/2006/relationships/hyperlink" Target="https://www.genome.jp/entry/R00200/R00430/R00572/R00659/R00724/R01138/R01858/R02320" TargetMode="External"/><Relationship Id="rId1991" Type="http://schemas.openxmlformats.org/officeDocument/2006/relationships/hyperlink" Target="https://enzyme.expasy.org/EC/1.1.1.1" TargetMode="External"/><Relationship Id="rId2628" Type="http://schemas.openxmlformats.org/officeDocument/2006/relationships/hyperlink" Target="https://www.genome.jp/entry/R02767/R04533/R04534/R04536/R04543/R04566/R04953/R04964/R07763/R10116/R10120" TargetMode="External"/><Relationship Id="rId2835" Type="http://schemas.openxmlformats.org/officeDocument/2006/relationships/hyperlink" Target="https://www.genome.jp/dbget-bin/www_bget?ec:2.5.1.32" TargetMode="External"/><Relationship Id="rId76" Type="http://schemas.openxmlformats.org/officeDocument/2006/relationships/hyperlink" Target="https://enzyme.expasy.org/EC/3.5.1.-" TargetMode="External"/><Relationship Id="rId807" Type="http://schemas.openxmlformats.org/officeDocument/2006/relationships/hyperlink" Target="https://www.genome.jp/entry/R00379/R00375/R00376/R00377/R00378/R11029" TargetMode="External"/><Relationship Id="rId1437" Type="http://schemas.openxmlformats.org/officeDocument/2006/relationships/hyperlink" Target="https://www.genome.jp/entry/R01529" TargetMode="External"/><Relationship Id="rId1644" Type="http://schemas.openxmlformats.org/officeDocument/2006/relationships/hyperlink" Target="https://www.genome.jp/entry/R01801" TargetMode="External"/><Relationship Id="rId1851" Type="http://schemas.openxmlformats.org/officeDocument/2006/relationships/hyperlink" Target="https://www.genome.jp/entry/R00485/R06134" TargetMode="External"/><Relationship Id="rId2902" Type="http://schemas.openxmlformats.org/officeDocument/2006/relationships/hyperlink" Target="https://www.genome.jp/dbget-bin/www_bget?ec:4.1.2.13" TargetMode="External"/><Relationship Id="rId3097" Type="http://schemas.openxmlformats.org/officeDocument/2006/relationships/hyperlink" Target="https://enzyme.expasy.org/EC/3.1.1.1" TargetMode="External"/><Relationship Id="rId1504" Type="http://schemas.openxmlformats.org/officeDocument/2006/relationships/hyperlink" Target="https://www.genome.jp/entry/R01714" TargetMode="External"/><Relationship Id="rId1711" Type="http://schemas.openxmlformats.org/officeDocument/2006/relationships/hyperlink" Target="https://www.genome.jp/dbget-bin/www_bget?enzyme+2.4.2.45" TargetMode="External"/><Relationship Id="rId1949" Type="http://schemas.openxmlformats.org/officeDocument/2006/relationships/hyperlink" Target="https://www.genome.jp/dbget-bin/www_bget?ec:2.3.1.12" TargetMode="External"/><Relationship Id="rId3164" Type="http://schemas.openxmlformats.org/officeDocument/2006/relationships/hyperlink" Target="https://www.genome.jp/dbget-bin/www_bget?ec:2.7.7.7" TargetMode="External"/><Relationship Id="rId292" Type="http://schemas.openxmlformats.org/officeDocument/2006/relationships/hyperlink" Target="https://enzyme.expasy.org/EC/4.2.1.49" TargetMode="External"/><Relationship Id="rId1809" Type="http://schemas.openxmlformats.org/officeDocument/2006/relationships/hyperlink" Target="https://www.genome.jp/entry/R04640" TargetMode="External"/><Relationship Id="rId3371" Type="http://schemas.openxmlformats.org/officeDocument/2006/relationships/hyperlink" Target="https://www.genome.jp/entry/R02822/R05842/R07108/R07109/R07110/R07111" TargetMode="External"/><Relationship Id="rId3469" Type="http://schemas.openxmlformats.org/officeDocument/2006/relationships/hyperlink" Target="https://www.genome.jp/entry/R03194/R07237/R07238/R03950" TargetMode="External"/><Relationship Id="rId3676" Type="http://schemas.openxmlformats.org/officeDocument/2006/relationships/hyperlink" Target="https://www.genome.jp/dbget-bin/www_bget?ec:1.5.1.3" TargetMode="External"/><Relationship Id="rId597" Type="http://schemas.openxmlformats.org/officeDocument/2006/relationships/hyperlink" Target="https://enzyme.expasy.org/EC/1.3.98.3" TargetMode="External"/><Relationship Id="rId2180" Type="http://schemas.openxmlformats.org/officeDocument/2006/relationships/hyperlink" Target="https://www.genome.jp/entry/R01195/R10159" TargetMode="External"/><Relationship Id="rId2278" Type="http://schemas.openxmlformats.org/officeDocument/2006/relationships/hyperlink" Target="https://www.genome.jp/dbget-bin/www_bget?ec:1.14.13.107" TargetMode="External"/><Relationship Id="rId2485" Type="http://schemas.openxmlformats.org/officeDocument/2006/relationships/hyperlink" Target="https://www.genome.jp/entry/R09382/R09383/R09384/R09386" TargetMode="External"/><Relationship Id="rId3024" Type="http://schemas.openxmlformats.org/officeDocument/2006/relationships/hyperlink" Target="https://www.genome.jp/entry/R00022/R03492/R04184/R04586/R05963/R06001/R06004/R06141/R07809/R07810/R09323/R10831/R11316/R11317/R12963" TargetMode="External"/><Relationship Id="rId3231" Type="http://schemas.openxmlformats.org/officeDocument/2006/relationships/hyperlink" Target="https://www.genome.jp/entry/R00379/R00375/R00376/R00377/R00378/R11029" TargetMode="External"/><Relationship Id="rId3329" Type="http://schemas.openxmlformats.org/officeDocument/2006/relationships/hyperlink" Target="https://www.genome.jp/dbget-bin/www_bget?ec:2.2.1.6" TargetMode="External"/><Relationship Id="rId3883" Type="http://schemas.openxmlformats.org/officeDocument/2006/relationships/hyperlink" Target="https://www.genome.jp/dbget-bin/www_bget?ec:2.7.1.11" TargetMode="External"/><Relationship Id="rId152" Type="http://schemas.openxmlformats.org/officeDocument/2006/relationships/hyperlink" Target="https://enzyme.expasy.org/EC/3.1.3.3" TargetMode="External"/><Relationship Id="rId457" Type="http://schemas.openxmlformats.org/officeDocument/2006/relationships/hyperlink" Target="https://enzyme.expasy.org/EC/1.11.1.-" TargetMode="External"/><Relationship Id="rId1087" Type="http://schemas.openxmlformats.org/officeDocument/2006/relationships/hyperlink" Target="https://www.genome.jp/entry/R01859/R08924" TargetMode="External"/><Relationship Id="rId1294" Type="http://schemas.openxmlformats.org/officeDocument/2006/relationships/hyperlink" Target="https://www.genome.jp/dbget-bin/www_bget?ec:2.7.4.16" TargetMode="External"/><Relationship Id="rId2040" Type="http://schemas.openxmlformats.org/officeDocument/2006/relationships/hyperlink" Target="https://www.genome.jp/dbget-bin/www_bget?ec:1.1.1.1" TargetMode="External"/><Relationship Id="rId2138" Type="http://schemas.openxmlformats.org/officeDocument/2006/relationships/hyperlink" Target="https://www.genome.jp/entry/R01780/R00410" TargetMode="External"/><Relationship Id="rId2692" Type="http://schemas.openxmlformats.org/officeDocument/2006/relationships/hyperlink" Target="https://www.genome.jp/dbget-bin/www_bget?ec:3.5.1.2" TargetMode="External"/><Relationship Id="rId2997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536" Type="http://schemas.openxmlformats.org/officeDocument/2006/relationships/hyperlink" Target="https://enzyme.expasy.org/EC/2.7.7.6" TargetMode="External"/><Relationship Id="rId3743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950" Type="http://schemas.openxmlformats.org/officeDocument/2006/relationships/hyperlink" Target="https://www.genome.jp/dbget-bin/www_bget?ec:3.1.1.1" TargetMode="External"/><Relationship Id="rId664" Type="http://schemas.openxmlformats.org/officeDocument/2006/relationships/hyperlink" Target="https://enzyme.expasy.org/EC/7.3.2.1" TargetMode="External"/><Relationship Id="rId871" Type="http://schemas.openxmlformats.org/officeDocument/2006/relationships/hyperlink" Target="https://www.genome.jp/entry/R02565/R02566" TargetMode="External"/><Relationship Id="rId969" Type="http://schemas.openxmlformats.org/officeDocument/2006/relationships/hyperlink" Target="https://www.genome.jp/dbget-bin/www_bget?ec:2.4.1.250" TargetMode="External"/><Relationship Id="rId1599" Type="http://schemas.openxmlformats.org/officeDocument/2006/relationships/hyperlink" Target="https://www.genome.jp/dbget-bin/www_bget?ec:2.7.7.53" TargetMode="External"/><Relationship Id="rId2345" Type="http://schemas.openxmlformats.org/officeDocument/2006/relationships/hyperlink" Target="https://www.genome.jp/dbget-bin/www_bget?ec:1.1.5.3" TargetMode="External"/><Relationship Id="rId2552" Type="http://schemas.openxmlformats.org/officeDocument/2006/relationships/hyperlink" Target="https://www.genome.jp/dbget-bin/www_bget?ec:6.3.2.17" TargetMode="External"/><Relationship Id="rId3603" Type="http://schemas.openxmlformats.org/officeDocument/2006/relationships/hyperlink" Target="https://www.genome.jp/dbget-bin/www_bget?ec:2.4.2.2" TargetMode="External"/><Relationship Id="rId3810" Type="http://schemas.openxmlformats.org/officeDocument/2006/relationships/hyperlink" Target="https://enzyme.expasy.org/EC/3.2.1.26" TargetMode="External"/><Relationship Id="rId317" Type="http://schemas.openxmlformats.org/officeDocument/2006/relationships/hyperlink" Target="https://enzyme.expasy.org/EC/6.5.1.2" TargetMode="External"/><Relationship Id="rId524" Type="http://schemas.openxmlformats.org/officeDocument/2006/relationships/hyperlink" Target="https://enzyme.expasy.org/EC/2.6.1.9" TargetMode="External"/><Relationship Id="rId731" Type="http://schemas.openxmlformats.org/officeDocument/2006/relationships/hyperlink" Target="https://enzyme.expasy.org/EC/4.1.3.27" TargetMode="External"/><Relationship Id="rId1154" Type="http://schemas.openxmlformats.org/officeDocument/2006/relationships/hyperlink" Target="https://www.genome.jp/dbget-bin/www_bget?ec:3.4.24.75" TargetMode="External"/><Relationship Id="rId1361" Type="http://schemas.openxmlformats.org/officeDocument/2006/relationships/hyperlink" Target="https://www.genome.jp/dbget-bin/www_bget?ec:1.3.5.2" TargetMode="External"/><Relationship Id="rId1459" Type="http://schemas.openxmlformats.org/officeDocument/2006/relationships/hyperlink" Target="https://www.genome.jp/dbget-bin/www_bget?ec:6.3.5.5" TargetMode="External"/><Relationship Id="rId2205" Type="http://schemas.openxmlformats.org/officeDocument/2006/relationships/hyperlink" Target="https://www.genome.jp/dbget-bin/www_bget?ec:3.1.1.1" TargetMode="External"/><Relationship Id="rId2412" Type="http://schemas.openxmlformats.org/officeDocument/2006/relationships/hyperlink" Target="https://www.genome.jp/entry/R04294/R02017/R02018/R02019/R02024/R08363/R08364/R11893" TargetMode="External"/><Relationship Id="rId2857" Type="http://schemas.openxmlformats.org/officeDocument/2006/relationships/hyperlink" Target="https://enzyme.expasy.org/EC/1.3.8.2" TargetMode="External"/><Relationship Id="rId3908" Type="http://schemas.openxmlformats.org/officeDocument/2006/relationships/hyperlink" Target="https://www.genome.jp/entry/R01513/R08198" TargetMode="External"/><Relationship Id="rId98" Type="http://schemas.openxmlformats.org/officeDocument/2006/relationships/hyperlink" Target="https://enzyme.expasy.org/EC/1.-.-.-" TargetMode="External"/><Relationship Id="rId829" Type="http://schemas.openxmlformats.org/officeDocument/2006/relationships/hyperlink" Target="https://www.genome.jp/dbget-bin/www_bget?ec:7.2.2.8" TargetMode="External"/><Relationship Id="rId1014" Type="http://schemas.openxmlformats.org/officeDocument/2006/relationships/hyperlink" Target="https://www.genome.jp/dbget-bin/www_bget?ec:4.1.2.4" TargetMode="External"/><Relationship Id="rId1221" Type="http://schemas.openxmlformats.org/officeDocument/2006/relationships/hyperlink" Target="https://www.genome.jp/dbget-bin/www_bget?ec:3.5.1.103" TargetMode="External"/><Relationship Id="rId1666" Type="http://schemas.openxmlformats.org/officeDocument/2006/relationships/hyperlink" Target="https://www.genome.jp/dbget-bin/www_bget?ec:3.5.1.25" TargetMode="External"/><Relationship Id="rId1873" Type="http://schemas.openxmlformats.org/officeDocument/2006/relationships/hyperlink" Target="https://www.genome.jp/dbget-bin/www_bget?ec:2.4.1.227" TargetMode="External"/><Relationship Id="rId2717" Type="http://schemas.openxmlformats.org/officeDocument/2006/relationships/hyperlink" Target="https://www.genome.jp/entry/R00212/R06987" TargetMode="External"/><Relationship Id="rId2924" Type="http://schemas.openxmlformats.org/officeDocument/2006/relationships/hyperlink" Target="https://www.genome.jp/entry/R03105/R12689/R12690" TargetMode="External"/><Relationship Id="rId1319" Type="http://schemas.openxmlformats.org/officeDocument/2006/relationships/hyperlink" Target="https://www.genome.jp/entry/R01086" TargetMode="External"/><Relationship Id="rId1526" Type="http://schemas.openxmlformats.org/officeDocument/2006/relationships/hyperlink" Target="https://enzyme.expasy.org/EC/4.3.1.17" TargetMode="External"/><Relationship Id="rId1733" Type="http://schemas.openxmlformats.org/officeDocument/2006/relationships/hyperlink" Target="https://www.genome.jp/entry/R00361/R00360/R01257" TargetMode="External"/><Relationship Id="rId1940" Type="http://schemas.openxmlformats.org/officeDocument/2006/relationships/hyperlink" Target="https://www.genome.jp/entry/R01090/R01214/R02199/R10991" TargetMode="External"/><Relationship Id="rId3186" Type="http://schemas.openxmlformats.org/officeDocument/2006/relationships/hyperlink" Target="https://www.genome.jp/entry/R00379/R00375/R00376/R00377/R00378/R11029" TargetMode="External"/><Relationship Id="rId3393" Type="http://schemas.openxmlformats.org/officeDocument/2006/relationships/hyperlink" Target="https://enzyme.expasy.org/EC/3.4.11.2" TargetMode="External"/><Relationship Id="rId25" Type="http://schemas.openxmlformats.org/officeDocument/2006/relationships/hyperlink" Target="https://enzyme.expasy.org/EC/2.7.13.3" TargetMode="External"/><Relationship Id="rId1800" Type="http://schemas.openxmlformats.org/officeDocument/2006/relationships/hyperlink" Target="https://enzyme.expasy.org/EC/2.7.1.40" TargetMode="External"/><Relationship Id="rId3046" Type="http://schemas.openxmlformats.org/officeDocument/2006/relationships/hyperlink" Target="https://www.genome.jp/dbget-bin/www_bget?ec:2.7.7.4" TargetMode="External"/><Relationship Id="rId3253" Type="http://schemas.openxmlformats.org/officeDocument/2006/relationships/hyperlink" Target="https://enzyme.expasy.org/EC/2.7.7.7" TargetMode="External"/><Relationship Id="rId3460" Type="http://schemas.openxmlformats.org/officeDocument/2006/relationships/hyperlink" Target="https://www.genome.jp/entry/R01248/R01251/R03291/R03293" TargetMode="External"/><Relationship Id="rId3698" Type="http://schemas.openxmlformats.org/officeDocument/2006/relationships/hyperlink" Target="https://enzyme.expasy.org/EC/5.3.1.9" TargetMode="External"/><Relationship Id="rId174" Type="http://schemas.openxmlformats.org/officeDocument/2006/relationships/hyperlink" Target="https://enzyme.expasy.org/EC/6.3.4.18" TargetMode="External"/><Relationship Id="rId381" Type="http://schemas.openxmlformats.org/officeDocument/2006/relationships/hyperlink" Target="https://enzyme.expasy.org/EC/2.5.1.3" TargetMode="External"/><Relationship Id="rId2062" Type="http://schemas.openxmlformats.org/officeDocument/2006/relationships/hyperlink" Target="https://www.genome.jp/dbget-bin/www_bget?ec:3.5.4.16" TargetMode="External"/><Relationship Id="rId3113" Type="http://schemas.openxmlformats.org/officeDocument/2006/relationships/hyperlink" Target="https://www.genome.jp/dbget-bin/www_bget?ec:6.2.1.3" TargetMode="External"/><Relationship Id="rId3558" Type="http://schemas.openxmlformats.org/officeDocument/2006/relationships/hyperlink" Target="https://www.genome.jp/dbget-bin/www_bget?ec:2.7.4.3" TargetMode="External"/><Relationship Id="rId3765" Type="http://schemas.openxmlformats.org/officeDocument/2006/relationships/hyperlink" Target="https://enzyme.expasy.org/EC/4.2.1.17" TargetMode="External"/><Relationship Id="rId241" Type="http://schemas.openxmlformats.org/officeDocument/2006/relationships/hyperlink" Target="https://enzyme.expasy.org/EC/3.-.-.-" TargetMode="External"/><Relationship Id="rId479" Type="http://schemas.openxmlformats.org/officeDocument/2006/relationships/hyperlink" Target="https://enzyme.expasy.org/EC/2.-.-.-" TargetMode="External"/><Relationship Id="rId686" Type="http://schemas.openxmlformats.org/officeDocument/2006/relationships/hyperlink" Target="https://enzyme.expasy.org/EC/4.6.1.12" TargetMode="External"/><Relationship Id="rId893" Type="http://schemas.openxmlformats.org/officeDocument/2006/relationships/hyperlink" Target="https://www.genome.jp/dbget-bin/www_bget?ec:1.6.5.5" TargetMode="External"/><Relationship Id="rId2367" Type="http://schemas.openxmlformats.org/officeDocument/2006/relationships/hyperlink" Target="https://www.genome.jp/dbget-bin/www_bget?enzyme+3.1.4.46" TargetMode="External"/><Relationship Id="rId2574" Type="http://schemas.openxmlformats.org/officeDocument/2006/relationships/hyperlink" Target="https://www.genome.jp/entry/R02473" TargetMode="External"/><Relationship Id="rId2781" Type="http://schemas.openxmlformats.org/officeDocument/2006/relationships/hyperlink" Target="https://enzyme.expasy.org/EC/2.6.1.21" TargetMode="External"/><Relationship Id="rId3320" Type="http://schemas.openxmlformats.org/officeDocument/2006/relationships/hyperlink" Target="https://www.genome.jp/dbget-bin/www_bget?ec:2.2.1.6" TargetMode="External"/><Relationship Id="rId3418" Type="http://schemas.openxmlformats.org/officeDocument/2006/relationships/hyperlink" Target="https://www.genome.jp/dbget-bin/www_bget?ec:1.8.1.4" TargetMode="External"/><Relationship Id="rId3625" Type="http://schemas.openxmlformats.org/officeDocument/2006/relationships/hyperlink" Target="https://www.genome.jp/entry/R04562/R01074/R05145" TargetMode="External"/><Relationship Id="rId339" Type="http://schemas.openxmlformats.org/officeDocument/2006/relationships/hyperlink" Target="https://enzyme.expasy.org/EC/1.1.1.94" TargetMode="External"/><Relationship Id="rId546" Type="http://schemas.openxmlformats.org/officeDocument/2006/relationships/hyperlink" Target="https://enzyme.expasy.org/EC/3.1.13.-" TargetMode="External"/><Relationship Id="rId753" Type="http://schemas.openxmlformats.org/officeDocument/2006/relationships/hyperlink" Target="https://enzyme.expasy.org/EC/6.1.1.11" TargetMode="External"/><Relationship Id="rId1176" Type="http://schemas.openxmlformats.org/officeDocument/2006/relationships/hyperlink" Target="https://www.genome.jp/entry/R02767/R04533/R04534/R04536/R04543/R04566/R04953/R04964/R07763/R10116/R10120" TargetMode="External"/><Relationship Id="rId1383" Type="http://schemas.openxmlformats.org/officeDocument/2006/relationships/hyperlink" Target="https://enzyme.expasy.org/EC/2.2.1.1" TargetMode="External"/><Relationship Id="rId2227" Type="http://schemas.openxmlformats.org/officeDocument/2006/relationships/hyperlink" Target="https://www.genome.jp/entry/R00630/R06728/R08255/R08258/R08220/R08249/R08251/R08295/R08300" TargetMode="External"/><Relationship Id="rId2434" Type="http://schemas.openxmlformats.org/officeDocument/2006/relationships/hyperlink" Target="https://www.genome.jp/dbget-bin/www_bget?ec:6.1.1.4" TargetMode="External"/><Relationship Id="rId2879" Type="http://schemas.openxmlformats.org/officeDocument/2006/relationships/hyperlink" Target="https://www.genome.jp/dbget-bin/www_bget?ec:2.4.2.8" TargetMode="External"/><Relationship Id="rId3832" Type="http://schemas.openxmlformats.org/officeDocument/2006/relationships/hyperlink" Target="https://www.genome.jp/dbget-bin/www_bget?ec:4.3.1.3" TargetMode="External"/><Relationship Id="rId101" Type="http://schemas.openxmlformats.org/officeDocument/2006/relationships/hyperlink" Target="https://enzyme.expasy.org/EC/7.5.2.4" TargetMode="External"/><Relationship Id="rId406" Type="http://schemas.openxmlformats.org/officeDocument/2006/relationships/hyperlink" Target="https://enzyme.expasy.org/EC/1.6.5.5" TargetMode="External"/><Relationship Id="rId960" Type="http://schemas.openxmlformats.org/officeDocument/2006/relationships/hyperlink" Target="https://www.genome.jp/dbget-bin/www_bget?ec:1.3.5.1" TargetMode="External"/><Relationship Id="rId1036" Type="http://schemas.openxmlformats.org/officeDocument/2006/relationships/hyperlink" Target="https://www.genome.jp/dbget-bin/www_bget?enzyme+3.4.21.62" TargetMode="External"/><Relationship Id="rId1243" Type="http://schemas.openxmlformats.org/officeDocument/2006/relationships/hyperlink" Target="https://www.genome.jp/dbget-bin/www_bget?ec:6.1.1.19" TargetMode="External"/><Relationship Id="rId1590" Type="http://schemas.openxmlformats.org/officeDocument/2006/relationships/hyperlink" Target="https://enzyme.expasy.org/EC/3.6.4.13" TargetMode="External"/><Relationship Id="rId1688" Type="http://schemas.openxmlformats.org/officeDocument/2006/relationships/hyperlink" Target="https://www.genome.jp/dbget-bin/www_bget?ec:2.3.1.41" TargetMode="External"/><Relationship Id="rId1895" Type="http://schemas.openxmlformats.org/officeDocument/2006/relationships/hyperlink" Target="https://enzyme.expasy.org/EC/2.4.1.129" TargetMode="External"/><Relationship Id="rId2641" Type="http://schemas.openxmlformats.org/officeDocument/2006/relationships/hyperlink" Target="https://enzyme.expasy.org/EC/1.1.1.100" TargetMode="External"/><Relationship Id="rId2739" Type="http://schemas.openxmlformats.org/officeDocument/2006/relationships/hyperlink" Target="https://www.genome.jp/dbget-bin/www_bget?ec:3.6.1.9" TargetMode="External"/><Relationship Id="rId2946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613" Type="http://schemas.openxmlformats.org/officeDocument/2006/relationships/hyperlink" Target="https://enzyme.expasy.org/EC/3.6.3.-" TargetMode="External"/><Relationship Id="rId820" Type="http://schemas.openxmlformats.org/officeDocument/2006/relationships/hyperlink" Target="https://www.genome.jp/entry/R04405/R09365" TargetMode="External"/><Relationship Id="rId918" Type="http://schemas.openxmlformats.org/officeDocument/2006/relationships/hyperlink" Target="https://www.genome.jp/dbget-bin/www_bget?ec:1.2.1.11" TargetMode="External"/><Relationship Id="rId1450" Type="http://schemas.openxmlformats.org/officeDocument/2006/relationships/hyperlink" Target="https://www.genome.jp/entry/R00177/R04771" TargetMode="External"/><Relationship Id="rId1548" Type="http://schemas.openxmlformats.org/officeDocument/2006/relationships/hyperlink" Target="https://www.genome.jp/dbget-bin/www_bget?ec:1.15.1.1" TargetMode="External"/><Relationship Id="rId1755" Type="http://schemas.openxmlformats.org/officeDocument/2006/relationships/hyperlink" Target="https://www.genome.jp/dbget-bin/www_bget?ec:3.1.26.4" TargetMode="External"/><Relationship Id="rId2501" Type="http://schemas.openxmlformats.org/officeDocument/2006/relationships/hyperlink" Target="https://enzyme.expasy.org/EC/2.7.4.6" TargetMode="External"/><Relationship Id="rId1103" Type="http://schemas.openxmlformats.org/officeDocument/2006/relationships/hyperlink" Target="https://www.genome.jp/entry/R00955" TargetMode="External"/><Relationship Id="rId1310" Type="http://schemas.openxmlformats.org/officeDocument/2006/relationships/hyperlink" Target="https://www.genome.jp/dbget-bin/www_bget?ec:2.7.2.8" TargetMode="External"/><Relationship Id="rId1408" Type="http://schemas.openxmlformats.org/officeDocument/2006/relationships/hyperlink" Target="https://www.genome.jp/dbget-bin/www_bget?ec:1.2.1.12" TargetMode="External"/><Relationship Id="rId1962" Type="http://schemas.openxmlformats.org/officeDocument/2006/relationships/hyperlink" Target="https://www.genome.jp/entry/R07766/R12427/R12428/R07769" TargetMode="External"/><Relationship Id="rId2806" Type="http://schemas.openxmlformats.org/officeDocument/2006/relationships/hyperlink" Target="https://www.genome.jp/entry/R04591" TargetMode="External"/><Relationship Id="rId47" Type="http://schemas.openxmlformats.org/officeDocument/2006/relationships/hyperlink" Target="https://enzyme.expasy.org/EC/2.4.2.9" TargetMode="External"/><Relationship Id="rId1615" Type="http://schemas.openxmlformats.org/officeDocument/2006/relationships/hyperlink" Target="https://www.genome.jp/entry/R07607" TargetMode="External"/><Relationship Id="rId1822" Type="http://schemas.openxmlformats.org/officeDocument/2006/relationships/hyperlink" Target="https://enzyme.expasy.org/EC/1.1.1.23" TargetMode="External"/><Relationship Id="rId3068" Type="http://schemas.openxmlformats.org/officeDocument/2006/relationships/hyperlink" Target="https://www.genome.jp/entry/R02770/R02087" TargetMode="External"/><Relationship Id="rId3275" Type="http://schemas.openxmlformats.org/officeDocument/2006/relationships/hyperlink" Target="https://www.genome.jp/dbget-bin/www_bget?ec:2.7.7.7" TargetMode="External"/><Relationship Id="rId3482" Type="http://schemas.openxmlformats.org/officeDocument/2006/relationships/hyperlink" Target="https://enzyme.expasy.org/EC/2.1.1.107" TargetMode="External"/><Relationship Id="rId196" Type="http://schemas.openxmlformats.org/officeDocument/2006/relationships/hyperlink" Target="https://enzyme.expasy.org/EC/2.5.1.19" TargetMode="External"/><Relationship Id="rId2084" Type="http://schemas.openxmlformats.org/officeDocument/2006/relationships/hyperlink" Target="https://www.genome.jp/dbget-bin/www_bget?ec:3.1.3.5" TargetMode="External"/><Relationship Id="rId2291" Type="http://schemas.openxmlformats.org/officeDocument/2006/relationships/hyperlink" Target="https://enzyme.expasy.org/EC/1.14.13.107" TargetMode="External"/><Relationship Id="rId3135" Type="http://schemas.openxmlformats.org/officeDocument/2006/relationships/hyperlink" Target="https://www.genome.jp/dbget-bin/www_bget?ec:2.7.11.1" TargetMode="External"/><Relationship Id="rId3342" Type="http://schemas.openxmlformats.org/officeDocument/2006/relationships/hyperlink" Target="https://www.genome.jp/entry/R00006/R00226/R00014/R03050/R04672/R04673/R08648" TargetMode="External"/><Relationship Id="rId3787" Type="http://schemas.openxmlformats.org/officeDocument/2006/relationships/hyperlink" Target="https://www.genome.jp/dbget-bin/www_bget?ec:2.7.1.33" TargetMode="External"/><Relationship Id="rId263" Type="http://schemas.openxmlformats.org/officeDocument/2006/relationships/hyperlink" Target="https://enzyme.expasy.org/EC/2.5.1.68" TargetMode="External"/><Relationship Id="rId470" Type="http://schemas.openxmlformats.org/officeDocument/2006/relationships/hyperlink" Target="https://enzyme.expasy.org/EC/1.11.1.24" TargetMode="External"/><Relationship Id="rId2151" Type="http://schemas.openxmlformats.org/officeDocument/2006/relationships/hyperlink" Target="https://enzyme.expasy.org/EC/2.3.1.9" TargetMode="External"/><Relationship Id="rId2389" Type="http://schemas.openxmlformats.org/officeDocument/2006/relationships/hyperlink" Target="https://www.genome.jp/entry/R04294/R02017/R02018/R02019/R02024/R08363/R08364/R11893" TargetMode="External"/><Relationship Id="rId2596" Type="http://schemas.openxmlformats.org/officeDocument/2006/relationships/hyperlink" Target="https://www.genome.jp/dbget-bin/www_bget?ec:2.5.1.48" TargetMode="External"/><Relationship Id="rId3202" Type="http://schemas.openxmlformats.org/officeDocument/2006/relationships/hyperlink" Target="https://enzyme.expasy.org/EC/2.7.7.7" TargetMode="External"/><Relationship Id="rId3647" Type="http://schemas.openxmlformats.org/officeDocument/2006/relationships/hyperlink" Target="https://www.genome.jp/entry/R07343/R01185/R01186/R01187" TargetMode="External"/><Relationship Id="rId3854" Type="http://schemas.openxmlformats.org/officeDocument/2006/relationships/hyperlink" Target="https://www.genome.jp/entry/R07460/R11528/R11529" TargetMode="External"/><Relationship Id="rId123" Type="http://schemas.openxmlformats.org/officeDocument/2006/relationships/hyperlink" Target="https://enzyme.expasy.org/EC/2.7.7.7" TargetMode="External"/><Relationship Id="rId330" Type="http://schemas.openxmlformats.org/officeDocument/2006/relationships/hyperlink" Target="https://enzyme.expasy.org/EC/1.1.1.85" TargetMode="External"/><Relationship Id="rId568" Type="http://schemas.openxmlformats.org/officeDocument/2006/relationships/hyperlink" Target="https://enzyme.expasy.org/EC/6.3.1.2" TargetMode="External"/><Relationship Id="rId775" Type="http://schemas.openxmlformats.org/officeDocument/2006/relationships/hyperlink" Target="https://enzyme.expasy.org/EC/2.7.7.7" TargetMode="External"/><Relationship Id="rId982" Type="http://schemas.openxmlformats.org/officeDocument/2006/relationships/hyperlink" Target="https://www.genome.jp/entry/R04109" TargetMode="External"/><Relationship Id="rId1198" Type="http://schemas.openxmlformats.org/officeDocument/2006/relationships/hyperlink" Target="https://www.genome.jp/entry/R10617" TargetMode="External"/><Relationship Id="rId2011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249" Type="http://schemas.openxmlformats.org/officeDocument/2006/relationships/hyperlink" Target="https://enzyme.expasy.org/EC/3.1.1.1" TargetMode="External"/><Relationship Id="rId2456" Type="http://schemas.openxmlformats.org/officeDocument/2006/relationships/hyperlink" Target="https://enzyme.expasy.org/EC/4.1.3.27" TargetMode="External"/><Relationship Id="rId2663" Type="http://schemas.openxmlformats.org/officeDocument/2006/relationships/hyperlink" Target="https://www.genome.jp/entry/R02767/R04533/R04534/R04536/R04543/R04566/R04953/R04964/R07763/R10116/R10120" TargetMode="External"/><Relationship Id="rId2870" Type="http://schemas.openxmlformats.org/officeDocument/2006/relationships/hyperlink" Target="https://www.genome.jp/dbget-bin/www_bget?ec:2.7.6.3" TargetMode="External"/><Relationship Id="rId3507" Type="http://schemas.openxmlformats.org/officeDocument/2006/relationships/hyperlink" Target="https://www.genome.jp/dbget-bin/www_bget?ec:2.7.7.6" TargetMode="External"/><Relationship Id="rId3714" Type="http://schemas.openxmlformats.org/officeDocument/2006/relationships/hyperlink" Target="https://enzyme.expasy.org/EC/4.2.1.17" TargetMode="External"/><Relationship Id="rId3921" Type="http://schemas.openxmlformats.org/officeDocument/2006/relationships/hyperlink" Target="https://enzyme.expasy.org/EC/4.2.1.33" TargetMode="External"/><Relationship Id="rId428" Type="http://schemas.openxmlformats.org/officeDocument/2006/relationships/hyperlink" Target="https://enzyme.expasy.org/EC/2.1.3.2" TargetMode="External"/><Relationship Id="rId635" Type="http://schemas.openxmlformats.org/officeDocument/2006/relationships/hyperlink" Target="https://enzyme.expasy.org/EC/1.14.13.107" TargetMode="External"/><Relationship Id="rId842" Type="http://schemas.openxmlformats.org/officeDocument/2006/relationships/hyperlink" Target="https://www.genome.jp/entry/R00164" TargetMode="External"/><Relationship Id="rId1058" Type="http://schemas.openxmlformats.org/officeDocument/2006/relationships/hyperlink" Target="https://www.genome.jp/dbget-bin/www_bget?enzyme+4.2.1.130" TargetMode="External"/><Relationship Id="rId1265" Type="http://schemas.openxmlformats.org/officeDocument/2006/relationships/hyperlink" Target="https://www.genome.jp/entry/R00086" TargetMode="External"/><Relationship Id="rId1472" Type="http://schemas.openxmlformats.org/officeDocument/2006/relationships/hyperlink" Target="https://enzyme.expasy.org/EC/6.3.5.5" TargetMode="External"/><Relationship Id="rId2109" Type="http://schemas.openxmlformats.org/officeDocument/2006/relationships/hyperlink" Target="https://www.genome.jp/entry/R07297/R00183/R00511/R00963/R01126/R01227/R02323/R02719/R03346/R01569/R01664/R01968/R02088/R02102/R12958" TargetMode="External"/><Relationship Id="rId2316" Type="http://schemas.openxmlformats.org/officeDocument/2006/relationships/hyperlink" Target="https://www.genome.jp/dbget-bin/www_bget?ec:2.7.7.18" TargetMode="External"/><Relationship Id="rId2523" Type="http://schemas.openxmlformats.org/officeDocument/2006/relationships/hyperlink" Target="https://www.genome.jp/dbget-bin/www_bget?ec:2.7.4.6" TargetMode="External"/><Relationship Id="rId2730" Type="http://schemas.openxmlformats.org/officeDocument/2006/relationships/hyperlink" Target="https://www.genome.jp/dbget-bin/www_bget?ec:3.6.1.9" TargetMode="External"/><Relationship Id="rId2968" Type="http://schemas.openxmlformats.org/officeDocument/2006/relationships/hyperlink" Target="https://enzyme.expasy.org/EC/1.2.1.3" TargetMode="External"/><Relationship Id="rId702" Type="http://schemas.openxmlformats.org/officeDocument/2006/relationships/hyperlink" Target="https://enzyme.expasy.org/EC/2.4.2.8" TargetMode="External"/><Relationship Id="rId1125" Type="http://schemas.openxmlformats.org/officeDocument/2006/relationships/hyperlink" Target="https://www.genome.jp/entry/R03013" TargetMode="External"/><Relationship Id="rId1332" Type="http://schemas.openxmlformats.org/officeDocument/2006/relationships/hyperlink" Target="https://www.genome.jp/entry/R00104" TargetMode="External"/><Relationship Id="rId1777" Type="http://schemas.openxmlformats.org/officeDocument/2006/relationships/hyperlink" Target="https://www.genome.jp/entry/R00243/R00145/R00146" TargetMode="External"/><Relationship Id="rId1984" Type="http://schemas.openxmlformats.org/officeDocument/2006/relationships/hyperlink" Target="https://www.genome.jp/dbget-bin/www_bget?ec:4.2.3.1" TargetMode="External"/><Relationship Id="rId2828" Type="http://schemas.openxmlformats.org/officeDocument/2006/relationships/hyperlink" Target="https://www.genome.jp/dbget-bin/www_bget?ec:2.7.7.60" TargetMode="External"/><Relationship Id="rId69" Type="http://schemas.openxmlformats.org/officeDocument/2006/relationships/hyperlink" Target="https://enzyme.expasy.org/EC/2.7.11.1" TargetMode="External"/><Relationship Id="rId1637" Type="http://schemas.openxmlformats.org/officeDocument/2006/relationships/hyperlink" Target="https://www.genome.jp/dbget-bin/www_bget?ec:2.7.1.144" TargetMode="External"/><Relationship Id="rId1844" Type="http://schemas.openxmlformats.org/officeDocument/2006/relationships/hyperlink" Target="https://www.genome.jp/dbget-bin/www_bget?enzyme+3.4.23.36" TargetMode="External"/><Relationship Id="rId3297" Type="http://schemas.openxmlformats.org/officeDocument/2006/relationships/hyperlink" Target="https://www.genome.jp/dbget-bin/www_bget?ec:1.5.1.20" TargetMode="External"/><Relationship Id="rId1704" Type="http://schemas.openxmlformats.org/officeDocument/2006/relationships/hyperlink" Target="https://www.genome.jp/entry/R02768/R04355/R04726/R04952/R04957/R04960/R04963/R04968/R07762/R10115/R10119" TargetMode="External"/><Relationship Id="rId3157" Type="http://schemas.openxmlformats.org/officeDocument/2006/relationships/hyperlink" Target="https://enzyme.expasy.org/EC/2.7.7.7" TargetMode="External"/><Relationship Id="rId285" Type="http://schemas.openxmlformats.org/officeDocument/2006/relationships/hyperlink" Target="https://enzyme.expasy.org/EC/3.2.1.26" TargetMode="External"/><Relationship Id="rId1911" Type="http://schemas.openxmlformats.org/officeDocument/2006/relationships/hyperlink" Target="https://www.genome.jp/dbget-bin/www_bget?ec:7.1.1.9" TargetMode="External"/><Relationship Id="rId3364" Type="http://schemas.openxmlformats.org/officeDocument/2006/relationships/hyperlink" Target="https://enzyme.expasy.org/EC/1.11.1.6" TargetMode="External"/><Relationship Id="rId3571" Type="http://schemas.openxmlformats.org/officeDocument/2006/relationships/hyperlink" Target="https://www.genome.jp/entry/R00267/R00268/R01899" TargetMode="External"/><Relationship Id="rId3669" Type="http://schemas.openxmlformats.org/officeDocument/2006/relationships/hyperlink" Target="https://enzyme.expasy.org/EC/1.5.1.3" TargetMode="External"/><Relationship Id="rId492" Type="http://schemas.openxmlformats.org/officeDocument/2006/relationships/hyperlink" Target="https://enzyme.expasy.org/EC/6.1.1.15" TargetMode="External"/><Relationship Id="rId797" Type="http://schemas.openxmlformats.org/officeDocument/2006/relationships/hyperlink" Target="https://enzyme.expasy.org/EC/6.3.4.4" TargetMode="External"/><Relationship Id="rId2173" Type="http://schemas.openxmlformats.org/officeDocument/2006/relationships/hyperlink" Target="https://www.genome.jp/entry/R00315/R01353" TargetMode="External"/><Relationship Id="rId2380" Type="http://schemas.openxmlformats.org/officeDocument/2006/relationships/hyperlink" Target="https://www.genome.jp/dbget-bin/www_bget?ec:1.8.4.11" TargetMode="External"/><Relationship Id="rId2478" Type="http://schemas.openxmlformats.org/officeDocument/2006/relationships/hyperlink" Target="https://www.genome.jp/dbget-bin/www_bget?ec:2.7.7.72" TargetMode="External"/><Relationship Id="rId3017" Type="http://schemas.openxmlformats.org/officeDocument/2006/relationships/hyperlink" Target="https://www.genome.jp/dbget-bin/www_bget?ec:3.2.1.52" TargetMode="External"/><Relationship Id="rId3224" Type="http://schemas.openxmlformats.org/officeDocument/2006/relationships/hyperlink" Target="https://www.genome.jp/dbget-bin/www_bget?ec:2.7.7.7" TargetMode="External"/><Relationship Id="rId3431" Type="http://schemas.openxmlformats.org/officeDocument/2006/relationships/hyperlink" Target="https://www.genome.jp/entry/R08550/R03815/R07618/R01698" TargetMode="External"/><Relationship Id="rId3876" Type="http://schemas.openxmlformats.org/officeDocument/2006/relationships/hyperlink" Target="https://enzyme.expasy.org/EC/2.7.1.11" TargetMode="External"/><Relationship Id="rId145" Type="http://schemas.openxmlformats.org/officeDocument/2006/relationships/hyperlink" Target="https://enzyme.expasy.org/EC/2.1.1.63" TargetMode="External"/><Relationship Id="rId352" Type="http://schemas.openxmlformats.org/officeDocument/2006/relationships/hyperlink" Target="https://enzyme.expasy.org/EC/6.1.1.20" TargetMode="External"/><Relationship Id="rId1287" Type="http://schemas.openxmlformats.org/officeDocument/2006/relationships/hyperlink" Target="https://www.genome.jp/entry/R05578" TargetMode="External"/><Relationship Id="rId2033" Type="http://schemas.openxmlformats.org/officeDocument/2006/relationships/hyperlink" Target="https://enzyme.expasy.org/EC/1.1.1.1" TargetMode="External"/><Relationship Id="rId2240" Type="http://schemas.openxmlformats.org/officeDocument/2006/relationships/hyperlink" Target="https://enzyme.expasy.org/EC/3.1.1.1" TargetMode="External"/><Relationship Id="rId2685" Type="http://schemas.openxmlformats.org/officeDocument/2006/relationships/hyperlink" Target="https://www.genome.jp/dbget-bin/www_bget?ec:7.2.2.16" TargetMode="External"/><Relationship Id="rId2892" Type="http://schemas.openxmlformats.org/officeDocument/2006/relationships/hyperlink" Target="https://www.genome.jp/entry/R01132/R01229/R02142/R08237/R08238/R08245" TargetMode="External"/><Relationship Id="rId3529" Type="http://schemas.openxmlformats.org/officeDocument/2006/relationships/hyperlink" Target="https://www.genome.jp/entry/R00444/R00435/R00441/R00442/R00443/R10813" TargetMode="External"/><Relationship Id="rId3736" Type="http://schemas.openxmlformats.org/officeDocument/2006/relationships/hyperlink" Target="https://www.genome.jp/dbget-bin/www_bget?ec:4.2.1.17" TargetMode="External"/><Relationship Id="rId3943" Type="http://schemas.openxmlformats.org/officeDocument/2006/relationships/hyperlink" Target="https://enzyme.expasy.org/EC/6.4.1.3" TargetMode="External"/><Relationship Id="rId212" Type="http://schemas.openxmlformats.org/officeDocument/2006/relationships/hyperlink" Target="https://enzyme.expasy.org/EC/2.3.3.1" TargetMode="External"/><Relationship Id="rId657" Type="http://schemas.openxmlformats.org/officeDocument/2006/relationships/hyperlink" Target="https://enzyme.expasy.org/EC/3.1.1.3" TargetMode="External"/><Relationship Id="rId864" Type="http://schemas.openxmlformats.org/officeDocument/2006/relationships/hyperlink" Target="https://www.genome.jp/dbget-bin/www_bget?ec:3.1.1.3" TargetMode="External"/><Relationship Id="rId1494" Type="http://schemas.openxmlformats.org/officeDocument/2006/relationships/hyperlink" Target="https://www.genome.jp/entry/R01993" TargetMode="External"/><Relationship Id="rId1799" Type="http://schemas.openxmlformats.org/officeDocument/2006/relationships/hyperlink" Target="https://www.genome.jp/entry/R00200/R00430/R00572/R00659/R00724/R01138/R01858/R02320" TargetMode="External"/><Relationship Id="rId2100" Type="http://schemas.openxmlformats.org/officeDocument/2006/relationships/hyperlink" Target="https://www.genome.jp/entry/R07297/R00183/R00511/R00963/R01126/R01227/R02323/R02719/R03346/R01569/R01664/R01968/R02088/R02102/R12958" TargetMode="External"/><Relationship Id="rId2338" Type="http://schemas.openxmlformats.org/officeDocument/2006/relationships/hyperlink" Target="https://www.genome.jp/entry/R00847" TargetMode="External"/><Relationship Id="rId2545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52" Type="http://schemas.openxmlformats.org/officeDocument/2006/relationships/hyperlink" Target="https://www.genome.jp/dbget-bin/www_bget?ec:5.1.1.3" TargetMode="External"/><Relationship Id="rId3803" Type="http://schemas.openxmlformats.org/officeDocument/2006/relationships/hyperlink" Target="https://www.genome.jp/entry/R00801/R00802/R02410/R03635/R03921/R06087/R06088/R06100/R06101/R06102" TargetMode="External"/><Relationship Id="rId517" Type="http://schemas.openxmlformats.org/officeDocument/2006/relationships/hyperlink" Target="https://enzyme.expasy.org/EC/2.4.99.-" TargetMode="External"/><Relationship Id="rId724" Type="http://schemas.openxmlformats.org/officeDocument/2006/relationships/hyperlink" Target="https://enzyme.expasy.org/EC/3.4.11.2" TargetMode="External"/><Relationship Id="rId931" Type="http://schemas.openxmlformats.org/officeDocument/2006/relationships/hyperlink" Target="https://www.genome.jp/entry/R09129/R10301" TargetMode="External"/><Relationship Id="rId1147" Type="http://schemas.openxmlformats.org/officeDocument/2006/relationships/hyperlink" Target="https://www.genome.jp/entry/R02101" TargetMode="External"/><Relationship Id="rId1354" Type="http://schemas.openxmlformats.org/officeDocument/2006/relationships/hyperlink" Target="https://www.genome.jp/entry/R00490" TargetMode="External"/><Relationship Id="rId1561" Type="http://schemas.openxmlformats.org/officeDocument/2006/relationships/hyperlink" Target="https://www.genome.jp/dbget-bin/www_bget?ec:2.4.1.345" TargetMode="External"/><Relationship Id="rId2405" Type="http://schemas.openxmlformats.org/officeDocument/2006/relationships/hyperlink" Target="https://enzyme.expasy.org/EC/1.17.4.1" TargetMode="External"/><Relationship Id="rId2612" Type="http://schemas.openxmlformats.org/officeDocument/2006/relationships/hyperlink" Target="https://www.genome.jp/dbget-bin/www_bget?ec:1.4.1.1" TargetMode="External"/><Relationship Id="rId60" Type="http://schemas.openxmlformats.org/officeDocument/2006/relationships/hyperlink" Target="https://enzyme.expasy.org/EC/7.2.2.8" TargetMode="External"/><Relationship Id="rId1007" Type="http://schemas.openxmlformats.org/officeDocument/2006/relationships/hyperlink" Target="https://www.genome.jp/entry/R08165" TargetMode="External"/><Relationship Id="rId1214" Type="http://schemas.openxmlformats.org/officeDocument/2006/relationships/hyperlink" Target="https://www.genome.jp/entry/R00519" TargetMode="External"/><Relationship Id="rId1421" Type="http://schemas.openxmlformats.org/officeDocument/2006/relationships/hyperlink" Target="https://enzyme.expasy.org/EC/5.1.3.2" TargetMode="External"/><Relationship Id="rId1659" Type="http://schemas.openxmlformats.org/officeDocument/2006/relationships/hyperlink" Target="https://enzyme.expasy.org/EC/2.7.1.2" TargetMode="External"/><Relationship Id="rId1866" Type="http://schemas.openxmlformats.org/officeDocument/2006/relationships/hyperlink" Target="https://enzyme.expasy.org/EC/2.4.1.227" TargetMode="External"/><Relationship Id="rId2917" Type="http://schemas.openxmlformats.org/officeDocument/2006/relationships/hyperlink" Target="https://enzyme.expasy.org/EC/2.4.2.10" TargetMode="External"/><Relationship Id="rId3081" Type="http://schemas.openxmlformats.org/officeDocument/2006/relationships/hyperlink" Target="https://www.genome.jp/entry/R00630/R06728/R08255/R08258/R08220/R08249/R08251/R08295/R08300" TargetMode="External"/><Relationship Id="rId1519" Type="http://schemas.openxmlformats.org/officeDocument/2006/relationships/hyperlink" Target="https://www.genome.jp/entry/R00220/R00590/R11099/R11100/R06131" TargetMode="External"/><Relationship Id="rId1726" Type="http://schemas.openxmlformats.org/officeDocument/2006/relationships/hyperlink" Target="https://www.genome.jp/dbget-bin/www_bget?enzyme+2.7.7.8" TargetMode="External"/><Relationship Id="rId1933" Type="http://schemas.openxmlformats.org/officeDocument/2006/relationships/hyperlink" Target="https://www.genome.jp/dbget-bin/www_bget?ec:2.6.1.42" TargetMode="External"/><Relationship Id="rId3179" Type="http://schemas.openxmlformats.org/officeDocument/2006/relationships/hyperlink" Target="https://www.genome.jp/dbget-bin/www_bget?ec:2.7.7.7" TargetMode="External"/><Relationship Id="rId3386" Type="http://schemas.openxmlformats.org/officeDocument/2006/relationships/hyperlink" Target="https://www.genome.jp/entry/R02822/R05842/R07108/R07109/R07110/R07111" TargetMode="External"/><Relationship Id="rId3593" Type="http://schemas.openxmlformats.org/officeDocument/2006/relationships/hyperlink" Target="https://enzyme.expasy.org/EC/3.5.4.5" TargetMode="External"/><Relationship Id="rId18" Type="http://schemas.openxmlformats.org/officeDocument/2006/relationships/hyperlink" Target="https://enzyme.expasy.org/EC/5.4.99.12" TargetMode="External"/><Relationship Id="rId2195" Type="http://schemas.openxmlformats.org/officeDocument/2006/relationships/hyperlink" Target="https://www.genome.jp/entry/R00174/R01909/R02493" TargetMode="External"/><Relationship Id="rId3039" Type="http://schemas.openxmlformats.org/officeDocument/2006/relationships/hyperlink" Target="https://www.genome.jp/entry/R00022/R03492/R04184/R04586/R05963/R06001/R06004/R06141/R07809/R07810/R09323/R10831/R11316/R11317/R12963" TargetMode="External"/><Relationship Id="rId3246" Type="http://schemas.openxmlformats.org/officeDocument/2006/relationships/hyperlink" Target="https://www.genome.jp/entry/R00379/R00375/R00376/R00377/R00378/R11029" TargetMode="External"/><Relationship Id="rId3453" Type="http://schemas.openxmlformats.org/officeDocument/2006/relationships/hyperlink" Target="https://www.genome.jp/dbget-bin/www_bget?ec:1.3.1.98" TargetMode="External"/><Relationship Id="rId3898" Type="http://schemas.openxmlformats.org/officeDocument/2006/relationships/hyperlink" Target="https://www.genome.jp/dbget-bin/www_bget?ec:1.1.1.86" TargetMode="External"/><Relationship Id="rId167" Type="http://schemas.openxmlformats.org/officeDocument/2006/relationships/hyperlink" Target="https://enzyme.expasy.org/EC/3.6.3.-" TargetMode="External"/><Relationship Id="rId374" Type="http://schemas.openxmlformats.org/officeDocument/2006/relationships/hyperlink" Target="https://enzyme.expasy.org/EC/7.6.2.2" TargetMode="External"/><Relationship Id="rId581" Type="http://schemas.openxmlformats.org/officeDocument/2006/relationships/hyperlink" Target="https://enzyme.expasy.org/EC/1.2.1.79" TargetMode="External"/><Relationship Id="rId2055" Type="http://schemas.openxmlformats.org/officeDocument/2006/relationships/hyperlink" Target="https://www.genome.jp/entry/R00424/R00428/R04639/R05046/R05048" TargetMode="External"/><Relationship Id="rId2262" Type="http://schemas.openxmlformats.org/officeDocument/2006/relationships/hyperlink" Target="https://www.genome.jp/entry/4.4.1.13" TargetMode="External"/><Relationship Id="rId3106" Type="http://schemas.openxmlformats.org/officeDocument/2006/relationships/hyperlink" Target="https://enzyme.expasy.org/EC/3.1.3.3" TargetMode="External"/><Relationship Id="rId3660" Type="http://schemas.openxmlformats.org/officeDocument/2006/relationships/hyperlink" Target="https://enzyme.expasy.org/EC/3.1.3.25" TargetMode="External"/><Relationship Id="rId3758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965" Type="http://schemas.openxmlformats.org/officeDocument/2006/relationships/hyperlink" Target="https://www.genome.jp/dbget-bin/www_bget?ec:3.1.1.1" TargetMode="External"/><Relationship Id="rId234" Type="http://schemas.openxmlformats.org/officeDocument/2006/relationships/hyperlink" Target="https://enzyme.expasy.org/EC/1.-.-.-" TargetMode="External"/><Relationship Id="rId679" Type="http://schemas.openxmlformats.org/officeDocument/2006/relationships/hyperlink" Target="https://enzyme.expasy.org/EC/3.-.-.-" TargetMode="External"/><Relationship Id="rId886" Type="http://schemas.openxmlformats.org/officeDocument/2006/relationships/hyperlink" Target="https://www.genome.jp/entry/R00006/R00226/R00014/R03050/R04672/R04673/R08648" TargetMode="External"/><Relationship Id="rId2567" Type="http://schemas.openxmlformats.org/officeDocument/2006/relationships/hyperlink" Target="https://www.genome.jp/dbget-bin/www_bget?ec:6.3.2.1" TargetMode="External"/><Relationship Id="rId2774" Type="http://schemas.openxmlformats.org/officeDocument/2006/relationships/hyperlink" Target="https://www.genome.jp/dbget-bin/www_bget?ec:2.7.1.107" TargetMode="External"/><Relationship Id="rId3313" Type="http://schemas.openxmlformats.org/officeDocument/2006/relationships/hyperlink" Target="https://enzyme.expasy.org/EC/2.2.1.6" TargetMode="External"/><Relationship Id="rId3520" Type="http://schemas.openxmlformats.org/officeDocument/2006/relationships/hyperlink" Target="https://www.genome.jp/entry/R00444/R00435/R00441/R00442/R00443/R10813" TargetMode="External"/><Relationship Id="rId3618" Type="http://schemas.openxmlformats.org/officeDocument/2006/relationships/hyperlink" Target="https://www.genome.jp/dbget-bin/www_bget?ec:3.2.1.1" TargetMode="External"/><Relationship Id="rId2" Type="http://schemas.openxmlformats.org/officeDocument/2006/relationships/hyperlink" Target="https://enzyme.expasy.org/EC/2.1.1.163" TargetMode="External"/><Relationship Id="rId441" Type="http://schemas.openxmlformats.org/officeDocument/2006/relationships/hyperlink" Target="https://enzyme.expasy.org/EC/6.1.1.21" TargetMode="External"/><Relationship Id="rId539" Type="http://schemas.openxmlformats.org/officeDocument/2006/relationships/hyperlink" Target="https://enzyme.expasy.org/EC/6.3.2.10" TargetMode="External"/><Relationship Id="rId746" Type="http://schemas.openxmlformats.org/officeDocument/2006/relationships/hyperlink" Target="https://enzyme.expasy.org/EC/1.15.1.1" TargetMode="External"/><Relationship Id="rId1071" Type="http://schemas.openxmlformats.org/officeDocument/2006/relationships/hyperlink" Target="https://www.genome.jp/entry/R07358/R02964/R03643/R03816/R07359" TargetMode="External"/><Relationship Id="rId1169" Type="http://schemas.openxmlformats.org/officeDocument/2006/relationships/hyperlink" Target="https://www.genome.jp/dbget-bin/www_bget?ec:2.1.1.182" TargetMode="External"/><Relationship Id="rId1376" Type="http://schemas.openxmlformats.org/officeDocument/2006/relationships/hyperlink" Target="https://www.genome.jp/entry/R01641/R01067/R01830/R06590/R06861/R06863" TargetMode="External"/><Relationship Id="rId1583" Type="http://schemas.openxmlformats.org/officeDocument/2006/relationships/hyperlink" Target="https://enzyme.expasy.org/EC/3.6.4.13" TargetMode="External"/><Relationship Id="rId2122" Type="http://schemas.openxmlformats.org/officeDocument/2006/relationships/hyperlink" Target="https://enzyme.expasy.org/EC/3.1.3.5" TargetMode="External"/><Relationship Id="rId2427" Type="http://schemas.openxmlformats.org/officeDocument/2006/relationships/hyperlink" Target="https://www.genome.jp/entry/R04294/R02017/R02018/R02019/R02024/R08363/R08364/R11893" TargetMode="External"/><Relationship Id="rId2981" Type="http://schemas.openxmlformats.org/officeDocument/2006/relationships/hyperlink" Target="https://www.genome.jp/dbget-bin/www_bget?ec:1.2.1.3" TargetMode="External"/><Relationship Id="rId3825" Type="http://schemas.openxmlformats.org/officeDocument/2006/relationships/hyperlink" Target="https://enzyme.expasy.org/EC/3.2.1.26" TargetMode="External"/><Relationship Id="rId301" Type="http://schemas.openxmlformats.org/officeDocument/2006/relationships/hyperlink" Target="https://enzyme.expasy.org/EC/1.7.99.4" TargetMode="External"/><Relationship Id="rId953" Type="http://schemas.openxmlformats.org/officeDocument/2006/relationships/hyperlink" Target="https://www.genome.jp/entry/R08550/R03815/R07618/R01698" TargetMode="External"/><Relationship Id="rId1029" Type="http://schemas.openxmlformats.org/officeDocument/2006/relationships/hyperlink" Target="https://www.genome.jp/entry/R03411" TargetMode="External"/><Relationship Id="rId1236" Type="http://schemas.openxmlformats.org/officeDocument/2006/relationships/hyperlink" Target="https://www.genome.jp/entry/R02285" TargetMode="External"/><Relationship Id="rId1790" Type="http://schemas.openxmlformats.org/officeDocument/2006/relationships/hyperlink" Target="https://www.genome.jp/entry/R00200/R00430/R00572/R00659/R00724/R01138/R01858/R02320" TargetMode="External"/><Relationship Id="rId1888" Type="http://schemas.openxmlformats.org/officeDocument/2006/relationships/hyperlink" Target="https://www.genome.jp/entry/R06178/R06179/R04519/R06177" TargetMode="External"/><Relationship Id="rId2634" Type="http://schemas.openxmlformats.org/officeDocument/2006/relationships/hyperlink" Target="https://www.genome.jp/entry/R02767/R04533/R04534/R04536/R04543/R04566/R04953/R04964/R07763/R10116/R10120" TargetMode="External"/><Relationship Id="rId2841" Type="http://schemas.openxmlformats.org/officeDocument/2006/relationships/hyperlink" Target="https://www.genome.jp/dbget-bin/www_bget?ec:2.5.1.32" TargetMode="External"/><Relationship Id="rId2939" Type="http://schemas.openxmlformats.org/officeDocument/2006/relationships/hyperlink" Target="https://www.genome.jp/dbget-bin/www_bget?ec:1.2.1.3" TargetMode="External"/><Relationship Id="rId82" Type="http://schemas.openxmlformats.org/officeDocument/2006/relationships/hyperlink" Target="https://enzyme.expasy.org/EC/2.3.1.-" TargetMode="External"/><Relationship Id="rId606" Type="http://schemas.openxmlformats.org/officeDocument/2006/relationships/hyperlink" Target="https://enzyme.expasy.org/EC/1.11.1.-" TargetMode="External"/><Relationship Id="rId813" Type="http://schemas.openxmlformats.org/officeDocument/2006/relationships/hyperlink" Target="https://www.genome.jp/dbget-bin/www_bget?ec:2.7.7.7" TargetMode="External"/><Relationship Id="rId1443" Type="http://schemas.openxmlformats.org/officeDocument/2006/relationships/hyperlink" Target="https://www.genome.jp/dbget-bin/www_bget?ec:3.5.1.88" TargetMode="External"/><Relationship Id="rId1650" Type="http://schemas.openxmlformats.org/officeDocument/2006/relationships/hyperlink" Target="https://www.genome.jp/entry/R00299/R01600/R01786" TargetMode="External"/><Relationship Id="rId1748" Type="http://schemas.openxmlformats.org/officeDocument/2006/relationships/hyperlink" Target="https://www.genome.jp/entry/R08689" TargetMode="External"/><Relationship Id="rId2701" Type="http://schemas.openxmlformats.org/officeDocument/2006/relationships/hyperlink" Target="https://www.genome.jp/entry/R03182/R12933/R12934" TargetMode="External"/><Relationship Id="rId1303" Type="http://schemas.openxmlformats.org/officeDocument/2006/relationships/hyperlink" Target="https://www.genome.jp/entry/R00130" TargetMode="External"/><Relationship Id="rId1510" Type="http://schemas.openxmlformats.org/officeDocument/2006/relationships/hyperlink" Target="https://www.genome.jp/dbget-bin/www_bget?ec:6.1.1.7" TargetMode="External"/><Relationship Id="rId1955" Type="http://schemas.openxmlformats.org/officeDocument/2006/relationships/hyperlink" Target="https://enzyme.expasy.org/EC/2.1.2.10" TargetMode="External"/><Relationship Id="rId3170" Type="http://schemas.openxmlformats.org/officeDocument/2006/relationships/hyperlink" Target="https://www.genome.jp/dbget-bin/www_bget?ec:2.7.7.7" TargetMode="External"/><Relationship Id="rId1608" Type="http://schemas.openxmlformats.org/officeDocument/2006/relationships/hyperlink" Target="https://enzyme.expasy.org/EC/3.6.4.13" TargetMode="External"/><Relationship Id="rId1815" Type="http://schemas.openxmlformats.org/officeDocument/2006/relationships/hyperlink" Target="https://www.genome.jp/dbget-bin/www_bget?ec:2.6.1.9" TargetMode="External"/><Relationship Id="rId3030" Type="http://schemas.openxmlformats.org/officeDocument/2006/relationships/hyperlink" Target="https://www.genome.jp/entry/R00022/R03492/R04184/R04586/R05963/R06001/R06004/R06141/R07809/R07810/R09323/R10831/R11316/R11317/R12963" TargetMode="External"/><Relationship Id="rId3268" Type="http://schemas.openxmlformats.org/officeDocument/2006/relationships/hyperlink" Target="https://enzyme.expasy.org/EC/2.7.7.7" TargetMode="External"/><Relationship Id="rId3475" Type="http://schemas.openxmlformats.org/officeDocument/2006/relationships/hyperlink" Target="https://www.genome.jp/entry/R03194/R07237/R07238/R03950" TargetMode="External"/><Relationship Id="rId3682" Type="http://schemas.openxmlformats.org/officeDocument/2006/relationships/hyperlink" Target="https://www.genome.jp/dbget-bin/www_bget?ec:1.5.1.3" TargetMode="External"/><Relationship Id="rId189" Type="http://schemas.openxmlformats.org/officeDocument/2006/relationships/hyperlink" Target="https://enzyme.expasy.org/EC/1.18.1.2" TargetMode="External"/><Relationship Id="rId396" Type="http://schemas.openxmlformats.org/officeDocument/2006/relationships/hyperlink" Target="https://enzyme.expasy.org/EC/3.6.1.31" TargetMode="External"/><Relationship Id="rId2077" Type="http://schemas.openxmlformats.org/officeDocument/2006/relationships/hyperlink" Target="https://www.genome.jp/entry/R01699/R00014/R03270" TargetMode="External"/><Relationship Id="rId2284" Type="http://schemas.openxmlformats.org/officeDocument/2006/relationships/hyperlink" Target="https://www.genome.jp/dbget-bin/www_bget?ec:1.14.13.107" TargetMode="External"/><Relationship Id="rId2491" Type="http://schemas.openxmlformats.org/officeDocument/2006/relationships/hyperlink" Target="https://www.genome.jp/entry/R02016/R00900/R03596/R09372" TargetMode="External"/><Relationship Id="rId3128" Type="http://schemas.openxmlformats.org/officeDocument/2006/relationships/hyperlink" Target="https://www.genome.jp/dbget-bin/www_bget?ec:6.2.1.3" TargetMode="External"/><Relationship Id="rId3335" Type="http://schemas.openxmlformats.org/officeDocument/2006/relationships/hyperlink" Target="https://www.genome.jp/dbget-bin/www_bget?ec:2.2.1.6" TargetMode="External"/><Relationship Id="rId3542" Type="http://schemas.openxmlformats.org/officeDocument/2006/relationships/hyperlink" Target="https://enzyme.expasy.org/EC/2.7.7.6" TargetMode="External"/><Relationship Id="rId256" Type="http://schemas.openxmlformats.org/officeDocument/2006/relationships/hyperlink" Target="https://enzyme.expasy.org/EC/3.6.4.-" TargetMode="External"/><Relationship Id="rId463" Type="http://schemas.openxmlformats.org/officeDocument/2006/relationships/hyperlink" Target="https://enzyme.expasy.org/EC/2.1.1.-" TargetMode="External"/><Relationship Id="rId670" Type="http://schemas.openxmlformats.org/officeDocument/2006/relationships/hyperlink" Target="https://enzyme.expasy.org/EC/3.1.2.-" TargetMode="External"/><Relationship Id="rId1093" Type="http://schemas.openxmlformats.org/officeDocument/2006/relationships/hyperlink" Target="https://www.genome.jp/dbget-bin/www_bget?ec:6.3.4.15" TargetMode="External"/><Relationship Id="rId2144" Type="http://schemas.openxmlformats.org/officeDocument/2006/relationships/hyperlink" Target="https://www.genome.jp/dbget-bin/www_bget?ec:2.8.3.5" TargetMode="External"/><Relationship Id="rId2351" Type="http://schemas.openxmlformats.org/officeDocument/2006/relationships/hyperlink" Target="https://www.genome.jp/entry/R03662/R08218" TargetMode="External"/><Relationship Id="rId2589" Type="http://schemas.openxmlformats.org/officeDocument/2006/relationships/hyperlink" Target="https://enzyme.expasy.org/EC/2.5.1.48" TargetMode="External"/><Relationship Id="rId2796" Type="http://schemas.openxmlformats.org/officeDocument/2006/relationships/hyperlink" Target="https://www.genome.jp/dbget-bin/www_bget?ec:6.3.3.1" TargetMode="External"/><Relationship Id="rId3402" Type="http://schemas.openxmlformats.org/officeDocument/2006/relationships/hyperlink" Target="https://enzyme.expasy.org/EC/2.3.1.122" TargetMode="External"/><Relationship Id="rId3847" Type="http://schemas.openxmlformats.org/officeDocument/2006/relationships/hyperlink" Target="https://www.genome.jp/dbget-bin/www_bget?ec:2.8.1.7" TargetMode="External"/><Relationship Id="rId116" Type="http://schemas.openxmlformats.org/officeDocument/2006/relationships/hyperlink" Target="https://enzyme.expasy.org/EC/1.2.1.11" TargetMode="External"/><Relationship Id="rId323" Type="http://schemas.openxmlformats.org/officeDocument/2006/relationships/hyperlink" Target="https://enzyme.expasy.org/EC/1.8.-.-" TargetMode="External"/><Relationship Id="rId530" Type="http://schemas.openxmlformats.org/officeDocument/2006/relationships/hyperlink" Target="https://enzyme.expasy.org/EC/5.4.99.23" TargetMode="External"/><Relationship Id="rId768" Type="http://schemas.openxmlformats.org/officeDocument/2006/relationships/hyperlink" Target="https://enzyme.expasy.org/EC/2.1.1.33" TargetMode="External"/><Relationship Id="rId975" Type="http://schemas.openxmlformats.org/officeDocument/2006/relationships/hyperlink" Target="https://www.genome.jp/dbget-bin/www_bget?ec:3.1.3.3" TargetMode="External"/><Relationship Id="rId1160" Type="http://schemas.openxmlformats.org/officeDocument/2006/relationships/hyperlink" Target="https://www.genome.jp/entry/C01278" TargetMode="External"/><Relationship Id="rId1398" Type="http://schemas.openxmlformats.org/officeDocument/2006/relationships/hyperlink" Target="https://www.genome.jp/entry/R02035" TargetMode="External"/><Relationship Id="rId2004" Type="http://schemas.openxmlformats.org/officeDocument/2006/relationships/hyperlink" Target="https://www.genome.jp/dbget-bin/www_bget?ec:1.1.1.1" TargetMode="External"/><Relationship Id="rId2211" Type="http://schemas.openxmlformats.org/officeDocument/2006/relationships/hyperlink" Target="https://www.genome.jp/dbget-bin/www_bget?ec:3.1.1.1" TargetMode="External"/><Relationship Id="rId2449" Type="http://schemas.openxmlformats.org/officeDocument/2006/relationships/hyperlink" Target="https://www.genome.jp/entry/R00626/R02135/R03024/R01010/R04620" TargetMode="External"/><Relationship Id="rId2656" Type="http://schemas.openxmlformats.org/officeDocument/2006/relationships/hyperlink" Target="https://www.genome.jp/dbget-bin/www_bget?ec:1.1.1.100" TargetMode="External"/><Relationship Id="rId2863" Type="http://schemas.openxmlformats.org/officeDocument/2006/relationships/hyperlink" Target="https://enzyme.expasy.org/EC/1.3.8.2" TargetMode="External"/><Relationship Id="rId3707" Type="http://schemas.openxmlformats.org/officeDocument/2006/relationships/hyperlink" Target="https://enzyme.expasy.org/EC/2.4.1.109" TargetMode="External"/><Relationship Id="rId3914" Type="http://schemas.openxmlformats.org/officeDocument/2006/relationships/hyperlink" Target="https://www.genome.jp/entry/R01652/R04426/R10052/R00994" TargetMode="External"/><Relationship Id="rId628" Type="http://schemas.openxmlformats.org/officeDocument/2006/relationships/hyperlink" Target="https://enzyme.expasy.org/EC/5.3.1.6" TargetMode="External"/><Relationship Id="rId835" Type="http://schemas.openxmlformats.org/officeDocument/2006/relationships/hyperlink" Target="https://www.genome.jp/dbget-bin/www_bget?ec:2.7.11.1" TargetMode="External"/><Relationship Id="rId1258" Type="http://schemas.openxmlformats.org/officeDocument/2006/relationships/hyperlink" Target="https://www.genome.jp/dbget-bin/www_bget?ec:6.2.1.3" TargetMode="External"/><Relationship Id="rId1465" Type="http://schemas.openxmlformats.org/officeDocument/2006/relationships/hyperlink" Target="https://www.genome.jp/entry/R00256/R00575/R01395/R10948/R10949/R07641" TargetMode="External"/><Relationship Id="rId1672" Type="http://schemas.openxmlformats.org/officeDocument/2006/relationships/hyperlink" Target="https://www.genome.jp/dbget-bin/www_bget?ec:4.1.1.32" TargetMode="External"/><Relationship Id="rId2309" Type="http://schemas.openxmlformats.org/officeDocument/2006/relationships/hyperlink" Target="https://www.genome.jp/dbget-bin/www_bget?ec:3.1.4.3" TargetMode="External"/><Relationship Id="rId2516" Type="http://schemas.openxmlformats.org/officeDocument/2006/relationships/hyperlink" Target="https://enzyme.expasy.org/EC/2.7.4.6" TargetMode="External"/><Relationship Id="rId2723" Type="http://schemas.openxmlformats.org/officeDocument/2006/relationships/hyperlink" Target="https://enzyme.expasy.org/EC/3.6.1.9" TargetMode="External"/><Relationship Id="rId1020" Type="http://schemas.openxmlformats.org/officeDocument/2006/relationships/hyperlink" Target="https://www.genome.jp/dbget-bin/www_bget?ec:2.7.7.6" TargetMode="External"/><Relationship Id="rId1118" Type="http://schemas.openxmlformats.org/officeDocument/2006/relationships/hyperlink" Target="https://www.genome.jp/dbget-bin/www_bget?ec:3.6.4.12" TargetMode="External"/><Relationship Id="rId1325" Type="http://schemas.openxmlformats.org/officeDocument/2006/relationships/hyperlink" Target="https://www.genome.jp/entry/R05704/R00374" TargetMode="External"/><Relationship Id="rId1532" Type="http://schemas.openxmlformats.org/officeDocument/2006/relationships/hyperlink" Target="https://www.genome.jp/dbget-bin/www_bget?ec:4.3.1.17" TargetMode="External"/><Relationship Id="rId1977" Type="http://schemas.openxmlformats.org/officeDocument/2006/relationships/hyperlink" Target="https://www.genome.jp/dbget-bin/www_bget?ec:6.3.1.2" TargetMode="External"/><Relationship Id="rId2930" Type="http://schemas.openxmlformats.org/officeDocument/2006/relationships/hyperlink" Target="https://enzyme.expasy.org/EC/1.18.1.7" TargetMode="External"/><Relationship Id="rId902" Type="http://schemas.openxmlformats.org/officeDocument/2006/relationships/hyperlink" Target="https://www.genome.jp/dbget-bin/www_bget?ec:2.10.1.1" TargetMode="External"/><Relationship Id="rId1837" Type="http://schemas.openxmlformats.org/officeDocument/2006/relationships/hyperlink" Target="https://www.genome.jp/entry/R00996/R11098/R11101/R00220/R06131" TargetMode="External"/><Relationship Id="rId3192" Type="http://schemas.openxmlformats.org/officeDocument/2006/relationships/hyperlink" Target="https://www.genome.jp/entry/R00379/R00375/R00376/R00377/R00378/R11029" TargetMode="External"/><Relationship Id="rId3497" Type="http://schemas.openxmlformats.org/officeDocument/2006/relationships/hyperlink" Target="https://enzyme.expasy.org/EC/2.7.7.6" TargetMode="External"/><Relationship Id="rId31" Type="http://schemas.openxmlformats.org/officeDocument/2006/relationships/hyperlink" Target="https://enzyme.expasy.org/EC/2.7.7.7" TargetMode="External"/><Relationship Id="rId2099" Type="http://schemas.openxmlformats.org/officeDocument/2006/relationships/hyperlink" Target="https://www.genome.jp/dbget-bin/www_bget?ec:3.1.3.5" TargetMode="External"/><Relationship Id="rId3052" Type="http://schemas.openxmlformats.org/officeDocument/2006/relationships/hyperlink" Target="https://www.genome.jp/entry/R02021" TargetMode="External"/><Relationship Id="rId180" Type="http://schemas.openxmlformats.org/officeDocument/2006/relationships/hyperlink" Target="https://enzyme.expasy.org/EC/6.3.4.14" TargetMode="External"/><Relationship Id="rId278" Type="http://schemas.openxmlformats.org/officeDocument/2006/relationships/hyperlink" Target="https://enzyme.expasy.org/EC/3.5.1.103" TargetMode="External"/><Relationship Id="rId1904" Type="http://schemas.openxmlformats.org/officeDocument/2006/relationships/hyperlink" Target="https://www.genome.jp/entry/R00081/R00082" TargetMode="External"/><Relationship Id="rId3357" Type="http://schemas.openxmlformats.org/officeDocument/2006/relationships/hyperlink" Target="https://www.genome.jp/entry/R00006/R00226/R00014/R03050/R04672/R04673/R08648" TargetMode="External"/><Relationship Id="rId3564" Type="http://schemas.openxmlformats.org/officeDocument/2006/relationships/hyperlink" Target="https://www.genome.jp/dbget-bin/www_bget?ec:1.1.1.205" TargetMode="External"/><Relationship Id="rId3771" Type="http://schemas.openxmlformats.org/officeDocument/2006/relationships/hyperlink" Target="https://enzyme.expasy.org/EC/4.2.1.17" TargetMode="External"/><Relationship Id="rId485" Type="http://schemas.openxmlformats.org/officeDocument/2006/relationships/hyperlink" Target="https://enzyme.expasy.org/EC/1.17.1.8" TargetMode="External"/><Relationship Id="rId692" Type="http://schemas.openxmlformats.org/officeDocument/2006/relationships/hyperlink" Target="https://enzyme.expasy.org/EC/1.3.8.2" TargetMode="External"/><Relationship Id="rId2166" Type="http://schemas.openxmlformats.org/officeDocument/2006/relationships/hyperlink" Target="https://www.kegg.jp/entry/R08938/R08871" TargetMode="External"/><Relationship Id="rId2373" Type="http://schemas.openxmlformats.org/officeDocument/2006/relationships/hyperlink" Target="https://www.genome.jp/entry/R00703/R01000/R03104" TargetMode="External"/><Relationship Id="rId2580" Type="http://schemas.openxmlformats.org/officeDocument/2006/relationships/hyperlink" Target="https://www.genome.jp/dbget-bin/www_bget?ec:3.4.21.92" TargetMode="External"/><Relationship Id="rId3217" Type="http://schemas.openxmlformats.org/officeDocument/2006/relationships/hyperlink" Target="https://enzyme.expasy.org/EC/2.7.7.7" TargetMode="External"/><Relationship Id="rId3424" Type="http://schemas.openxmlformats.org/officeDocument/2006/relationships/hyperlink" Target="https://www.genome.jp/dbget-bin/www_bget?ec:1.8.1.4" TargetMode="External"/><Relationship Id="rId3631" Type="http://schemas.openxmlformats.org/officeDocument/2006/relationships/hyperlink" Target="https://www.genome.jp/entry/R01602/R10619" TargetMode="External"/><Relationship Id="rId3869" Type="http://schemas.openxmlformats.org/officeDocument/2006/relationships/hyperlink" Target="https://www.genome.jp/entry/R04779/R00756/R00767/R00769/R00770/R01843/R03236/R03237/R03238/R03239" TargetMode="External"/><Relationship Id="rId138" Type="http://schemas.openxmlformats.org/officeDocument/2006/relationships/hyperlink" Target="https://enzyme.expasy.org/EC/1.3.5.4" TargetMode="External"/><Relationship Id="rId345" Type="http://schemas.openxmlformats.org/officeDocument/2006/relationships/hyperlink" Target="https://enzyme.expasy.org/EC/2.7.7.3" TargetMode="External"/><Relationship Id="rId552" Type="http://schemas.openxmlformats.org/officeDocument/2006/relationships/hyperlink" Target="https://enzyme.expasy.org/EC/7.1.1.9" TargetMode="External"/><Relationship Id="rId997" Type="http://schemas.openxmlformats.org/officeDocument/2006/relationships/hyperlink" Target="https://www.genome.jp/entry/R02047/R05066" TargetMode="External"/><Relationship Id="rId1182" Type="http://schemas.openxmlformats.org/officeDocument/2006/relationships/hyperlink" Target="https://www.genome.jp/entry/R00776" TargetMode="External"/><Relationship Id="rId2026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233" Type="http://schemas.openxmlformats.org/officeDocument/2006/relationships/hyperlink" Target="https://www.genome.jp/entry/R00630/R06728/R08255/R08258/R08220/R08249/R08251/R08295/R08300" TargetMode="External"/><Relationship Id="rId2440" Type="http://schemas.openxmlformats.org/officeDocument/2006/relationships/hyperlink" Target="https://www.genome.jp/entry/R00626/R02135/R03024/R01010/R04620" TargetMode="External"/><Relationship Id="rId2678" Type="http://schemas.openxmlformats.org/officeDocument/2006/relationships/hyperlink" Target="https://www.genome.jp/entry/R02767/R04533/R04534/R04536/R04543/R04566/R04953/R04964/R07763/R10116/R10120" TargetMode="External"/><Relationship Id="rId2885" Type="http://schemas.openxmlformats.org/officeDocument/2006/relationships/hyperlink" Target="https://www.genome.jp/dbget-bin/www_bget?ec:2.4.2.8" TargetMode="External"/><Relationship Id="rId3729" Type="http://schemas.openxmlformats.org/officeDocument/2006/relationships/hyperlink" Target="https://enzyme.expasy.org/EC/4.2.1.17" TargetMode="External"/><Relationship Id="rId3936" Type="http://schemas.openxmlformats.org/officeDocument/2006/relationships/hyperlink" Target="https://www.genome.jp/entry/R00512/R01665" TargetMode="External"/><Relationship Id="rId205" Type="http://schemas.openxmlformats.org/officeDocument/2006/relationships/hyperlink" Target="https://enzyme.expasy.org/EC/3.1.3.15" TargetMode="External"/><Relationship Id="rId412" Type="http://schemas.openxmlformats.org/officeDocument/2006/relationships/hyperlink" Target="https://enzyme.expasy.org/EC/5.3.1.1" TargetMode="External"/><Relationship Id="rId857" Type="http://schemas.openxmlformats.org/officeDocument/2006/relationships/hyperlink" Target="https://www.genome.jp/dbget-bin/www_bget?ec:3.5.1.18" TargetMode="External"/><Relationship Id="rId1042" Type="http://schemas.openxmlformats.org/officeDocument/2006/relationships/hyperlink" Target="https://www.genome.jp/entry/R00401" TargetMode="External"/><Relationship Id="rId1487" Type="http://schemas.openxmlformats.org/officeDocument/2006/relationships/hyperlink" Target="https://enzyme.expasy.org/EC/6.3.5.5" TargetMode="External"/><Relationship Id="rId1694" Type="http://schemas.openxmlformats.org/officeDocument/2006/relationships/hyperlink" Target="https://www.genome.jp/dbget-bin/www_bget?ec:2.3.1.41" TargetMode="External"/><Relationship Id="rId2300" Type="http://schemas.openxmlformats.org/officeDocument/2006/relationships/hyperlink" Target="https://www.genome.jp/dbget-bin/www_bget?ec:3.1.4.3" TargetMode="External"/><Relationship Id="rId2538" Type="http://schemas.openxmlformats.org/officeDocument/2006/relationships/hyperlink" Target="https://www.genome.jp/dbget-bin/www_bget?ec:2.7.4.6" TargetMode="External"/><Relationship Id="rId2745" Type="http://schemas.openxmlformats.org/officeDocument/2006/relationships/hyperlink" Target="https://www.genome.jp/dbget-bin/www_bget?ec:3.6.1.9" TargetMode="External"/><Relationship Id="rId2952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717" Type="http://schemas.openxmlformats.org/officeDocument/2006/relationships/hyperlink" Target="https://enzyme.expasy.org/EC/2.7.11.1" TargetMode="External"/><Relationship Id="rId924" Type="http://schemas.openxmlformats.org/officeDocument/2006/relationships/hyperlink" Target="https://www.genome.jp/dbget-bin/www_bget?ec:6.2.1.3" TargetMode="External"/><Relationship Id="rId1347" Type="http://schemas.openxmlformats.org/officeDocument/2006/relationships/hyperlink" Target="https://www.genome.jp/entry/R07257" TargetMode="External"/><Relationship Id="rId1554" Type="http://schemas.openxmlformats.org/officeDocument/2006/relationships/hyperlink" Target="https://enzyme.expasy.org/EC/2.4.2.7" TargetMode="External"/><Relationship Id="rId1761" Type="http://schemas.openxmlformats.org/officeDocument/2006/relationships/hyperlink" Target="https://www.genome.jp/entry/R00539/R00317/R01421/R01515" TargetMode="External"/><Relationship Id="rId1999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605" Type="http://schemas.openxmlformats.org/officeDocument/2006/relationships/hyperlink" Target="https://www.genome.jp/dbget-bin/www_bget?ec:2.5.1.48" TargetMode="External"/><Relationship Id="rId2812" Type="http://schemas.openxmlformats.org/officeDocument/2006/relationships/hyperlink" Target="https://enzyme.expasy.org/EC/4.3.2.2" TargetMode="External"/><Relationship Id="rId53" Type="http://schemas.openxmlformats.org/officeDocument/2006/relationships/hyperlink" Target="https://enzyme.expasy.org/EC/3.5.4.5" TargetMode="External"/><Relationship Id="rId1207" Type="http://schemas.openxmlformats.org/officeDocument/2006/relationships/hyperlink" Target="https://www.genome.jp/dbget-bin/www_bget?ec:3.1.3.11" TargetMode="External"/><Relationship Id="rId1414" Type="http://schemas.openxmlformats.org/officeDocument/2006/relationships/hyperlink" Target="https://www.genome.jp/dbget-bin/www_bget?ec:1.8.1.9" TargetMode="External"/><Relationship Id="rId1621" Type="http://schemas.openxmlformats.org/officeDocument/2006/relationships/hyperlink" Target="https://www.genome.jp/dbget-bin/www_bget?ec:3.6.1.23" TargetMode="External"/><Relationship Id="rId1859" Type="http://schemas.openxmlformats.org/officeDocument/2006/relationships/hyperlink" Target="https://www.genome.jp/dbget-bin/www_bget?ec:6.3.2.8" TargetMode="External"/><Relationship Id="rId3074" Type="http://schemas.openxmlformats.org/officeDocument/2006/relationships/hyperlink" Target="https://www.genome.jp/dbget-bin/www_bget?ec:2.6.1.85" TargetMode="External"/><Relationship Id="rId1719" Type="http://schemas.openxmlformats.org/officeDocument/2006/relationships/hyperlink" Target="https://enzyme.expasy.org/EC/2.7.7.8" TargetMode="External"/><Relationship Id="rId1926" Type="http://schemas.openxmlformats.org/officeDocument/2006/relationships/hyperlink" Target="https://www.genome.jp/dbget-bin/www_bget?ec:6.3.5.4" TargetMode="External"/><Relationship Id="rId3281" Type="http://schemas.openxmlformats.org/officeDocument/2006/relationships/hyperlink" Target="https://www.genome.jp/dbget-bin/www_bget?ec:2.7.7.7" TargetMode="External"/><Relationship Id="rId3379" Type="http://schemas.openxmlformats.org/officeDocument/2006/relationships/hyperlink" Target="https://www.genome.jp/dbget-bin/www_bget?ec:3.3.2.10" TargetMode="External"/><Relationship Id="rId3586" Type="http://schemas.openxmlformats.org/officeDocument/2006/relationships/hyperlink" Target="https://www.genome.jp/entry/R07358/R02964/R03643/R03816/R07359" TargetMode="External"/><Relationship Id="rId3793" Type="http://schemas.openxmlformats.org/officeDocument/2006/relationships/hyperlink" Target="https://www.genome.jp/dbget-bin/www_bget?ec:3.1.3.11" TargetMode="External"/><Relationship Id="rId2090" Type="http://schemas.openxmlformats.org/officeDocument/2006/relationships/hyperlink" Target="https://www.genome.jp/dbget-bin/www_bget?ec:3.1.3.5" TargetMode="External"/><Relationship Id="rId2188" Type="http://schemas.openxmlformats.org/officeDocument/2006/relationships/hyperlink" Target="https://www.genome.jp/entry/R01135" TargetMode="External"/><Relationship Id="rId2395" Type="http://schemas.openxmlformats.org/officeDocument/2006/relationships/hyperlink" Target="https://www.genome.jp/entry/R04294/R02017/R02018/R02019/R02024/R08363/R08364/R11893" TargetMode="External"/><Relationship Id="rId3141" Type="http://schemas.openxmlformats.org/officeDocument/2006/relationships/hyperlink" Target="https://www.genome.jp/entry/R00162/R03632" TargetMode="External"/><Relationship Id="rId3239" Type="http://schemas.openxmlformats.org/officeDocument/2006/relationships/hyperlink" Target="https://www.genome.jp/dbget-bin/www_bget?ec:2.7.7.7" TargetMode="External"/><Relationship Id="rId3446" Type="http://schemas.openxmlformats.org/officeDocument/2006/relationships/hyperlink" Target="https://www.genome.jp/entry/R05715/R05716/R06289/R06290" TargetMode="External"/><Relationship Id="rId367" Type="http://schemas.openxmlformats.org/officeDocument/2006/relationships/hyperlink" Target="https://enzyme.expasy.org/EC/2.7.1.23" TargetMode="External"/><Relationship Id="rId574" Type="http://schemas.openxmlformats.org/officeDocument/2006/relationships/hyperlink" Target="https://enzyme.expasy.org/EC/3.1.3.5" TargetMode="External"/><Relationship Id="rId2048" Type="http://schemas.openxmlformats.org/officeDocument/2006/relationships/hyperlink" Target="https://www.genome.jp/dbget-bin/www_bget?ec:3.5.4.16" TargetMode="External"/><Relationship Id="rId2255" Type="http://schemas.openxmlformats.org/officeDocument/2006/relationships/hyperlink" Target="https://enzyme.expasy.org/EC/4.4.1.8" TargetMode="External"/><Relationship Id="rId3001" Type="http://schemas.openxmlformats.org/officeDocument/2006/relationships/hyperlink" Target="https://www.genome.jp/entry/R00286" TargetMode="External"/><Relationship Id="rId3653" Type="http://schemas.openxmlformats.org/officeDocument/2006/relationships/hyperlink" Target="https://www.genome.jp/entry/R07343/R01185/R01186/R01187" TargetMode="External"/><Relationship Id="rId3860" Type="http://schemas.openxmlformats.org/officeDocument/2006/relationships/hyperlink" Target="https://www.genome.jp/entry/R04779/R00756/R00767/R00769/R00770/R01843/R03236/R03237/R03238/R03239" TargetMode="External"/><Relationship Id="rId3958" Type="http://schemas.openxmlformats.org/officeDocument/2006/relationships/hyperlink" Target="https://enzyme.expasy.org/EC/3.1.1.1" TargetMode="External"/><Relationship Id="rId227" Type="http://schemas.openxmlformats.org/officeDocument/2006/relationships/hyperlink" Target="https://enzyme.expasy.org/EC/2.1.2.2" TargetMode="External"/><Relationship Id="rId781" Type="http://schemas.openxmlformats.org/officeDocument/2006/relationships/hyperlink" Target="https://enzyme.expasy.org/EC/2.3.1.-" TargetMode="External"/><Relationship Id="rId879" Type="http://schemas.openxmlformats.org/officeDocument/2006/relationships/hyperlink" Target="https://www.genome.jp/entry/R07303" TargetMode="External"/><Relationship Id="rId2462" Type="http://schemas.openxmlformats.org/officeDocument/2006/relationships/hyperlink" Target="https://www.genome.jp/dbget-bin/www_bget?EC:4.2.1.20" TargetMode="External"/><Relationship Id="rId2767" Type="http://schemas.openxmlformats.org/officeDocument/2006/relationships/hyperlink" Target="https://www.genome.jp/dbget-bin/www_bget?ec:2.5.1.47" TargetMode="External"/><Relationship Id="rId3306" Type="http://schemas.openxmlformats.org/officeDocument/2006/relationships/hyperlink" Target="https://www.genome.jp/entry/R00006/R00226/R00014/R03050/R04672/R04673/R08648" TargetMode="External"/><Relationship Id="rId3513" Type="http://schemas.openxmlformats.org/officeDocument/2006/relationships/hyperlink" Target="https://www.genome.jp/dbget-bin/www_bget?ec:2.7.7.6" TargetMode="External"/><Relationship Id="rId3720" Type="http://schemas.openxmlformats.org/officeDocument/2006/relationships/hyperlink" Target="https://enzyme.expasy.org/EC/4.2.1.17" TargetMode="External"/><Relationship Id="rId434" Type="http://schemas.openxmlformats.org/officeDocument/2006/relationships/hyperlink" Target="https://enzyme.expasy.org/EC/1.1.1.25" TargetMode="External"/><Relationship Id="rId641" Type="http://schemas.openxmlformats.org/officeDocument/2006/relationships/hyperlink" Target="https://enzyme.expasy.org/EC/2.6.1.62" TargetMode="External"/><Relationship Id="rId739" Type="http://schemas.openxmlformats.org/officeDocument/2006/relationships/hyperlink" Target="https://enzyme.expasy.org/EC/3.6.3.-" TargetMode="External"/><Relationship Id="rId1064" Type="http://schemas.openxmlformats.org/officeDocument/2006/relationships/hyperlink" Target="https://www.genome.jp/entry/R00630/R06728/R08255/R08258/R08220/R08249/R08251/R08295/R08300" TargetMode="External"/><Relationship Id="rId1271" Type="http://schemas.openxmlformats.org/officeDocument/2006/relationships/hyperlink" Target="https://www.genome.jp/dbget-bin/www_bget?ec:3.2.1.17" TargetMode="External"/><Relationship Id="rId1369" Type="http://schemas.openxmlformats.org/officeDocument/2006/relationships/hyperlink" Target="https://www.genome.jp/dbget-bin/www_bget?ec:4.2.1.3" TargetMode="External"/><Relationship Id="rId1576" Type="http://schemas.openxmlformats.org/officeDocument/2006/relationships/hyperlink" Target="https://www.genome.jp/entry/R12570" TargetMode="External"/><Relationship Id="rId2115" Type="http://schemas.openxmlformats.org/officeDocument/2006/relationships/hyperlink" Target="https://www.genome.jp/entry/R07297/R00183/R00511/R00963/R01126/R01227/R02323/R02719/R03346/R01569/R01664/R01968/R02088/R02102/R12958" TargetMode="External"/><Relationship Id="rId2322" Type="http://schemas.openxmlformats.org/officeDocument/2006/relationships/hyperlink" Target="https://enzyme.expasy.org/EC/1.1.1.79" TargetMode="External"/><Relationship Id="rId2974" Type="http://schemas.openxmlformats.org/officeDocument/2006/relationships/hyperlink" Target="https://enzyme.expasy.org/EC/1.2.1.3" TargetMode="External"/><Relationship Id="rId3818" Type="http://schemas.openxmlformats.org/officeDocument/2006/relationships/hyperlink" Target="https://www.genome.jp/entry/R00801/R00802/R02410/R03635/R03921/R06087/R06088/R06100/R06101/R06102" TargetMode="External"/><Relationship Id="rId501" Type="http://schemas.openxmlformats.org/officeDocument/2006/relationships/hyperlink" Target="https://enzyme.expasy.org/EC/1.1.1.267" TargetMode="External"/><Relationship Id="rId946" Type="http://schemas.openxmlformats.org/officeDocument/2006/relationships/hyperlink" Target="https://www.genome.jp/entry/R07248/R13277" TargetMode="External"/><Relationship Id="rId1131" Type="http://schemas.openxmlformats.org/officeDocument/2006/relationships/hyperlink" Target="https://www.genome.jp/entry/R07343/R01185/R01186/R01187" TargetMode="External"/><Relationship Id="rId1229" Type="http://schemas.openxmlformats.org/officeDocument/2006/relationships/hyperlink" Target="https://www.genome.jp/dbget-bin/www_bget?enzyme+2.1.1.188" TargetMode="External"/><Relationship Id="rId1783" Type="http://schemas.openxmlformats.org/officeDocument/2006/relationships/hyperlink" Target="https://www.genome.jp/dbget-bin/www_bget?ec:2.7.1.40" TargetMode="External"/><Relationship Id="rId1990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627" Type="http://schemas.openxmlformats.org/officeDocument/2006/relationships/hyperlink" Target="https://www.genome.jp/dbget-bin/www_bget?ec:1.1.1.100" TargetMode="External"/><Relationship Id="rId2834" Type="http://schemas.openxmlformats.org/officeDocument/2006/relationships/hyperlink" Target="https://www.genome.jp/entry/R00132/R10092" TargetMode="External"/><Relationship Id="rId75" Type="http://schemas.openxmlformats.org/officeDocument/2006/relationships/hyperlink" Target="https://enzyme.expasy.org/EC/2.8.1.6" TargetMode="External"/><Relationship Id="rId806" Type="http://schemas.openxmlformats.org/officeDocument/2006/relationships/hyperlink" Target="https://www.genome.jp/dbget-bin/www_bget?ec:2.7.7.7" TargetMode="External"/><Relationship Id="rId1436" Type="http://schemas.openxmlformats.org/officeDocument/2006/relationships/hyperlink" Target="https://www.genome.jp/dbget-bin/www_bget?ec:5.1.3.1" TargetMode="External"/><Relationship Id="rId1643" Type="http://schemas.openxmlformats.org/officeDocument/2006/relationships/hyperlink" Target="https://www.genome.jp/dbget-bin/www_bget?ec:2.7.8.5" TargetMode="External"/><Relationship Id="rId1850" Type="http://schemas.openxmlformats.org/officeDocument/2006/relationships/hyperlink" Target="https://www.genome.jp/dbget-bin/www_bget?ec:3.5.1.1" TargetMode="External"/><Relationship Id="rId2901" Type="http://schemas.openxmlformats.org/officeDocument/2006/relationships/hyperlink" Target="https://enzyme.expasy.org/EC/4.1.2.13" TargetMode="External"/><Relationship Id="rId3096" Type="http://schemas.openxmlformats.org/officeDocument/2006/relationships/hyperlink" Target="https://www.genome.jp/entry/R00630/R06728/R08255/R08258/R08220/R08249/R08251/R08295/R08300" TargetMode="External"/><Relationship Id="rId1503" Type="http://schemas.openxmlformats.org/officeDocument/2006/relationships/hyperlink" Target="https://www.genome.jp/dbget-bin/www_bget?ec:4.2.3.5" TargetMode="External"/><Relationship Id="rId1710" Type="http://schemas.openxmlformats.org/officeDocument/2006/relationships/hyperlink" Target="https://www.genome.jp/entry/R02768/R04355/R04726/R04952/R04957/R04960/R04963/R04968/R07762/R10115/R10119" TargetMode="External"/><Relationship Id="rId1948" Type="http://schemas.openxmlformats.org/officeDocument/2006/relationships/hyperlink" Target="https://www.genome.jp/entry/R00899/R04951" TargetMode="External"/><Relationship Id="rId3163" Type="http://schemas.openxmlformats.org/officeDocument/2006/relationships/hyperlink" Target="https://enzyme.expasy.org/EC/2.7.7.7" TargetMode="External"/><Relationship Id="rId3370" Type="http://schemas.openxmlformats.org/officeDocument/2006/relationships/hyperlink" Target="https://www.genome.jp/dbget-bin/www_bget?ec:3.3.2.10" TargetMode="External"/><Relationship Id="rId291" Type="http://schemas.openxmlformats.org/officeDocument/2006/relationships/hyperlink" Target="https://enzyme.expasy.org/EC/3.1.1.3" TargetMode="External"/><Relationship Id="rId1808" Type="http://schemas.openxmlformats.org/officeDocument/2006/relationships/hyperlink" Target="https://www.genome.jp/dbget-bin/www_bget?ec:5.3.1.16" TargetMode="External"/><Relationship Id="rId3023" Type="http://schemas.openxmlformats.org/officeDocument/2006/relationships/hyperlink" Target="https://www.genome.jp/dbget-bin/www_bget?ec:3.2.1.52" TargetMode="External"/><Relationship Id="rId3468" Type="http://schemas.openxmlformats.org/officeDocument/2006/relationships/hyperlink" Target="https://www.genome.jp/dbget-bin/www_bget?ec:2.1.1.107" TargetMode="External"/><Relationship Id="rId3675" Type="http://schemas.openxmlformats.org/officeDocument/2006/relationships/hyperlink" Target="https://enzyme.expasy.org/EC/1.5.1.3" TargetMode="External"/><Relationship Id="rId3882" Type="http://schemas.openxmlformats.org/officeDocument/2006/relationships/hyperlink" Target="https://enzyme.expasy.org/EC/2.7.1.11" TargetMode="External"/><Relationship Id="rId151" Type="http://schemas.openxmlformats.org/officeDocument/2006/relationships/hyperlink" Target="https://enzyme.expasy.org/EC/1.5.1.2" TargetMode="External"/><Relationship Id="rId389" Type="http://schemas.openxmlformats.org/officeDocument/2006/relationships/hyperlink" Target="https://enzyme.expasy.org/EC/6.3.2.-" TargetMode="External"/><Relationship Id="rId596" Type="http://schemas.openxmlformats.org/officeDocument/2006/relationships/hyperlink" Target="https://enzyme.expasy.org/EC/2.1.1.193" TargetMode="External"/><Relationship Id="rId2277" Type="http://schemas.openxmlformats.org/officeDocument/2006/relationships/hyperlink" Target="https://enzyme.expasy.org/EC/1.14.13.107" TargetMode="External"/><Relationship Id="rId2484" Type="http://schemas.openxmlformats.org/officeDocument/2006/relationships/hyperlink" Target="https://www.genome.jp/dbget-bin/www_bget?ec:2.7.7.72" TargetMode="External"/><Relationship Id="rId2691" Type="http://schemas.openxmlformats.org/officeDocument/2006/relationships/hyperlink" Target="https://enzyme.expasy.org/EC/3.5.1.2" TargetMode="External"/><Relationship Id="rId3230" Type="http://schemas.openxmlformats.org/officeDocument/2006/relationships/hyperlink" Target="https://www.genome.jp/dbget-bin/www_bget?ec:2.7.7.7" TargetMode="External"/><Relationship Id="rId3328" Type="http://schemas.openxmlformats.org/officeDocument/2006/relationships/hyperlink" Target="https://enzyme.expasy.org/EC/2.2.1.6" TargetMode="External"/><Relationship Id="rId3535" Type="http://schemas.openxmlformats.org/officeDocument/2006/relationships/hyperlink" Target="https://www.genome.jp/entry/R00444/R00435/R00441/R00442/R00443/R10813" TargetMode="External"/><Relationship Id="rId3742" Type="http://schemas.openxmlformats.org/officeDocument/2006/relationships/hyperlink" Target="https://www.genome.jp/dbget-bin/www_bget?ec:4.2.1.17" TargetMode="External"/><Relationship Id="rId249" Type="http://schemas.openxmlformats.org/officeDocument/2006/relationships/hyperlink" Target="https://enzyme.expasy.org/EC/1.2.1.12" TargetMode="External"/><Relationship Id="rId456" Type="http://schemas.openxmlformats.org/officeDocument/2006/relationships/hyperlink" Target="https://enzyme.expasy.org/EC/6.1.1.3" TargetMode="External"/><Relationship Id="rId663" Type="http://schemas.openxmlformats.org/officeDocument/2006/relationships/hyperlink" Target="https://enzyme.expasy.org/EC/1.-.-.-" TargetMode="External"/><Relationship Id="rId870" Type="http://schemas.openxmlformats.org/officeDocument/2006/relationships/hyperlink" Target="https://www.genome.jp/dbget-bin/www_bget?ec:1.2.1.8" TargetMode="External"/><Relationship Id="rId1086" Type="http://schemas.openxmlformats.org/officeDocument/2006/relationships/hyperlink" Target="https://www.genome.jp/dbget-bin/www_bget?ec:6.4.1.3" TargetMode="External"/><Relationship Id="rId1293" Type="http://schemas.openxmlformats.org/officeDocument/2006/relationships/hyperlink" Target="https://www.genome.jp/entry/R01150" TargetMode="External"/><Relationship Id="rId2137" Type="http://schemas.openxmlformats.org/officeDocument/2006/relationships/hyperlink" Target="https://www.genome.jp/dbget-bin/www_bget?ec:2.8.3.5" TargetMode="External"/><Relationship Id="rId2344" Type="http://schemas.openxmlformats.org/officeDocument/2006/relationships/hyperlink" Target="https://enzyme.expasy.org/EC/1.1.5.3" TargetMode="External"/><Relationship Id="rId2551" Type="http://schemas.openxmlformats.org/officeDocument/2006/relationships/hyperlink" Target="https://enzyme.expasy.org/EC/6.3.2.17" TargetMode="External"/><Relationship Id="rId2789" Type="http://schemas.openxmlformats.org/officeDocument/2006/relationships/hyperlink" Target="https://www.genome.jp/entry/R01148/R01344/R01582/R02459/R02851/R02924/R05053" TargetMode="External"/><Relationship Id="rId2996" Type="http://schemas.openxmlformats.org/officeDocument/2006/relationships/hyperlink" Target="https://www.genome.jp/dbget-bin/www_bget?ec:1.2.1.3" TargetMode="External"/><Relationship Id="rId109" Type="http://schemas.openxmlformats.org/officeDocument/2006/relationships/hyperlink" Target="https://enzyme.expasy.org/EC/3.6.3.-" TargetMode="External"/><Relationship Id="rId316" Type="http://schemas.openxmlformats.org/officeDocument/2006/relationships/hyperlink" Target="https://enzyme.expasy.org/EC/2.7.7.7" TargetMode="External"/><Relationship Id="rId523" Type="http://schemas.openxmlformats.org/officeDocument/2006/relationships/hyperlink" Target="https://enzyme.expasy.org/EC/4.2.1.19" TargetMode="External"/><Relationship Id="rId968" Type="http://schemas.openxmlformats.org/officeDocument/2006/relationships/hyperlink" Target="https://www.genome.jp/entry/R00390/R01280" TargetMode="External"/><Relationship Id="rId1153" Type="http://schemas.openxmlformats.org/officeDocument/2006/relationships/hyperlink" Target="https://www.genome.jp/entry/R01715" TargetMode="External"/><Relationship Id="rId1598" Type="http://schemas.openxmlformats.org/officeDocument/2006/relationships/hyperlink" Target="https://enzyme.expasy.org/EC/2.7.7.53" TargetMode="External"/><Relationship Id="rId2204" Type="http://schemas.openxmlformats.org/officeDocument/2006/relationships/hyperlink" Target="https://enzyme.expasy.org/EC/3.1.1.1" TargetMode="External"/><Relationship Id="rId2649" Type="http://schemas.openxmlformats.org/officeDocument/2006/relationships/hyperlink" Target="https://www.genome.jp/entry/R02767/R04533/R04534/R04536/R04543/R04566/R04953/R04964/R07763/R10116/R10120" TargetMode="External"/><Relationship Id="rId2856" Type="http://schemas.openxmlformats.org/officeDocument/2006/relationships/hyperlink" Target="https://www.genome.jp/entry/R09690/R09719/R09744/R09745/R09746/R07653" TargetMode="External"/><Relationship Id="rId3602" Type="http://schemas.openxmlformats.org/officeDocument/2006/relationships/hyperlink" Target="https://enzyme.expasy.org/EC/2.4.2.2" TargetMode="External"/><Relationship Id="rId3907" Type="http://schemas.openxmlformats.org/officeDocument/2006/relationships/hyperlink" Target="https://www.genome.jp/dbget-bin/www_bget?ec:1.1.1.95" TargetMode="External"/><Relationship Id="rId97" Type="http://schemas.openxmlformats.org/officeDocument/2006/relationships/hyperlink" Target="https://enzyme.expasy.org/EC/1.1.1.36" TargetMode="External"/><Relationship Id="rId730" Type="http://schemas.openxmlformats.org/officeDocument/2006/relationships/hyperlink" Target="https://enzyme.expasy.org/EC/4.1.3.27" TargetMode="External"/><Relationship Id="rId828" Type="http://schemas.openxmlformats.org/officeDocument/2006/relationships/hyperlink" Target="https://www.genome.jp/entry/R02059" TargetMode="External"/><Relationship Id="rId1013" Type="http://schemas.openxmlformats.org/officeDocument/2006/relationships/hyperlink" Target="https://www.genome.jp/entry/R01818" TargetMode="External"/><Relationship Id="rId1360" Type="http://schemas.openxmlformats.org/officeDocument/2006/relationships/hyperlink" Target="https://www.genome.jp/entry/R05627" TargetMode="External"/><Relationship Id="rId1458" Type="http://schemas.openxmlformats.org/officeDocument/2006/relationships/hyperlink" Target="https://www.genome.jp/entry/R00332/R02090/R12852" TargetMode="External"/><Relationship Id="rId1665" Type="http://schemas.openxmlformats.org/officeDocument/2006/relationships/hyperlink" Target="https://www.genome.jp/entry/R00299/R01600/R01786" TargetMode="External"/><Relationship Id="rId1872" Type="http://schemas.openxmlformats.org/officeDocument/2006/relationships/hyperlink" Target="https://enzyme.expasy.org/EC/2.4.1.227" TargetMode="External"/><Relationship Id="rId2411" Type="http://schemas.openxmlformats.org/officeDocument/2006/relationships/hyperlink" Target="https://www.genome.jp/dbget-bin/www_bget?ec:1.17.4.1" TargetMode="External"/><Relationship Id="rId2509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16" Type="http://schemas.openxmlformats.org/officeDocument/2006/relationships/hyperlink" Target="https://www.genome.jp/dbget-bin/www_bget?ec:2.3.1.54" TargetMode="External"/><Relationship Id="rId1220" Type="http://schemas.openxmlformats.org/officeDocument/2006/relationships/hyperlink" Target="https://www.genome.jp/entry/R08219" TargetMode="External"/><Relationship Id="rId1318" Type="http://schemas.openxmlformats.org/officeDocument/2006/relationships/hyperlink" Target="https://www.genome.jp/dbget-bin/www_bget?ec:4.3.2.1" TargetMode="External"/><Relationship Id="rId1525" Type="http://schemas.openxmlformats.org/officeDocument/2006/relationships/hyperlink" Target="https://www.genome.jp/entry/R00220/R00590/R11099/R11100/R06131" TargetMode="External"/><Relationship Id="rId2923" Type="http://schemas.openxmlformats.org/officeDocument/2006/relationships/hyperlink" Target="https://www.genome.jp/dbget-bin/www_bget?ec:2.8.1.2" TargetMode="External"/><Relationship Id="rId1732" Type="http://schemas.openxmlformats.org/officeDocument/2006/relationships/hyperlink" Target="https://www.genome.jp/dbget-bin/www_bget?ec:1.1.5.4" TargetMode="External"/><Relationship Id="rId3185" Type="http://schemas.openxmlformats.org/officeDocument/2006/relationships/hyperlink" Target="https://www.genome.jp/dbget-bin/www_bget?ec:2.7.7.7" TargetMode="External"/><Relationship Id="rId3392" Type="http://schemas.openxmlformats.org/officeDocument/2006/relationships/hyperlink" Target="https://www.genome.jp/entry/R09129/R10301" TargetMode="External"/><Relationship Id="rId24" Type="http://schemas.openxmlformats.org/officeDocument/2006/relationships/hyperlink" Target="https://enzyme.expasy.org/EC/2.3.1.-" TargetMode="External"/><Relationship Id="rId2299" Type="http://schemas.openxmlformats.org/officeDocument/2006/relationships/hyperlink" Target="https://enzyme.expasy.org/EC/3.1.4.3" TargetMode="External"/><Relationship Id="rId3045" Type="http://schemas.openxmlformats.org/officeDocument/2006/relationships/hyperlink" Target="https://www.genome.jp/entry/R00022/R03492/R04184/R04586/R05963/R06001/R06004/R06141/R07809/R07810/R09323/R10831/R11316/R11317/R12963" TargetMode="External"/><Relationship Id="rId3252" Type="http://schemas.openxmlformats.org/officeDocument/2006/relationships/hyperlink" Target="https://www.genome.jp/dbget-bin/www_bget?ec:2.7.7.7" TargetMode="External"/><Relationship Id="rId3697" Type="http://schemas.openxmlformats.org/officeDocument/2006/relationships/hyperlink" Target="https://www.genome.jp/entry/R02740/R00771/R02739/R03321/R13199" TargetMode="External"/><Relationship Id="rId173" Type="http://schemas.openxmlformats.org/officeDocument/2006/relationships/hyperlink" Target="https://enzyme.expasy.org/EC/4.1.1.5" TargetMode="External"/><Relationship Id="rId380" Type="http://schemas.openxmlformats.org/officeDocument/2006/relationships/hyperlink" Target="https://enzyme.expasy.org/EC/2.7.1.49" TargetMode="External"/><Relationship Id="rId2061" Type="http://schemas.openxmlformats.org/officeDocument/2006/relationships/hyperlink" Target="https://enzyme.expasy.org/EC/3.5.4.16" TargetMode="External"/><Relationship Id="rId3112" Type="http://schemas.openxmlformats.org/officeDocument/2006/relationships/hyperlink" Target="https://enzyme.expasy.org/EC/6.2.1.3" TargetMode="External"/><Relationship Id="rId3557" Type="http://schemas.openxmlformats.org/officeDocument/2006/relationships/hyperlink" Target="https://enzyme.expasy.org/EC/2.7.4.3" TargetMode="External"/><Relationship Id="rId3764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240" Type="http://schemas.openxmlformats.org/officeDocument/2006/relationships/hyperlink" Target="https://enzyme.expasy.org/EC/3.1.21.-" TargetMode="External"/><Relationship Id="rId478" Type="http://schemas.openxmlformats.org/officeDocument/2006/relationships/hyperlink" Target="https://enzyme.expasy.org/EC/2.5.1.75" TargetMode="External"/><Relationship Id="rId685" Type="http://schemas.openxmlformats.org/officeDocument/2006/relationships/hyperlink" Target="https://enzyme.expasy.org/EC/6.1.1.16" TargetMode="External"/><Relationship Id="rId892" Type="http://schemas.openxmlformats.org/officeDocument/2006/relationships/hyperlink" Target="https://www.genome.jp/dbget-bin/www_bget?ec:1.6.5.5" TargetMode="External"/><Relationship Id="rId2159" Type="http://schemas.openxmlformats.org/officeDocument/2006/relationships/hyperlink" Target="https://www.genome.jp/dbget-bin/www_bget?ec:2.5.1.88" TargetMode="External"/><Relationship Id="rId2366" Type="http://schemas.openxmlformats.org/officeDocument/2006/relationships/hyperlink" Target="https://enzyme.expasy.org/EC/3.1.4.46" TargetMode="External"/><Relationship Id="rId2573" Type="http://schemas.openxmlformats.org/officeDocument/2006/relationships/hyperlink" Target="https://www.genome.jp/dbget-bin/www_bget?ec:6.3.2.1" TargetMode="External"/><Relationship Id="rId2780" Type="http://schemas.openxmlformats.org/officeDocument/2006/relationships/hyperlink" Target="https://www.genome.jp/entry/R01148/R01344/R01582/R02459/R02851/R02924/R05053" TargetMode="External"/><Relationship Id="rId3417" Type="http://schemas.openxmlformats.org/officeDocument/2006/relationships/hyperlink" Target="https://enzyme.expasy.org/EC/1.8.1.4" TargetMode="External"/><Relationship Id="rId3624" Type="http://schemas.openxmlformats.org/officeDocument/2006/relationships/hyperlink" Target="https://www.genome.jp/dbget-bin/www_bget?ec:6.3.4.15" TargetMode="External"/><Relationship Id="rId3831" Type="http://schemas.openxmlformats.org/officeDocument/2006/relationships/hyperlink" Target="https://enzyme.expasy.org/EC/4.3.1.3" TargetMode="External"/><Relationship Id="rId100" Type="http://schemas.openxmlformats.org/officeDocument/2006/relationships/hyperlink" Target="https://enzyme.expasy.org/EC/2.8.3.-" TargetMode="External"/><Relationship Id="rId338" Type="http://schemas.openxmlformats.org/officeDocument/2006/relationships/hyperlink" Target="https://enzyme.expasy.org/EC/3.6.1.-" TargetMode="External"/><Relationship Id="rId545" Type="http://schemas.openxmlformats.org/officeDocument/2006/relationships/hyperlink" Target="https://enzyme.expasy.org/EC/2.5.1.54" TargetMode="External"/><Relationship Id="rId752" Type="http://schemas.openxmlformats.org/officeDocument/2006/relationships/hyperlink" Target="https://enzyme.expasy.org/EC/3.1.3.73" TargetMode="External"/><Relationship Id="rId1175" Type="http://schemas.openxmlformats.org/officeDocument/2006/relationships/hyperlink" Target="https://www.genome.jp/dbget-bin/www_bget?ec:1.1.1.100" TargetMode="External"/><Relationship Id="rId1382" Type="http://schemas.openxmlformats.org/officeDocument/2006/relationships/hyperlink" Target="https://www.genome.jp/entry/R01641/R01067/R01830/R06590/R06861/R06863" TargetMode="External"/><Relationship Id="rId2019" Type="http://schemas.openxmlformats.org/officeDocument/2006/relationships/hyperlink" Target="https://www.genome.jp/dbget-bin/www_bget?ec:1.1.1.1" TargetMode="External"/><Relationship Id="rId2226" Type="http://schemas.openxmlformats.org/officeDocument/2006/relationships/hyperlink" Target="https://www.genome.jp/dbget-bin/www_bget?ec:3.1.1.1" TargetMode="External"/><Relationship Id="rId2433" Type="http://schemas.openxmlformats.org/officeDocument/2006/relationships/hyperlink" Target="https://www.genome.jp/entry/R04294/R02017/R02018/R02019/R02024/R08363/R08364/R11893" TargetMode="External"/><Relationship Id="rId2640" Type="http://schemas.openxmlformats.org/officeDocument/2006/relationships/hyperlink" Target="https://www.genome.jp/entry/R02767/R04533/R04534/R04536/R04543/R04566/R04953/R04964/R07763/R10116/R10120" TargetMode="External"/><Relationship Id="rId2878" Type="http://schemas.openxmlformats.org/officeDocument/2006/relationships/hyperlink" Target="https://www.genome.jp/entry/R03067/R03066" TargetMode="External"/><Relationship Id="rId3929" Type="http://schemas.openxmlformats.org/officeDocument/2006/relationships/hyperlink" Target="https://www.genome.jp/entry/R03968/R04001/R10170" TargetMode="External"/><Relationship Id="rId405" Type="http://schemas.openxmlformats.org/officeDocument/2006/relationships/hyperlink" Target="https://enzyme.expasy.org/EC/3.6.3.-" TargetMode="External"/><Relationship Id="rId612" Type="http://schemas.openxmlformats.org/officeDocument/2006/relationships/hyperlink" Target="https://enzyme.expasy.org/EC/1.2.1.41" TargetMode="External"/><Relationship Id="rId1035" Type="http://schemas.openxmlformats.org/officeDocument/2006/relationships/hyperlink" Target="https://www.genome.jp/entry/R03020" TargetMode="External"/><Relationship Id="rId1242" Type="http://schemas.openxmlformats.org/officeDocument/2006/relationships/hyperlink" Target="https://www.genome.jp/entry/R02288" TargetMode="External"/><Relationship Id="rId1687" Type="http://schemas.openxmlformats.org/officeDocument/2006/relationships/hyperlink" Target="https://enzyme.expasy.org/EC/2.3.1.41" TargetMode="External"/><Relationship Id="rId1894" Type="http://schemas.openxmlformats.org/officeDocument/2006/relationships/hyperlink" Target="https://www.genome.jp/entry/R06178/R06179/R04519/R06177" TargetMode="External"/><Relationship Id="rId2500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38" Type="http://schemas.openxmlformats.org/officeDocument/2006/relationships/hyperlink" Target="https://enzyme.expasy.org/EC/3.6.1.9" TargetMode="External"/><Relationship Id="rId2945" Type="http://schemas.openxmlformats.org/officeDocument/2006/relationships/hyperlink" Target="https://www.genome.jp/dbget-bin/www_bget?ec:1.2.1.3" TargetMode="External"/><Relationship Id="rId917" Type="http://schemas.openxmlformats.org/officeDocument/2006/relationships/hyperlink" Target="https://www.genome.jp/entry/R00480" TargetMode="External"/><Relationship Id="rId1102" Type="http://schemas.openxmlformats.org/officeDocument/2006/relationships/hyperlink" Target="https://www.genome.jp/dbget-bin/www_bget?ec:2.7.7.12" TargetMode="External"/><Relationship Id="rId1547" Type="http://schemas.openxmlformats.org/officeDocument/2006/relationships/hyperlink" Target="https://www.genome.jp/entry/R03655" TargetMode="External"/><Relationship Id="rId1754" Type="http://schemas.openxmlformats.org/officeDocument/2006/relationships/hyperlink" Target="https://www.genome.jp/entry/R00158" TargetMode="External"/><Relationship Id="rId1961" Type="http://schemas.openxmlformats.org/officeDocument/2006/relationships/hyperlink" Target="https://www.genome.jp/dbget-bin/www_bget?ec:2.3.1.181" TargetMode="External"/><Relationship Id="rId2805" Type="http://schemas.openxmlformats.org/officeDocument/2006/relationships/hyperlink" Target="https://www.genome.jp/dbget-bin/www_bget?ec:6.3.2.6" TargetMode="External"/><Relationship Id="rId46" Type="http://schemas.openxmlformats.org/officeDocument/2006/relationships/hyperlink" Target="https://enzyme.expasy.org/EC/3.4.-.-" TargetMode="External"/><Relationship Id="rId1407" Type="http://schemas.openxmlformats.org/officeDocument/2006/relationships/hyperlink" Target="https://www.genome.jp/entry/R01512" TargetMode="External"/><Relationship Id="rId1614" Type="http://schemas.openxmlformats.org/officeDocument/2006/relationships/hyperlink" Target="https://www.genome.jp/dbget-bin/www_bget?ec:1.8.4.12" TargetMode="External"/><Relationship Id="rId1821" Type="http://schemas.openxmlformats.org/officeDocument/2006/relationships/hyperlink" Target="https://www.genome.jp/entry/R01158/R01163/R03012" TargetMode="External"/><Relationship Id="rId3067" Type="http://schemas.openxmlformats.org/officeDocument/2006/relationships/hyperlink" Target="https://www.genome.jp/dbget-bin/www_bget?enzyme+5.1.3.9" TargetMode="External"/><Relationship Id="rId3274" Type="http://schemas.openxmlformats.org/officeDocument/2006/relationships/hyperlink" Target="https://enzyme.expasy.org/EC/2.7.7.7" TargetMode="External"/><Relationship Id="rId195" Type="http://schemas.openxmlformats.org/officeDocument/2006/relationships/hyperlink" Target="https://enzyme.expasy.org/EC/3.6.1.-" TargetMode="External"/><Relationship Id="rId1919" Type="http://schemas.openxmlformats.org/officeDocument/2006/relationships/hyperlink" Target="https://www.genome.jp/entry/R00081/R00082" TargetMode="External"/><Relationship Id="rId3481" Type="http://schemas.openxmlformats.org/officeDocument/2006/relationships/hyperlink" Target="https://www.genome.jp/entry/R03194/R07237/R07238/R03950" TargetMode="External"/><Relationship Id="rId3579" Type="http://schemas.openxmlformats.org/officeDocument/2006/relationships/hyperlink" Target="https://www.genome.jp/dbget-bin/www_bget?ec:1.6.5.2" TargetMode="External"/><Relationship Id="rId3786" Type="http://schemas.openxmlformats.org/officeDocument/2006/relationships/hyperlink" Target="https://enzyme.expasy.org/EC/2.7.1.33" TargetMode="External"/><Relationship Id="rId2083" Type="http://schemas.openxmlformats.org/officeDocument/2006/relationships/hyperlink" Target="https://enzyme.expasy.org/EC/3.1.3.5" TargetMode="External"/><Relationship Id="rId2290" Type="http://schemas.openxmlformats.org/officeDocument/2006/relationships/hyperlink" Target="https://www.genome.jp/entry/R06398/R09385/R09389/R09393" TargetMode="External"/><Relationship Id="rId2388" Type="http://schemas.openxmlformats.org/officeDocument/2006/relationships/hyperlink" Target="https://www.genome.jp/dbget-bin/www_bget?ec:1.17.4.1" TargetMode="External"/><Relationship Id="rId2595" Type="http://schemas.openxmlformats.org/officeDocument/2006/relationships/hyperlink" Target="https://enzyme.expasy.org/EC/2.5.1.48" TargetMode="External"/><Relationship Id="rId3134" Type="http://schemas.openxmlformats.org/officeDocument/2006/relationships/hyperlink" Target="https://www.genome.jp/entry/R00162/R03632" TargetMode="External"/><Relationship Id="rId3341" Type="http://schemas.openxmlformats.org/officeDocument/2006/relationships/hyperlink" Target="https://www.genome.jp/dbget-bin/www_bget?ec:2.2.1.6" TargetMode="External"/><Relationship Id="rId3439" Type="http://schemas.openxmlformats.org/officeDocument/2006/relationships/hyperlink" Target="https://www.genome.jp/dbget-bin/www_bget?ec:1.3.5.1" TargetMode="External"/><Relationship Id="rId262" Type="http://schemas.openxmlformats.org/officeDocument/2006/relationships/hyperlink" Target="https://enzyme.expasy.org/EC/3.5.1.115" TargetMode="External"/><Relationship Id="rId567" Type="http://schemas.openxmlformats.org/officeDocument/2006/relationships/hyperlink" Target="https://enzyme.expasy.org/EC/2.7.7.42" TargetMode="External"/><Relationship Id="rId1197" Type="http://schemas.openxmlformats.org/officeDocument/2006/relationships/hyperlink" Target="https://www.genome.jp/dbget-bin/www_bget?ec:3.5.1.115" TargetMode="External"/><Relationship Id="rId2150" Type="http://schemas.openxmlformats.org/officeDocument/2006/relationships/hyperlink" Target="https://www.genome.jp/entry/R00238/R00927/R01177" TargetMode="External"/><Relationship Id="rId2248" Type="http://schemas.openxmlformats.org/officeDocument/2006/relationships/hyperlink" Target="https://www.genome.jp/entry/R00630/R06728/R08255/R08258/R08220/R08249/R08251/R08295/R08300" TargetMode="External"/><Relationship Id="rId3201" Type="http://schemas.openxmlformats.org/officeDocument/2006/relationships/hyperlink" Target="https://www.genome.jp/entry/R00379/R00375/R00376/R00377/R00378/R11029" TargetMode="External"/><Relationship Id="rId3646" Type="http://schemas.openxmlformats.org/officeDocument/2006/relationships/hyperlink" Target="https://www.genome.jp/dbget-bin/www_bget?ec:3.1.3.25" TargetMode="External"/><Relationship Id="rId3853" Type="http://schemas.openxmlformats.org/officeDocument/2006/relationships/hyperlink" Target="https://www.genome.jp/dbget-bin/www_bget?ec:2.8.1.7" TargetMode="External"/><Relationship Id="rId122" Type="http://schemas.openxmlformats.org/officeDocument/2006/relationships/hyperlink" Target="https://enzyme.expasy.org/EC/4.6.1.1" TargetMode="External"/><Relationship Id="rId774" Type="http://schemas.openxmlformats.org/officeDocument/2006/relationships/hyperlink" Target="https://enzyme.expasy.org/EC/4.3.3.7" TargetMode="External"/><Relationship Id="rId981" Type="http://schemas.openxmlformats.org/officeDocument/2006/relationships/hyperlink" Target="https://www.genome.jp/dbget-bin/www_bget?ec:1.2.1.70" TargetMode="External"/><Relationship Id="rId1057" Type="http://schemas.openxmlformats.org/officeDocument/2006/relationships/hyperlink" Target="https://www.genome.jp/entry/R03664" TargetMode="External"/><Relationship Id="rId2010" Type="http://schemas.openxmlformats.org/officeDocument/2006/relationships/hyperlink" Target="https://www.genome.jp/dbget-bin/www_bget?ec:1.1.1.1" TargetMode="External"/><Relationship Id="rId2455" Type="http://schemas.openxmlformats.org/officeDocument/2006/relationships/hyperlink" Target="https://www.genome.jp/entry/R00986/R00985" TargetMode="External"/><Relationship Id="rId2662" Type="http://schemas.openxmlformats.org/officeDocument/2006/relationships/hyperlink" Target="https://www.genome.jp/dbget-bin/www_bget?ec:1.1.1.100" TargetMode="External"/><Relationship Id="rId3506" Type="http://schemas.openxmlformats.org/officeDocument/2006/relationships/hyperlink" Target="https://enzyme.expasy.org/EC/2.7.7.6" TargetMode="External"/><Relationship Id="rId3713" Type="http://schemas.openxmlformats.org/officeDocument/2006/relationships/hyperlink" Target="https://enzyme.expasy.org/EC/3.1.3.7" TargetMode="External"/><Relationship Id="rId3920" Type="http://schemas.openxmlformats.org/officeDocument/2006/relationships/hyperlink" Target="https://www.genome.jp/entry/R03968/R04001/R10170" TargetMode="External"/><Relationship Id="rId427" Type="http://schemas.openxmlformats.org/officeDocument/2006/relationships/hyperlink" Target="https://enzyme.expasy.org/EC/3.5.2.3" TargetMode="External"/><Relationship Id="rId634" Type="http://schemas.openxmlformats.org/officeDocument/2006/relationships/hyperlink" Target="https://enzyme.expasy.org/EC/3.1.-.-" TargetMode="External"/><Relationship Id="rId841" Type="http://schemas.openxmlformats.org/officeDocument/2006/relationships/hyperlink" Target="https://www.genome.jp/dbget-bin/www_bget?ec:3.1.3.16" TargetMode="External"/><Relationship Id="rId1264" Type="http://schemas.openxmlformats.org/officeDocument/2006/relationships/hyperlink" Target="https://www.genome.jp/dbget-bin/www_bget?ec:7.1.2.2" TargetMode="External"/><Relationship Id="rId1471" Type="http://schemas.openxmlformats.org/officeDocument/2006/relationships/hyperlink" Target="https://www.genome.jp/entry/R00256/R00575/R01395/R10948/R10949/R07641" TargetMode="External"/><Relationship Id="rId1569" Type="http://schemas.openxmlformats.org/officeDocument/2006/relationships/hyperlink" Target="https://www.genome.jp/entry/R05751/R09787" TargetMode="External"/><Relationship Id="rId2108" Type="http://schemas.openxmlformats.org/officeDocument/2006/relationships/hyperlink" Target="https://www.genome.jp/dbget-bin/www_bget?ec:3.1.3.5" TargetMode="External"/><Relationship Id="rId2315" Type="http://schemas.openxmlformats.org/officeDocument/2006/relationships/hyperlink" Target="https://enzyme.expasy.org/EC/2.7.7.18" TargetMode="External"/><Relationship Id="rId2522" Type="http://schemas.openxmlformats.org/officeDocument/2006/relationships/hyperlink" Target="https://enzyme.expasy.org/EC/2.7.4.6" TargetMode="External"/><Relationship Id="rId2967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701" Type="http://schemas.openxmlformats.org/officeDocument/2006/relationships/hyperlink" Target="https://enzyme.expasy.org/EC/3.4.24.-" TargetMode="External"/><Relationship Id="rId939" Type="http://schemas.openxmlformats.org/officeDocument/2006/relationships/hyperlink" Target="https://www.genome.jp/dbget-bin/www_bget?ec:3.4.11.2" TargetMode="External"/><Relationship Id="rId1124" Type="http://schemas.openxmlformats.org/officeDocument/2006/relationships/hyperlink" Target="https://www.genome.jp/dbget-bin/www_bget?ec:3.1.3.15" TargetMode="External"/><Relationship Id="rId1331" Type="http://schemas.openxmlformats.org/officeDocument/2006/relationships/hyperlink" Target="https://www.genome.jp/dbget-bin/www_bget?ec:2.7.1.23" TargetMode="External"/><Relationship Id="rId1776" Type="http://schemas.openxmlformats.org/officeDocument/2006/relationships/hyperlink" Target="https://www.genome.jp/dbget-bin/www_bget?ec:1.4.1.2" TargetMode="External"/><Relationship Id="rId1983" Type="http://schemas.openxmlformats.org/officeDocument/2006/relationships/hyperlink" Target="https://enzyme.expasy.org/EC/4.2.3.1" TargetMode="External"/><Relationship Id="rId2827" Type="http://schemas.openxmlformats.org/officeDocument/2006/relationships/hyperlink" Target="https://www.genome.jp/entry/R05637" TargetMode="External"/><Relationship Id="rId68" Type="http://schemas.openxmlformats.org/officeDocument/2006/relationships/hyperlink" Target="https://enzyme.expasy.org/EC/3.5.99.6" TargetMode="External"/><Relationship Id="rId1429" Type="http://schemas.openxmlformats.org/officeDocument/2006/relationships/hyperlink" Target="https://www.genome.jp/dbget-bin/www_bget?ec:5.1.3.2" TargetMode="External"/><Relationship Id="rId1636" Type="http://schemas.openxmlformats.org/officeDocument/2006/relationships/hyperlink" Target="https://www.genome.jp/entry/R02628" TargetMode="External"/><Relationship Id="rId1843" Type="http://schemas.openxmlformats.org/officeDocument/2006/relationships/hyperlink" Target="https://www.genome.jp/entry/R00996/R11098/R11101/R00220/R06131" TargetMode="External"/><Relationship Id="rId3089" Type="http://schemas.openxmlformats.org/officeDocument/2006/relationships/hyperlink" Target="https://www.genome.jp/dbget-bin/www_bget?ec:3.1.1.1" TargetMode="External"/><Relationship Id="rId3296" Type="http://schemas.openxmlformats.org/officeDocument/2006/relationships/hyperlink" Target="https://www.genome.jp/entry/R01224/R07168" TargetMode="External"/><Relationship Id="rId1703" Type="http://schemas.openxmlformats.org/officeDocument/2006/relationships/hyperlink" Target="https://www.genome.jp/dbget-bin/www_bget?ec:2.3.1.41" TargetMode="External"/><Relationship Id="rId1910" Type="http://schemas.openxmlformats.org/officeDocument/2006/relationships/hyperlink" Target="https://www.genome.jp/dbget-bin/www_bget?ec:7.1.1.9" TargetMode="External"/><Relationship Id="rId3156" Type="http://schemas.openxmlformats.org/officeDocument/2006/relationships/hyperlink" Target="https://www.genome.jp/entry/R00379/R00375/R00376/R00377/R00378/R11029" TargetMode="External"/><Relationship Id="rId3363" Type="http://schemas.openxmlformats.org/officeDocument/2006/relationships/hyperlink" Target="https://www.genome.jp/entry/R12078/R12079" TargetMode="External"/><Relationship Id="rId284" Type="http://schemas.openxmlformats.org/officeDocument/2006/relationships/hyperlink" Target="https://enzyme.expasy.org/EC/2.1.1.188" TargetMode="External"/><Relationship Id="rId491" Type="http://schemas.openxmlformats.org/officeDocument/2006/relationships/hyperlink" Target="https://enzyme.expasy.org/EC/3.-.-.-" TargetMode="External"/><Relationship Id="rId2172" Type="http://schemas.openxmlformats.org/officeDocument/2006/relationships/hyperlink" Target="https://www.genome.jp/dbget-bin/www_bget?ec:2.7.2.1" TargetMode="External"/><Relationship Id="rId3016" Type="http://schemas.openxmlformats.org/officeDocument/2006/relationships/hyperlink" Target="https://enzyme.expasy.org/EC/3.2.1.52" TargetMode="External"/><Relationship Id="rId3223" Type="http://schemas.openxmlformats.org/officeDocument/2006/relationships/hyperlink" Target="https://enzyme.expasy.org/EC/2.7.7.7" TargetMode="External"/><Relationship Id="rId3570" Type="http://schemas.openxmlformats.org/officeDocument/2006/relationships/hyperlink" Target="https://www.genome.jp/dbget-bin/www_bget?ec:1.1.1.42" TargetMode="External"/><Relationship Id="rId3668" Type="http://schemas.openxmlformats.org/officeDocument/2006/relationships/hyperlink" Target="https://www.genome.jp/entry/R04173/R05085" TargetMode="External"/><Relationship Id="rId3875" Type="http://schemas.openxmlformats.org/officeDocument/2006/relationships/hyperlink" Target="https://www.genome.jp/entry/R04779/R00756/R00767/R00769/R00770/R01843/R03236/R03237/R03238/R03239" TargetMode="External"/><Relationship Id="rId144" Type="http://schemas.openxmlformats.org/officeDocument/2006/relationships/hyperlink" Target="https://enzyme.expasy.org/EC/6.2.1.3" TargetMode="External"/><Relationship Id="rId589" Type="http://schemas.openxmlformats.org/officeDocument/2006/relationships/hyperlink" Target="https://enzyme.expasy.org/EC/4.6.1.24" TargetMode="External"/><Relationship Id="rId796" Type="http://schemas.openxmlformats.org/officeDocument/2006/relationships/hyperlink" Target="https://enzyme.expasy.org/EC/2.1.1.34" TargetMode="External"/><Relationship Id="rId2477" Type="http://schemas.openxmlformats.org/officeDocument/2006/relationships/hyperlink" Target="https://www.genome.jp/entry/R00674/R02340/R02722" TargetMode="External"/><Relationship Id="rId2684" Type="http://schemas.openxmlformats.org/officeDocument/2006/relationships/hyperlink" Target="https://www.genome.jp/entry/R02767/R04533/R04534/R04536/R04543/R04566/R04953/R04964/R07763/R10116/R10120" TargetMode="External"/><Relationship Id="rId3430" Type="http://schemas.openxmlformats.org/officeDocument/2006/relationships/hyperlink" Target="https://www.genome.jp/dbget-bin/www_bget?ec:1.8.1.4" TargetMode="External"/><Relationship Id="rId3528" Type="http://schemas.openxmlformats.org/officeDocument/2006/relationships/hyperlink" Target="https://www.genome.jp/dbget-bin/www_bget?ec:2.7.7.6" TargetMode="External"/><Relationship Id="rId3735" Type="http://schemas.openxmlformats.org/officeDocument/2006/relationships/hyperlink" Target="https://enzyme.expasy.org/EC/4.2.1.17" TargetMode="External"/><Relationship Id="rId351" Type="http://schemas.openxmlformats.org/officeDocument/2006/relationships/hyperlink" Target="https://enzyme.expasy.org/EC/6.1.1.20" TargetMode="External"/><Relationship Id="rId449" Type="http://schemas.openxmlformats.org/officeDocument/2006/relationships/hyperlink" Target="https://enzyme.expasy.org/EC/3.6.4.12" TargetMode="External"/><Relationship Id="rId656" Type="http://schemas.openxmlformats.org/officeDocument/2006/relationships/hyperlink" Target="https://enzyme.expasy.org/EC/6.3.1.5" TargetMode="External"/><Relationship Id="rId863" Type="http://schemas.openxmlformats.org/officeDocument/2006/relationships/hyperlink" Target="https://www.genome.jp/dbget-bin/www_bget?ec:3.1.1.3" TargetMode="External"/><Relationship Id="rId1079" Type="http://schemas.openxmlformats.org/officeDocument/2006/relationships/hyperlink" Target="https://www.genome.jp/entry/R08201" TargetMode="External"/><Relationship Id="rId1286" Type="http://schemas.openxmlformats.org/officeDocument/2006/relationships/hyperlink" Target="https://www.genome.jp/dbget-bin/www_bget?ec:6.1.1.17" TargetMode="External"/><Relationship Id="rId1493" Type="http://schemas.openxmlformats.org/officeDocument/2006/relationships/hyperlink" Target="https://www.genome.jp/dbget-bin/www_bget?ec:3.5.2.3" TargetMode="External"/><Relationship Id="rId2032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337" Type="http://schemas.openxmlformats.org/officeDocument/2006/relationships/hyperlink" Target="https://www.genome.jp/dbget-bin/www_bget?ec:2.7.1.30" TargetMode="External"/><Relationship Id="rId2544" Type="http://schemas.openxmlformats.org/officeDocument/2006/relationships/hyperlink" Target="https://www.genome.jp/dbget-bin/www_bget?ec:2.7.4.6" TargetMode="External"/><Relationship Id="rId2891" Type="http://schemas.openxmlformats.org/officeDocument/2006/relationships/hyperlink" Target="https://www.genome.jp/dbget-bin/www_bget?ec:2.4.2.8" TargetMode="External"/><Relationship Id="rId2989" Type="http://schemas.openxmlformats.org/officeDocument/2006/relationships/hyperlink" Target="https://enzyme.expasy.org/EC/1.2.1.3" TargetMode="External"/><Relationship Id="rId3942" Type="http://schemas.openxmlformats.org/officeDocument/2006/relationships/hyperlink" Target="https://www.genome.jp/entry/R01859/R08924" TargetMode="External"/><Relationship Id="rId211" Type="http://schemas.openxmlformats.org/officeDocument/2006/relationships/hyperlink" Target="https://enzyme.expasy.org/EC/2.6.1.52" TargetMode="External"/><Relationship Id="rId309" Type="http://schemas.openxmlformats.org/officeDocument/2006/relationships/hyperlink" Target="https://enzyme.expasy.org/EC/2.7.8.35" TargetMode="External"/><Relationship Id="rId516" Type="http://schemas.openxmlformats.org/officeDocument/2006/relationships/hyperlink" Target="https://enzyme.expasy.org/EC/2.7.1.40" TargetMode="External"/><Relationship Id="rId1146" Type="http://schemas.openxmlformats.org/officeDocument/2006/relationships/hyperlink" Target="https://www.genome.jp/dbget-bin/www_bget?ec:2.1.1.45" TargetMode="External"/><Relationship Id="rId1798" Type="http://schemas.openxmlformats.org/officeDocument/2006/relationships/hyperlink" Target="https://www.genome.jp/dbget-bin/www_bget?ec:2.7.1.40" TargetMode="External"/><Relationship Id="rId2751" Type="http://schemas.openxmlformats.org/officeDocument/2006/relationships/hyperlink" Target="https://www.genome.jp/entry/R07285" TargetMode="External"/><Relationship Id="rId2849" Type="http://schemas.openxmlformats.org/officeDocument/2006/relationships/hyperlink" Target="https://www.genome.jp/dbget-bin/www_bget?ec:1.3.8.2" TargetMode="External"/><Relationship Id="rId3802" Type="http://schemas.openxmlformats.org/officeDocument/2006/relationships/hyperlink" Target="https://www.genome.jp/dbget-bin/www_bget?ec:3.2.1.26" TargetMode="External"/><Relationship Id="rId723" Type="http://schemas.openxmlformats.org/officeDocument/2006/relationships/hyperlink" Target="https://enzyme.expasy.org/EC/1.8.1.9" TargetMode="External"/><Relationship Id="rId930" Type="http://schemas.openxmlformats.org/officeDocument/2006/relationships/hyperlink" Target="https://www.genome.jp/dbget-bin/www_bget?ec:1.1.1.306" TargetMode="External"/><Relationship Id="rId1006" Type="http://schemas.openxmlformats.org/officeDocument/2006/relationships/hyperlink" Target="https://www.genome.jp/dbget-bin/www_bget?ec:2.2.1.9" TargetMode="External"/><Relationship Id="rId1353" Type="http://schemas.openxmlformats.org/officeDocument/2006/relationships/hyperlink" Target="https://www.genome.jp/dbget-bin/www_bget?ec:4.3.1.1" TargetMode="External"/><Relationship Id="rId1560" Type="http://schemas.openxmlformats.org/officeDocument/2006/relationships/hyperlink" Target="https://enzyme.expasy.org/EC/2.4.1.345" TargetMode="External"/><Relationship Id="rId1658" Type="http://schemas.openxmlformats.org/officeDocument/2006/relationships/hyperlink" Target="https://enzyme.expasy.org/EC/2.7.1.2" TargetMode="External"/><Relationship Id="rId1865" Type="http://schemas.openxmlformats.org/officeDocument/2006/relationships/hyperlink" Target="https://www.genome.jp/entry/R05662/R06173/R05032/R06172/R06174" TargetMode="External"/><Relationship Id="rId2404" Type="http://schemas.openxmlformats.org/officeDocument/2006/relationships/hyperlink" Target="https://www.genome.jp/entry/R04294/R02017/R02018/R02019/R02024/R08363/R08364/R11893" TargetMode="External"/><Relationship Id="rId2611" Type="http://schemas.openxmlformats.org/officeDocument/2006/relationships/hyperlink" Target="https://www.genome.jp/entry/R01056/R09030" TargetMode="External"/><Relationship Id="rId2709" Type="http://schemas.openxmlformats.org/officeDocument/2006/relationships/hyperlink" Target="https://www.genome.jp/entry/R00212/R06987" TargetMode="External"/><Relationship Id="rId1213" Type="http://schemas.openxmlformats.org/officeDocument/2006/relationships/hyperlink" Target="https://www.genome.jp/dbget-bin/www_bget?ec:1.17.1.9" TargetMode="External"/><Relationship Id="rId1420" Type="http://schemas.openxmlformats.org/officeDocument/2006/relationships/hyperlink" Target="https://www.genome.jp/entry/R00291/R00418/R02984" TargetMode="External"/><Relationship Id="rId1518" Type="http://schemas.openxmlformats.org/officeDocument/2006/relationships/hyperlink" Target="https://www.genome.jp/dbget-bin/www_bget?ec:4.3.1.17" TargetMode="External"/><Relationship Id="rId2916" Type="http://schemas.openxmlformats.org/officeDocument/2006/relationships/hyperlink" Target="https://www.genome.jp/entry/R01870/R08231" TargetMode="External"/><Relationship Id="rId3080" Type="http://schemas.openxmlformats.org/officeDocument/2006/relationships/hyperlink" Target="https://www.genome.jp/dbget-bin/www_bget?ec:3.1.1.1" TargetMode="External"/><Relationship Id="rId1725" Type="http://schemas.openxmlformats.org/officeDocument/2006/relationships/hyperlink" Target="https://enzyme.expasy.org/EC/2.7.7.8" TargetMode="External"/><Relationship Id="rId1932" Type="http://schemas.openxmlformats.org/officeDocument/2006/relationships/hyperlink" Target="https://www.genome.jp/entry/R04148" TargetMode="External"/><Relationship Id="rId3178" Type="http://schemas.openxmlformats.org/officeDocument/2006/relationships/hyperlink" Target="https://enzyme.expasy.org/EC/2.7.7.7" TargetMode="External"/><Relationship Id="rId3385" Type="http://schemas.openxmlformats.org/officeDocument/2006/relationships/hyperlink" Target="https://www.genome.jp/dbget-bin/www_bget?ec:3.3.2.10" TargetMode="External"/><Relationship Id="rId3592" Type="http://schemas.openxmlformats.org/officeDocument/2006/relationships/hyperlink" Target="https://www.genome.jp/entry/R05165/R08868/R08869" TargetMode="External"/><Relationship Id="rId17" Type="http://schemas.openxmlformats.org/officeDocument/2006/relationships/hyperlink" Target="https://enzyme.expasy.org/EC/2.7.7.6" TargetMode="External"/><Relationship Id="rId2194" Type="http://schemas.openxmlformats.org/officeDocument/2006/relationships/hyperlink" Target="https://www.genome.jp/dbget-bin/www_bget?ec:2.7.1.35" TargetMode="External"/><Relationship Id="rId3038" Type="http://schemas.openxmlformats.org/officeDocument/2006/relationships/hyperlink" Target="https://www.genome.jp/dbget-bin/www_bget?ec:3.2.1.52" TargetMode="External"/><Relationship Id="rId3245" Type="http://schemas.openxmlformats.org/officeDocument/2006/relationships/hyperlink" Target="https://www.genome.jp/dbget-bin/www_bget?ec:2.7.7.7" TargetMode="External"/><Relationship Id="rId3452" Type="http://schemas.openxmlformats.org/officeDocument/2006/relationships/hyperlink" Target="https://enzyme.expasy.org/EC/1.3.1.98" TargetMode="External"/><Relationship Id="rId3897" Type="http://schemas.openxmlformats.org/officeDocument/2006/relationships/hyperlink" Target="https://enzyme.expasy.org/EC/1.1.1.86" TargetMode="External"/><Relationship Id="rId166" Type="http://schemas.openxmlformats.org/officeDocument/2006/relationships/hyperlink" Target="https://enzyme.expasy.org/EC/5.1.1.-" TargetMode="External"/><Relationship Id="rId373" Type="http://schemas.openxmlformats.org/officeDocument/2006/relationships/hyperlink" Target="https://enzyme.expasy.org/EC/3.6.3.-" TargetMode="External"/><Relationship Id="rId580" Type="http://schemas.openxmlformats.org/officeDocument/2006/relationships/hyperlink" Target="https://enzyme.expasy.org/EC/6.2.1.14" TargetMode="External"/><Relationship Id="rId2054" Type="http://schemas.openxmlformats.org/officeDocument/2006/relationships/hyperlink" Target="https://www.genome.jp/dbget-bin/www_bget?ec:3.5.4.16" TargetMode="External"/><Relationship Id="rId2261" Type="http://schemas.openxmlformats.org/officeDocument/2006/relationships/hyperlink" Target="https://enzyme.expasy.org/EC/4.4.1.8" TargetMode="External"/><Relationship Id="rId2499" Type="http://schemas.openxmlformats.org/officeDocument/2006/relationships/hyperlink" Target="https://www.genome.jp/dbget-bin/www_bget?ec:2.7.4.6" TargetMode="External"/><Relationship Id="rId3105" Type="http://schemas.openxmlformats.org/officeDocument/2006/relationships/hyperlink" Target="https://www.genome.jp/entry/R00582/R02853" TargetMode="External"/><Relationship Id="rId3312" Type="http://schemas.openxmlformats.org/officeDocument/2006/relationships/hyperlink" Target="https://www.genome.jp/entry/R00006/R00226/R00014/R03050/R04672/R04673/R08648" TargetMode="External"/><Relationship Id="rId3757" Type="http://schemas.openxmlformats.org/officeDocument/2006/relationships/hyperlink" Target="https://www.genome.jp/dbget-bin/www_bget?ec:4.2.1.17" TargetMode="External"/><Relationship Id="rId3964" Type="http://schemas.openxmlformats.org/officeDocument/2006/relationships/hyperlink" Target="https://enzyme.expasy.org/EC/3.1.1.1" TargetMode="External"/><Relationship Id="rId1" Type="http://schemas.openxmlformats.org/officeDocument/2006/relationships/hyperlink" Target="https://enzyme.expasy.org/EC/2.4.1.-" TargetMode="External"/><Relationship Id="rId233" Type="http://schemas.openxmlformats.org/officeDocument/2006/relationships/hyperlink" Target="https://enzyme.expasy.org/EC/3.2.2.20" TargetMode="External"/><Relationship Id="rId440" Type="http://schemas.openxmlformats.org/officeDocument/2006/relationships/hyperlink" Target="https://enzyme.expasy.org/EC/4.3.1.17" TargetMode="External"/><Relationship Id="rId678" Type="http://schemas.openxmlformats.org/officeDocument/2006/relationships/hyperlink" Target="https://enzyme.expasy.org/EC/6.3.4.13" TargetMode="External"/><Relationship Id="rId885" Type="http://schemas.openxmlformats.org/officeDocument/2006/relationships/hyperlink" Target="https://www.genome.jp/entry/R00006/R00226/R00014/R03050/R04672/R04673/R08648" TargetMode="External"/><Relationship Id="rId1070" Type="http://schemas.openxmlformats.org/officeDocument/2006/relationships/hyperlink" Target="https://www.genome.jp/dbget-bin/www_bget?ec:1.6.5.2" TargetMode="External"/><Relationship Id="rId2121" Type="http://schemas.openxmlformats.org/officeDocument/2006/relationships/hyperlink" Target="https://www.genome.jp/entry/R07297/R00183/R00511/R00963/R01126/R01227/R02323/R02719/R03346/R01569/R01664/R01968/R02088/R02102/R12958" TargetMode="External"/><Relationship Id="rId2359" Type="http://schemas.openxmlformats.org/officeDocument/2006/relationships/hyperlink" Target="https://enzyme.expasy.org/EC/4.2.1.51" TargetMode="External"/><Relationship Id="rId2566" Type="http://schemas.openxmlformats.org/officeDocument/2006/relationships/hyperlink" Target="https://www.genome.jp/entry/R01226/R01216" TargetMode="External"/><Relationship Id="rId2773" Type="http://schemas.openxmlformats.org/officeDocument/2006/relationships/hyperlink" Target="https://www.genome.jp/entry/R09622" TargetMode="External"/><Relationship Id="rId2980" Type="http://schemas.openxmlformats.org/officeDocument/2006/relationships/hyperlink" Target="https://enzyme.expasy.org/EC/1.2.1.3" TargetMode="External"/><Relationship Id="rId3617" Type="http://schemas.openxmlformats.org/officeDocument/2006/relationships/hyperlink" Target="https://enzyme.expasy.org/EC/3.2.1.1" TargetMode="External"/><Relationship Id="rId3824" Type="http://schemas.openxmlformats.org/officeDocument/2006/relationships/hyperlink" Target="https://www.genome.jp/entry/R00801/R00802/R02410/R03635/R03921/R06087/R06088/R06100/R06101/R06102" TargetMode="External"/><Relationship Id="rId300" Type="http://schemas.openxmlformats.org/officeDocument/2006/relationships/hyperlink" Target="https://enzyme.expasy.org/EC/1.7.2.1" TargetMode="External"/><Relationship Id="rId538" Type="http://schemas.openxmlformats.org/officeDocument/2006/relationships/hyperlink" Target="https://enzyme.expasy.org/EC/2.7.8.13" TargetMode="External"/><Relationship Id="rId745" Type="http://schemas.openxmlformats.org/officeDocument/2006/relationships/hyperlink" Target="https://enzyme.expasy.org/EC/2.7.13.3" TargetMode="External"/><Relationship Id="rId952" Type="http://schemas.openxmlformats.org/officeDocument/2006/relationships/hyperlink" Target="https://www.genome.jp/dbget-bin/www_bget?ec:1.8.1.4" TargetMode="External"/><Relationship Id="rId1168" Type="http://schemas.openxmlformats.org/officeDocument/2006/relationships/hyperlink" Target="https://www.genome.jp/entry/R03659/R04773" TargetMode="External"/><Relationship Id="rId1375" Type="http://schemas.openxmlformats.org/officeDocument/2006/relationships/hyperlink" Target="https://www.genome.jp/dbget-bin/www_bget?ec:2.2.1.1" TargetMode="External"/><Relationship Id="rId1582" Type="http://schemas.openxmlformats.org/officeDocument/2006/relationships/hyperlink" Target="https://enzyme.expasy.org/EC/3.6.4.13" TargetMode="External"/><Relationship Id="rId2219" Type="http://schemas.openxmlformats.org/officeDocument/2006/relationships/hyperlink" Target="https://enzyme.expasy.org/EC/3.1.1.1" TargetMode="External"/><Relationship Id="rId2426" Type="http://schemas.openxmlformats.org/officeDocument/2006/relationships/hyperlink" Target="https://www.genome.jp/dbget-bin/www_bget?ec:1.17.4.1" TargetMode="External"/><Relationship Id="rId2633" Type="http://schemas.openxmlformats.org/officeDocument/2006/relationships/hyperlink" Target="https://www.genome.jp/dbget-bin/www_bget?ec:1.1.1.100" TargetMode="External"/><Relationship Id="rId81" Type="http://schemas.openxmlformats.org/officeDocument/2006/relationships/hyperlink" Target="https://enzyme.expasy.org/EC/3.6.4.13" TargetMode="External"/><Relationship Id="rId605" Type="http://schemas.openxmlformats.org/officeDocument/2006/relationships/hyperlink" Target="https://enzyme.expasy.org/EC/3.-.-.-" TargetMode="External"/><Relationship Id="rId812" Type="http://schemas.openxmlformats.org/officeDocument/2006/relationships/hyperlink" Target="https://www.genome.jp/dbget-bin/www_bget?ec:2.7.7.7" TargetMode="External"/><Relationship Id="rId1028" Type="http://schemas.openxmlformats.org/officeDocument/2006/relationships/hyperlink" Target="https://www.genome.jp/dbget-bin/www_bget?ec:2.1.1.79" TargetMode="External"/><Relationship Id="rId1235" Type="http://schemas.openxmlformats.org/officeDocument/2006/relationships/hyperlink" Target="https://www.genome.jp/dbget-bin/www_bget?ec:3.5.3.8" TargetMode="External"/><Relationship Id="rId1442" Type="http://schemas.openxmlformats.org/officeDocument/2006/relationships/hyperlink" Target="https://www.genome.jp/dbget-bin/www_bget?ec:3.5.1.88" TargetMode="External"/><Relationship Id="rId1887" Type="http://schemas.openxmlformats.org/officeDocument/2006/relationships/hyperlink" Target="https://www.genome.jp/entry/2.4.99.28" TargetMode="External"/><Relationship Id="rId2840" Type="http://schemas.openxmlformats.org/officeDocument/2006/relationships/hyperlink" Target="https://enzyme.expasy.org/EC/2.5.1.32" TargetMode="External"/><Relationship Id="rId2938" Type="http://schemas.openxmlformats.org/officeDocument/2006/relationships/hyperlink" Target="https://enzyme.expasy.org/EC/1.2.1.3" TargetMode="External"/><Relationship Id="rId1302" Type="http://schemas.openxmlformats.org/officeDocument/2006/relationships/hyperlink" Target="https://www.genome.jp/dbget-bin/www_bget?ec:2.7.1.24" TargetMode="External"/><Relationship Id="rId1747" Type="http://schemas.openxmlformats.org/officeDocument/2006/relationships/hyperlink" Target="https://www.genome.jp/dbget-bin/www_bget?ec:1.17.7.1" TargetMode="External"/><Relationship Id="rId1954" Type="http://schemas.openxmlformats.org/officeDocument/2006/relationships/hyperlink" Target="https://www.genome.jp/entry/R04125/R02300" TargetMode="External"/><Relationship Id="rId2700" Type="http://schemas.openxmlformats.org/officeDocument/2006/relationships/hyperlink" Target="https://www.genome.jp/dbget-bin/www_bget?ec:6.3.3.3" TargetMode="External"/><Relationship Id="rId39" Type="http://schemas.openxmlformats.org/officeDocument/2006/relationships/hyperlink" Target="https://enzyme.expasy.org/EC/3.4.15.5" TargetMode="External"/><Relationship Id="rId1607" Type="http://schemas.openxmlformats.org/officeDocument/2006/relationships/hyperlink" Target="https://www.genome.jp/entry/5.6.2.5" TargetMode="External"/><Relationship Id="rId1814" Type="http://schemas.openxmlformats.org/officeDocument/2006/relationships/hyperlink" Target="https://enzyme.expasy.org/EC/2.6.1.9" TargetMode="External"/><Relationship Id="rId3267" Type="http://schemas.openxmlformats.org/officeDocument/2006/relationships/hyperlink" Target="https://www.genome.jp/entry/R00379/R00375/R00376/R00377/R00378/R11029" TargetMode="External"/><Relationship Id="rId188" Type="http://schemas.openxmlformats.org/officeDocument/2006/relationships/hyperlink" Target="https://enzyme.expasy.org/EC/5.4.2.2" TargetMode="External"/><Relationship Id="rId395" Type="http://schemas.openxmlformats.org/officeDocument/2006/relationships/hyperlink" Target="https://enzyme.expasy.org/EC/2.4.2.17" TargetMode="External"/><Relationship Id="rId2076" Type="http://schemas.openxmlformats.org/officeDocument/2006/relationships/hyperlink" Target="https://www.genome.jp/dbget-bin/www_bget?ec:1.2.4.1" TargetMode="External"/><Relationship Id="rId3474" Type="http://schemas.openxmlformats.org/officeDocument/2006/relationships/hyperlink" Target="https://www.genome.jp/dbget-bin/www_bget?ec:2.1.1.107" TargetMode="External"/><Relationship Id="rId3681" Type="http://schemas.openxmlformats.org/officeDocument/2006/relationships/hyperlink" Target="https://enzyme.expasy.org/EC/1.5.1.3" TargetMode="External"/><Relationship Id="rId3779" Type="http://schemas.openxmlformats.org/officeDocument/2006/relationships/hyperlink" Target="https://www.genome.jp/entry/R00087/R00086" TargetMode="External"/><Relationship Id="rId2283" Type="http://schemas.openxmlformats.org/officeDocument/2006/relationships/hyperlink" Target="https://enzyme.expasy.org/EC/1.14.13.107" TargetMode="External"/><Relationship Id="rId2490" Type="http://schemas.openxmlformats.org/officeDocument/2006/relationships/hyperlink" Target="https://www.genome.jp/dbget-bin/www_bget?ec:1.8.1.9" TargetMode="External"/><Relationship Id="rId2588" Type="http://schemas.openxmlformats.org/officeDocument/2006/relationships/hyperlink" Target="https://www.genome.jp/entry/R03260/R00999/R01288/R02508/R03217/R04944/R04945/R04946" TargetMode="External"/><Relationship Id="rId3127" Type="http://schemas.openxmlformats.org/officeDocument/2006/relationships/hyperlink" Target="https://enzyme.expasy.org/EC/6.2.1.3" TargetMode="External"/><Relationship Id="rId3334" Type="http://schemas.openxmlformats.org/officeDocument/2006/relationships/hyperlink" Target="https://enzyme.expasy.org/EC/2.2.1.6" TargetMode="External"/><Relationship Id="rId3541" Type="http://schemas.openxmlformats.org/officeDocument/2006/relationships/hyperlink" Target="https://www.genome.jp/entry/R00444/R00435/R00441/R00442/R00443/R10813" TargetMode="External"/><Relationship Id="rId255" Type="http://schemas.openxmlformats.org/officeDocument/2006/relationships/hyperlink" Target="https://enzyme.expasy.org/EC/1.8.1.-" TargetMode="External"/><Relationship Id="rId462" Type="http://schemas.openxmlformats.org/officeDocument/2006/relationships/hyperlink" Target="https://enzyme.expasy.org/EC/2.2.1.7" TargetMode="External"/><Relationship Id="rId1092" Type="http://schemas.openxmlformats.org/officeDocument/2006/relationships/hyperlink" Target="https://www.genome.jp/dbget-bin/www_bget?ec:7.6.2.10" TargetMode="External"/><Relationship Id="rId1397" Type="http://schemas.openxmlformats.org/officeDocument/2006/relationships/hyperlink" Target="https://www.genome.jp/dbget-bin/www_bget?ec:3.1.1.31" TargetMode="External"/><Relationship Id="rId2143" Type="http://schemas.openxmlformats.org/officeDocument/2006/relationships/hyperlink" Target="https://enzyme.expasy.org/EC/2.8.3.5" TargetMode="External"/><Relationship Id="rId2350" Type="http://schemas.openxmlformats.org/officeDocument/2006/relationships/hyperlink" Target="https://www.genome.jp/dbget-bin/www_bget?ec:6.1.1.11" TargetMode="External"/><Relationship Id="rId2795" Type="http://schemas.openxmlformats.org/officeDocument/2006/relationships/hyperlink" Target="https://www.genome.jp/entry/R01148/R01344/R01582/R02459/R02851/R02924/R05053" TargetMode="External"/><Relationship Id="rId3401" Type="http://schemas.openxmlformats.org/officeDocument/2006/relationships/hyperlink" Target="https://www.genome.jp/entry/R00899/R04951" TargetMode="External"/><Relationship Id="rId3639" Type="http://schemas.openxmlformats.org/officeDocument/2006/relationships/hyperlink" Target="https://enzyme.expasy.org/EC/3.1.3.25" TargetMode="External"/><Relationship Id="rId3846" Type="http://schemas.openxmlformats.org/officeDocument/2006/relationships/hyperlink" Target="https://enzyme.expasy.org/EC/2.8.1.7" TargetMode="External"/><Relationship Id="rId115" Type="http://schemas.openxmlformats.org/officeDocument/2006/relationships/hyperlink" Target="https://enzyme.expasy.org/EC/2.7.2.4" TargetMode="External"/><Relationship Id="rId322" Type="http://schemas.openxmlformats.org/officeDocument/2006/relationships/hyperlink" Target="https://enzyme.expasy.org/EC/1.1.1.-" TargetMode="External"/><Relationship Id="rId767" Type="http://schemas.openxmlformats.org/officeDocument/2006/relationships/hyperlink" Target="https://enzyme.expasy.org/EC/6.4.1.3" TargetMode="External"/><Relationship Id="rId974" Type="http://schemas.openxmlformats.org/officeDocument/2006/relationships/hyperlink" Target="https://www.genome.jp/entry/R01248/R01251/R03291/R03293" TargetMode="External"/><Relationship Id="rId2003" Type="http://schemas.openxmlformats.org/officeDocument/2006/relationships/hyperlink" Target="https://enzyme.expasy.org/EC/1.1.1.1" TargetMode="External"/><Relationship Id="rId2210" Type="http://schemas.openxmlformats.org/officeDocument/2006/relationships/hyperlink" Target="https://enzyme.expasy.org/EC/3.1.1.1" TargetMode="External"/><Relationship Id="rId2448" Type="http://schemas.openxmlformats.org/officeDocument/2006/relationships/hyperlink" Target="https://www.genome.jp/dbget-bin/www_bget?ec:3.1.3.1" TargetMode="External"/><Relationship Id="rId2655" Type="http://schemas.openxmlformats.org/officeDocument/2006/relationships/hyperlink" Target="https://enzyme.expasy.org/EC/1.1.1.100" TargetMode="External"/><Relationship Id="rId2862" Type="http://schemas.openxmlformats.org/officeDocument/2006/relationships/hyperlink" Target="https://www.genome.jp/entry/R09690/R09719/R09744/R09745/R09746/R07653" TargetMode="External"/><Relationship Id="rId3706" Type="http://schemas.openxmlformats.org/officeDocument/2006/relationships/hyperlink" Target="https://www.genome.jp/entry/R04072/R07620/R11399" TargetMode="External"/><Relationship Id="rId3913" Type="http://schemas.openxmlformats.org/officeDocument/2006/relationships/hyperlink" Target="https://www.genome.jp/dbget-bin/www_bget?ec:1.1.1.85" TargetMode="External"/><Relationship Id="rId627" Type="http://schemas.openxmlformats.org/officeDocument/2006/relationships/hyperlink" Target="https://enzyme.expasy.org/EC/1.1.1.346" TargetMode="External"/><Relationship Id="rId834" Type="http://schemas.openxmlformats.org/officeDocument/2006/relationships/hyperlink" Target="https://www.genome.jp/entry/R00162/R03632" TargetMode="External"/><Relationship Id="rId1257" Type="http://schemas.openxmlformats.org/officeDocument/2006/relationships/hyperlink" Target="https://www.genome.jp/dbget-bin/www_bget?ec:6.2.1.3" TargetMode="External"/><Relationship Id="rId1464" Type="http://schemas.openxmlformats.org/officeDocument/2006/relationships/hyperlink" Target="https://www.genome.jp/dbget-bin/www_bget?ec:6.3.5.5" TargetMode="External"/><Relationship Id="rId1671" Type="http://schemas.openxmlformats.org/officeDocument/2006/relationships/hyperlink" Target="https://www.genome.jp/entry/R00765" TargetMode="External"/><Relationship Id="rId2308" Type="http://schemas.openxmlformats.org/officeDocument/2006/relationships/hyperlink" Target="https://enzyme.expasy.org/EC/3.1.4.3" TargetMode="External"/><Relationship Id="rId2515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22" Type="http://schemas.openxmlformats.org/officeDocument/2006/relationships/hyperlink" Target="https://www.genome.jp/entry/R01532/R00087/R00426/R00515/R00662/R11323/R00103/R00160/R00287/R03004/R03036" TargetMode="External"/><Relationship Id="rId901" Type="http://schemas.openxmlformats.org/officeDocument/2006/relationships/hyperlink" Target="https://www.genome.jp/entry/R09735" TargetMode="External"/><Relationship Id="rId1117" Type="http://schemas.openxmlformats.org/officeDocument/2006/relationships/hyperlink" Target="https://www.genome.jp/dbget-bin/www_bget?ec:3.6.4.12" TargetMode="External"/><Relationship Id="rId1324" Type="http://schemas.openxmlformats.org/officeDocument/2006/relationships/hyperlink" Target="https://www.genome.jp/dbget-bin/www_bget?ec:1.4.99.5" TargetMode="External"/><Relationship Id="rId1531" Type="http://schemas.openxmlformats.org/officeDocument/2006/relationships/hyperlink" Target="https://www.genome.jp/entry/R00220/R00590/R11099/R11100/R06131" TargetMode="External"/><Relationship Id="rId1769" Type="http://schemas.openxmlformats.org/officeDocument/2006/relationships/hyperlink" Target="https://www.genome.jp/dbget-bin/www_bget?ec:3.6.1.7" TargetMode="External"/><Relationship Id="rId1976" Type="http://schemas.openxmlformats.org/officeDocument/2006/relationships/hyperlink" Target="https://www.genome.jp/entry/R07767/R12423/R12424" TargetMode="External"/><Relationship Id="rId3191" Type="http://schemas.openxmlformats.org/officeDocument/2006/relationships/hyperlink" Target="https://www.genome.jp/dbget-bin/www_bget?ec:2.7.7.7" TargetMode="External"/><Relationship Id="rId30" Type="http://schemas.openxmlformats.org/officeDocument/2006/relationships/hyperlink" Target="https://enzyme.expasy.org/EC/3.6.3.-" TargetMode="External"/><Relationship Id="rId1629" Type="http://schemas.openxmlformats.org/officeDocument/2006/relationships/hyperlink" Target="https://www.genome.jp/entry/2.7.1.63" TargetMode="External"/><Relationship Id="rId1836" Type="http://schemas.openxmlformats.org/officeDocument/2006/relationships/hyperlink" Target="https://www.genome.jp/dbget-bin/www_bget?ec:4.3.1.19" TargetMode="External"/><Relationship Id="rId3289" Type="http://schemas.openxmlformats.org/officeDocument/2006/relationships/hyperlink" Target="https://enzyme.expasy.org/EC/2.7.7.7" TargetMode="External"/><Relationship Id="rId3496" Type="http://schemas.openxmlformats.org/officeDocument/2006/relationships/hyperlink" Target="https://www.genome.jp/entry/R00034/R08765" TargetMode="External"/><Relationship Id="rId1903" Type="http://schemas.openxmlformats.org/officeDocument/2006/relationships/hyperlink" Target="https://www.genome.jp/dbget-bin/www_bget?ec:7.1.1.9" TargetMode="External"/><Relationship Id="rId2098" Type="http://schemas.openxmlformats.org/officeDocument/2006/relationships/hyperlink" Target="https://enzyme.expasy.org/EC/3.1.3.5" TargetMode="External"/><Relationship Id="rId3051" Type="http://schemas.openxmlformats.org/officeDocument/2006/relationships/hyperlink" Target="https://www.genome.jp/dbget-bin/www_bget?ec:1.8.4.8" TargetMode="External"/><Relationship Id="rId3149" Type="http://schemas.openxmlformats.org/officeDocument/2006/relationships/hyperlink" Target="https://www.genome.jp/dbget-bin/www_bget?ec:2.7.7.7" TargetMode="External"/><Relationship Id="rId3356" Type="http://schemas.openxmlformats.org/officeDocument/2006/relationships/hyperlink" Target="https://www.genome.jp/dbget-bin/www_bget?ec:2.2.1.6" TargetMode="External"/><Relationship Id="rId3563" Type="http://schemas.openxmlformats.org/officeDocument/2006/relationships/hyperlink" Target="https://enzyme.expasy.org/EC/1.1.1.205" TargetMode="External"/><Relationship Id="rId277" Type="http://schemas.openxmlformats.org/officeDocument/2006/relationships/hyperlink" Target="https://enzyme.expasy.org/EC/2.9.1.1" TargetMode="External"/><Relationship Id="rId484" Type="http://schemas.openxmlformats.org/officeDocument/2006/relationships/hyperlink" Target="https://enzyme.expasy.org/EC/2.1.1.148" TargetMode="External"/><Relationship Id="rId2165" Type="http://schemas.openxmlformats.org/officeDocument/2006/relationships/hyperlink" Target="https://www.genome.jp/entry/R05635/R04268" TargetMode="External"/><Relationship Id="rId3009" Type="http://schemas.openxmlformats.org/officeDocument/2006/relationships/hyperlink" Target="https://www.genome.jp/entry/R00022/R03492/R04184/R04586/R05963/R06001/R06004/R06141/R07809/R07810/R09323/R10831/R11316/R11317/R12963" TargetMode="External"/><Relationship Id="rId3216" Type="http://schemas.openxmlformats.org/officeDocument/2006/relationships/hyperlink" Target="https://www.genome.jp/entry/R00379/R00375/R00376/R00377/R00378/R11029" TargetMode="External"/><Relationship Id="rId3770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868" Type="http://schemas.openxmlformats.org/officeDocument/2006/relationships/hyperlink" Target="https://www.genome.jp/dbget-bin/www_bget?ec:2.7.1.11" TargetMode="External"/><Relationship Id="rId137" Type="http://schemas.openxmlformats.org/officeDocument/2006/relationships/hyperlink" Target="https://enzyme.expasy.org/EC/1.3.5.4" TargetMode="External"/><Relationship Id="rId344" Type="http://schemas.openxmlformats.org/officeDocument/2006/relationships/hyperlink" Target="https://enzyme.expasy.org/EC/2.1.1.171" TargetMode="External"/><Relationship Id="rId691" Type="http://schemas.openxmlformats.org/officeDocument/2006/relationships/hyperlink" Target="https://enzyme.expasy.org/EC/2.5.1.32" TargetMode="External"/><Relationship Id="rId789" Type="http://schemas.openxmlformats.org/officeDocument/2006/relationships/hyperlink" Target="https://enzyme.expasy.org/EC/3.2.2.-" TargetMode="External"/><Relationship Id="rId996" Type="http://schemas.openxmlformats.org/officeDocument/2006/relationships/hyperlink" Target="https://www.genome.jp/dbget-bin/www_bget?ec:1.1.1.31" TargetMode="External"/><Relationship Id="rId2025" Type="http://schemas.openxmlformats.org/officeDocument/2006/relationships/hyperlink" Target="https://www.genome.jp/dbget-bin/www_bget?ec:1.1.1.1" TargetMode="External"/><Relationship Id="rId2372" Type="http://schemas.openxmlformats.org/officeDocument/2006/relationships/hyperlink" Target="https://www.genome.jp/dbget-bin/www_bget?ec:1.1.1.27" TargetMode="External"/><Relationship Id="rId2677" Type="http://schemas.openxmlformats.org/officeDocument/2006/relationships/hyperlink" Target="https://www.genome.jp/dbget-bin/www_bget?ec:1.1.1.100" TargetMode="External"/><Relationship Id="rId2884" Type="http://schemas.openxmlformats.org/officeDocument/2006/relationships/hyperlink" Target="https://enzyme.expasy.org/EC/2.4.2.8" TargetMode="External"/><Relationship Id="rId3423" Type="http://schemas.openxmlformats.org/officeDocument/2006/relationships/hyperlink" Target="https://enzyme.expasy.org/EC/1.8.1.4" TargetMode="External"/><Relationship Id="rId3630" Type="http://schemas.openxmlformats.org/officeDocument/2006/relationships/hyperlink" Target="https://www.genome.jp/dbget-bin/www_bget?ec:5.1.3.3" TargetMode="External"/><Relationship Id="rId3728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551" Type="http://schemas.openxmlformats.org/officeDocument/2006/relationships/hyperlink" Target="https://enzyme.expasy.org/EC/1.20.9.1" TargetMode="External"/><Relationship Id="rId649" Type="http://schemas.openxmlformats.org/officeDocument/2006/relationships/hyperlink" Target="https://enzyme.expasy.org/EC/5.1.1.3" TargetMode="External"/><Relationship Id="rId856" Type="http://schemas.openxmlformats.org/officeDocument/2006/relationships/hyperlink" Target="https://www.genome.jp/dbget-bin/www_bget?ec:3.5.1.18" TargetMode="External"/><Relationship Id="rId1181" Type="http://schemas.openxmlformats.org/officeDocument/2006/relationships/hyperlink" Target="https://www.genome.jp/dbget-bin/www_bget?ec:4.3.2.3" TargetMode="External"/><Relationship Id="rId1279" Type="http://schemas.openxmlformats.org/officeDocument/2006/relationships/hyperlink" Target="https://www.genome.jp/entry/R04439/R03051/R04440/R05068/R05069/R05071" TargetMode="External"/><Relationship Id="rId1486" Type="http://schemas.openxmlformats.org/officeDocument/2006/relationships/hyperlink" Target="https://www.genome.jp/dbget-bin/www_bget?ec:6.3.5.5" TargetMode="External"/><Relationship Id="rId2232" Type="http://schemas.openxmlformats.org/officeDocument/2006/relationships/hyperlink" Target="https://www.genome.jp/dbget-bin/www_bget?ec:3.1.1.1" TargetMode="External"/><Relationship Id="rId2537" Type="http://schemas.openxmlformats.org/officeDocument/2006/relationships/hyperlink" Target="https://enzyme.expasy.org/EC/2.7.4.6" TargetMode="External"/><Relationship Id="rId3935" Type="http://schemas.openxmlformats.org/officeDocument/2006/relationships/hyperlink" Target="https://www.genome.jp/dbget-bin/www_bget?ec:2.7.4.25" TargetMode="External"/><Relationship Id="rId204" Type="http://schemas.openxmlformats.org/officeDocument/2006/relationships/hyperlink" Target="https://enzyme.expasy.org/EC/1.16.1.9" TargetMode="External"/><Relationship Id="rId411" Type="http://schemas.openxmlformats.org/officeDocument/2006/relationships/hyperlink" Target="https://enzyme.expasy.org/EC/3.1.1.31" TargetMode="External"/><Relationship Id="rId509" Type="http://schemas.openxmlformats.org/officeDocument/2006/relationships/hyperlink" Target="https://enzyme.expasy.org/EC/2.3.1.-" TargetMode="External"/><Relationship Id="rId1041" Type="http://schemas.openxmlformats.org/officeDocument/2006/relationships/hyperlink" Target="https://www.genome.jp/dbget-bin/www_bget?ec:5.1.1.1" TargetMode="External"/><Relationship Id="rId1139" Type="http://schemas.openxmlformats.org/officeDocument/2006/relationships/hyperlink" Target="https://www.genome.jp/dbget-bin/www_bget?ec:5.2.1.8" TargetMode="External"/><Relationship Id="rId1346" Type="http://schemas.openxmlformats.org/officeDocument/2006/relationships/hyperlink" Target="https://www.genome.jp/dbget-bin/www_bget?ec:2.4.1.54" TargetMode="External"/><Relationship Id="rId1693" Type="http://schemas.openxmlformats.org/officeDocument/2006/relationships/hyperlink" Target="https://enzyme.expasy.org/EC/2.3.1.41" TargetMode="External"/><Relationship Id="rId1998" Type="http://schemas.openxmlformats.org/officeDocument/2006/relationships/hyperlink" Target="https://www.genome.jp/dbget-bin/www_bget?ec:1.1.1.1" TargetMode="External"/><Relationship Id="rId2744" Type="http://schemas.openxmlformats.org/officeDocument/2006/relationships/hyperlink" Target="https://enzyme.expasy.org/EC/3.6.1.9" TargetMode="External"/><Relationship Id="rId2951" Type="http://schemas.openxmlformats.org/officeDocument/2006/relationships/hyperlink" Target="https://www.genome.jp/dbget-bin/www_bget?ec:1.2.1.3" TargetMode="External"/><Relationship Id="rId716" Type="http://schemas.openxmlformats.org/officeDocument/2006/relationships/hyperlink" Target="https://enzyme.expasy.org/EC/3.6.3.-" TargetMode="External"/><Relationship Id="rId923" Type="http://schemas.openxmlformats.org/officeDocument/2006/relationships/hyperlink" Target="https://www.genome.jp/entry/R00089/R00434" TargetMode="External"/><Relationship Id="rId1553" Type="http://schemas.openxmlformats.org/officeDocument/2006/relationships/hyperlink" Target="https://www.genome.jp/entry/R00190/R04378" TargetMode="External"/><Relationship Id="rId1760" Type="http://schemas.openxmlformats.org/officeDocument/2006/relationships/hyperlink" Target="https://www.genome.jp/dbget-bin/www_bget?ec:3.6.1.7" TargetMode="External"/><Relationship Id="rId1858" Type="http://schemas.openxmlformats.org/officeDocument/2006/relationships/hyperlink" Target="https://www.genome.jp/entry/R02783" TargetMode="External"/><Relationship Id="rId2604" Type="http://schemas.openxmlformats.org/officeDocument/2006/relationships/hyperlink" Target="https://enzyme.expasy.org/EC/2.5.1.48" TargetMode="External"/><Relationship Id="rId2811" Type="http://schemas.openxmlformats.org/officeDocument/2006/relationships/hyperlink" Target="https://www.genome.jp/entry/R01083/R04559/R12851" TargetMode="External"/><Relationship Id="rId52" Type="http://schemas.openxmlformats.org/officeDocument/2006/relationships/hyperlink" Target="https://enzyme.expasy.org/EC/6.4.1.7" TargetMode="External"/><Relationship Id="rId1206" Type="http://schemas.openxmlformats.org/officeDocument/2006/relationships/hyperlink" Target="https://www.genome.jp/entry/R01082" TargetMode="External"/><Relationship Id="rId1413" Type="http://schemas.openxmlformats.org/officeDocument/2006/relationships/hyperlink" Target="https://www.genome.jp/entry/R04112" TargetMode="External"/><Relationship Id="rId1620" Type="http://schemas.openxmlformats.org/officeDocument/2006/relationships/hyperlink" Target="https://www.genome.jp/entry/R05636" TargetMode="External"/><Relationship Id="rId2909" Type="http://schemas.openxmlformats.org/officeDocument/2006/relationships/hyperlink" Target="https://enzyme.expasy.org/EC/4.1.2.13" TargetMode="External"/><Relationship Id="rId3073" Type="http://schemas.openxmlformats.org/officeDocument/2006/relationships/hyperlink" Target="https://enzyme.expasy.org/EC/2.6.1.85" TargetMode="External"/><Relationship Id="rId3280" Type="http://schemas.openxmlformats.org/officeDocument/2006/relationships/hyperlink" Target="https://enzyme.expasy.org/EC/2.7.7.7" TargetMode="External"/><Relationship Id="rId1718" Type="http://schemas.openxmlformats.org/officeDocument/2006/relationships/hyperlink" Target="https://www.genome.jp/entry/R07282/R00437/R00438/R00439/R00440" TargetMode="External"/><Relationship Id="rId1925" Type="http://schemas.openxmlformats.org/officeDocument/2006/relationships/hyperlink" Target="https://enzyme.expasy.org/EC/6.3.5.4" TargetMode="External"/><Relationship Id="rId3140" Type="http://schemas.openxmlformats.org/officeDocument/2006/relationships/hyperlink" Target="https://www.genome.jp/dbget-bin/www_bget?ec:2.7.11.1" TargetMode="External"/><Relationship Id="rId3378" Type="http://schemas.openxmlformats.org/officeDocument/2006/relationships/hyperlink" Target="https://enzyme.expasy.org/EC/3.3.2.10" TargetMode="External"/><Relationship Id="rId3585" Type="http://schemas.openxmlformats.org/officeDocument/2006/relationships/hyperlink" Target="https://www.genome.jp/dbget-bin/www_bget?ec:1.6.5.2" TargetMode="External"/><Relationship Id="rId3792" Type="http://schemas.openxmlformats.org/officeDocument/2006/relationships/hyperlink" Target="https://enzyme.expasy.org/EC/3.1.3.11" TargetMode="External"/><Relationship Id="rId299" Type="http://schemas.openxmlformats.org/officeDocument/2006/relationships/hyperlink" Target="https://enzyme.expasy.org/EC/2.7.1.39" TargetMode="External"/><Relationship Id="rId2187" Type="http://schemas.openxmlformats.org/officeDocument/2006/relationships/hyperlink" Target="https://www.genome.jp/dbget-bin/www_bget?ec:6.3.4.4" TargetMode="External"/><Relationship Id="rId2394" Type="http://schemas.openxmlformats.org/officeDocument/2006/relationships/hyperlink" Target="https://www.genome.jp/dbget-bin/www_bget?ec:1.17.4.1" TargetMode="External"/><Relationship Id="rId3238" Type="http://schemas.openxmlformats.org/officeDocument/2006/relationships/hyperlink" Target="https://enzyme.expasy.org/EC/2.7.7.7" TargetMode="External"/><Relationship Id="rId3445" Type="http://schemas.openxmlformats.org/officeDocument/2006/relationships/hyperlink" Target="https://www.genome.jp/entry/R05715/R05716/R06289/R06290" TargetMode="External"/><Relationship Id="rId3652" Type="http://schemas.openxmlformats.org/officeDocument/2006/relationships/hyperlink" Target="https://www.genome.jp/dbget-bin/www_bget?ec:3.1.3.25" TargetMode="External"/><Relationship Id="rId159" Type="http://schemas.openxmlformats.org/officeDocument/2006/relationships/hyperlink" Target="https://enzyme.expasy.org/EC/1.1.1.31" TargetMode="External"/><Relationship Id="rId366" Type="http://schemas.openxmlformats.org/officeDocument/2006/relationships/hyperlink" Target="https://enzyme.expasy.org/EC/2.1.1.226" TargetMode="External"/><Relationship Id="rId573" Type="http://schemas.openxmlformats.org/officeDocument/2006/relationships/hyperlink" Target="https://enzyme.expasy.org/EC/1.2.4.1" TargetMode="External"/><Relationship Id="rId780" Type="http://schemas.openxmlformats.org/officeDocument/2006/relationships/hyperlink" Target="https://enzyme.expasy.org/EC/2.4.1.11" TargetMode="External"/><Relationship Id="rId2047" Type="http://schemas.openxmlformats.org/officeDocument/2006/relationships/hyperlink" Target="https://enzyme.expasy.org/EC/3.5.4.16" TargetMode="External"/><Relationship Id="rId2254" Type="http://schemas.openxmlformats.org/officeDocument/2006/relationships/hyperlink" Target="https://www.genome.jp/entry/4.4.1.13" TargetMode="External"/><Relationship Id="rId2461" Type="http://schemas.openxmlformats.org/officeDocument/2006/relationships/hyperlink" Target="https://www.genome.jp/entry/R00986/R00985" TargetMode="External"/><Relationship Id="rId2699" Type="http://schemas.openxmlformats.org/officeDocument/2006/relationships/hyperlink" Target="https://enzyme.expasy.org/EC/6.3.3.3" TargetMode="External"/><Relationship Id="rId3000" Type="http://schemas.openxmlformats.org/officeDocument/2006/relationships/hyperlink" Target="https://www.genome.jp/dbget-bin/www_bget?ec:1.1.1.22" TargetMode="External"/><Relationship Id="rId3305" Type="http://schemas.openxmlformats.org/officeDocument/2006/relationships/hyperlink" Target="https://www.genome.jp/dbget-bin/www_bget?ec:2.2.1.6" TargetMode="External"/><Relationship Id="rId3512" Type="http://schemas.openxmlformats.org/officeDocument/2006/relationships/hyperlink" Target="https://enzyme.expasy.org/EC/2.7.7.6" TargetMode="External"/><Relationship Id="rId3957" Type="http://schemas.openxmlformats.org/officeDocument/2006/relationships/hyperlink" Target="https://www.genome.jp/entry/R00630/R06728/R08255/R08258/R08220/R08249/R08251/R08295/R08300" TargetMode="External"/><Relationship Id="rId226" Type="http://schemas.openxmlformats.org/officeDocument/2006/relationships/hyperlink" Target="https://enzyme.expasy.org/EC/3.4.24.75" TargetMode="External"/><Relationship Id="rId433" Type="http://schemas.openxmlformats.org/officeDocument/2006/relationships/hyperlink" Target="https://enzyme.expasy.org/EC/4.2.3.5" TargetMode="External"/><Relationship Id="rId878" Type="http://schemas.openxmlformats.org/officeDocument/2006/relationships/hyperlink" Target="https://www.genome.jp/dbget-bin/www_bget?enzyme+3.5.1.91" TargetMode="External"/><Relationship Id="rId1063" Type="http://schemas.openxmlformats.org/officeDocument/2006/relationships/hyperlink" Target="https://www.genome.jp/dbget-bin/www_bget?ec:3.1.1.1" TargetMode="External"/><Relationship Id="rId1270" Type="http://schemas.openxmlformats.org/officeDocument/2006/relationships/hyperlink" Target="https://www.genome.jp/entry/R07460/R11528/R11529" TargetMode="External"/><Relationship Id="rId2114" Type="http://schemas.openxmlformats.org/officeDocument/2006/relationships/hyperlink" Target="https://www.genome.jp/dbget-bin/www_bget?ec:3.1.3.5" TargetMode="External"/><Relationship Id="rId2559" Type="http://schemas.openxmlformats.org/officeDocument/2006/relationships/hyperlink" Target="https://www.genome.jp/entry/R04241/R00942/R01654/R02237/R05197" TargetMode="External"/><Relationship Id="rId2766" Type="http://schemas.openxmlformats.org/officeDocument/2006/relationships/hyperlink" Target="https://enzyme.expasy.org/EC/2.5.1.47" TargetMode="External"/><Relationship Id="rId2973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817" Type="http://schemas.openxmlformats.org/officeDocument/2006/relationships/hyperlink" Target="https://www.genome.jp/dbget-bin/www_bget?ec:3.2.1.26" TargetMode="External"/><Relationship Id="rId640" Type="http://schemas.openxmlformats.org/officeDocument/2006/relationships/hyperlink" Target="https://enzyme.expasy.org/EC/6.3.3.3" TargetMode="External"/><Relationship Id="rId738" Type="http://schemas.openxmlformats.org/officeDocument/2006/relationships/hyperlink" Target="https://enzyme.expasy.org/EC/2.7.13.3" TargetMode="External"/><Relationship Id="rId945" Type="http://schemas.openxmlformats.org/officeDocument/2006/relationships/hyperlink" Target="https://www.genome.jp/dbget-bin/www_bget?ec:2.3.1.122" TargetMode="External"/><Relationship Id="rId1368" Type="http://schemas.openxmlformats.org/officeDocument/2006/relationships/hyperlink" Target="https://enzyme.expasy.org/EC/4.2.1.3" TargetMode="External"/><Relationship Id="rId1575" Type="http://schemas.openxmlformats.org/officeDocument/2006/relationships/hyperlink" Target="https://www.genome.jp/entry/R12570" TargetMode="External"/><Relationship Id="rId1782" Type="http://schemas.openxmlformats.org/officeDocument/2006/relationships/hyperlink" Target="https://www.genome.jp/entry/R08572" TargetMode="External"/><Relationship Id="rId2321" Type="http://schemas.openxmlformats.org/officeDocument/2006/relationships/hyperlink" Target="https://www.genome.jp/entry/R00465/R01392/R02527" TargetMode="External"/><Relationship Id="rId2419" Type="http://schemas.openxmlformats.org/officeDocument/2006/relationships/hyperlink" Target="https://enzyme.expasy.org/EC/1.17.4.1" TargetMode="External"/><Relationship Id="rId2626" Type="http://schemas.openxmlformats.org/officeDocument/2006/relationships/hyperlink" Target="https://enzyme.expasy.org/EC/1.1.1.100" TargetMode="External"/><Relationship Id="rId2833" Type="http://schemas.openxmlformats.org/officeDocument/2006/relationships/hyperlink" Target="https://www.genome.jp/dbget-bin/www_bget?ec:4.2.1.1" TargetMode="External"/><Relationship Id="rId74" Type="http://schemas.openxmlformats.org/officeDocument/2006/relationships/hyperlink" Target="https://enzyme.expasy.org/EC/3.5.1.18" TargetMode="External"/><Relationship Id="rId500" Type="http://schemas.openxmlformats.org/officeDocument/2006/relationships/hyperlink" Target="https://enzyme.expasy.org/EC/3.4.24.-" TargetMode="External"/><Relationship Id="rId805" Type="http://schemas.openxmlformats.org/officeDocument/2006/relationships/hyperlink" Target="https://www.genome.jp/entry/R00379/R00375/R00376/R00377/R00378/R11029" TargetMode="External"/><Relationship Id="rId1130" Type="http://schemas.openxmlformats.org/officeDocument/2006/relationships/hyperlink" Target="https://www.genome.jp/entry/R07343/R01185/R01186/R01187" TargetMode="External"/><Relationship Id="rId1228" Type="http://schemas.openxmlformats.org/officeDocument/2006/relationships/hyperlink" Target="https://www.genome.jp/entry/R04365" TargetMode="External"/><Relationship Id="rId1435" Type="http://schemas.openxmlformats.org/officeDocument/2006/relationships/hyperlink" Target="https://www.genome.jp/entry/R00066" TargetMode="External"/><Relationship Id="rId1642" Type="http://schemas.openxmlformats.org/officeDocument/2006/relationships/hyperlink" Target="https://www.genome.jp/entry/R01122" TargetMode="External"/><Relationship Id="rId1947" Type="http://schemas.openxmlformats.org/officeDocument/2006/relationships/hyperlink" Target="https://www.genome.jp/dbget-bin/www_bget?ec:3.4.11.1" TargetMode="External"/><Relationship Id="rId2900" Type="http://schemas.openxmlformats.org/officeDocument/2006/relationships/hyperlink" Target="https://www.genome.jp/entry/R01931" TargetMode="External"/><Relationship Id="rId3095" Type="http://schemas.openxmlformats.org/officeDocument/2006/relationships/hyperlink" Target="https://www.genome.jp/dbget-bin/www_bget?ec:3.1.1.1" TargetMode="External"/><Relationship Id="rId1502" Type="http://schemas.openxmlformats.org/officeDocument/2006/relationships/hyperlink" Target="https://www.genome.jp/entry/R02412" TargetMode="External"/><Relationship Id="rId1807" Type="http://schemas.openxmlformats.org/officeDocument/2006/relationships/hyperlink" Target="https://www.genome.jp/entry/R03508" TargetMode="External"/><Relationship Id="rId3162" Type="http://schemas.openxmlformats.org/officeDocument/2006/relationships/hyperlink" Target="https://www.genome.jp/entry/R00379/R00375/R00376/R00377/R00378/R11029" TargetMode="External"/><Relationship Id="rId290" Type="http://schemas.openxmlformats.org/officeDocument/2006/relationships/hyperlink" Target="https://enzyme.expasy.org/EC/4.3.1.3" TargetMode="External"/><Relationship Id="rId388" Type="http://schemas.openxmlformats.org/officeDocument/2006/relationships/hyperlink" Target="https://enzyme.expasy.org/EC/3.4.13.9" TargetMode="External"/><Relationship Id="rId2069" Type="http://schemas.openxmlformats.org/officeDocument/2006/relationships/hyperlink" Target="https://www.genome.jp/entry/R00424/R00428/R04639/R05046/R05048" TargetMode="External"/><Relationship Id="rId3022" Type="http://schemas.openxmlformats.org/officeDocument/2006/relationships/hyperlink" Target="https://enzyme.expasy.org/EC/3.2.1.52" TargetMode="External"/><Relationship Id="rId3467" Type="http://schemas.openxmlformats.org/officeDocument/2006/relationships/hyperlink" Target="https://enzyme.expasy.org/EC/2.1.1.107" TargetMode="External"/><Relationship Id="rId3674" Type="http://schemas.openxmlformats.org/officeDocument/2006/relationships/hyperlink" Target="https://www.genome.jp/entry/R00939/R00936/R00937/R00940/R02235/R02236/R11765" TargetMode="External"/><Relationship Id="rId3881" Type="http://schemas.openxmlformats.org/officeDocument/2006/relationships/hyperlink" Target="https://www.genome.jp/entry/R04779/R00756/R00767/R00769/R00770/R01843/R03236/R03237/R03238/R03239" TargetMode="External"/><Relationship Id="rId150" Type="http://schemas.openxmlformats.org/officeDocument/2006/relationships/hyperlink" Target="https://enzyme.expasy.org/EC/3.6.1.11" TargetMode="External"/><Relationship Id="rId595" Type="http://schemas.openxmlformats.org/officeDocument/2006/relationships/hyperlink" Target="https://enzyme.expasy.org/EC/3.1.-.-" TargetMode="External"/><Relationship Id="rId2276" Type="http://schemas.openxmlformats.org/officeDocument/2006/relationships/hyperlink" Target="https://www.genome.jp/entry/R06398/R09385/R09389/R09393" TargetMode="External"/><Relationship Id="rId2483" Type="http://schemas.openxmlformats.org/officeDocument/2006/relationships/hyperlink" Target="https://enzyme.expasy.org/EC/2.7.7.72" TargetMode="External"/><Relationship Id="rId2690" Type="http://schemas.openxmlformats.org/officeDocument/2006/relationships/hyperlink" Target="https://www.genome.jp/entry/R00256/R01579/R06134" TargetMode="External"/><Relationship Id="rId3327" Type="http://schemas.openxmlformats.org/officeDocument/2006/relationships/hyperlink" Target="https://www.genome.jp/entry/R00006/R00226/R00014/R03050/R04672/R04673/R08648" TargetMode="External"/><Relationship Id="rId3534" Type="http://schemas.openxmlformats.org/officeDocument/2006/relationships/hyperlink" Target="https://www.genome.jp/dbget-bin/www_bget?ec:2.7.7.6" TargetMode="External"/><Relationship Id="rId3741" Type="http://schemas.openxmlformats.org/officeDocument/2006/relationships/hyperlink" Target="https://enzyme.expasy.org/EC/4.2.1.17" TargetMode="External"/><Relationship Id="rId248" Type="http://schemas.openxmlformats.org/officeDocument/2006/relationships/hyperlink" Target="https://enzyme.expasy.org/EC/3.1.1.29" TargetMode="External"/><Relationship Id="rId455" Type="http://schemas.openxmlformats.org/officeDocument/2006/relationships/hyperlink" Target="https://enzyme.expasy.org/EC/2.7.7.53" TargetMode="External"/><Relationship Id="rId662" Type="http://schemas.openxmlformats.org/officeDocument/2006/relationships/hyperlink" Target="https://enzyme.expasy.org/EC/2.8.3.-" TargetMode="External"/><Relationship Id="rId1085" Type="http://schemas.openxmlformats.org/officeDocument/2006/relationships/hyperlink" Target="https://www.genome.jp/entry/R01931" TargetMode="External"/><Relationship Id="rId1292" Type="http://schemas.openxmlformats.org/officeDocument/2006/relationships/hyperlink" Target="https://www.genome.jp/dbget-bin/www_bget?ec:6.3.2.4" TargetMode="External"/><Relationship Id="rId2136" Type="http://schemas.openxmlformats.org/officeDocument/2006/relationships/hyperlink" Target="https://www.genome.jp/dbget-bin/www_bget?ec:2.8.3.5" TargetMode="External"/><Relationship Id="rId2343" Type="http://schemas.openxmlformats.org/officeDocument/2006/relationships/hyperlink" Target="https://www.genome.jp/entry/R00849/R08657/R00848" TargetMode="External"/><Relationship Id="rId2550" Type="http://schemas.openxmlformats.org/officeDocument/2006/relationships/hyperlink" Target="https://www.genome.jp/entry/R04241/R00942/R01654/R02237/R05197" TargetMode="External"/><Relationship Id="rId2788" Type="http://schemas.openxmlformats.org/officeDocument/2006/relationships/hyperlink" Target="https://www.genome.jp/dbget-bin/www_bget?ec:2.6.1.21" TargetMode="External"/><Relationship Id="rId2995" Type="http://schemas.openxmlformats.org/officeDocument/2006/relationships/hyperlink" Target="https://enzyme.expasy.org/EC/1.2.1.3" TargetMode="External"/><Relationship Id="rId3601" Type="http://schemas.openxmlformats.org/officeDocument/2006/relationships/hyperlink" Target="https://www.genome.jp/entry/R01570/R01876/R02296/R02484/R02298" TargetMode="External"/><Relationship Id="rId3839" Type="http://schemas.openxmlformats.org/officeDocument/2006/relationships/hyperlink" Target="https://www.genome.jp/entry/R00783/R00784/R00280/R00785" TargetMode="External"/><Relationship Id="rId108" Type="http://schemas.openxmlformats.org/officeDocument/2006/relationships/hyperlink" Target="https://enzyme.expasy.org/EC/3.5.4.33" TargetMode="External"/><Relationship Id="rId315" Type="http://schemas.openxmlformats.org/officeDocument/2006/relationships/hyperlink" Target="https://enzyme.expasy.org/EC/2.8.1.-" TargetMode="External"/><Relationship Id="rId522" Type="http://schemas.openxmlformats.org/officeDocument/2006/relationships/hyperlink" Target="https://enzyme.expasy.org/EC/2.4.2.-" TargetMode="External"/><Relationship Id="rId967" Type="http://schemas.openxmlformats.org/officeDocument/2006/relationships/hyperlink" Target="https://www.genome.jp/dbget-bin/www_bget?ec:6.2.1.3" TargetMode="External"/><Relationship Id="rId1152" Type="http://schemas.openxmlformats.org/officeDocument/2006/relationships/hyperlink" Target="https://www.genome.jp/dbget-bin/www_bget?ec:5.4.99.5" TargetMode="External"/><Relationship Id="rId1597" Type="http://schemas.openxmlformats.org/officeDocument/2006/relationships/hyperlink" Target="https://www.genome.jp/entry/R00126/R01618" TargetMode="External"/><Relationship Id="rId2203" Type="http://schemas.openxmlformats.org/officeDocument/2006/relationships/hyperlink" Target="https://www.genome.jp/entry/R01123" TargetMode="External"/><Relationship Id="rId2410" Type="http://schemas.openxmlformats.org/officeDocument/2006/relationships/hyperlink" Target="https://www.genome.jp/entry/R04294/R02017/R02018/R02019/R02024/R08363/R08364/R11893" TargetMode="External"/><Relationship Id="rId2648" Type="http://schemas.openxmlformats.org/officeDocument/2006/relationships/hyperlink" Target="https://www.genome.jp/dbget-bin/www_bget?ec:1.1.1.100" TargetMode="External"/><Relationship Id="rId2855" Type="http://schemas.openxmlformats.org/officeDocument/2006/relationships/hyperlink" Target="https://www.genome.jp/dbget-bin/www_bget?ec:1.3.8.2" TargetMode="External"/><Relationship Id="rId3906" Type="http://schemas.openxmlformats.org/officeDocument/2006/relationships/hyperlink" Target="https://enzyme.expasy.org/EC/1.1.1.95" TargetMode="External"/><Relationship Id="rId96" Type="http://schemas.openxmlformats.org/officeDocument/2006/relationships/hyperlink" Target="https://enzyme.expasy.org/EC/2.4.2.-" TargetMode="External"/><Relationship Id="rId827" Type="http://schemas.openxmlformats.org/officeDocument/2006/relationships/hyperlink" Target="https://www.genome.jp/dbget-bin/www_bget?ec:3.5.1.25" TargetMode="External"/><Relationship Id="rId1012" Type="http://schemas.openxmlformats.org/officeDocument/2006/relationships/hyperlink" Target="https://www.genome.jp/dbget-bin/www_bget?ec:5.4.2.8" TargetMode="External"/><Relationship Id="rId1457" Type="http://schemas.openxmlformats.org/officeDocument/2006/relationships/hyperlink" Target="https://www.genome.jp/dbget-bin/www_bget?ec:2.7.4.8" TargetMode="External"/><Relationship Id="rId1664" Type="http://schemas.openxmlformats.org/officeDocument/2006/relationships/hyperlink" Target="https://www.genome.jp/entry/R00299/R01600/R01786" TargetMode="External"/><Relationship Id="rId1871" Type="http://schemas.openxmlformats.org/officeDocument/2006/relationships/hyperlink" Target="https://www.genome.jp/entry/R05662/R06173/R05032/R06172/R06174" TargetMode="External"/><Relationship Id="rId2508" Type="http://schemas.openxmlformats.org/officeDocument/2006/relationships/hyperlink" Target="https://www.genome.jp/dbget-bin/www_bget?ec:2.7.4.6" TargetMode="External"/><Relationship Id="rId2715" Type="http://schemas.openxmlformats.org/officeDocument/2006/relationships/hyperlink" Target="https://enzyme.expasy.org/EC/2.3.1.54" TargetMode="External"/><Relationship Id="rId2922" Type="http://schemas.openxmlformats.org/officeDocument/2006/relationships/hyperlink" Target="https://enzyme.expasy.org/EC/2.8.1.2" TargetMode="External"/><Relationship Id="rId1317" Type="http://schemas.openxmlformats.org/officeDocument/2006/relationships/hyperlink" Target="https://www.genome.jp/entry/R01954" TargetMode="External"/><Relationship Id="rId1524" Type="http://schemas.openxmlformats.org/officeDocument/2006/relationships/hyperlink" Target="https://www.genome.jp/dbget-bin/www_bget?ec:4.3.1.17" TargetMode="External"/><Relationship Id="rId1731" Type="http://schemas.openxmlformats.org/officeDocument/2006/relationships/hyperlink" Target="https://www.genome.jp/entry/R03661" TargetMode="External"/><Relationship Id="rId1969" Type="http://schemas.openxmlformats.org/officeDocument/2006/relationships/hyperlink" Target="https://www.genome.jp/dbget-bin/www_bget?2.8.1.8" TargetMode="External"/><Relationship Id="rId3184" Type="http://schemas.openxmlformats.org/officeDocument/2006/relationships/hyperlink" Target="https://enzyme.expasy.org/EC/2.7.7.7" TargetMode="External"/><Relationship Id="rId23" Type="http://schemas.openxmlformats.org/officeDocument/2006/relationships/hyperlink" Target="https://enzyme.expasy.org/EC/5.1.1.1" TargetMode="External"/><Relationship Id="rId1829" Type="http://schemas.openxmlformats.org/officeDocument/2006/relationships/hyperlink" Target="https://www.genome.jp/entry/R00429" TargetMode="External"/><Relationship Id="rId3391" Type="http://schemas.openxmlformats.org/officeDocument/2006/relationships/hyperlink" Target="https://www.genome.jp/dbget-bin/www_bget?ec:1.1.1.306" TargetMode="External"/><Relationship Id="rId3489" Type="http://schemas.openxmlformats.org/officeDocument/2006/relationships/hyperlink" Target="https://www.genome.jp/dbget-bin/www_bget?ec:1.1.1.31" TargetMode="External"/><Relationship Id="rId3696" Type="http://schemas.openxmlformats.org/officeDocument/2006/relationships/hyperlink" Target="https://www.genome.jp/dbget-bin/www_bget?ec:5.3.1.9" TargetMode="External"/><Relationship Id="rId2298" Type="http://schemas.openxmlformats.org/officeDocument/2006/relationships/hyperlink" Target="https://www.genome.jp/entry/R01312/R02027/R02052/R03332/R07381" TargetMode="External"/><Relationship Id="rId3044" Type="http://schemas.openxmlformats.org/officeDocument/2006/relationships/hyperlink" Target="https://www.genome.jp/dbget-bin/www_bget?ec:3.2.1.52" TargetMode="External"/><Relationship Id="rId3251" Type="http://schemas.openxmlformats.org/officeDocument/2006/relationships/hyperlink" Target="https://www.genome.jp/entry/R00379/R00375/R00376/R00377/R00378/R11029" TargetMode="External"/><Relationship Id="rId3349" Type="http://schemas.openxmlformats.org/officeDocument/2006/relationships/hyperlink" Target="https://enzyme.expasy.org/EC/2.2.1.6" TargetMode="External"/><Relationship Id="rId3556" Type="http://schemas.openxmlformats.org/officeDocument/2006/relationships/hyperlink" Target="https://www.genome.jp/entry/R00444/R00435/R00441/R00442/R00443/R10813" TargetMode="External"/><Relationship Id="rId172" Type="http://schemas.openxmlformats.org/officeDocument/2006/relationships/hyperlink" Target="https://enzyme.expasy.org/EC/6.3.4.15" TargetMode="External"/><Relationship Id="rId477" Type="http://schemas.openxmlformats.org/officeDocument/2006/relationships/hyperlink" Target="https://enzyme.expasy.org/EC/5.1.1.7" TargetMode="External"/><Relationship Id="rId684" Type="http://schemas.openxmlformats.org/officeDocument/2006/relationships/hyperlink" Target="https://enzyme.expasy.org/EC/2.1.1.-" TargetMode="External"/><Relationship Id="rId2060" Type="http://schemas.openxmlformats.org/officeDocument/2006/relationships/hyperlink" Target="https://www.genome.jp/entry/R00424/R00428/R04639/R05046/R05048" TargetMode="External"/><Relationship Id="rId2158" Type="http://schemas.openxmlformats.org/officeDocument/2006/relationships/hyperlink" Target="https://www.genome.jp/entry/R03654" TargetMode="External"/><Relationship Id="rId2365" Type="http://schemas.openxmlformats.org/officeDocument/2006/relationships/hyperlink" Target="https://www.genome.jp/entry/R00857/R01030/R01470" TargetMode="External"/><Relationship Id="rId3111" Type="http://schemas.openxmlformats.org/officeDocument/2006/relationships/hyperlink" Target="https://www.genome.jp/entry/R00582/R02853" TargetMode="External"/><Relationship Id="rId3209" Type="http://schemas.openxmlformats.org/officeDocument/2006/relationships/hyperlink" Target="https://www.genome.jp/dbget-bin/www_bget?ec:2.7.7.7" TargetMode="External"/><Relationship Id="rId3763" Type="http://schemas.openxmlformats.org/officeDocument/2006/relationships/hyperlink" Target="https://www.genome.jp/dbget-bin/www_bget?ec:4.2.1.17" TargetMode="External"/><Relationship Id="rId337" Type="http://schemas.openxmlformats.org/officeDocument/2006/relationships/hyperlink" Target="https://enzyme.expasy.org/EC/4.2.1.33" TargetMode="External"/><Relationship Id="rId891" Type="http://schemas.openxmlformats.org/officeDocument/2006/relationships/hyperlink" Target="https://www.genome.jp/entry/R12078/R12079" TargetMode="External"/><Relationship Id="rId989" Type="http://schemas.openxmlformats.org/officeDocument/2006/relationships/hyperlink" Target="https://www.genome.jp/dbget-bin/www_bget?ec:4.2.1.24" TargetMode="External"/><Relationship Id="rId2018" Type="http://schemas.openxmlformats.org/officeDocument/2006/relationships/hyperlink" Target="https://enzyme.expasy.org/EC/1.1.1.1" TargetMode="External"/><Relationship Id="rId2572" Type="http://schemas.openxmlformats.org/officeDocument/2006/relationships/hyperlink" Target="https://www.genome.jp/entry/R05352" TargetMode="External"/><Relationship Id="rId2877" Type="http://schemas.openxmlformats.org/officeDocument/2006/relationships/hyperlink" Target="https://www.genome.jp/dbget-bin/www_bget?ec:2.5.1.15" TargetMode="External"/><Relationship Id="rId3416" Type="http://schemas.openxmlformats.org/officeDocument/2006/relationships/hyperlink" Target="https://www.genome.jp/entry/R08550/R03815/R07618/R01698" TargetMode="External"/><Relationship Id="rId3623" Type="http://schemas.openxmlformats.org/officeDocument/2006/relationships/hyperlink" Target="https://enzyme.expasy.org/EC/6.3.4.15" TargetMode="External"/><Relationship Id="rId3830" Type="http://schemas.openxmlformats.org/officeDocument/2006/relationships/hyperlink" Target="https://www.genome.jp/entry/R00515/R01668" TargetMode="External"/><Relationship Id="rId544" Type="http://schemas.openxmlformats.org/officeDocument/2006/relationships/hyperlink" Target="https://enzyme.expasy.org/EC/2.7.11.1" TargetMode="External"/><Relationship Id="rId751" Type="http://schemas.openxmlformats.org/officeDocument/2006/relationships/hyperlink" Target="https://enzyme.expasy.org/EC/4.2.1.51" TargetMode="External"/><Relationship Id="rId849" Type="http://schemas.openxmlformats.org/officeDocument/2006/relationships/hyperlink" Target="https://www.genome.jp/dbget-bin/www_bget?ec:2.7.13.3" TargetMode="External"/><Relationship Id="rId1174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1381" Type="http://schemas.openxmlformats.org/officeDocument/2006/relationships/hyperlink" Target="https://www.genome.jp/dbget-bin/www_bget?ec:2.2.1.1" TargetMode="External"/><Relationship Id="rId1479" Type="http://schemas.openxmlformats.org/officeDocument/2006/relationships/hyperlink" Target="https://www.genome.jp/entry/R00256/R00575/R01395/R10948/R10949/R07641" TargetMode="External"/><Relationship Id="rId1686" Type="http://schemas.openxmlformats.org/officeDocument/2006/relationships/hyperlink" Target="https://www.genome.jp/entry/R02768/R04355/R04726/R04952/R04957/R04960/R04963/R04968/R07762/R10115/R10119" TargetMode="External"/><Relationship Id="rId2225" Type="http://schemas.openxmlformats.org/officeDocument/2006/relationships/hyperlink" Target="https://enzyme.expasy.org/EC/3.1.1.1" TargetMode="External"/><Relationship Id="rId2432" Type="http://schemas.openxmlformats.org/officeDocument/2006/relationships/hyperlink" Target="https://www.genome.jp/dbget-bin/www_bget?ec:1.17.4.1" TargetMode="External"/><Relationship Id="rId3928" Type="http://schemas.openxmlformats.org/officeDocument/2006/relationships/hyperlink" Target="https://www.genome.jp/dbget-bin/www_bget?ec:4.2.1.33" TargetMode="External"/><Relationship Id="rId404" Type="http://schemas.openxmlformats.org/officeDocument/2006/relationships/hyperlink" Target="https://enzyme.expasy.org/EC/2.8.1.7" TargetMode="External"/><Relationship Id="rId611" Type="http://schemas.openxmlformats.org/officeDocument/2006/relationships/hyperlink" Target="https://enzyme.expasy.org/EC/2.7.7.18" TargetMode="External"/><Relationship Id="rId1034" Type="http://schemas.openxmlformats.org/officeDocument/2006/relationships/hyperlink" Target="https://www.genome.jp/dbget-bin/www_bget?ec:5.4.99.12" TargetMode="External"/><Relationship Id="rId1241" Type="http://schemas.openxmlformats.org/officeDocument/2006/relationships/hyperlink" Target="https://www.genome.jp/dbget-bin/www_bget?enzyme+3.5.2.7" TargetMode="External"/><Relationship Id="rId1339" Type="http://schemas.openxmlformats.org/officeDocument/2006/relationships/hyperlink" Target="https://www.genome.jp/entry/R01528" TargetMode="External"/><Relationship Id="rId1893" Type="http://schemas.openxmlformats.org/officeDocument/2006/relationships/hyperlink" Target="https://www.genome.jp/entry/2.4.99.28" TargetMode="External"/><Relationship Id="rId2737" Type="http://schemas.openxmlformats.org/officeDocument/2006/relationships/hyperlink" Target="https://www.genome.jp/entry/R01532/R00087/R00426/R00515/R00662/R11323/R00103/R00160/R00287/R03004/R03036" TargetMode="External"/><Relationship Id="rId2944" Type="http://schemas.openxmlformats.org/officeDocument/2006/relationships/hyperlink" Target="https://enzyme.expasy.org/EC/1.2.1.3" TargetMode="External"/><Relationship Id="rId709" Type="http://schemas.openxmlformats.org/officeDocument/2006/relationships/hyperlink" Target="https://enzyme.expasy.org/EC/3.5.1.18" TargetMode="External"/><Relationship Id="rId916" Type="http://schemas.openxmlformats.org/officeDocument/2006/relationships/hyperlink" Target="https://www.genome.jp/dbget-bin/www_bget?ec:2.7.2.4" TargetMode="External"/><Relationship Id="rId1101" Type="http://schemas.openxmlformats.org/officeDocument/2006/relationships/hyperlink" Target="https://www.genome.jp/entry/R01602/R10619" TargetMode="External"/><Relationship Id="rId1546" Type="http://schemas.openxmlformats.org/officeDocument/2006/relationships/hyperlink" Target="https://www.genome.jp/dbget-bin/www_bget?ec:6.1.1.21" TargetMode="External"/><Relationship Id="rId1753" Type="http://schemas.openxmlformats.org/officeDocument/2006/relationships/hyperlink" Target="https://www.genome.jp/dbget-bin/www_bget?ec:2.7.4.22" TargetMode="External"/><Relationship Id="rId1960" Type="http://schemas.openxmlformats.org/officeDocument/2006/relationships/hyperlink" Target="https://enzyme.expasy.org/EC/2.3.1.181" TargetMode="External"/><Relationship Id="rId2804" Type="http://schemas.openxmlformats.org/officeDocument/2006/relationships/hyperlink" Target="https://www.genome.jp/dbget-bin/www_bget?ec:3.4.21.83" TargetMode="External"/><Relationship Id="rId45" Type="http://schemas.openxmlformats.org/officeDocument/2006/relationships/hyperlink" Target="https://enzyme.expasy.org/EC/3.1.1.1" TargetMode="External"/><Relationship Id="rId1406" Type="http://schemas.openxmlformats.org/officeDocument/2006/relationships/hyperlink" Target="https://www.genome.jp/dbget-bin/www_bget?ec:2.7.2.3" TargetMode="External"/><Relationship Id="rId1613" Type="http://schemas.openxmlformats.org/officeDocument/2006/relationships/hyperlink" Target="https://www.genome.jp/entry/5.6.2.5" TargetMode="External"/><Relationship Id="rId1820" Type="http://schemas.openxmlformats.org/officeDocument/2006/relationships/hyperlink" Target="https://www.genome.jp/dbget-bin/www_bget?ec:1.1.1.23" TargetMode="External"/><Relationship Id="rId3066" Type="http://schemas.openxmlformats.org/officeDocument/2006/relationships/hyperlink" Target="https://enzyme.expasy.org/EC/5.1.3.9" TargetMode="External"/><Relationship Id="rId3273" Type="http://schemas.openxmlformats.org/officeDocument/2006/relationships/hyperlink" Target="https://www.genome.jp/entry/R00379/R00375/R00376/R00377/R00378/R11029" TargetMode="External"/><Relationship Id="rId3480" Type="http://schemas.openxmlformats.org/officeDocument/2006/relationships/hyperlink" Target="https://www.genome.jp/dbget-bin/www_bget?ec:2.1.1.107" TargetMode="External"/><Relationship Id="rId194" Type="http://schemas.openxmlformats.org/officeDocument/2006/relationships/hyperlink" Target="https://enzyme.expasy.org/EC/2.7.13.3" TargetMode="External"/><Relationship Id="rId1918" Type="http://schemas.openxmlformats.org/officeDocument/2006/relationships/hyperlink" Target="https://www.genome.jp/dbget-bin/www_bget?ec:7.1.1.9" TargetMode="External"/><Relationship Id="rId2082" Type="http://schemas.openxmlformats.org/officeDocument/2006/relationships/hyperlink" Target="https://www.genome.jp/entry/R07297/R00183/R00511/R00963/R01126/R01227/R02323/R02719/R03346/R01569/R01664/R01968/R02088/R02102/R12958" TargetMode="External"/><Relationship Id="rId3133" Type="http://schemas.openxmlformats.org/officeDocument/2006/relationships/hyperlink" Target="https://www.genome.jp/dbget-bin/www_bget?ec:2.7.11.1" TargetMode="External"/><Relationship Id="rId3578" Type="http://schemas.openxmlformats.org/officeDocument/2006/relationships/hyperlink" Target="https://enzyme.expasy.org/EC/1.6.5.2" TargetMode="External"/><Relationship Id="rId3785" Type="http://schemas.openxmlformats.org/officeDocument/2006/relationships/hyperlink" Target="https://www.genome.jp/entry/R03018/R02971/R04391" TargetMode="External"/><Relationship Id="rId261" Type="http://schemas.openxmlformats.org/officeDocument/2006/relationships/hyperlink" Target="https://enzyme.expasy.org/EC/3.6.1.40" TargetMode="External"/><Relationship Id="rId499" Type="http://schemas.openxmlformats.org/officeDocument/2006/relationships/hyperlink" Target="https://enzyme.expasy.org/EC/1.17.7.1" TargetMode="External"/><Relationship Id="rId2387" Type="http://schemas.openxmlformats.org/officeDocument/2006/relationships/hyperlink" Target="https://www.genome.jp/entry/R07324" TargetMode="External"/><Relationship Id="rId2594" Type="http://schemas.openxmlformats.org/officeDocument/2006/relationships/hyperlink" Target="https://www.genome.jp/entry/R03260/R00999/R01288/R02508/R03217/R04944/R04945/R04946" TargetMode="External"/><Relationship Id="rId3340" Type="http://schemas.openxmlformats.org/officeDocument/2006/relationships/hyperlink" Target="https://enzyme.expasy.org/EC/2.2.1.6" TargetMode="External"/><Relationship Id="rId3438" Type="http://schemas.openxmlformats.org/officeDocument/2006/relationships/hyperlink" Target="https://enzyme.expasy.org/EC/1.3.5.1" TargetMode="External"/><Relationship Id="rId3645" Type="http://schemas.openxmlformats.org/officeDocument/2006/relationships/hyperlink" Target="https://enzyme.expasy.org/EC/3.1.3.25" TargetMode="External"/><Relationship Id="rId3852" Type="http://schemas.openxmlformats.org/officeDocument/2006/relationships/hyperlink" Target="https://enzyme.expasy.org/EC/2.8.1.7" TargetMode="External"/><Relationship Id="rId359" Type="http://schemas.openxmlformats.org/officeDocument/2006/relationships/hyperlink" Target="https://enzyme.expasy.org/EC/4.3.1.28" TargetMode="External"/><Relationship Id="rId566" Type="http://schemas.openxmlformats.org/officeDocument/2006/relationships/hyperlink" Target="https://enzyme.expasy.org/EC/7.6.2.8" TargetMode="External"/><Relationship Id="rId773" Type="http://schemas.openxmlformats.org/officeDocument/2006/relationships/hyperlink" Target="https://enzyme.expasy.org/EC/2.7.1.2" TargetMode="External"/><Relationship Id="rId1196" Type="http://schemas.openxmlformats.org/officeDocument/2006/relationships/hyperlink" Target="https://www.genome.jp/entry/R03409" TargetMode="External"/><Relationship Id="rId2247" Type="http://schemas.openxmlformats.org/officeDocument/2006/relationships/hyperlink" Target="https://www.genome.jp/dbget-bin/www_bget?ec:3.1.1.1" TargetMode="External"/><Relationship Id="rId2454" Type="http://schemas.openxmlformats.org/officeDocument/2006/relationships/hyperlink" Target="https://www.genome.jp/entry/R00986/R00985" TargetMode="External"/><Relationship Id="rId2899" Type="http://schemas.openxmlformats.org/officeDocument/2006/relationships/hyperlink" Target="https://www.genome.jp/dbget-bin/www_bget?ec:2.8.1.1" TargetMode="External"/><Relationship Id="rId3200" Type="http://schemas.openxmlformats.org/officeDocument/2006/relationships/hyperlink" Target="https://www.genome.jp/dbget-bin/www_bget?ec:2.7.7.7" TargetMode="External"/><Relationship Id="rId3505" Type="http://schemas.openxmlformats.org/officeDocument/2006/relationships/hyperlink" Target="https://www.genome.jp/entry/R00444/R00435/R00441/R00442/R00443/R10813" TargetMode="External"/><Relationship Id="rId121" Type="http://schemas.openxmlformats.org/officeDocument/2006/relationships/hyperlink" Target="https://enzyme.expasy.org/EC/3.3.2.10" TargetMode="External"/><Relationship Id="rId219" Type="http://schemas.openxmlformats.org/officeDocument/2006/relationships/hyperlink" Target="https://enzyme.expasy.org/EC/1.5.1.3" TargetMode="External"/><Relationship Id="rId426" Type="http://schemas.openxmlformats.org/officeDocument/2006/relationships/hyperlink" Target="https://enzyme.expasy.org/EC/6.3.5.5" TargetMode="External"/><Relationship Id="rId633" Type="http://schemas.openxmlformats.org/officeDocument/2006/relationships/hyperlink" Target="https://enzyme.expasy.org/EC/1.1.1.100" TargetMode="External"/><Relationship Id="rId980" Type="http://schemas.openxmlformats.org/officeDocument/2006/relationships/hyperlink" Target="https://www.genome.jp/entry/R00582/R02853" TargetMode="External"/><Relationship Id="rId1056" Type="http://schemas.openxmlformats.org/officeDocument/2006/relationships/hyperlink" Target="https://www.genome.jp/dbget-bin/www_bget?ec:6.1.1.2" TargetMode="External"/><Relationship Id="rId1263" Type="http://schemas.openxmlformats.org/officeDocument/2006/relationships/hyperlink" Target="https://www.genome.jp/dbget-bin/www_bget?ec:7.1.2.2" TargetMode="External"/><Relationship Id="rId2107" Type="http://schemas.openxmlformats.org/officeDocument/2006/relationships/hyperlink" Target="https://enzyme.expasy.org/EC/3.1.3.5" TargetMode="External"/><Relationship Id="rId2314" Type="http://schemas.openxmlformats.org/officeDocument/2006/relationships/hyperlink" Target="https://www.genome.jp/entry/R03005/R00137" TargetMode="External"/><Relationship Id="rId2661" Type="http://schemas.openxmlformats.org/officeDocument/2006/relationships/hyperlink" Target="https://enzyme.expasy.org/EC/1.1.1.100" TargetMode="External"/><Relationship Id="rId2759" Type="http://schemas.openxmlformats.org/officeDocument/2006/relationships/hyperlink" Target="https://www.genome.jp/entry/R00897/R03601/R04859/R07274" TargetMode="External"/><Relationship Id="rId2966" Type="http://schemas.openxmlformats.org/officeDocument/2006/relationships/hyperlink" Target="https://www.genome.jp/dbget-bin/www_bget?ec:1.2.1.3" TargetMode="External"/><Relationship Id="rId3712" Type="http://schemas.openxmlformats.org/officeDocument/2006/relationships/hyperlink" Target="https://www.genome.jp/entry/R03659/R04773" TargetMode="External"/><Relationship Id="rId840" Type="http://schemas.openxmlformats.org/officeDocument/2006/relationships/hyperlink" Target="https://www.genome.jp/entry/R00162/R03632" TargetMode="External"/><Relationship Id="rId938" Type="http://schemas.openxmlformats.org/officeDocument/2006/relationships/hyperlink" Target="https://www.genome.jp/dbget-bin/www_bget?ec:3.4.11.2" TargetMode="External"/><Relationship Id="rId1470" Type="http://schemas.openxmlformats.org/officeDocument/2006/relationships/hyperlink" Target="https://www.genome.jp/dbget-bin/www_bget?ec:6.3.5.5" TargetMode="External"/><Relationship Id="rId1568" Type="http://schemas.openxmlformats.org/officeDocument/2006/relationships/hyperlink" Target="https://www.genome.jp/dbget-bin/www_bget?enzyme+1.20.9.1" TargetMode="External"/><Relationship Id="rId1775" Type="http://schemas.openxmlformats.org/officeDocument/2006/relationships/hyperlink" Target="https://enzyme.expasy.org/EC/1.4.1.2" TargetMode="External"/><Relationship Id="rId2521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619" Type="http://schemas.openxmlformats.org/officeDocument/2006/relationships/hyperlink" Target="https://www.genome.jp/entry/R00396/R00145/R00146/R00365" TargetMode="External"/><Relationship Id="rId2826" Type="http://schemas.openxmlformats.org/officeDocument/2006/relationships/hyperlink" Target="https://www.genome.jp/dbget-bin/www_bget?ec:4.6.1.12" TargetMode="External"/><Relationship Id="rId67" Type="http://schemas.openxmlformats.org/officeDocument/2006/relationships/hyperlink" Target="https://enzyme.expasy.org/EC/3.5.1.25" TargetMode="External"/><Relationship Id="rId700" Type="http://schemas.openxmlformats.org/officeDocument/2006/relationships/hyperlink" Target="https://enzyme.expasy.org/EC/3.5.4.16" TargetMode="External"/><Relationship Id="rId1123" Type="http://schemas.openxmlformats.org/officeDocument/2006/relationships/hyperlink" Target="https://www.genome.jp/entry/R00103/R11104/R03004" TargetMode="External"/><Relationship Id="rId1330" Type="http://schemas.openxmlformats.org/officeDocument/2006/relationships/hyperlink" Target="https://www.genome.jp/dbget-bin/www_bget?ec:2.1.1.226" TargetMode="External"/><Relationship Id="rId1428" Type="http://schemas.openxmlformats.org/officeDocument/2006/relationships/hyperlink" Target="https://www.genome.jp/entry/R00291/R00418/R02984" TargetMode="External"/><Relationship Id="rId1635" Type="http://schemas.openxmlformats.org/officeDocument/2006/relationships/hyperlink" Target="https://www.genome.jp/dbget-bin/www_bget?ec:2.7.3.9" TargetMode="External"/><Relationship Id="rId1982" Type="http://schemas.openxmlformats.org/officeDocument/2006/relationships/hyperlink" Target="https://www.genome.jp/entry/R01466/R05086" TargetMode="External"/><Relationship Id="rId3088" Type="http://schemas.openxmlformats.org/officeDocument/2006/relationships/hyperlink" Target="https://enzyme.expasy.org/EC/3.1.1.1" TargetMode="External"/><Relationship Id="rId1842" Type="http://schemas.openxmlformats.org/officeDocument/2006/relationships/hyperlink" Target="https://www.genome.jp/dbget-bin/www_bget?ec:4.3.1.19" TargetMode="External"/><Relationship Id="rId3295" Type="http://schemas.openxmlformats.org/officeDocument/2006/relationships/hyperlink" Target="https://enzyme.expasy.org/EC/1.5.1.20" TargetMode="External"/><Relationship Id="rId1702" Type="http://schemas.openxmlformats.org/officeDocument/2006/relationships/hyperlink" Target="https://enzyme.expasy.org/EC/2.3.1.41" TargetMode="External"/><Relationship Id="rId3155" Type="http://schemas.openxmlformats.org/officeDocument/2006/relationships/hyperlink" Target="https://www.genome.jp/dbget-bin/www_bget?ec:2.7.7.7" TargetMode="External"/><Relationship Id="rId3362" Type="http://schemas.openxmlformats.org/officeDocument/2006/relationships/hyperlink" Target="https://www.genome.jp/dbget-bin/www_bget?ec:2.4.1.287" TargetMode="External"/><Relationship Id="rId283" Type="http://schemas.openxmlformats.org/officeDocument/2006/relationships/hyperlink" Target="https://enzyme.expasy.org/EC/2.4.1.266" TargetMode="External"/><Relationship Id="rId490" Type="http://schemas.openxmlformats.org/officeDocument/2006/relationships/hyperlink" Target="https://enzyme.expasy.org/EC/3.1.-.-" TargetMode="External"/><Relationship Id="rId2171" Type="http://schemas.openxmlformats.org/officeDocument/2006/relationships/hyperlink" Target="https://enzyme.expasy.org/EC/2.7.2.1" TargetMode="External"/><Relationship Id="rId3015" Type="http://schemas.openxmlformats.org/officeDocument/2006/relationships/hyperlink" Target="https://www.genome.jp/entry/R00022/R03492/R04184/R04586/R05963/R06001/R06004/R06141/R07809/R07810/R09323/R10831/R11316/R11317/R12963" TargetMode="External"/><Relationship Id="rId3222" Type="http://schemas.openxmlformats.org/officeDocument/2006/relationships/hyperlink" Target="https://www.genome.jp/entry/R00379/R00375/R00376/R00377/R00378/R11029" TargetMode="External"/><Relationship Id="rId3667" Type="http://schemas.openxmlformats.org/officeDocument/2006/relationships/hyperlink" Target="https://www.genome.jp/dbget-bin/www_bget?ec:2.6.1.52" TargetMode="External"/><Relationship Id="rId3874" Type="http://schemas.openxmlformats.org/officeDocument/2006/relationships/hyperlink" Target="https://www.genome.jp/dbget-bin/www_bget?ec:2.7.1.11" TargetMode="External"/><Relationship Id="rId143" Type="http://schemas.openxmlformats.org/officeDocument/2006/relationships/hyperlink" Target="https://enzyme.expasy.org/EC/6.2.1.3" TargetMode="External"/><Relationship Id="rId350" Type="http://schemas.openxmlformats.org/officeDocument/2006/relationships/hyperlink" Target="https://enzyme.expasy.org/EC/2.1.1.-" TargetMode="External"/><Relationship Id="rId588" Type="http://schemas.openxmlformats.org/officeDocument/2006/relationships/hyperlink" Target="https://enzyme.expasy.org/EC/2.7.7.-" TargetMode="External"/><Relationship Id="rId795" Type="http://schemas.openxmlformats.org/officeDocument/2006/relationships/hyperlink" Target="https://enzyme.expasy.org/EC/2.4.2.10" TargetMode="External"/><Relationship Id="rId2031" Type="http://schemas.openxmlformats.org/officeDocument/2006/relationships/hyperlink" Target="https://www.genome.jp/dbget-bin/www_bget?ec:1.1.1.1" TargetMode="External"/><Relationship Id="rId2269" Type="http://schemas.openxmlformats.org/officeDocument/2006/relationships/hyperlink" Target="https://www.genome.jp/entry/R12188/R01286/R02408/R02953/R03528/R00782/R04941/R09366" TargetMode="External"/><Relationship Id="rId2476" Type="http://schemas.openxmlformats.org/officeDocument/2006/relationships/hyperlink" Target="https://www.genome.jp/dbget-bin/www_bget?EC:4.2.1.20" TargetMode="External"/><Relationship Id="rId2683" Type="http://schemas.openxmlformats.org/officeDocument/2006/relationships/hyperlink" Target="https://www.genome.jp/dbget-bin/www_bget?ec:1.1.1.100" TargetMode="External"/><Relationship Id="rId2890" Type="http://schemas.openxmlformats.org/officeDocument/2006/relationships/hyperlink" Target="https://enzyme.expasy.org/EC/2.4.2.8" TargetMode="External"/><Relationship Id="rId3527" Type="http://schemas.openxmlformats.org/officeDocument/2006/relationships/hyperlink" Target="https://enzyme.expasy.org/EC/2.7.7.6" TargetMode="External"/><Relationship Id="rId3734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941" Type="http://schemas.openxmlformats.org/officeDocument/2006/relationships/hyperlink" Target="https://www.genome.jp/dbget-bin/www_bget?ec:6.4.1.3" TargetMode="External"/><Relationship Id="rId9" Type="http://schemas.openxmlformats.org/officeDocument/2006/relationships/hyperlink" Target="https://enzyme.expasy.org/EC/2.7.7.6" TargetMode="External"/><Relationship Id="rId210" Type="http://schemas.openxmlformats.org/officeDocument/2006/relationships/hyperlink" Target="https://enzyme.expasy.org/EC/2.1.1.185" TargetMode="External"/><Relationship Id="rId448" Type="http://schemas.openxmlformats.org/officeDocument/2006/relationships/hyperlink" Target="https://enzyme.expasy.org/EC/3.6.4.12" TargetMode="External"/><Relationship Id="rId655" Type="http://schemas.openxmlformats.org/officeDocument/2006/relationships/hyperlink" Target="https://enzyme.expasy.org/EC/1.17.4.1" TargetMode="External"/><Relationship Id="rId862" Type="http://schemas.openxmlformats.org/officeDocument/2006/relationships/hyperlink" Target="https://www.genome.jp/entry/R01078" TargetMode="External"/><Relationship Id="rId1078" Type="http://schemas.openxmlformats.org/officeDocument/2006/relationships/hyperlink" Target="https://www.genome.jp/dbget-bin/www_bget?ec:6.4.1.7" TargetMode="External"/><Relationship Id="rId1285" Type="http://schemas.openxmlformats.org/officeDocument/2006/relationships/hyperlink" Target="https://www.genome.jp/entry/R01717" TargetMode="External"/><Relationship Id="rId1492" Type="http://schemas.openxmlformats.org/officeDocument/2006/relationships/hyperlink" Target="https://www.genome.jp/dbget-bin/www_bget?ec:6.3.5.5" TargetMode="External"/><Relationship Id="rId2129" Type="http://schemas.openxmlformats.org/officeDocument/2006/relationships/hyperlink" Target="https://www.genome.jp/entry/R03210/R10124" TargetMode="External"/><Relationship Id="rId2336" Type="http://schemas.openxmlformats.org/officeDocument/2006/relationships/hyperlink" Target="https://www.genome.jp/entry/R00804" TargetMode="External"/><Relationship Id="rId2543" Type="http://schemas.openxmlformats.org/officeDocument/2006/relationships/hyperlink" Target="https://enzyme.expasy.org/EC/2.7.4.6" TargetMode="External"/><Relationship Id="rId2750" Type="http://schemas.openxmlformats.org/officeDocument/2006/relationships/hyperlink" Target="https://www.genome.jp/dbget-bin/www_bget?ec:2.7.7.56" TargetMode="External"/><Relationship Id="rId2988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801" Type="http://schemas.openxmlformats.org/officeDocument/2006/relationships/hyperlink" Target="https://enzyme.expasy.org/EC/3.2.1.26" TargetMode="External"/><Relationship Id="rId308" Type="http://schemas.openxmlformats.org/officeDocument/2006/relationships/hyperlink" Target="https://enzyme.expasy.org/EC/2.7.7.87" TargetMode="External"/><Relationship Id="rId515" Type="http://schemas.openxmlformats.org/officeDocument/2006/relationships/hyperlink" Target="https://enzyme.expasy.org/EC/3.-.-.-" TargetMode="External"/><Relationship Id="rId722" Type="http://schemas.openxmlformats.org/officeDocument/2006/relationships/hyperlink" Target="https://enzyme.expasy.org/EC/3.5.1.28" TargetMode="External"/><Relationship Id="rId1145" Type="http://schemas.openxmlformats.org/officeDocument/2006/relationships/hyperlink" Target="https://www.genome.jp/entry/R00939/R00936/R00937/R00940/R02235/R02236/R11765" TargetMode="External"/><Relationship Id="rId1352" Type="http://schemas.openxmlformats.org/officeDocument/2006/relationships/hyperlink" Target="https://www.genome.jp/entry/R00943" TargetMode="External"/><Relationship Id="rId1797" Type="http://schemas.openxmlformats.org/officeDocument/2006/relationships/hyperlink" Target="https://enzyme.expasy.org/EC/2.7.1.40" TargetMode="External"/><Relationship Id="rId2403" Type="http://schemas.openxmlformats.org/officeDocument/2006/relationships/hyperlink" Target="https://www.genome.jp/dbget-bin/www_bget?ec:1.17.4.1" TargetMode="External"/><Relationship Id="rId2848" Type="http://schemas.openxmlformats.org/officeDocument/2006/relationships/hyperlink" Target="https://www.genome.jp/entry/R02065/R04218/R10177/R07270/R07916" TargetMode="External"/><Relationship Id="rId89" Type="http://schemas.openxmlformats.org/officeDocument/2006/relationships/hyperlink" Target="https://enzyme.expasy.org/EC/3.5.1.91" TargetMode="External"/><Relationship Id="rId1005" Type="http://schemas.openxmlformats.org/officeDocument/2006/relationships/hyperlink" Target="https://www.genome.jp/entry/R04150/R07263" TargetMode="External"/><Relationship Id="rId1212" Type="http://schemas.openxmlformats.org/officeDocument/2006/relationships/hyperlink" Target="https://www.genome.jp/dbget-bin/www_bget?ec:3.4.19.3" TargetMode="External"/><Relationship Id="rId1657" Type="http://schemas.openxmlformats.org/officeDocument/2006/relationships/hyperlink" Target="https://www.genome.jp/dbget-bin/www_bget?ec:2.7.1.2" TargetMode="External"/><Relationship Id="rId1864" Type="http://schemas.openxmlformats.org/officeDocument/2006/relationships/hyperlink" Target="https://www.genome.jp/dbget-bin/www_bget?ec:2.4.1.227" TargetMode="External"/><Relationship Id="rId2610" Type="http://schemas.openxmlformats.org/officeDocument/2006/relationships/hyperlink" Target="https://www.genome.jp/dbget-bin/www_bget?ec:5.3.1.6" TargetMode="External"/><Relationship Id="rId2708" Type="http://schemas.openxmlformats.org/officeDocument/2006/relationships/hyperlink" Target="https://www.genome.jp/dbget-bin/www_bget?ec:2.3.1.54" TargetMode="External"/><Relationship Id="rId2915" Type="http://schemas.openxmlformats.org/officeDocument/2006/relationships/hyperlink" Target="https://www.genome.jp/dbget-bin/www_bget?ec:2.4.2.10" TargetMode="External"/><Relationship Id="rId1517" Type="http://schemas.openxmlformats.org/officeDocument/2006/relationships/hyperlink" Target="https://www.genome.jp/entry/R05706" TargetMode="External"/><Relationship Id="rId1724" Type="http://schemas.openxmlformats.org/officeDocument/2006/relationships/hyperlink" Target="https://www.genome.jp/entry/R07282/R00437/R00438/R00439/R00440" TargetMode="External"/><Relationship Id="rId3177" Type="http://schemas.openxmlformats.org/officeDocument/2006/relationships/hyperlink" Target="https://www.genome.jp/entry/R00379/R00375/R00376/R00377/R00378/R11029" TargetMode="External"/><Relationship Id="rId16" Type="http://schemas.openxmlformats.org/officeDocument/2006/relationships/hyperlink" Target="https://enzyme.expasy.org/EC/3.4.11.18" TargetMode="External"/><Relationship Id="rId1931" Type="http://schemas.openxmlformats.org/officeDocument/2006/relationships/hyperlink" Target="https://www.genome.jp/dbget-bin/www_bget?ec:2.4.2.21" TargetMode="External"/><Relationship Id="rId3037" Type="http://schemas.openxmlformats.org/officeDocument/2006/relationships/hyperlink" Target="https://enzyme.expasy.org/EC/3.2.1.52" TargetMode="External"/><Relationship Id="rId3384" Type="http://schemas.openxmlformats.org/officeDocument/2006/relationships/hyperlink" Target="https://enzyme.expasy.org/EC/3.3.2.10" TargetMode="External"/><Relationship Id="rId3591" Type="http://schemas.openxmlformats.org/officeDocument/2006/relationships/hyperlink" Target="https://www.genome.jp/dbget-bin/www_bget?ec:2.7.8.23" TargetMode="External"/><Relationship Id="rId3689" Type="http://schemas.openxmlformats.org/officeDocument/2006/relationships/hyperlink" Target="https://enzyme.expasy.org/EC/5.3.1.9" TargetMode="External"/><Relationship Id="rId3896" Type="http://schemas.openxmlformats.org/officeDocument/2006/relationships/hyperlink" Target="https://www.genome.jp/entry/R04439/R03051/R04440/R05068/R05069/R05071" TargetMode="External"/><Relationship Id="rId2193" Type="http://schemas.openxmlformats.org/officeDocument/2006/relationships/hyperlink" Target="https://enzyme.expasy.org/EC/2.7.1.35" TargetMode="External"/><Relationship Id="rId2498" Type="http://schemas.openxmlformats.org/officeDocument/2006/relationships/hyperlink" Target="https://www.genome.jp/dbget-bin/www_bget?ec:3.1.26.12" TargetMode="External"/><Relationship Id="rId3244" Type="http://schemas.openxmlformats.org/officeDocument/2006/relationships/hyperlink" Target="https://enzyme.expasy.org/EC/2.7.7.7" TargetMode="External"/><Relationship Id="rId3451" Type="http://schemas.openxmlformats.org/officeDocument/2006/relationships/hyperlink" Target="https://www.genome.jp/entry/R00269" TargetMode="External"/><Relationship Id="rId3549" Type="http://schemas.openxmlformats.org/officeDocument/2006/relationships/hyperlink" Target="https://www.genome.jp/dbget-bin/www_bget?ec:2.7.7.6" TargetMode="External"/><Relationship Id="rId165" Type="http://schemas.openxmlformats.org/officeDocument/2006/relationships/hyperlink" Target="https://enzyme.expasy.org/EC/3.1.-.-" TargetMode="External"/><Relationship Id="rId372" Type="http://schemas.openxmlformats.org/officeDocument/2006/relationships/hyperlink" Target="https://enzyme.expasy.org/EC/2.3.1.-" TargetMode="External"/><Relationship Id="rId677" Type="http://schemas.openxmlformats.org/officeDocument/2006/relationships/hyperlink" Target="https://enzyme.expasy.org/EC/4.3.2.2" TargetMode="External"/><Relationship Id="rId2053" Type="http://schemas.openxmlformats.org/officeDocument/2006/relationships/hyperlink" Target="https://enzyme.expasy.org/EC/3.5.4.16" TargetMode="External"/><Relationship Id="rId2260" Type="http://schemas.openxmlformats.org/officeDocument/2006/relationships/hyperlink" Target="https://www.genome.jp/entry/4.4.1.13" TargetMode="External"/><Relationship Id="rId2358" Type="http://schemas.openxmlformats.org/officeDocument/2006/relationships/hyperlink" Target="https://www.genome.jp/entry/R01373/R00691" TargetMode="External"/><Relationship Id="rId3104" Type="http://schemas.openxmlformats.org/officeDocument/2006/relationships/hyperlink" Target="https://www.genome.jp/dbget-bin/www_bget?ec:3.1.3.3" TargetMode="External"/><Relationship Id="rId3311" Type="http://schemas.openxmlformats.org/officeDocument/2006/relationships/hyperlink" Target="https://www.genome.jp/dbget-bin/www_bget?ec:2.2.1.6" TargetMode="External"/><Relationship Id="rId3756" Type="http://schemas.openxmlformats.org/officeDocument/2006/relationships/hyperlink" Target="https://enzyme.expasy.org/EC/4.2.1.17" TargetMode="External"/><Relationship Id="rId3963" Type="http://schemas.openxmlformats.org/officeDocument/2006/relationships/hyperlink" Target="https://www.genome.jp/entry/R00630/R06728/R08255/R08258/R08220/R08249/R08251/R08295/R08300" TargetMode="External"/><Relationship Id="rId232" Type="http://schemas.openxmlformats.org/officeDocument/2006/relationships/hyperlink" Target="https://enzyme.expasy.org/EC/2.3.1.-" TargetMode="External"/><Relationship Id="rId884" Type="http://schemas.openxmlformats.org/officeDocument/2006/relationships/hyperlink" Target="https://www.genome.jp/dbget-bin/www_bget?ec:2.2.1.6" TargetMode="External"/><Relationship Id="rId2120" Type="http://schemas.openxmlformats.org/officeDocument/2006/relationships/hyperlink" Target="https://www.genome.jp/dbget-bin/www_bget?ec:3.1.3.5" TargetMode="External"/><Relationship Id="rId2565" Type="http://schemas.openxmlformats.org/officeDocument/2006/relationships/hyperlink" Target="https://www.genome.jp/dbget-bin/www_bget?ec:2.1.2.11" TargetMode="External"/><Relationship Id="rId2772" Type="http://schemas.openxmlformats.org/officeDocument/2006/relationships/hyperlink" Target="https://www.genome.jp/dbget-bin/www_bget?ec:2.3.1.189" TargetMode="External"/><Relationship Id="rId3409" Type="http://schemas.openxmlformats.org/officeDocument/2006/relationships/hyperlink" Target="https://www.genome.jp/dbget-bin/www_bget?ec:2.3.1.122" TargetMode="External"/><Relationship Id="rId3616" Type="http://schemas.openxmlformats.org/officeDocument/2006/relationships/hyperlink" Target="https://www.genome.jp/entry/R02108/R02112/R06209/R11262" TargetMode="External"/><Relationship Id="rId3823" Type="http://schemas.openxmlformats.org/officeDocument/2006/relationships/hyperlink" Target="https://www.genome.jp/dbget-bin/www_bget?ec:3.2.1.26" TargetMode="External"/><Relationship Id="rId537" Type="http://schemas.openxmlformats.org/officeDocument/2006/relationships/hyperlink" Target="https://enzyme.expasy.org/EC/6.3.2.9" TargetMode="External"/><Relationship Id="rId744" Type="http://schemas.openxmlformats.org/officeDocument/2006/relationships/hyperlink" Target="https://enzyme.expasy.org/EC/5.4.99.28" TargetMode="External"/><Relationship Id="rId951" Type="http://schemas.openxmlformats.org/officeDocument/2006/relationships/hyperlink" Target="https://www.genome.jp/dbget-bin/www_bget?ec:1.8.1.4" TargetMode="External"/><Relationship Id="rId1167" Type="http://schemas.openxmlformats.org/officeDocument/2006/relationships/hyperlink" Target="https://www.genome.jp/dbget-bin/www_bget?ec:6.1.1.10" TargetMode="External"/><Relationship Id="rId1374" Type="http://schemas.openxmlformats.org/officeDocument/2006/relationships/hyperlink" Target="https://www.genome.jp/entry/R01324/R01325/R01900" TargetMode="External"/><Relationship Id="rId1581" Type="http://schemas.openxmlformats.org/officeDocument/2006/relationships/hyperlink" Target="https://www.genome.jp/entry/5.6.2.7" TargetMode="External"/><Relationship Id="rId1679" Type="http://schemas.openxmlformats.org/officeDocument/2006/relationships/hyperlink" Target="https://www.genome.jp/dbget-bin/www_bget?ec:2.3.1.41" TargetMode="External"/><Relationship Id="rId2218" Type="http://schemas.openxmlformats.org/officeDocument/2006/relationships/hyperlink" Target="https://www.genome.jp/entry/R00630/R06728/R08255/R08258/R08220/R08249/R08251/R08295/R08300" TargetMode="External"/><Relationship Id="rId2425" Type="http://schemas.openxmlformats.org/officeDocument/2006/relationships/hyperlink" Target="https://enzyme.expasy.org/EC/1.17.4.1" TargetMode="External"/><Relationship Id="rId2632" Type="http://schemas.openxmlformats.org/officeDocument/2006/relationships/hyperlink" Target="https://enzyme.expasy.org/EC/1.1.1.100" TargetMode="External"/><Relationship Id="rId80" Type="http://schemas.openxmlformats.org/officeDocument/2006/relationships/hyperlink" Target="https://enzyme.expasy.org/EC/3.1.-.-" TargetMode="External"/><Relationship Id="rId604" Type="http://schemas.openxmlformats.org/officeDocument/2006/relationships/hyperlink" Target="https://enzyme.expasy.org/EC/3.6.3.-" TargetMode="External"/><Relationship Id="rId811" Type="http://schemas.openxmlformats.org/officeDocument/2006/relationships/hyperlink" Target="https://www.genome.jp/dbget-bin/www_bget?ec:2.7.7.7" TargetMode="External"/><Relationship Id="rId1027" Type="http://schemas.openxmlformats.org/officeDocument/2006/relationships/hyperlink" Target="https://www.genome.jp/dbget-bin/www_bget?ec:7.6.2.9" TargetMode="External"/><Relationship Id="rId1234" Type="http://schemas.openxmlformats.org/officeDocument/2006/relationships/hyperlink" Target="https://www.genome.jp/entry/R00515/R01668" TargetMode="External"/><Relationship Id="rId1441" Type="http://schemas.openxmlformats.org/officeDocument/2006/relationships/hyperlink" Target="https://enzyme.expasy.org/EC/3.5.1.88" TargetMode="External"/><Relationship Id="rId1886" Type="http://schemas.openxmlformats.org/officeDocument/2006/relationships/hyperlink" Target="https://www.kegg.jp/entry/R02788" TargetMode="External"/><Relationship Id="rId2937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909" Type="http://schemas.openxmlformats.org/officeDocument/2006/relationships/hyperlink" Target="https://www.genome.jp/entry/R00311" TargetMode="External"/><Relationship Id="rId1301" Type="http://schemas.openxmlformats.org/officeDocument/2006/relationships/hyperlink" Target="https://www.genome.jp/entry/R03035" TargetMode="External"/><Relationship Id="rId1539" Type="http://schemas.openxmlformats.org/officeDocument/2006/relationships/hyperlink" Target="https://www.genome.jp/entry/R00220/R00590/R11099/R11100/R06131" TargetMode="External"/><Relationship Id="rId1746" Type="http://schemas.openxmlformats.org/officeDocument/2006/relationships/hyperlink" Target="https://www.genome.jp/dbget-bin/www_bget?ec:1.8.1.15" TargetMode="External"/><Relationship Id="rId1953" Type="http://schemas.openxmlformats.org/officeDocument/2006/relationships/hyperlink" Target="https://www.genome.jp/dbget-bin/www_bget?ec:2.1.2.10" TargetMode="External"/><Relationship Id="rId3199" Type="http://schemas.openxmlformats.org/officeDocument/2006/relationships/hyperlink" Target="https://enzyme.expasy.org/EC/2.7.7.7" TargetMode="External"/><Relationship Id="rId38" Type="http://schemas.openxmlformats.org/officeDocument/2006/relationships/hyperlink" Target="https://enzyme.expasy.org/EC/2.6.-.-" TargetMode="External"/><Relationship Id="rId1606" Type="http://schemas.openxmlformats.org/officeDocument/2006/relationships/hyperlink" Target="https://enzyme.expasy.org/EC/3.6.4.13" TargetMode="External"/><Relationship Id="rId1813" Type="http://schemas.openxmlformats.org/officeDocument/2006/relationships/hyperlink" Target="https://www.genome.jp/entry/R03243/R00694/R00734" TargetMode="External"/><Relationship Id="rId3059" Type="http://schemas.openxmlformats.org/officeDocument/2006/relationships/hyperlink" Target="https://www.genome.jp/dbget-bin/www_bget?ec:3.5.3.6" TargetMode="External"/><Relationship Id="rId3266" Type="http://schemas.openxmlformats.org/officeDocument/2006/relationships/hyperlink" Target="https://www.genome.jp/dbget-bin/www_bget?ec:2.7.7.7" TargetMode="External"/><Relationship Id="rId3473" Type="http://schemas.openxmlformats.org/officeDocument/2006/relationships/hyperlink" Target="https://enzyme.expasy.org/EC/2.1.1.107" TargetMode="External"/><Relationship Id="rId187" Type="http://schemas.openxmlformats.org/officeDocument/2006/relationships/hyperlink" Target="https://enzyme.expasy.org/EC/2.7.7.71" TargetMode="External"/><Relationship Id="rId394" Type="http://schemas.openxmlformats.org/officeDocument/2006/relationships/hyperlink" Target="https://enzyme.expasy.org/EC/4.3.1.1" TargetMode="External"/><Relationship Id="rId2075" Type="http://schemas.openxmlformats.org/officeDocument/2006/relationships/hyperlink" Target="https://enzyme.expasy.org/EC/1.2.4.1" TargetMode="External"/><Relationship Id="rId2282" Type="http://schemas.openxmlformats.org/officeDocument/2006/relationships/hyperlink" Target="https://www.genome.jp/entry/R06398/R09385/R09389/R09393" TargetMode="External"/><Relationship Id="rId3126" Type="http://schemas.openxmlformats.org/officeDocument/2006/relationships/hyperlink" Target="https://www.genome.jp/entry/R00390/R01280" TargetMode="External"/><Relationship Id="rId3680" Type="http://schemas.openxmlformats.org/officeDocument/2006/relationships/hyperlink" Target="https://www.genome.jp/entry/R00939/R00936/R00937/R00940/R02235/R02236/R11765" TargetMode="External"/><Relationship Id="rId3778" Type="http://schemas.openxmlformats.org/officeDocument/2006/relationships/hyperlink" Target="https://www.genome.jp/dbget-bin/www_bget?enzyme+3.6.1.8" TargetMode="External"/><Relationship Id="rId254" Type="http://schemas.openxmlformats.org/officeDocument/2006/relationships/hyperlink" Target="https://enzyme.expasy.org/EC/2.7.6.1" TargetMode="External"/><Relationship Id="rId699" Type="http://schemas.openxmlformats.org/officeDocument/2006/relationships/hyperlink" Target="https://enzyme.expasy.org/EC/2.5.1.15" TargetMode="External"/><Relationship Id="rId1091" Type="http://schemas.openxmlformats.org/officeDocument/2006/relationships/hyperlink" Target="https://www.genome.jp/entry/R02108/R02112/R06209/R11262" TargetMode="External"/><Relationship Id="rId2587" Type="http://schemas.openxmlformats.org/officeDocument/2006/relationships/hyperlink" Target="https://www.genome.jp/dbget-bin/www_bget?ec:2.5.1.48" TargetMode="External"/><Relationship Id="rId2794" Type="http://schemas.openxmlformats.org/officeDocument/2006/relationships/hyperlink" Target="https://www.genome.jp/dbget-bin/www_bget?ec:2.6.1.21" TargetMode="External"/><Relationship Id="rId3333" Type="http://schemas.openxmlformats.org/officeDocument/2006/relationships/hyperlink" Target="https://www.genome.jp/entry/R00006/R00226/R00014/R03050/R04672/R04673/R08648" TargetMode="External"/><Relationship Id="rId3540" Type="http://schemas.openxmlformats.org/officeDocument/2006/relationships/hyperlink" Target="https://www.genome.jp/dbget-bin/www_bget?ec:2.7.7.6" TargetMode="External"/><Relationship Id="rId3638" Type="http://schemas.openxmlformats.org/officeDocument/2006/relationships/hyperlink" Target="https://www.genome.jp/dbget-bin/www_bget?ec:2.7.1.15" TargetMode="External"/><Relationship Id="rId3845" Type="http://schemas.openxmlformats.org/officeDocument/2006/relationships/hyperlink" Target="https://www.genome.jp/entry/R00783/R00784/R00280/R00785" TargetMode="External"/><Relationship Id="rId114" Type="http://schemas.openxmlformats.org/officeDocument/2006/relationships/hyperlink" Target="https://enzyme.expasy.org/EC/2.3.3.13" TargetMode="External"/><Relationship Id="rId461" Type="http://schemas.openxmlformats.org/officeDocument/2006/relationships/hyperlink" Target="https://enzyme.expasy.org/EC/3.1.13.5" TargetMode="External"/><Relationship Id="rId559" Type="http://schemas.openxmlformats.org/officeDocument/2006/relationships/hyperlink" Target="https://enzyme.expasy.org/EC/2.3.1.12" TargetMode="External"/><Relationship Id="rId766" Type="http://schemas.openxmlformats.org/officeDocument/2006/relationships/hyperlink" Target="https://enzyme.expasy.org/EC/2.3.1.41" TargetMode="External"/><Relationship Id="rId1189" Type="http://schemas.openxmlformats.org/officeDocument/2006/relationships/hyperlink" Target="https://www.genome.jp/dbget-bin/www_bget?ec:2.5.1.72" TargetMode="External"/><Relationship Id="rId1396" Type="http://schemas.openxmlformats.org/officeDocument/2006/relationships/hyperlink" Target="https://www.genome.jp/entry/R08575/R01827" TargetMode="External"/><Relationship Id="rId2142" Type="http://schemas.openxmlformats.org/officeDocument/2006/relationships/hyperlink" Target="https://www.genome.jp/entry/R01780/R00410" TargetMode="External"/><Relationship Id="rId2447" Type="http://schemas.openxmlformats.org/officeDocument/2006/relationships/hyperlink" Target="https://enzyme.expasy.org/EC/3.1.3.1" TargetMode="External"/><Relationship Id="rId3400" Type="http://schemas.openxmlformats.org/officeDocument/2006/relationships/hyperlink" Target="https://www.genome.jp/dbget-bin/www_bget?ec:3.4.11.2" TargetMode="External"/><Relationship Id="rId321" Type="http://schemas.openxmlformats.org/officeDocument/2006/relationships/hyperlink" Target="https://enzyme.expasy.org/EC/6.3.5.-" TargetMode="External"/><Relationship Id="rId419" Type="http://schemas.openxmlformats.org/officeDocument/2006/relationships/hyperlink" Target="https://enzyme.expasy.org/EC/2.1.2.9" TargetMode="External"/><Relationship Id="rId626" Type="http://schemas.openxmlformats.org/officeDocument/2006/relationships/hyperlink" Target="https://enzyme.expasy.org/EC/5.2.1.8" TargetMode="External"/><Relationship Id="rId973" Type="http://schemas.openxmlformats.org/officeDocument/2006/relationships/hyperlink" Target="https://www.genome.jp/dbget-bin/www_bget?enzyme+1.5.1.2" TargetMode="External"/><Relationship Id="rId1049" Type="http://schemas.openxmlformats.org/officeDocument/2006/relationships/hyperlink" Target="https://www.genome.jp/entry/R01776" TargetMode="External"/><Relationship Id="rId1256" Type="http://schemas.openxmlformats.org/officeDocument/2006/relationships/hyperlink" Target="https://www.genome.jp/dbget-bin/www_bget?ec:1.7.99.4" TargetMode="External"/><Relationship Id="rId2002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307" Type="http://schemas.openxmlformats.org/officeDocument/2006/relationships/hyperlink" Target="https://www.genome.jp/entry/R01312/R02027/R02052/R03332/R07381" TargetMode="External"/><Relationship Id="rId2654" Type="http://schemas.openxmlformats.org/officeDocument/2006/relationships/hyperlink" Target="https://www.genome.jp/entry/R02767/R04533/R04534/R04536/R04543/R04566/R04953/R04964/R07763/R10116/R10120" TargetMode="External"/><Relationship Id="rId2861" Type="http://schemas.openxmlformats.org/officeDocument/2006/relationships/hyperlink" Target="https://www.genome.jp/dbget-bin/www_bget?ec:1.3.8.2" TargetMode="External"/><Relationship Id="rId2959" Type="http://schemas.openxmlformats.org/officeDocument/2006/relationships/hyperlink" Target="https://enzyme.expasy.org/EC/1.2.1.3" TargetMode="External"/><Relationship Id="rId3705" Type="http://schemas.openxmlformats.org/officeDocument/2006/relationships/hyperlink" Target="https://www.genome.jp/dbget-bin/www_bget?ec:2.4.1.109" TargetMode="External"/><Relationship Id="rId3912" Type="http://schemas.openxmlformats.org/officeDocument/2006/relationships/hyperlink" Target="https://enzyme.expasy.org/EC/1.1.1.85" TargetMode="External"/><Relationship Id="rId833" Type="http://schemas.openxmlformats.org/officeDocument/2006/relationships/hyperlink" Target="https://www.genome.jp/entry/R00162/R03632" TargetMode="External"/><Relationship Id="rId1116" Type="http://schemas.openxmlformats.org/officeDocument/2006/relationships/hyperlink" Target="https://www.genome.jp/dbget-bin/www_bget?ec:3.6.4.12" TargetMode="External"/><Relationship Id="rId1463" Type="http://schemas.openxmlformats.org/officeDocument/2006/relationships/hyperlink" Target="https://enzyme.expasy.org/EC/6.3.5.5" TargetMode="External"/><Relationship Id="rId1670" Type="http://schemas.openxmlformats.org/officeDocument/2006/relationships/hyperlink" Target="https://www.genome.jp/entry/R00765" TargetMode="External"/><Relationship Id="rId1768" Type="http://schemas.openxmlformats.org/officeDocument/2006/relationships/hyperlink" Target="https://enzyme.expasy.org/EC/3.6.1.7" TargetMode="External"/><Relationship Id="rId2514" Type="http://schemas.openxmlformats.org/officeDocument/2006/relationships/hyperlink" Target="https://www.genome.jp/dbget-bin/www_bget?ec:2.7.4.6" TargetMode="External"/><Relationship Id="rId2721" Type="http://schemas.openxmlformats.org/officeDocument/2006/relationships/hyperlink" Target="https://www.genome.jp/dbget-bin/www_bget?ec:3.6.1.9" TargetMode="External"/><Relationship Id="rId2819" Type="http://schemas.openxmlformats.org/officeDocument/2006/relationships/hyperlink" Target="https://www.genome.jp/dbget-bin/www_bget?ec:3.1.3.12" TargetMode="External"/><Relationship Id="rId900" Type="http://schemas.openxmlformats.org/officeDocument/2006/relationships/hyperlink" Target="https://www.genome.jp/dbget-bin/www_bget?ec:2.10.1.1" TargetMode="External"/><Relationship Id="rId1323" Type="http://schemas.openxmlformats.org/officeDocument/2006/relationships/hyperlink" Target="https://www.genome.jp/entry/R10247" TargetMode="External"/><Relationship Id="rId1530" Type="http://schemas.openxmlformats.org/officeDocument/2006/relationships/hyperlink" Target="https://www.genome.jp/dbget-bin/www_bget?ec:4.3.1.17" TargetMode="External"/><Relationship Id="rId1628" Type="http://schemas.openxmlformats.org/officeDocument/2006/relationships/hyperlink" Target="https://enzyme.expasy.org/EC/2.7.1.63" TargetMode="External"/><Relationship Id="rId1975" Type="http://schemas.openxmlformats.org/officeDocument/2006/relationships/hyperlink" Target="https://www.genome.jp/dbget-bin/www_bget?2.8.1.8" TargetMode="External"/><Relationship Id="rId3190" Type="http://schemas.openxmlformats.org/officeDocument/2006/relationships/hyperlink" Target="https://enzyme.expasy.org/EC/2.7.7.7" TargetMode="External"/><Relationship Id="rId1835" Type="http://schemas.openxmlformats.org/officeDocument/2006/relationships/hyperlink" Target="https://enzyme.expasy.org/EC/4.3.1.19" TargetMode="External"/><Relationship Id="rId3050" Type="http://schemas.openxmlformats.org/officeDocument/2006/relationships/hyperlink" Target="https://www.genome.jp/entry/R00529/R04929" TargetMode="External"/><Relationship Id="rId3288" Type="http://schemas.openxmlformats.org/officeDocument/2006/relationships/hyperlink" Target="https://www.genome.jp/entry/R00379/R00375/R00376/R00377/R00378/R11029" TargetMode="External"/><Relationship Id="rId3495" Type="http://schemas.openxmlformats.org/officeDocument/2006/relationships/hyperlink" Target="https://www.genome.jp/dbget-bin/www_bget?ec:4.1.99.3" TargetMode="External"/><Relationship Id="rId1902" Type="http://schemas.openxmlformats.org/officeDocument/2006/relationships/hyperlink" Target="https://www.genome.jp/entry/R01826" TargetMode="External"/><Relationship Id="rId2097" Type="http://schemas.openxmlformats.org/officeDocument/2006/relationships/hyperlink" Target="https://www.genome.jp/entry/R07297/R00183/R00511/R00963/R01126/R01227/R02323/R02719/R03346/R01569/R01664/R01968/R02088/R02102/R12958" TargetMode="External"/><Relationship Id="rId3148" Type="http://schemas.openxmlformats.org/officeDocument/2006/relationships/hyperlink" Target="https://enzyme.expasy.org/EC/2.7.7.7" TargetMode="External"/><Relationship Id="rId3355" Type="http://schemas.openxmlformats.org/officeDocument/2006/relationships/hyperlink" Target="https://enzyme.expasy.org/EC/2.2.1.6" TargetMode="External"/><Relationship Id="rId3562" Type="http://schemas.openxmlformats.org/officeDocument/2006/relationships/hyperlink" Target="https://www.genome.jp/entry/R00127/R01547/R11319" TargetMode="External"/><Relationship Id="rId276" Type="http://schemas.openxmlformats.org/officeDocument/2006/relationships/hyperlink" Target="https://enzyme.expasy.org/EC/2.7.9.3" TargetMode="External"/><Relationship Id="rId483" Type="http://schemas.openxmlformats.org/officeDocument/2006/relationships/hyperlink" Target="https://enzyme.expasy.org/EC/4.3.3.7" TargetMode="External"/><Relationship Id="rId690" Type="http://schemas.openxmlformats.org/officeDocument/2006/relationships/hyperlink" Target="https://enzyme.expasy.org/EC/1.1.1.205" TargetMode="External"/><Relationship Id="rId2164" Type="http://schemas.openxmlformats.org/officeDocument/2006/relationships/hyperlink" Target="https://www.genome.jp/dbget-bin/www_bget?ec:3.5.1.88" TargetMode="External"/><Relationship Id="rId2371" Type="http://schemas.openxmlformats.org/officeDocument/2006/relationships/hyperlink" Target="https://www.genome.jp/entry/R00857/R01030/R01470" TargetMode="External"/><Relationship Id="rId3008" Type="http://schemas.openxmlformats.org/officeDocument/2006/relationships/hyperlink" Target="https://www.genome.jp/dbget-bin/www_bget?ec:3.2.1.52" TargetMode="External"/><Relationship Id="rId3215" Type="http://schemas.openxmlformats.org/officeDocument/2006/relationships/hyperlink" Target="https://www.genome.jp/dbget-bin/www_bget?ec:2.7.7.7" TargetMode="External"/><Relationship Id="rId3422" Type="http://schemas.openxmlformats.org/officeDocument/2006/relationships/hyperlink" Target="https://www.genome.jp/entry/R08550/R03815/R07618/R01698" TargetMode="External"/><Relationship Id="rId3867" Type="http://schemas.openxmlformats.org/officeDocument/2006/relationships/hyperlink" Target="https://enzyme.expasy.org/EC/2.7.1.11" TargetMode="External"/><Relationship Id="rId136" Type="http://schemas.openxmlformats.org/officeDocument/2006/relationships/hyperlink" Target="https://enzyme.expasy.org/EC/1.8.1.4" TargetMode="External"/><Relationship Id="rId343" Type="http://schemas.openxmlformats.org/officeDocument/2006/relationships/hyperlink" Target="https://enzyme.expasy.org/EC/3.6.4.12" TargetMode="External"/><Relationship Id="rId550" Type="http://schemas.openxmlformats.org/officeDocument/2006/relationships/hyperlink" Target="https://enzyme.expasy.org/EC/3.4.-.-" TargetMode="External"/><Relationship Id="rId788" Type="http://schemas.openxmlformats.org/officeDocument/2006/relationships/hyperlink" Target="https://enzyme.expasy.org/EC/2.7.7.4" TargetMode="External"/><Relationship Id="rId995" Type="http://schemas.openxmlformats.org/officeDocument/2006/relationships/hyperlink" Target="https://www.genome.jp/entry/R03222" TargetMode="External"/><Relationship Id="rId1180" Type="http://schemas.openxmlformats.org/officeDocument/2006/relationships/hyperlink" Target="https://www.genome.jp/entry/R04238" TargetMode="External"/><Relationship Id="rId2024" Type="http://schemas.openxmlformats.org/officeDocument/2006/relationships/hyperlink" Target="https://enzyme.expasy.org/EC/1.1.1.1" TargetMode="External"/><Relationship Id="rId2231" Type="http://schemas.openxmlformats.org/officeDocument/2006/relationships/hyperlink" Target="https://enzyme.expasy.org/EC/3.1.1.1" TargetMode="External"/><Relationship Id="rId2469" Type="http://schemas.openxmlformats.org/officeDocument/2006/relationships/hyperlink" Target="https://enzyme.expasy.org/EC/4.2.1.20" TargetMode="External"/><Relationship Id="rId2676" Type="http://schemas.openxmlformats.org/officeDocument/2006/relationships/hyperlink" Target="https://enzyme.expasy.org/EC/1.1.1.100" TargetMode="External"/><Relationship Id="rId2883" Type="http://schemas.openxmlformats.org/officeDocument/2006/relationships/hyperlink" Target="https://www.genome.jp/entry/R01132/R01229/R02142/R08237/R08238/R08245" TargetMode="External"/><Relationship Id="rId3727" Type="http://schemas.openxmlformats.org/officeDocument/2006/relationships/hyperlink" Target="https://www.genome.jp/dbget-bin/www_bget?ec:4.2.1.17" TargetMode="External"/><Relationship Id="rId3934" Type="http://schemas.openxmlformats.org/officeDocument/2006/relationships/hyperlink" Target="https://enzyme.expasy.org/EC/2.7.4.25" TargetMode="External"/><Relationship Id="rId203" Type="http://schemas.openxmlformats.org/officeDocument/2006/relationships/hyperlink" Target="https://enzyme.expasy.org/EC/3.6.4.12" TargetMode="External"/><Relationship Id="rId648" Type="http://schemas.openxmlformats.org/officeDocument/2006/relationships/hyperlink" Target="https://enzyme.expasy.org/EC/3.1.-.-" TargetMode="External"/><Relationship Id="rId855" Type="http://schemas.openxmlformats.org/officeDocument/2006/relationships/hyperlink" Target="https://www.genome.jp/dbget-bin/www_bget?ec:3.5.1.18" TargetMode="External"/><Relationship Id="rId1040" Type="http://schemas.openxmlformats.org/officeDocument/2006/relationships/hyperlink" Target="https://www.genome.jp/entry/R00768" TargetMode="External"/><Relationship Id="rId1278" Type="http://schemas.openxmlformats.org/officeDocument/2006/relationships/hyperlink" Target="https://www.genome.jp/dbget-bin/www_bget?ec:1.1.1.86" TargetMode="External"/><Relationship Id="rId1485" Type="http://schemas.openxmlformats.org/officeDocument/2006/relationships/hyperlink" Target="https://www.genome.jp/entry/R00256/R00575/R01395/R10948/R10949/R07641" TargetMode="External"/><Relationship Id="rId1692" Type="http://schemas.openxmlformats.org/officeDocument/2006/relationships/hyperlink" Target="https://www.genome.jp/entry/R02768/R04355/R04726/R04952/R04957/R04960/R04963/R04968/R07762/R10115/R10119" TargetMode="External"/><Relationship Id="rId2329" Type="http://schemas.openxmlformats.org/officeDocument/2006/relationships/hyperlink" Target="https://www.genome.jp/entry/R00239" TargetMode="External"/><Relationship Id="rId2536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43" Type="http://schemas.openxmlformats.org/officeDocument/2006/relationships/hyperlink" Target="https://www.genome.jp/entry/R01532/R00087/R00426/R00515/R00662/R11323/R00103/R00160/R00287/R03004/R03036" TargetMode="External"/><Relationship Id="rId410" Type="http://schemas.openxmlformats.org/officeDocument/2006/relationships/hyperlink" Target="https://enzyme.expasy.org/EC/1.1.1.49" TargetMode="External"/><Relationship Id="rId508" Type="http://schemas.openxmlformats.org/officeDocument/2006/relationships/hyperlink" Target="https://enzyme.expasy.org/EC/2.1.1.228" TargetMode="External"/><Relationship Id="rId715" Type="http://schemas.openxmlformats.org/officeDocument/2006/relationships/hyperlink" Target="https://enzyme.expasy.org/EC/2.7.8.-" TargetMode="External"/><Relationship Id="rId922" Type="http://schemas.openxmlformats.org/officeDocument/2006/relationships/hyperlink" Target="https://www.genome.jp/dbget-bin/www_bget?ec:4.6.1.1" TargetMode="External"/><Relationship Id="rId1138" Type="http://schemas.openxmlformats.org/officeDocument/2006/relationships/hyperlink" Target="https://www.genome.jp/dbget-bin/www_bget?ec:5.2.1.8" TargetMode="External"/><Relationship Id="rId1345" Type="http://schemas.openxmlformats.org/officeDocument/2006/relationships/hyperlink" Target="https://www.genome.jp/entry/R04448" TargetMode="External"/><Relationship Id="rId1552" Type="http://schemas.openxmlformats.org/officeDocument/2006/relationships/hyperlink" Target="https://www.genome.jp/dbget-bin/www_bget?ec:2.4.2.7" TargetMode="External"/><Relationship Id="rId1997" Type="http://schemas.openxmlformats.org/officeDocument/2006/relationships/hyperlink" Target="https://enzyme.expasy.org/EC/1.1.1.1" TargetMode="External"/><Relationship Id="rId2603" Type="http://schemas.openxmlformats.org/officeDocument/2006/relationships/hyperlink" Target="https://www.genome.jp/entry/R03260/R00999/R01288/R02508/R03217/R04944/R04945/R04946" TargetMode="External"/><Relationship Id="rId2950" Type="http://schemas.openxmlformats.org/officeDocument/2006/relationships/hyperlink" Target="https://enzyme.expasy.org/EC/1.2.1.3" TargetMode="External"/><Relationship Id="rId1205" Type="http://schemas.openxmlformats.org/officeDocument/2006/relationships/hyperlink" Target="https://www.genome.jp/dbget-bin/www_bget?ec:4.2.1.2" TargetMode="External"/><Relationship Id="rId1857" Type="http://schemas.openxmlformats.org/officeDocument/2006/relationships/hyperlink" Target="https://www.genome.jp/dbget-bin/www_bget?ec:6.3.2.9" TargetMode="External"/><Relationship Id="rId2810" Type="http://schemas.openxmlformats.org/officeDocument/2006/relationships/hyperlink" Target="https://www.genome.jp/dbget-bin/www_bget?ec:4.3.2.2" TargetMode="External"/><Relationship Id="rId2908" Type="http://schemas.openxmlformats.org/officeDocument/2006/relationships/hyperlink" Target="https://www.genome.jp/dbget-bin/www_bget?ec:4.1.2.13" TargetMode="External"/><Relationship Id="rId51" Type="http://schemas.openxmlformats.org/officeDocument/2006/relationships/hyperlink" Target="https://enzyme.expasy.org/EC/2.7.8.23" TargetMode="External"/><Relationship Id="rId1412" Type="http://schemas.openxmlformats.org/officeDocument/2006/relationships/hyperlink" Target="https://www.genome.jp/dbget-bin/www_bget?ec:3.5.1.28" TargetMode="External"/><Relationship Id="rId1717" Type="http://schemas.openxmlformats.org/officeDocument/2006/relationships/hyperlink" Target="https://www.genome.jp/dbget-bin/www_bget?enzyme+2.7.7.8" TargetMode="External"/><Relationship Id="rId1924" Type="http://schemas.openxmlformats.org/officeDocument/2006/relationships/hyperlink" Target="https://www.genome.jp/entry/R00256/R00483/R00578" TargetMode="External"/><Relationship Id="rId3072" Type="http://schemas.openxmlformats.org/officeDocument/2006/relationships/hyperlink" Target="https://www.genome.jp/entry/R00256/R01716/R05552" TargetMode="External"/><Relationship Id="rId3377" Type="http://schemas.openxmlformats.org/officeDocument/2006/relationships/hyperlink" Target="https://www.genome.jp/entry/R02822/R05842/R07108/R07109/R07110/R07111" TargetMode="External"/><Relationship Id="rId298" Type="http://schemas.openxmlformats.org/officeDocument/2006/relationships/hyperlink" Target="https://enzyme.expasy.org/EC/1.1.1.3" TargetMode="External"/><Relationship Id="rId3584" Type="http://schemas.openxmlformats.org/officeDocument/2006/relationships/hyperlink" Target="https://enzyme.expasy.org/EC/1.6.5.2" TargetMode="External"/><Relationship Id="rId3791" Type="http://schemas.openxmlformats.org/officeDocument/2006/relationships/hyperlink" Target="https://www.genome.jp/entry/R00945/R09099" TargetMode="External"/><Relationship Id="rId3889" Type="http://schemas.openxmlformats.org/officeDocument/2006/relationships/hyperlink" Target="https://www.genome.jp/dbget-bin/www_bget?ec:4.2.1.9" TargetMode="External"/><Relationship Id="rId158" Type="http://schemas.openxmlformats.org/officeDocument/2006/relationships/hyperlink" Target="https://enzyme.expasy.org/EC/1.3.3.4" TargetMode="External"/><Relationship Id="rId2186" Type="http://schemas.openxmlformats.org/officeDocument/2006/relationships/hyperlink" Target="https://www.genome.jp/dbget-bin/www_bget?ec:1.18.1.2" TargetMode="External"/><Relationship Id="rId2393" Type="http://schemas.openxmlformats.org/officeDocument/2006/relationships/hyperlink" Target="https://enzyme.expasy.org/EC/1.17.4.1" TargetMode="External"/><Relationship Id="rId2698" Type="http://schemas.openxmlformats.org/officeDocument/2006/relationships/hyperlink" Target="https://www.genome.jp/entry/R03182/R12933/R12934" TargetMode="External"/><Relationship Id="rId3237" Type="http://schemas.openxmlformats.org/officeDocument/2006/relationships/hyperlink" Target="https://www.genome.jp/entry/R00379/R00375/R00376/R00377/R00378/R11029" TargetMode="External"/><Relationship Id="rId3444" Type="http://schemas.openxmlformats.org/officeDocument/2006/relationships/hyperlink" Target="https://www.genome.jp/entry/R05715/R05716/R06289/R06290" TargetMode="External"/><Relationship Id="rId3651" Type="http://schemas.openxmlformats.org/officeDocument/2006/relationships/hyperlink" Target="https://enzyme.expasy.org/EC/3.1.3.25" TargetMode="External"/><Relationship Id="rId365" Type="http://schemas.openxmlformats.org/officeDocument/2006/relationships/hyperlink" Target="https://enzyme.expasy.org/EC/3.-.-.-" TargetMode="External"/><Relationship Id="rId572" Type="http://schemas.openxmlformats.org/officeDocument/2006/relationships/hyperlink" Target="https://enzyme.expasy.org/EC/3.1.3.48" TargetMode="External"/><Relationship Id="rId2046" Type="http://schemas.openxmlformats.org/officeDocument/2006/relationships/hyperlink" Target="https://www.genome.jp/entry/R00424/R00428/R04639/R05046/R05048" TargetMode="External"/><Relationship Id="rId2253" Type="http://schemas.openxmlformats.org/officeDocument/2006/relationships/hyperlink" Target="https://enzyme.expasy.org/EC/4.4.1.8" TargetMode="External"/><Relationship Id="rId2460" Type="http://schemas.openxmlformats.org/officeDocument/2006/relationships/hyperlink" Target="https://www.genome.jp/dbget-bin/www_bget?ec:4.1.3.27" TargetMode="External"/><Relationship Id="rId3304" Type="http://schemas.openxmlformats.org/officeDocument/2006/relationships/hyperlink" Target="https://enzyme.expasy.org/EC/2.2.1.6" TargetMode="External"/><Relationship Id="rId3511" Type="http://schemas.openxmlformats.org/officeDocument/2006/relationships/hyperlink" Target="https://www.genome.jp/entry/R00444/R00435/R00441/R00442/R00443/R10813" TargetMode="External"/><Relationship Id="rId3749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956" Type="http://schemas.openxmlformats.org/officeDocument/2006/relationships/hyperlink" Target="https://www.genome.jp/dbget-bin/www_bget?ec:3.1.1.1" TargetMode="External"/><Relationship Id="rId225" Type="http://schemas.openxmlformats.org/officeDocument/2006/relationships/hyperlink" Target="https://enzyme.expasy.org/EC/3.6.4.12" TargetMode="External"/><Relationship Id="rId432" Type="http://schemas.openxmlformats.org/officeDocument/2006/relationships/hyperlink" Target="https://enzyme.expasy.org/EC/2.7.1.71" TargetMode="External"/><Relationship Id="rId877" Type="http://schemas.openxmlformats.org/officeDocument/2006/relationships/hyperlink" Target="https://www.genome.jp/entry/R04314" TargetMode="External"/><Relationship Id="rId1062" Type="http://schemas.openxmlformats.org/officeDocument/2006/relationships/hyperlink" Target="https://www.genome.jp/dbget-bin/www_bget?ec:3.1.1.1" TargetMode="External"/><Relationship Id="rId2113" Type="http://schemas.openxmlformats.org/officeDocument/2006/relationships/hyperlink" Target="https://enzyme.expasy.org/EC/3.1.3.5" TargetMode="External"/><Relationship Id="rId2320" Type="http://schemas.openxmlformats.org/officeDocument/2006/relationships/hyperlink" Target="https://www.genome.jp/dbget-bin/www_bget?ec:1.1.1.79" TargetMode="External"/><Relationship Id="rId2558" Type="http://schemas.openxmlformats.org/officeDocument/2006/relationships/hyperlink" Target="https://www.genome.jp/dbget-bin/www_bget?ec:6.3.2.17" TargetMode="External"/><Relationship Id="rId2765" Type="http://schemas.openxmlformats.org/officeDocument/2006/relationships/hyperlink" Target="https://www.genome.jp/entry/R00897/R03601/R04859/R07274" TargetMode="External"/><Relationship Id="rId2972" Type="http://schemas.openxmlformats.org/officeDocument/2006/relationships/hyperlink" Target="https://www.genome.jp/dbget-bin/www_bget?ec:1.2.1.3" TargetMode="External"/><Relationship Id="rId3609" Type="http://schemas.openxmlformats.org/officeDocument/2006/relationships/hyperlink" Target="https://www.genome.jp/dbget-bin/www_bget?ec:2.4.2.2" TargetMode="External"/><Relationship Id="rId3816" Type="http://schemas.openxmlformats.org/officeDocument/2006/relationships/hyperlink" Target="https://enzyme.expasy.org/EC/3.2.1.26" TargetMode="External"/><Relationship Id="rId737" Type="http://schemas.openxmlformats.org/officeDocument/2006/relationships/hyperlink" Target="https://enzyme.expasy.org/EC/1.-.-.-" TargetMode="External"/><Relationship Id="rId944" Type="http://schemas.openxmlformats.org/officeDocument/2006/relationships/hyperlink" Target="https://www.genome.jp/dbget-bin/www_bget?ec:2.3.1.122" TargetMode="External"/><Relationship Id="rId1367" Type="http://schemas.openxmlformats.org/officeDocument/2006/relationships/hyperlink" Target="https://enzyme.expasy.org/EC/3.4.-.-" TargetMode="External"/><Relationship Id="rId1574" Type="http://schemas.openxmlformats.org/officeDocument/2006/relationships/hyperlink" Target="https://www.genome.jp/dbget-bin/www_bget?ec:1.11.1.24" TargetMode="External"/><Relationship Id="rId1781" Type="http://schemas.openxmlformats.org/officeDocument/2006/relationships/hyperlink" Target="https://www.genome.jp/dbget-bin/www_bget?ec:2.7.1.165" TargetMode="External"/><Relationship Id="rId2418" Type="http://schemas.openxmlformats.org/officeDocument/2006/relationships/hyperlink" Target="https://www.genome.jp/entry/R04294/R02017/R02018/R02019/R02024/R08363/R08364/R11893" TargetMode="External"/><Relationship Id="rId2625" Type="http://schemas.openxmlformats.org/officeDocument/2006/relationships/hyperlink" Target="https://www.genome.jp/entry/R02767/R04533/R04534/R04536/R04543/R04566/R04953/R04964/R07763/R10116/R10120" TargetMode="External"/><Relationship Id="rId2832" Type="http://schemas.openxmlformats.org/officeDocument/2006/relationships/hyperlink" Target="https://enzyme.expasy.org/EC/4.2.1.1" TargetMode="External"/><Relationship Id="rId73" Type="http://schemas.openxmlformats.org/officeDocument/2006/relationships/hyperlink" Target="https://enzyme.expasy.org/EC/2.7.13.3" TargetMode="External"/><Relationship Id="rId804" Type="http://schemas.openxmlformats.org/officeDocument/2006/relationships/hyperlink" Target="https://www.genome.jp/dbget-bin/www_bget?ec:2.7.7.7" TargetMode="External"/><Relationship Id="rId1227" Type="http://schemas.openxmlformats.org/officeDocument/2006/relationships/hyperlink" Target="https://www.genome.jp/dbget-bin/www_bget?ec:2.3.1.117" TargetMode="External"/><Relationship Id="rId1434" Type="http://schemas.openxmlformats.org/officeDocument/2006/relationships/hyperlink" Target="https://www.genome.jp/dbget-bin/www_bget?ec:2.5.1.9" TargetMode="External"/><Relationship Id="rId1641" Type="http://schemas.openxmlformats.org/officeDocument/2006/relationships/hyperlink" Target="https://www.genome.jp/dbget-bin/www_bget?ec:2.5.1.75" TargetMode="External"/><Relationship Id="rId1879" Type="http://schemas.openxmlformats.org/officeDocument/2006/relationships/hyperlink" Target="https://www.genome.jp/entry/R05629/R05630" TargetMode="External"/><Relationship Id="rId3094" Type="http://schemas.openxmlformats.org/officeDocument/2006/relationships/hyperlink" Target="https://enzyme.expasy.org/EC/3.1.1.1" TargetMode="External"/><Relationship Id="rId1501" Type="http://schemas.openxmlformats.org/officeDocument/2006/relationships/hyperlink" Target="https://www.genome.jp/dbget-bin/www_bget?ec:2.7.1.71" TargetMode="External"/><Relationship Id="rId1739" Type="http://schemas.openxmlformats.org/officeDocument/2006/relationships/hyperlink" Target="https://www.genome.jp/entry/R00361/R00360/R01257" TargetMode="External"/><Relationship Id="rId1946" Type="http://schemas.openxmlformats.org/officeDocument/2006/relationships/hyperlink" Target="https://enzyme.expasy.org/EC/3.4.11.1" TargetMode="External"/><Relationship Id="rId3399" Type="http://schemas.openxmlformats.org/officeDocument/2006/relationships/hyperlink" Target="https://enzyme.expasy.org/EC/3.4.11.2" TargetMode="External"/><Relationship Id="rId1806" Type="http://schemas.openxmlformats.org/officeDocument/2006/relationships/hyperlink" Target="https://www.genome.jp/dbget-bin/www_bget?ec:4.1.1.48" TargetMode="External"/><Relationship Id="rId3161" Type="http://schemas.openxmlformats.org/officeDocument/2006/relationships/hyperlink" Target="https://www.genome.jp/dbget-bin/www_bget?ec:2.7.7.7" TargetMode="External"/><Relationship Id="rId3259" Type="http://schemas.openxmlformats.org/officeDocument/2006/relationships/hyperlink" Target="https://enzyme.expasy.org/EC/2.7.7.7" TargetMode="External"/><Relationship Id="rId3466" Type="http://schemas.openxmlformats.org/officeDocument/2006/relationships/hyperlink" Target="https://www.genome.jp/entry/R01248/R01251/R03291/R03293" TargetMode="External"/><Relationship Id="rId387" Type="http://schemas.openxmlformats.org/officeDocument/2006/relationships/hyperlink" Target="https://enzyme.expasy.org/EC/1.-.-.-" TargetMode="External"/><Relationship Id="rId594" Type="http://schemas.openxmlformats.org/officeDocument/2006/relationships/hyperlink" Target="https://enzyme.expasy.org/EC/2.7.1.35" TargetMode="External"/><Relationship Id="rId2068" Type="http://schemas.openxmlformats.org/officeDocument/2006/relationships/hyperlink" Target="https://www.genome.jp/dbget-bin/www_bget?ec:3.5.4.16" TargetMode="External"/><Relationship Id="rId2275" Type="http://schemas.openxmlformats.org/officeDocument/2006/relationships/hyperlink" Target="https://www.genome.jp/dbget-bin/www_bget?ec:1.14.13.107" TargetMode="External"/><Relationship Id="rId3021" Type="http://schemas.openxmlformats.org/officeDocument/2006/relationships/hyperlink" Target="https://www.genome.jp/entry/R00022/R03492/R04184/R04586/R05963/R06001/R06004/R06141/R07809/R07810/R09323/R10831/R11316/R11317/R12963" TargetMode="External"/><Relationship Id="rId3119" Type="http://schemas.openxmlformats.org/officeDocument/2006/relationships/hyperlink" Target="https://www.genome.jp/dbget-bin/www_bget?ec:6.2.1.3" TargetMode="External"/><Relationship Id="rId3326" Type="http://schemas.openxmlformats.org/officeDocument/2006/relationships/hyperlink" Target="https://www.genome.jp/dbget-bin/www_bget?ec:2.2.1.6" TargetMode="External"/><Relationship Id="rId3673" Type="http://schemas.openxmlformats.org/officeDocument/2006/relationships/hyperlink" Target="https://www.genome.jp/dbget-bin/www_bget?ec:1.5.1.3" TargetMode="External"/><Relationship Id="rId3880" Type="http://schemas.openxmlformats.org/officeDocument/2006/relationships/hyperlink" Target="https://www.genome.jp/dbget-bin/www_bget?ec:2.7.1.11" TargetMode="External"/><Relationship Id="rId247" Type="http://schemas.openxmlformats.org/officeDocument/2006/relationships/hyperlink" Target="https://enzyme.expasy.org/EC/1.1.1.100" TargetMode="External"/><Relationship Id="rId899" Type="http://schemas.openxmlformats.org/officeDocument/2006/relationships/hyperlink" Target="https://www.genome.jp/entry/R09735" TargetMode="External"/><Relationship Id="rId1084" Type="http://schemas.openxmlformats.org/officeDocument/2006/relationships/hyperlink" Target="https://www.genome.jp/dbget-bin/www_bget?ec:2.8.1.1" TargetMode="External"/><Relationship Id="rId2482" Type="http://schemas.openxmlformats.org/officeDocument/2006/relationships/hyperlink" Target="https://www.genome.jp/entry/R09382/R09383/R09384/R09386" TargetMode="External"/><Relationship Id="rId2787" Type="http://schemas.openxmlformats.org/officeDocument/2006/relationships/hyperlink" Target="https://enzyme.expasy.org/EC/2.6.1.21" TargetMode="External"/><Relationship Id="rId3533" Type="http://schemas.openxmlformats.org/officeDocument/2006/relationships/hyperlink" Target="https://enzyme.expasy.org/EC/2.7.7.6" TargetMode="External"/><Relationship Id="rId3740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3838" Type="http://schemas.openxmlformats.org/officeDocument/2006/relationships/hyperlink" Target="https://www.genome.jp/dbget-bin/www_bget?ec:1.7.2.1" TargetMode="External"/><Relationship Id="rId107" Type="http://schemas.openxmlformats.org/officeDocument/2006/relationships/hyperlink" Target="https://enzyme.expasy.org/EC/1.14.14.18" TargetMode="External"/><Relationship Id="rId454" Type="http://schemas.openxmlformats.org/officeDocument/2006/relationships/hyperlink" Target="https://enzyme.expasy.org/EC/2.7.8.11" TargetMode="External"/><Relationship Id="rId661" Type="http://schemas.openxmlformats.org/officeDocument/2006/relationships/hyperlink" Target="https://enzyme.expasy.org/EC/2.3.1.30" TargetMode="External"/><Relationship Id="rId759" Type="http://schemas.openxmlformats.org/officeDocument/2006/relationships/hyperlink" Target="https://enzyme.expasy.org/EC/3.1.1.1" TargetMode="External"/><Relationship Id="rId966" Type="http://schemas.openxmlformats.org/officeDocument/2006/relationships/hyperlink" Target="https://www.genome.jp/entry/R01291" TargetMode="External"/><Relationship Id="rId1291" Type="http://schemas.openxmlformats.org/officeDocument/2006/relationships/hyperlink" Target="https://www.genome.jp/entry/R03968/R04001/R10170" TargetMode="External"/><Relationship Id="rId1389" Type="http://schemas.openxmlformats.org/officeDocument/2006/relationships/hyperlink" Target="https://enzyme.expasy.org/EC/2.2.1.1" TargetMode="External"/><Relationship Id="rId1596" Type="http://schemas.openxmlformats.org/officeDocument/2006/relationships/hyperlink" Target="https://www.genome.jp/dbget-bin/www_bget?ec:2.7.7.53" TargetMode="External"/><Relationship Id="rId2135" Type="http://schemas.openxmlformats.org/officeDocument/2006/relationships/hyperlink" Target="https://www.genome.jp/entry/R00714" TargetMode="External"/><Relationship Id="rId2342" Type="http://schemas.openxmlformats.org/officeDocument/2006/relationships/hyperlink" Target="https://www.genome.jp/dbget-bin/www_bget?ec:1.1.5.3" TargetMode="External"/><Relationship Id="rId2647" Type="http://schemas.openxmlformats.org/officeDocument/2006/relationships/hyperlink" Target="https://enzyme.expasy.org/EC/1.1.1.100" TargetMode="External"/><Relationship Id="rId2994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600" Type="http://schemas.openxmlformats.org/officeDocument/2006/relationships/hyperlink" Target="https://www.genome.jp/dbget-bin/www_bget?ec:2.4.2.2" TargetMode="External"/><Relationship Id="rId314" Type="http://schemas.openxmlformats.org/officeDocument/2006/relationships/hyperlink" Target="https://enzyme.expasy.org/EC/3.2.1.17" TargetMode="External"/><Relationship Id="rId521" Type="http://schemas.openxmlformats.org/officeDocument/2006/relationships/hyperlink" Target="https://enzyme.expasy.org/EC/5.3.1.16" TargetMode="External"/><Relationship Id="rId619" Type="http://schemas.openxmlformats.org/officeDocument/2006/relationships/hyperlink" Target="https://enzyme.expasy.org/EC/6.1.1.9" TargetMode="External"/><Relationship Id="rId1151" Type="http://schemas.openxmlformats.org/officeDocument/2006/relationships/hyperlink" Target="https://www.genome.jp/entry/R02740/R00771/R02739/R03321/R13199" TargetMode="External"/><Relationship Id="rId1249" Type="http://schemas.openxmlformats.org/officeDocument/2006/relationships/hyperlink" Target="https://www.genome.jp/dbget-bin/www_bget?ec:2.7.1.39" TargetMode="External"/><Relationship Id="rId2202" Type="http://schemas.openxmlformats.org/officeDocument/2006/relationships/hyperlink" Target="https://www.genome.jp/dbget-bin/www_bget?ec:5.3.3.2" TargetMode="External"/><Relationship Id="rId2854" Type="http://schemas.openxmlformats.org/officeDocument/2006/relationships/hyperlink" Target="https://enzyme.expasy.org/EC/1.3.8.2" TargetMode="External"/><Relationship Id="rId3905" Type="http://schemas.openxmlformats.org/officeDocument/2006/relationships/hyperlink" Target="https://www.genome.jp/entry/R04439/R03051/R04440/R05068/R05069/R05071" TargetMode="External"/><Relationship Id="rId95" Type="http://schemas.openxmlformats.org/officeDocument/2006/relationships/hyperlink" Target="https://enzyme.expasy.org/EC/2.4.2.-" TargetMode="External"/><Relationship Id="rId826" Type="http://schemas.openxmlformats.org/officeDocument/2006/relationships/hyperlink" Target="https://www.genome.jp/dbget-bin/www_bget?ec:3.4.21.105" TargetMode="External"/><Relationship Id="rId1011" Type="http://schemas.openxmlformats.org/officeDocument/2006/relationships/hyperlink" Target="https://www.genome.jp/entry/R09247" TargetMode="External"/><Relationship Id="rId1109" Type="http://schemas.openxmlformats.org/officeDocument/2006/relationships/hyperlink" Target="https://www.genome.jp/dbget-bin/www_bget?ec:6.3.4.14" TargetMode="External"/><Relationship Id="rId1456" Type="http://schemas.openxmlformats.org/officeDocument/2006/relationships/hyperlink" Target="https://enzyme.expasy.org/EC/2.7.4.8" TargetMode="External"/><Relationship Id="rId1663" Type="http://schemas.openxmlformats.org/officeDocument/2006/relationships/hyperlink" Target="https://www.genome.jp/entry/R00299/R01600/R01786" TargetMode="External"/><Relationship Id="rId1870" Type="http://schemas.openxmlformats.org/officeDocument/2006/relationships/hyperlink" Target="https://www.genome.jp/dbget-bin/www_bget?ec:2.4.1.227" TargetMode="External"/><Relationship Id="rId1968" Type="http://schemas.openxmlformats.org/officeDocument/2006/relationships/hyperlink" Target="https://www.genome.jp/entry/R07766/R12427/R12428/R07769" TargetMode="External"/><Relationship Id="rId2507" Type="http://schemas.openxmlformats.org/officeDocument/2006/relationships/hyperlink" Target="https://enzyme.expasy.org/EC/2.7.4.6" TargetMode="External"/><Relationship Id="rId2714" Type="http://schemas.openxmlformats.org/officeDocument/2006/relationships/hyperlink" Target="https://www.genome.jp/entry/R00212/R06987" TargetMode="External"/><Relationship Id="rId2921" Type="http://schemas.openxmlformats.org/officeDocument/2006/relationships/hyperlink" Target="https://www.genome.jp/entry/R03105/R12689/R12690" TargetMode="External"/><Relationship Id="rId1316" Type="http://schemas.openxmlformats.org/officeDocument/2006/relationships/hyperlink" Target="https://www.genome.jp/dbget-bin/www_bget?ec:6.3.4.5" TargetMode="External"/><Relationship Id="rId1523" Type="http://schemas.openxmlformats.org/officeDocument/2006/relationships/hyperlink" Target="https://enzyme.expasy.org/EC/4.3.1.17" TargetMode="External"/><Relationship Id="rId1730" Type="http://schemas.openxmlformats.org/officeDocument/2006/relationships/hyperlink" Target="https://www.genome.jp/dbget-bin/www_bget?ec:6.1.1.15" TargetMode="External"/><Relationship Id="rId3183" Type="http://schemas.openxmlformats.org/officeDocument/2006/relationships/hyperlink" Target="https://www.genome.jp/entry/R00379/R00375/R00376/R00377/R00378/R11029" TargetMode="External"/><Relationship Id="rId3390" Type="http://schemas.openxmlformats.org/officeDocument/2006/relationships/hyperlink" Target="https://enzyme.expasy.org/EC/1.1.1.306" TargetMode="External"/><Relationship Id="rId22" Type="http://schemas.openxmlformats.org/officeDocument/2006/relationships/hyperlink" Target="https://enzyme.expasy.org/EC/2.6.1.16" TargetMode="External"/><Relationship Id="rId1828" Type="http://schemas.openxmlformats.org/officeDocument/2006/relationships/hyperlink" Target="https://www.genome.jp/entry/2.7.6.5" TargetMode="External"/><Relationship Id="rId3043" Type="http://schemas.openxmlformats.org/officeDocument/2006/relationships/hyperlink" Target="https://enzyme.expasy.org/EC/3.2.1.52" TargetMode="External"/><Relationship Id="rId3250" Type="http://schemas.openxmlformats.org/officeDocument/2006/relationships/hyperlink" Target="https://enzyme.expasy.org/EC/2.7.7.7" TargetMode="External"/><Relationship Id="rId3488" Type="http://schemas.openxmlformats.org/officeDocument/2006/relationships/hyperlink" Target="https://enzyme.expasy.org/EC/1.1.1.31" TargetMode="External"/><Relationship Id="rId3695" Type="http://schemas.openxmlformats.org/officeDocument/2006/relationships/hyperlink" Target="https://enzyme.expasy.org/EC/5.3.1.9" TargetMode="External"/><Relationship Id="rId171" Type="http://schemas.openxmlformats.org/officeDocument/2006/relationships/hyperlink" Target="https://enzyme.expasy.org/EC/7.6.2.10" TargetMode="External"/><Relationship Id="rId2297" Type="http://schemas.openxmlformats.org/officeDocument/2006/relationships/hyperlink" Target="https://www.genome.jp/dbget-bin/www_bget?ec:3.1.4.3" TargetMode="External"/><Relationship Id="rId3348" Type="http://schemas.openxmlformats.org/officeDocument/2006/relationships/hyperlink" Target="https://www.genome.jp/entry/R00006/R00226/R00014/R03050/R04672/R04673/R08648" TargetMode="External"/><Relationship Id="rId3555" Type="http://schemas.openxmlformats.org/officeDocument/2006/relationships/hyperlink" Target="https://www.genome.jp/dbget-bin/www_bget?ec:2.7.7.6" TargetMode="External"/><Relationship Id="rId3762" Type="http://schemas.openxmlformats.org/officeDocument/2006/relationships/hyperlink" Target="https://enzyme.expasy.org/EC/4.2.1.17" TargetMode="External"/><Relationship Id="rId269" Type="http://schemas.openxmlformats.org/officeDocument/2006/relationships/hyperlink" Target="https://enzyme.expasy.org/EC/3.1.11.6" TargetMode="External"/><Relationship Id="rId476" Type="http://schemas.openxmlformats.org/officeDocument/2006/relationships/hyperlink" Target="https://enzyme.expasy.org/EC/2.7.11.-" TargetMode="External"/><Relationship Id="rId683" Type="http://schemas.openxmlformats.org/officeDocument/2006/relationships/hyperlink" Target="https://enzyme.expasy.org/EC/3.1.3.12" TargetMode="External"/><Relationship Id="rId890" Type="http://schemas.openxmlformats.org/officeDocument/2006/relationships/hyperlink" Target="https://www.genome.jp/dbget-bin/www_bget?ec:2.4.1.287" TargetMode="External"/><Relationship Id="rId2157" Type="http://schemas.openxmlformats.org/officeDocument/2006/relationships/hyperlink" Target="https://www.genome.jp/dbget-bin/www_bget?ec:6.1.1.14" TargetMode="External"/><Relationship Id="rId2364" Type="http://schemas.openxmlformats.org/officeDocument/2006/relationships/hyperlink" Target="https://www.genome.jp/dbget-bin/www_bget?enzyme+3.1.4.46" TargetMode="External"/><Relationship Id="rId2571" Type="http://schemas.openxmlformats.org/officeDocument/2006/relationships/hyperlink" Target="https://www.genome.jp/dbget-bin/www_bget?ec:1.1.1.311" TargetMode="External"/><Relationship Id="rId3110" Type="http://schemas.openxmlformats.org/officeDocument/2006/relationships/hyperlink" Target="https://www.genome.jp/dbget-bin/www_bget?ec:3.1.3.3" TargetMode="External"/><Relationship Id="rId3208" Type="http://schemas.openxmlformats.org/officeDocument/2006/relationships/hyperlink" Target="https://enzyme.expasy.org/EC/2.7.7.7" TargetMode="External"/><Relationship Id="rId3415" Type="http://schemas.openxmlformats.org/officeDocument/2006/relationships/hyperlink" Target="https://www.genome.jp/dbget-bin/www_bget?ec:1.8.1.4" TargetMode="External"/><Relationship Id="rId129" Type="http://schemas.openxmlformats.org/officeDocument/2006/relationships/hyperlink" Target="https://enzyme.expasy.org/EC/4.2.1.46" TargetMode="External"/><Relationship Id="rId336" Type="http://schemas.openxmlformats.org/officeDocument/2006/relationships/hyperlink" Target="https://enzyme.expasy.org/EC/4.2.1.33" TargetMode="External"/><Relationship Id="rId543" Type="http://schemas.openxmlformats.org/officeDocument/2006/relationships/hyperlink" Target="https://enzyme.expasy.org/EC/2.5.1.10" TargetMode="External"/><Relationship Id="rId988" Type="http://schemas.openxmlformats.org/officeDocument/2006/relationships/hyperlink" Target="https://www.genome.jp/entry/R03194/R07237/R07238/R03950" TargetMode="External"/><Relationship Id="rId1173" Type="http://schemas.openxmlformats.org/officeDocument/2006/relationships/hyperlink" Target="https://www.genome.jp/dbget-bin/www_bget?ec:4.2.1.17" TargetMode="External"/><Relationship Id="rId1380" Type="http://schemas.openxmlformats.org/officeDocument/2006/relationships/hyperlink" Target="https://enzyme.expasy.org/EC/2.2.1.1" TargetMode="External"/><Relationship Id="rId2017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224" Type="http://schemas.openxmlformats.org/officeDocument/2006/relationships/hyperlink" Target="https://www.genome.jp/entry/R00630/R06728/R08255/R08258/R08220/R08249/R08251/R08295/R08300" TargetMode="External"/><Relationship Id="rId2669" Type="http://schemas.openxmlformats.org/officeDocument/2006/relationships/hyperlink" Target="https://www.genome.jp/entry/R02767/R04533/R04534/R04536/R04543/R04566/R04953/R04964/R07763/R10116/R10120" TargetMode="External"/><Relationship Id="rId2876" Type="http://schemas.openxmlformats.org/officeDocument/2006/relationships/hyperlink" Target="https://enzyme.expasy.org/EC/2.5.1.15" TargetMode="External"/><Relationship Id="rId3622" Type="http://schemas.openxmlformats.org/officeDocument/2006/relationships/hyperlink" Target="https://www.genome.jp/entry/R04562/R01074/R05145" TargetMode="External"/><Relationship Id="rId3927" Type="http://schemas.openxmlformats.org/officeDocument/2006/relationships/hyperlink" Target="https://enzyme.expasy.org/EC/4.2.1.33" TargetMode="External"/><Relationship Id="rId403" Type="http://schemas.openxmlformats.org/officeDocument/2006/relationships/hyperlink" Target="https://enzyme.expasy.org/EC/4.-.-.-" TargetMode="External"/><Relationship Id="rId750" Type="http://schemas.openxmlformats.org/officeDocument/2006/relationships/hyperlink" Target="https://enzyme.expasy.org/EC/3.5.1.13" TargetMode="External"/><Relationship Id="rId848" Type="http://schemas.openxmlformats.org/officeDocument/2006/relationships/hyperlink" Target="https://www.genome.jp/dbget-bin/www_bget?ec:2.7.13.3" TargetMode="External"/><Relationship Id="rId1033" Type="http://schemas.openxmlformats.org/officeDocument/2006/relationships/hyperlink" Target="https://www.genome.jp/dbget-bin/www_bget?enzyme+3.4.11.18" TargetMode="External"/><Relationship Id="rId1478" Type="http://schemas.openxmlformats.org/officeDocument/2006/relationships/hyperlink" Target="https://enzyme.expasy.org/EC/6.3.5.5" TargetMode="External"/><Relationship Id="rId1685" Type="http://schemas.openxmlformats.org/officeDocument/2006/relationships/hyperlink" Target="https://www.genome.jp/dbget-bin/www_bget?ec:2.3.1.41" TargetMode="External"/><Relationship Id="rId1892" Type="http://schemas.openxmlformats.org/officeDocument/2006/relationships/hyperlink" Target="https://enzyme.expasy.org/EC/2.4.1.129" TargetMode="External"/><Relationship Id="rId2431" Type="http://schemas.openxmlformats.org/officeDocument/2006/relationships/hyperlink" Target="https://enzyme.expasy.org/EC/1.17.4.1" TargetMode="External"/><Relationship Id="rId2529" Type="http://schemas.openxmlformats.org/officeDocument/2006/relationships/hyperlink" Target="https://www.genome.jp/dbget-bin/www_bget?ec:2.7.4.6" TargetMode="External"/><Relationship Id="rId2736" Type="http://schemas.openxmlformats.org/officeDocument/2006/relationships/hyperlink" Target="https://www.genome.jp/dbget-bin/www_bget?ec:3.6.1.9" TargetMode="External"/><Relationship Id="rId610" Type="http://schemas.openxmlformats.org/officeDocument/2006/relationships/hyperlink" Target="https://enzyme.expasy.org/EC/3.1.3.-" TargetMode="External"/><Relationship Id="rId708" Type="http://schemas.openxmlformats.org/officeDocument/2006/relationships/hyperlink" Target="https://enzyme.expasy.org/EC/3.1.1.-" TargetMode="External"/><Relationship Id="rId915" Type="http://schemas.openxmlformats.org/officeDocument/2006/relationships/hyperlink" Target="https://www.genome.jp/entry/R01213" TargetMode="External"/><Relationship Id="rId1240" Type="http://schemas.openxmlformats.org/officeDocument/2006/relationships/hyperlink" Target="https://www.genome.jp/entry/R02914" TargetMode="External"/><Relationship Id="rId1338" Type="http://schemas.openxmlformats.org/officeDocument/2006/relationships/hyperlink" Target="https://www.genome.jp/dbget-bin/www_bget?ec:1.1.1.44" TargetMode="External"/><Relationship Id="rId1545" Type="http://schemas.openxmlformats.org/officeDocument/2006/relationships/hyperlink" Target="https://enzyme.expasy.org/EC/4.3.1.17" TargetMode="External"/><Relationship Id="rId2943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1100" Type="http://schemas.openxmlformats.org/officeDocument/2006/relationships/hyperlink" Target="https://www.genome.jp/dbget-bin/www_bget?ec:5.1.3.3" TargetMode="External"/><Relationship Id="rId1405" Type="http://schemas.openxmlformats.org/officeDocument/2006/relationships/hyperlink" Target="https://www.genome.jp/entry/R01015" TargetMode="External"/><Relationship Id="rId1752" Type="http://schemas.openxmlformats.org/officeDocument/2006/relationships/hyperlink" Target="https://www.genome.jp/entry/R01799" TargetMode="External"/><Relationship Id="rId2803" Type="http://schemas.openxmlformats.org/officeDocument/2006/relationships/hyperlink" Target="https://www.genome.jp/dbget-bin/www_bget?ec:6.3.5.3" TargetMode="External"/><Relationship Id="rId44" Type="http://schemas.openxmlformats.org/officeDocument/2006/relationships/hyperlink" Target="https://enzyme.expasy.org/EC/4.2.1.130" TargetMode="External"/><Relationship Id="rId1612" Type="http://schemas.openxmlformats.org/officeDocument/2006/relationships/hyperlink" Target="https://enzyme.expasy.org/EC/3.6.4.13" TargetMode="External"/><Relationship Id="rId1917" Type="http://schemas.openxmlformats.org/officeDocument/2006/relationships/hyperlink" Target="https://www.genome.jp/entry/R00081/R00082" TargetMode="External"/><Relationship Id="rId3065" Type="http://schemas.openxmlformats.org/officeDocument/2006/relationships/hyperlink" Target="https://www.genome.jp/entry/R02770/R02087" TargetMode="External"/><Relationship Id="rId3272" Type="http://schemas.openxmlformats.org/officeDocument/2006/relationships/hyperlink" Target="https://www.genome.jp/dbget-bin/www_bget?ec:2.7.7.7" TargetMode="External"/><Relationship Id="rId193" Type="http://schemas.openxmlformats.org/officeDocument/2006/relationships/hyperlink" Target="https://enzyme.expasy.org/EC/2.7.4.9" TargetMode="External"/><Relationship Id="rId498" Type="http://schemas.openxmlformats.org/officeDocument/2006/relationships/hyperlink" Target="https://enzyme.expasy.org/EC/3.4.11.18" TargetMode="External"/><Relationship Id="rId2081" Type="http://schemas.openxmlformats.org/officeDocument/2006/relationships/hyperlink" Target="https://www.genome.jp/dbget-bin/www_bget?ec:3.1.3.5" TargetMode="External"/><Relationship Id="rId2179" Type="http://schemas.openxmlformats.org/officeDocument/2006/relationships/hyperlink" Target="https://www.genome.jp/dbget-bin/www_bget?ec:1.18.1.2" TargetMode="External"/><Relationship Id="rId3132" Type="http://schemas.openxmlformats.org/officeDocument/2006/relationships/hyperlink" Target="https://enzyme.expasy.org/EC/2.7.11.1" TargetMode="External"/><Relationship Id="rId3577" Type="http://schemas.openxmlformats.org/officeDocument/2006/relationships/hyperlink" Target="https://www.genome.jp/entry/R07358/R02964/R03643/R03816/R07359" TargetMode="External"/><Relationship Id="rId3784" Type="http://schemas.openxmlformats.org/officeDocument/2006/relationships/hyperlink" Target="https://www.genome.jp/dbget-bin/www_bget?ec:2.7.1.33" TargetMode="External"/><Relationship Id="rId260" Type="http://schemas.openxmlformats.org/officeDocument/2006/relationships/hyperlink" Target="https://enzyme.expasy.org/EC/4.2.1.11" TargetMode="External"/><Relationship Id="rId2386" Type="http://schemas.openxmlformats.org/officeDocument/2006/relationships/hyperlink" Target="https://www.genome.jp/dbget-bin/www_bget?ec:5.5.1.4" TargetMode="External"/><Relationship Id="rId2593" Type="http://schemas.openxmlformats.org/officeDocument/2006/relationships/hyperlink" Target="https://www.genome.jp/dbget-bin/www_bget?ec:2.5.1.48" TargetMode="External"/><Relationship Id="rId3437" Type="http://schemas.openxmlformats.org/officeDocument/2006/relationships/hyperlink" Target="https://www.genome.jp/entry/R08550/R03815/R07618/R01698" TargetMode="External"/><Relationship Id="rId3644" Type="http://schemas.openxmlformats.org/officeDocument/2006/relationships/hyperlink" Target="https://www.genome.jp/entry/R07343/R01185/R01186/R01187" TargetMode="External"/><Relationship Id="rId3851" Type="http://schemas.openxmlformats.org/officeDocument/2006/relationships/hyperlink" Target="https://www.genome.jp/entry/R07460/R11528/R11529" TargetMode="External"/><Relationship Id="rId120" Type="http://schemas.openxmlformats.org/officeDocument/2006/relationships/hyperlink" Target="https://enzyme.expasy.org/EC/3.4.21.-" TargetMode="External"/><Relationship Id="rId358" Type="http://schemas.openxmlformats.org/officeDocument/2006/relationships/hyperlink" Target="https://enzyme.expasy.org/EC/4.3.2.1" TargetMode="External"/><Relationship Id="rId565" Type="http://schemas.openxmlformats.org/officeDocument/2006/relationships/hyperlink" Target="https://enzyme.expasy.org/EC/4.2.3.1" TargetMode="External"/><Relationship Id="rId772" Type="http://schemas.openxmlformats.org/officeDocument/2006/relationships/hyperlink" Target="https://enzyme.expasy.org/EC/5.1.3.9" TargetMode="External"/><Relationship Id="rId1195" Type="http://schemas.openxmlformats.org/officeDocument/2006/relationships/hyperlink" Target="https://www.genome.jp/dbget-bin/www_bget?ec:3.6.1.40" TargetMode="External"/><Relationship Id="rId2039" Type="http://schemas.openxmlformats.org/officeDocument/2006/relationships/hyperlink" Target="https://enzyme.expasy.org/EC/1.1.1.1" TargetMode="External"/><Relationship Id="rId2246" Type="http://schemas.openxmlformats.org/officeDocument/2006/relationships/hyperlink" Target="https://enzyme.expasy.org/EC/3.1.1.1" TargetMode="External"/><Relationship Id="rId2453" Type="http://schemas.openxmlformats.org/officeDocument/2006/relationships/hyperlink" Target="https://www.genome.jp/dbget-bin/www_bget?ec:4.1.3.27" TargetMode="External"/><Relationship Id="rId2660" Type="http://schemas.openxmlformats.org/officeDocument/2006/relationships/hyperlink" Target="https://www.genome.jp/entry/R02767/R04533/R04534/R04536/R04543/R04566/R04953/R04964/R07763/R10116/R10120" TargetMode="External"/><Relationship Id="rId2898" Type="http://schemas.openxmlformats.org/officeDocument/2006/relationships/hyperlink" Target="https://www.genome.jp/entry/R00004" TargetMode="External"/><Relationship Id="rId3504" Type="http://schemas.openxmlformats.org/officeDocument/2006/relationships/hyperlink" Target="https://www.genome.jp/dbget-bin/www_bget?ec:2.7.7.6" TargetMode="External"/><Relationship Id="rId3711" Type="http://schemas.openxmlformats.org/officeDocument/2006/relationships/hyperlink" Target="https://www.genome.jp/dbget-bin/www_bget?ec:6.1.1.10" TargetMode="External"/><Relationship Id="rId3949" Type="http://schemas.openxmlformats.org/officeDocument/2006/relationships/hyperlink" Target="https://enzyme.expasy.org/EC/3.1.1.1" TargetMode="External"/><Relationship Id="rId218" Type="http://schemas.openxmlformats.org/officeDocument/2006/relationships/hyperlink" Target="https://enzyme.expasy.org/EC/1.20.4.3" TargetMode="External"/><Relationship Id="rId425" Type="http://schemas.openxmlformats.org/officeDocument/2006/relationships/hyperlink" Target="https://enzyme.expasy.org/EC/6.3.5.5" TargetMode="External"/><Relationship Id="rId632" Type="http://schemas.openxmlformats.org/officeDocument/2006/relationships/hyperlink" Target="https://enzyme.expasy.org/EC/1.4.1.1" TargetMode="External"/><Relationship Id="rId1055" Type="http://schemas.openxmlformats.org/officeDocument/2006/relationships/hyperlink" Target="https://www.genome.jp/dbget-bin/www_bget?ec:3.1.11.2" TargetMode="External"/><Relationship Id="rId1262" Type="http://schemas.openxmlformats.org/officeDocument/2006/relationships/hyperlink" Target="https://www.genome.jp/entry/R10463" TargetMode="External"/><Relationship Id="rId2106" Type="http://schemas.openxmlformats.org/officeDocument/2006/relationships/hyperlink" Target="https://www.genome.jp/entry/R07297/R00183/R00511/R00963/R01126/R01227/R02323/R02719/R03346/R01569/R01664/R01968/R02088/R02102/R12958" TargetMode="External"/><Relationship Id="rId2313" Type="http://schemas.openxmlformats.org/officeDocument/2006/relationships/hyperlink" Target="https://www.genome.jp/dbget-bin/www_bget?ec:2.7.7.18" TargetMode="External"/><Relationship Id="rId2520" Type="http://schemas.openxmlformats.org/officeDocument/2006/relationships/hyperlink" Target="https://www.genome.jp/dbget-bin/www_bget?ec:2.7.4.6" TargetMode="External"/><Relationship Id="rId2758" Type="http://schemas.openxmlformats.org/officeDocument/2006/relationships/hyperlink" Target="https://www.genome.jp/dbget-bin/www_bget?ec:2.5.1.47" TargetMode="External"/><Relationship Id="rId2965" Type="http://schemas.openxmlformats.org/officeDocument/2006/relationships/hyperlink" Target="https://enzyme.expasy.org/EC/1.2.1.3" TargetMode="External"/><Relationship Id="rId3809" Type="http://schemas.openxmlformats.org/officeDocument/2006/relationships/hyperlink" Target="https://www.genome.jp/entry/R00801/R00802/R02410/R03635/R03921/R06087/R06088/R06100/R06101/R06102" TargetMode="External"/><Relationship Id="rId937" Type="http://schemas.openxmlformats.org/officeDocument/2006/relationships/hyperlink" Target="https://www.genome.jp/entry/R06513" TargetMode="External"/><Relationship Id="rId1122" Type="http://schemas.openxmlformats.org/officeDocument/2006/relationships/hyperlink" Target="https://www.genome.jp/dbget-bin/www_bget?ec:3.6.1.22" TargetMode="External"/><Relationship Id="rId1567" Type="http://schemas.openxmlformats.org/officeDocument/2006/relationships/hyperlink" Target="https://www.genome.jp/entry/R11702/R12038" TargetMode="External"/><Relationship Id="rId1774" Type="http://schemas.openxmlformats.org/officeDocument/2006/relationships/hyperlink" Target="https://www.genome.jp/entry/R00243/R00145/R00146" TargetMode="External"/><Relationship Id="rId1981" Type="http://schemas.openxmlformats.org/officeDocument/2006/relationships/hyperlink" Target="https://www.genome.jp/dbget-bin/www_bget?ec:4.2.3.1" TargetMode="External"/><Relationship Id="rId2618" Type="http://schemas.openxmlformats.org/officeDocument/2006/relationships/hyperlink" Target="https://www.genome.jp/dbget-bin/www_bget?ec:1.4.1.1" TargetMode="External"/><Relationship Id="rId2825" Type="http://schemas.openxmlformats.org/officeDocument/2006/relationships/hyperlink" Target="https://www.genome.jp/entry/R03650" TargetMode="External"/><Relationship Id="rId66" Type="http://schemas.openxmlformats.org/officeDocument/2006/relationships/hyperlink" Target="https://enzyme.expasy.org/EC/3.4.21.105" TargetMode="External"/><Relationship Id="rId1427" Type="http://schemas.openxmlformats.org/officeDocument/2006/relationships/hyperlink" Target="https://www.genome.jp/entry/R00291/R00418/R02984" TargetMode="External"/><Relationship Id="rId1634" Type="http://schemas.openxmlformats.org/officeDocument/2006/relationships/hyperlink" Target="https://www.genome.jp/dbget-bin/www_bget?ec:3.4.21.88" TargetMode="External"/><Relationship Id="rId1841" Type="http://schemas.openxmlformats.org/officeDocument/2006/relationships/hyperlink" Target="https://enzyme.expasy.org/EC/4.3.1.19" TargetMode="External"/><Relationship Id="rId3087" Type="http://schemas.openxmlformats.org/officeDocument/2006/relationships/hyperlink" Target="https://www.genome.jp/entry/R00630/R06728/R08255/R08258/R08220/R08249/R08251/R08295/R08300" TargetMode="External"/><Relationship Id="rId3294" Type="http://schemas.openxmlformats.org/officeDocument/2006/relationships/hyperlink" Target="https://www.genome.jp/entry/R00379/R00375/R00376/R00377/R00378/R11029" TargetMode="External"/><Relationship Id="rId1939" Type="http://schemas.openxmlformats.org/officeDocument/2006/relationships/hyperlink" Target="https://www.genome.jp/dbget-bin/www_bget?ec:2.6.1.42" TargetMode="External"/><Relationship Id="rId3599" Type="http://schemas.openxmlformats.org/officeDocument/2006/relationships/hyperlink" Target="https://enzyme.expasy.org/EC/2.4.2.2" TargetMode="External"/><Relationship Id="rId1701" Type="http://schemas.openxmlformats.org/officeDocument/2006/relationships/hyperlink" Target="https://www.genome.jp/entry/R02768/R04355/R04726/R04952/R04957/R04960/R04963/R04968/R07762/R10115/R10119" TargetMode="External"/><Relationship Id="rId3154" Type="http://schemas.openxmlformats.org/officeDocument/2006/relationships/hyperlink" Target="https://enzyme.expasy.org/EC/2.7.7.7" TargetMode="External"/><Relationship Id="rId3361" Type="http://schemas.openxmlformats.org/officeDocument/2006/relationships/hyperlink" Target="https://enzyme.expasy.org/EC/2.4.1.287" TargetMode="External"/><Relationship Id="rId3459" Type="http://schemas.openxmlformats.org/officeDocument/2006/relationships/hyperlink" Target="https://www.genome.jp/dbget-bin/www_bget?enzyme+1.5.1.2" TargetMode="External"/><Relationship Id="rId3666" Type="http://schemas.openxmlformats.org/officeDocument/2006/relationships/hyperlink" Target="https://enzyme.expasy.org/EC/2.6.1.52" TargetMode="External"/><Relationship Id="rId282" Type="http://schemas.openxmlformats.org/officeDocument/2006/relationships/hyperlink" Target="https://enzyme.expasy.org/EC/3.5.1.18" TargetMode="External"/><Relationship Id="rId587" Type="http://schemas.openxmlformats.org/officeDocument/2006/relationships/hyperlink" Target="https://enzyme.expasy.org/EC/2.3.1.9" TargetMode="External"/><Relationship Id="rId2170" Type="http://schemas.openxmlformats.org/officeDocument/2006/relationships/hyperlink" Target="https://www.genome.jp/entry/R00315/R01353" TargetMode="External"/><Relationship Id="rId2268" Type="http://schemas.openxmlformats.org/officeDocument/2006/relationships/hyperlink" Target="https://www.genome.jp/entry/R12188/R01286/R02408/R02953/R03528/R00782/R04941/R09366" TargetMode="External"/><Relationship Id="rId3014" Type="http://schemas.openxmlformats.org/officeDocument/2006/relationships/hyperlink" Target="https://www.genome.jp/dbget-bin/www_bget?ec:3.2.1.52" TargetMode="External"/><Relationship Id="rId3221" Type="http://schemas.openxmlformats.org/officeDocument/2006/relationships/hyperlink" Target="https://www.genome.jp/dbget-bin/www_bget?ec:2.7.7.7" TargetMode="External"/><Relationship Id="rId3319" Type="http://schemas.openxmlformats.org/officeDocument/2006/relationships/hyperlink" Target="https://enzyme.expasy.org/EC/2.2.1.6" TargetMode="External"/><Relationship Id="rId3873" Type="http://schemas.openxmlformats.org/officeDocument/2006/relationships/hyperlink" Target="https://enzyme.expasy.org/EC/2.7.1.11" TargetMode="External"/><Relationship Id="rId8" Type="http://schemas.openxmlformats.org/officeDocument/2006/relationships/hyperlink" Target="https://enzyme.expasy.org/EC/2.4.2.1" TargetMode="External"/><Relationship Id="rId142" Type="http://schemas.openxmlformats.org/officeDocument/2006/relationships/hyperlink" Target="https://enzyme.expasy.org/EC/4.4.1.21" TargetMode="External"/><Relationship Id="rId447" Type="http://schemas.openxmlformats.org/officeDocument/2006/relationships/hyperlink" Target="https://enzyme.expasy.org/EC/2.4.2.7" TargetMode="External"/><Relationship Id="rId794" Type="http://schemas.openxmlformats.org/officeDocument/2006/relationships/hyperlink" Target="https://enzyme.expasy.org/EC/2.8.1.2" TargetMode="External"/><Relationship Id="rId1077" Type="http://schemas.openxmlformats.org/officeDocument/2006/relationships/hyperlink" Target="https://www.genome.jp/entry/R08201" TargetMode="External"/><Relationship Id="rId2030" Type="http://schemas.openxmlformats.org/officeDocument/2006/relationships/hyperlink" Target="https://enzyme.expasy.org/EC/1.1.1.1" TargetMode="External"/><Relationship Id="rId2128" Type="http://schemas.openxmlformats.org/officeDocument/2006/relationships/hyperlink" Target="https://www.genome.jp/dbget-bin/www_bget?ec:2.3.1.47" TargetMode="External"/><Relationship Id="rId2475" Type="http://schemas.openxmlformats.org/officeDocument/2006/relationships/hyperlink" Target="https://enzyme.expasy.org/EC/4.2.1.20" TargetMode="External"/><Relationship Id="rId2682" Type="http://schemas.openxmlformats.org/officeDocument/2006/relationships/hyperlink" Target="https://enzyme.expasy.org/EC/1.1.1.100" TargetMode="External"/><Relationship Id="rId2987" Type="http://schemas.openxmlformats.org/officeDocument/2006/relationships/hyperlink" Target="https://www.genome.jp/dbget-bin/www_bget?ec:1.2.1.3" TargetMode="External"/><Relationship Id="rId3526" Type="http://schemas.openxmlformats.org/officeDocument/2006/relationships/hyperlink" Target="https://www.genome.jp/entry/R00444/R00435/R00441/R00442/R00443/R10813" TargetMode="External"/><Relationship Id="rId3733" Type="http://schemas.openxmlformats.org/officeDocument/2006/relationships/hyperlink" Target="https://www.genome.jp/dbget-bin/www_bget?ec:4.2.1.17" TargetMode="External"/><Relationship Id="rId3940" Type="http://schemas.openxmlformats.org/officeDocument/2006/relationships/hyperlink" Target="https://enzyme.expasy.org/EC/6.4.1.3" TargetMode="External"/><Relationship Id="rId654" Type="http://schemas.openxmlformats.org/officeDocument/2006/relationships/hyperlink" Target="https://enzyme.expasy.org/EC/1.17.4.1" TargetMode="External"/><Relationship Id="rId861" Type="http://schemas.openxmlformats.org/officeDocument/2006/relationships/hyperlink" Target="https://www.genome.jp/dbget-bin/www_bget?ec:2.8.1.6" TargetMode="External"/><Relationship Id="rId959" Type="http://schemas.openxmlformats.org/officeDocument/2006/relationships/hyperlink" Target="https://www.genome.jp/dbget-bin/www_bget?ec:1.3.5.1" TargetMode="External"/><Relationship Id="rId1284" Type="http://schemas.openxmlformats.org/officeDocument/2006/relationships/hyperlink" Target="https://www.genome.jp/dbget-bin/www_bget?ec:5.4.4.2" TargetMode="External"/><Relationship Id="rId1491" Type="http://schemas.openxmlformats.org/officeDocument/2006/relationships/hyperlink" Target="https://www.genome.jp/entry/R00256/R00575/R01395/R10948/R10949/R07641" TargetMode="External"/><Relationship Id="rId1589" Type="http://schemas.openxmlformats.org/officeDocument/2006/relationships/hyperlink" Target="https://www.genome.jp/entry/5.6.2.6" TargetMode="External"/><Relationship Id="rId2335" Type="http://schemas.openxmlformats.org/officeDocument/2006/relationships/hyperlink" Target="https://www.genome.jp/dbget-bin/www_bget?ec:3.1.3.23" TargetMode="External"/><Relationship Id="rId2542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3800" Type="http://schemas.openxmlformats.org/officeDocument/2006/relationships/hyperlink" Target="https://www.genome.jp/entry/R05884/R08210" TargetMode="External"/><Relationship Id="rId307" Type="http://schemas.openxmlformats.org/officeDocument/2006/relationships/hyperlink" Target="https://enzyme.expasy.org/EC/2.1.1.-" TargetMode="External"/><Relationship Id="rId514" Type="http://schemas.openxmlformats.org/officeDocument/2006/relationships/hyperlink" Target="https://enzyme.expasy.org/EC/2.7.1.165" TargetMode="External"/><Relationship Id="rId721" Type="http://schemas.openxmlformats.org/officeDocument/2006/relationships/hyperlink" Target="https://enzyme.expasy.org/EC/3.6.-.-" TargetMode="External"/><Relationship Id="rId1144" Type="http://schemas.openxmlformats.org/officeDocument/2006/relationships/hyperlink" Target="https://www.genome.jp/dbget-bin/www_bget?ec:1.5.1.3" TargetMode="External"/><Relationship Id="rId1351" Type="http://schemas.openxmlformats.org/officeDocument/2006/relationships/hyperlink" Target="https://www.genome.jp/dbget-bin/www_bget?enzyme+6.3.4.3" TargetMode="External"/><Relationship Id="rId1449" Type="http://schemas.openxmlformats.org/officeDocument/2006/relationships/hyperlink" Target="https://www.genome.jp/dbget-bin/www_bget?ec:2.5.1.6" TargetMode="External"/><Relationship Id="rId1796" Type="http://schemas.openxmlformats.org/officeDocument/2006/relationships/hyperlink" Target="https://www.genome.jp/entry/R00200/R00430/R00572/R00659/R00724/R01138/R01858/R02320" TargetMode="External"/><Relationship Id="rId2402" Type="http://schemas.openxmlformats.org/officeDocument/2006/relationships/hyperlink" Target="https://enzyme.expasy.org/EC/1.17.4.1" TargetMode="External"/><Relationship Id="rId2847" Type="http://schemas.openxmlformats.org/officeDocument/2006/relationships/hyperlink" Target="https://www.genome.jp/dbget-bin/www_bget?ec:2.5.1.32" TargetMode="External"/><Relationship Id="rId88" Type="http://schemas.openxmlformats.org/officeDocument/2006/relationships/hyperlink" Target="https://enzyme.expasy.org/EC/2.1.1.63" TargetMode="External"/><Relationship Id="rId819" Type="http://schemas.openxmlformats.org/officeDocument/2006/relationships/hyperlink" Target="https://www.genome.jp/entry/R01224/R07168" TargetMode="External"/><Relationship Id="rId1004" Type="http://schemas.openxmlformats.org/officeDocument/2006/relationships/hyperlink" Target="https://www.genome.jp/dbget-bin/www_bget?ec:4.1.3.36" TargetMode="External"/><Relationship Id="rId1211" Type="http://schemas.openxmlformats.org/officeDocument/2006/relationships/hyperlink" Target="https://www.genome.jp/entry/R05884/R08210" TargetMode="External"/><Relationship Id="rId1656" Type="http://schemas.openxmlformats.org/officeDocument/2006/relationships/hyperlink" Target="https://www.genome.jp/entry/R00299/R01600/R01786" TargetMode="External"/><Relationship Id="rId1863" Type="http://schemas.openxmlformats.org/officeDocument/2006/relationships/hyperlink" Target="https://enzyme.expasy.org/EC/2.4.1.227" TargetMode="External"/><Relationship Id="rId2707" Type="http://schemas.openxmlformats.org/officeDocument/2006/relationships/hyperlink" Target="https://www.genome.jp/entry/R04710" TargetMode="External"/><Relationship Id="rId2914" Type="http://schemas.openxmlformats.org/officeDocument/2006/relationships/hyperlink" Target="https://www.genome.jp/entry/R02917" TargetMode="External"/><Relationship Id="rId1309" Type="http://schemas.openxmlformats.org/officeDocument/2006/relationships/hyperlink" Target="https://www.genome.jp/entry/R03443" TargetMode="External"/><Relationship Id="rId1516" Type="http://schemas.openxmlformats.org/officeDocument/2006/relationships/hyperlink" Target="https://www.genome.jp/dbget-bin/www_bget?ec:1.5.1.38" TargetMode="External"/><Relationship Id="rId1723" Type="http://schemas.openxmlformats.org/officeDocument/2006/relationships/hyperlink" Target="https://www.genome.jp/dbget-bin/www_bget?enzyme+2.7.7.8" TargetMode="External"/><Relationship Id="rId1930" Type="http://schemas.openxmlformats.org/officeDocument/2006/relationships/hyperlink" Target="https://www.genome.jp/entry/R00256/R00483/R00578" TargetMode="External"/><Relationship Id="rId3176" Type="http://schemas.openxmlformats.org/officeDocument/2006/relationships/hyperlink" Target="https://www.genome.jp/dbget-bin/www_bget?ec:2.7.7.7" TargetMode="External"/><Relationship Id="rId3383" Type="http://schemas.openxmlformats.org/officeDocument/2006/relationships/hyperlink" Target="https://www.genome.jp/entry/R02822/R05842/R07108/R07109/R07110/R07111" TargetMode="External"/><Relationship Id="rId3590" Type="http://schemas.openxmlformats.org/officeDocument/2006/relationships/hyperlink" Target="https://enzyme.expasy.org/EC/2.7.8.23" TargetMode="External"/><Relationship Id="rId15" Type="http://schemas.openxmlformats.org/officeDocument/2006/relationships/hyperlink" Target="https://enzyme.expasy.org/EC/2.7.4.3" TargetMode="External"/><Relationship Id="rId2192" Type="http://schemas.openxmlformats.org/officeDocument/2006/relationships/hyperlink" Target="https://www.genome.jp/entry/R00174/R01909/R02493" TargetMode="External"/><Relationship Id="rId3036" Type="http://schemas.openxmlformats.org/officeDocument/2006/relationships/hyperlink" Target="https://www.genome.jp/entry/R00022/R03492/R04184/R04586/R05963/R06001/R06004/R06141/R07809/R07810/R09323/R10831/R11316/R11317/R12963" TargetMode="External"/><Relationship Id="rId3243" Type="http://schemas.openxmlformats.org/officeDocument/2006/relationships/hyperlink" Target="https://www.genome.jp/entry/R00379/R00375/R00376/R00377/R00378/R11029" TargetMode="External"/><Relationship Id="rId3688" Type="http://schemas.openxmlformats.org/officeDocument/2006/relationships/hyperlink" Target="https://www.genome.jp/entry/R00188/R00508" TargetMode="External"/><Relationship Id="rId3895" Type="http://schemas.openxmlformats.org/officeDocument/2006/relationships/hyperlink" Target="https://www.genome.jp/dbget-bin/www_bget?ec:1.1.1.86" TargetMode="External"/><Relationship Id="rId164" Type="http://schemas.openxmlformats.org/officeDocument/2006/relationships/hyperlink" Target="https://enzyme.expasy.org/EC/3.1.-.-" TargetMode="External"/><Relationship Id="rId371" Type="http://schemas.openxmlformats.org/officeDocument/2006/relationships/hyperlink" Target="https://enzyme.expasy.org/EC/2.7.4.25" TargetMode="External"/><Relationship Id="rId2052" Type="http://schemas.openxmlformats.org/officeDocument/2006/relationships/hyperlink" Target="https://www.genome.jp/entry/R00424/R00428/R04639/R05046/R05048" TargetMode="External"/><Relationship Id="rId2497" Type="http://schemas.openxmlformats.org/officeDocument/2006/relationships/hyperlink" Target="https://www.genome.jp/entry/R02016/R00900/R03596/R09372" TargetMode="External"/><Relationship Id="rId3450" Type="http://schemas.openxmlformats.org/officeDocument/2006/relationships/hyperlink" Target="https://www.genome.jp/dbget-bin/www_bget?enzyme+3.5.1.111" TargetMode="External"/><Relationship Id="rId3548" Type="http://schemas.openxmlformats.org/officeDocument/2006/relationships/hyperlink" Target="https://enzyme.expasy.org/EC/2.7.7.6" TargetMode="External"/><Relationship Id="rId3755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469" Type="http://schemas.openxmlformats.org/officeDocument/2006/relationships/hyperlink" Target="https://enzyme.expasy.org/EC/5.1.3.2" TargetMode="External"/><Relationship Id="rId676" Type="http://schemas.openxmlformats.org/officeDocument/2006/relationships/hyperlink" Target="https://enzyme.expasy.org/EC/6.3.2.6" TargetMode="External"/><Relationship Id="rId883" Type="http://schemas.openxmlformats.org/officeDocument/2006/relationships/hyperlink" Target="https://www.genome.jp/dbget-bin/www_bget?ec:2.2.1.6" TargetMode="External"/><Relationship Id="rId1099" Type="http://schemas.openxmlformats.org/officeDocument/2006/relationships/hyperlink" Target="https://www.genome.jp/entry/R01051/R02750" TargetMode="External"/><Relationship Id="rId2357" Type="http://schemas.openxmlformats.org/officeDocument/2006/relationships/hyperlink" Target="https://www.genome.jp/dbget-bin/www_bget?enzyme+4.2.1.51" TargetMode="External"/><Relationship Id="rId2564" Type="http://schemas.openxmlformats.org/officeDocument/2006/relationships/hyperlink" Target="https://enzyme.expasy.org/EC/2.1.2.11" TargetMode="External"/><Relationship Id="rId3103" Type="http://schemas.openxmlformats.org/officeDocument/2006/relationships/hyperlink" Target="https://enzyme.expasy.org/EC/3.1.3.3" TargetMode="External"/><Relationship Id="rId3310" Type="http://schemas.openxmlformats.org/officeDocument/2006/relationships/hyperlink" Target="https://enzyme.expasy.org/EC/2.2.1.6" TargetMode="External"/><Relationship Id="rId3408" Type="http://schemas.openxmlformats.org/officeDocument/2006/relationships/hyperlink" Target="https://enzyme.expasy.org/EC/2.3.1.122" TargetMode="External"/><Relationship Id="rId3615" Type="http://schemas.openxmlformats.org/officeDocument/2006/relationships/hyperlink" Target="https://www.genome.jp/dbget-bin/www_bget?ec:3.2.1.1" TargetMode="External"/><Relationship Id="rId3962" Type="http://schemas.openxmlformats.org/officeDocument/2006/relationships/hyperlink" Target="https://www.genome.jp/dbget-bin/www_bget?ec:3.1.1.1" TargetMode="External"/><Relationship Id="rId231" Type="http://schemas.openxmlformats.org/officeDocument/2006/relationships/hyperlink" Target="https://enzyme.expasy.org/EC/2.10.1.1" TargetMode="External"/><Relationship Id="rId329" Type="http://schemas.openxmlformats.org/officeDocument/2006/relationships/hyperlink" Target="https://enzyme.expasy.org/EC/1.1.1.95" TargetMode="External"/><Relationship Id="rId536" Type="http://schemas.openxmlformats.org/officeDocument/2006/relationships/hyperlink" Target="https://enzyme.expasy.org/EC/2.4.1.227" TargetMode="External"/><Relationship Id="rId1166" Type="http://schemas.openxmlformats.org/officeDocument/2006/relationships/hyperlink" Target="https://www.genome.jp/dbget-bin/www_bget?ec:2.1.1.198" TargetMode="External"/><Relationship Id="rId1373" Type="http://schemas.openxmlformats.org/officeDocument/2006/relationships/hyperlink" Target="https://www.genome.jp/dbget-bin/www_bget?ec:4.2.1.3" TargetMode="External"/><Relationship Id="rId2217" Type="http://schemas.openxmlformats.org/officeDocument/2006/relationships/hyperlink" Target="https://www.genome.jp/dbget-bin/www_bget?ec:3.1.1.1" TargetMode="External"/><Relationship Id="rId2771" Type="http://schemas.openxmlformats.org/officeDocument/2006/relationships/hyperlink" Target="https://www.genome.jp/dbget-bin/www_bget?ec:7.3.2.1" TargetMode="External"/><Relationship Id="rId2869" Type="http://schemas.openxmlformats.org/officeDocument/2006/relationships/hyperlink" Target="https://www.genome.jp/dbget-bin/www_bget?ec:3.4.22.40" TargetMode="External"/><Relationship Id="rId3822" Type="http://schemas.openxmlformats.org/officeDocument/2006/relationships/hyperlink" Target="https://enzyme.expasy.org/EC/3.2.1.26" TargetMode="External"/><Relationship Id="rId743" Type="http://schemas.openxmlformats.org/officeDocument/2006/relationships/hyperlink" Target="https://enzyme.expasy.org/EC/7.2.2.8" TargetMode="External"/><Relationship Id="rId950" Type="http://schemas.openxmlformats.org/officeDocument/2006/relationships/hyperlink" Target="https://www.genome.jp/dbget-bin/www_bget?ec:1.8.1.4" TargetMode="External"/><Relationship Id="rId1026" Type="http://schemas.openxmlformats.org/officeDocument/2006/relationships/hyperlink" Target="https://www.genome.jp/dbget-bin/www_bget?ec:7.6.2.9" TargetMode="External"/><Relationship Id="rId1580" Type="http://schemas.openxmlformats.org/officeDocument/2006/relationships/hyperlink" Target="https://www.genome.jp/entry/5.6.2.6" TargetMode="External"/><Relationship Id="rId1678" Type="http://schemas.openxmlformats.org/officeDocument/2006/relationships/hyperlink" Target="https://www.genome.jp/entry/R00600" TargetMode="External"/><Relationship Id="rId1885" Type="http://schemas.openxmlformats.org/officeDocument/2006/relationships/hyperlink" Target="https://www.kegg.jp/dbget-bin/www_bget?ec:6.3.2.13" TargetMode="External"/><Relationship Id="rId2424" Type="http://schemas.openxmlformats.org/officeDocument/2006/relationships/hyperlink" Target="https://www.genome.jp/entry/R04294/R02017/R02018/R02019/R02024/R08363/R08364/R11893" TargetMode="External"/><Relationship Id="rId2631" Type="http://schemas.openxmlformats.org/officeDocument/2006/relationships/hyperlink" Target="https://www.genome.jp/entry/R02767/R04533/R04534/R04536/R04543/R04566/R04953/R04964/R07763/R10116/R10120" TargetMode="External"/><Relationship Id="rId2729" Type="http://schemas.openxmlformats.org/officeDocument/2006/relationships/hyperlink" Target="https://enzyme.expasy.org/EC/3.6.1.9" TargetMode="External"/><Relationship Id="rId2936" Type="http://schemas.openxmlformats.org/officeDocument/2006/relationships/hyperlink" Target="https://www.genome.jp/dbget-bin/www_bget?ec:1.2.1.3" TargetMode="External"/><Relationship Id="rId603" Type="http://schemas.openxmlformats.org/officeDocument/2006/relationships/hyperlink" Target="https://enzyme.expasy.org/EC/1.14.13.107" TargetMode="External"/><Relationship Id="rId810" Type="http://schemas.openxmlformats.org/officeDocument/2006/relationships/hyperlink" Target="https://www.genome.jp/entry/R00379/R00375/R00376/R00377/R00378/R11029" TargetMode="External"/><Relationship Id="rId908" Type="http://schemas.openxmlformats.org/officeDocument/2006/relationships/hyperlink" Target="https://www.genome.jp/dbget-bin/www_bget?ec:1.14.14.18" TargetMode="External"/><Relationship Id="rId1233" Type="http://schemas.openxmlformats.org/officeDocument/2006/relationships/hyperlink" Target="https://www.genome.jp/dbget-bin/www_bget?ec:3.6.1.65" TargetMode="External"/><Relationship Id="rId1440" Type="http://schemas.openxmlformats.org/officeDocument/2006/relationships/hyperlink" Target="https://www.genome.jp/entry/R03940" TargetMode="External"/><Relationship Id="rId1538" Type="http://schemas.openxmlformats.org/officeDocument/2006/relationships/hyperlink" Target="https://www.genome.jp/dbget-bin/www_bget?ec:4.3.1.17" TargetMode="External"/><Relationship Id="rId1300" Type="http://schemas.openxmlformats.org/officeDocument/2006/relationships/hyperlink" Target="https://www.genome.jp/dbget-bin/www_bget?ec:2.7.7.3" TargetMode="External"/><Relationship Id="rId1745" Type="http://schemas.openxmlformats.org/officeDocument/2006/relationships/hyperlink" Target="https://enzyme.expasy.org/EC/1.8.1.15" TargetMode="External"/><Relationship Id="rId1952" Type="http://schemas.openxmlformats.org/officeDocument/2006/relationships/hyperlink" Target="https://www.genome.jp/entry/R03425" TargetMode="External"/><Relationship Id="rId3198" Type="http://schemas.openxmlformats.org/officeDocument/2006/relationships/hyperlink" Target="https://www.genome.jp/entry/R00379/R00375/R00376/R00377/R00378/R11029" TargetMode="External"/><Relationship Id="rId37" Type="http://schemas.openxmlformats.org/officeDocument/2006/relationships/hyperlink" Target="https://enzyme.expasy.org/EC/4.-.-.-" TargetMode="External"/><Relationship Id="rId1605" Type="http://schemas.openxmlformats.org/officeDocument/2006/relationships/hyperlink" Target="https://www.genome.jp/entry/5.6.2.5" TargetMode="External"/><Relationship Id="rId1812" Type="http://schemas.openxmlformats.org/officeDocument/2006/relationships/hyperlink" Target="https://www.genome.jp/dbget-bin/www_bget?ec:2.6.1.9" TargetMode="External"/><Relationship Id="rId3058" Type="http://schemas.openxmlformats.org/officeDocument/2006/relationships/hyperlink" Target="https://www.genome.jp/entry/R00292/R06051" TargetMode="External"/><Relationship Id="rId3265" Type="http://schemas.openxmlformats.org/officeDocument/2006/relationships/hyperlink" Target="https://enzyme.expasy.org/EC/2.7.7.7" TargetMode="External"/><Relationship Id="rId3472" Type="http://schemas.openxmlformats.org/officeDocument/2006/relationships/hyperlink" Target="https://www.genome.jp/entry/R03194/R07237/R07238/R03950" TargetMode="External"/><Relationship Id="rId186" Type="http://schemas.openxmlformats.org/officeDocument/2006/relationships/hyperlink" Target="https://enzyme.expasy.org/EC/2.4.1.289" TargetMode="External"/><Relationship Id="rId393" Type="http://schemas.openxmlformats.org/officeDocument/2006/relationships/hyperlink" Target="https://enzyme.expasy.org/EC/6.3.4.3" TargetMode="External"/><Relationship Id="rId2074" Type="http://schemas.openxmlformats.org/officeDocument/2006/relationships/hyperlink" Target="https://www.genome.jp/entry/R01699/R00014/R03270" TargetMode="External"/><Relationship Id="rId2281" Type="http://schemas.openxmlformats.org/officeDocument/2006/relationships/hyperlink" Target="https://www.genome.jp/dbget-bin/www_bget?ec:1.14.13.107" TargetMode="External"/><Relationship Id="rId3125" Type="http://schemas.openxmlformats.org/officeDocument/2006/relationships/hyperlink" Target="https://www.genome.jp/dbget-bin/www_bget?ec:6.2.1.3" TargetMode="External"/><Relationship Id="rId3332" Type="http://schemas.openxmlformats.org/officeDocument/2006/relationships/hyperlink" Target="https://www.genome.jp/dbget-bin/www_bget?ec:2.2.1.6" TargetMode="External"/><Relationship Id="rId3777" Type="http://schemas.openxmlformats.org/officeDocument/2006/relationships/hyperlink" Target="https://enzyme.expasy.org/EC/3.6.1.8" TargetMode="External"/><Relationship Id="rId253" Type="http://schemas.openxmlformats.org/officeDocument/2006/relationships/hyperlink" Target="https://enzyme.expasy.org/EC/3.1.1.29" TargetMode="External"/><Relationship Id="rId460" Type="http://schemas.openxmlformats.org/officeDocument/2006/relationships/hyperlink" Target="https://enzyme.expasy.org/EC/1.13.11.49" TargetMode="External"/><Relationship Id="rId698" Type="http://schemas.openxmlformats.org/officeDocument/2006/relationships/hyperlink" Target="https://enzyme.expasy.org/EC/4.1.2.25" TargetMode="External"/><Relationship Id="rId1090" Type="http://schemas.openxmlformats.org/officeDocument/2006/relationships/hyperlink" Target="https://www.genome.jp/dbget-bin/www_bget?ec:3.2.1.1" TargetMode="External"/><Relationship Id="rId2141" Type="http://schemas.openxmlformats.org/officeDocument/2006/relationships/hyperlink" Target="https://www.genome.jp/dbget-bin/www_bget?ec:2.8.3.5" TargetMode="External"/><Relationship Id="rId2379" Type="http://schemas.openxmlformats.org/officeDocument/2006/relationships/hyperlink" Target="https://www.genome.jp/entry/R00703/R01000/R03104" TargetMode="External"/><Relationship Id="rId2586" Type="http://schemas.openxmlformats.org/officeDocument/2006/relationships/hyperlink" Target="https://enzyme.expasy.org/EC/2.5.1.48" TargetMode="External"/><Relationship Id="rId2793" Type="http://schemas.openxmlformats.org/officeDocument/2006/relationships/hyperlink" Target="https://enzyme.expasy.org/EC/2.6.1.21" TargetMode="External"/><Relationship Id="rId3637" Type="http://schemas.openxmlformats.org/officeDocument/2006/relationships/hyperlink" Target="https://www.genome.jp/entry/R00103/R11104/R03004" TargetMode="External"/><Relationship Id="rId3844" Type="http://schemas.openxmlformats.org/officeDocument/2006/relationships/hyperlink" Target="https://www.genome.jp/dbget-bin/www_bget?ec:1.7.2.1" TargetMode="External"/><Relationship Id="rId113" Type="http://schemas.openxmlformats.org/officeDocument/2006/relationships/hyperlink" Target="https://enzyme.expasy.org/EC/2.7.7.7" TargetMode="External"/><Relationship Id="rId320" Type="http://schemas.openxmlformats.org/officeDocument/2006/relationships/hyperlink" Target="https://enzyme.expasy.org/EC/2.7.1.11" TargetMode="External"/><Relationship Id="rId558" Type="http://schemas.openxmlformats.org/officeDocument/2006/relationships/hyperlink" Target="https://enzyme.expasy.org/EC/3.4.11.1" TargetMode="External"/><Relationship Id="rId765" Type="http://schemas.openxmlformats.org/officeDocument/2006/relationships/hyperlink" Target="https://enzyme.expasy.org/EC/6.2.1.-" TargetMode="External"/><Relationship Id="rId972" Type="http://schemas.openxmlformats.org/officeDocument/2006/relationships/hyperlink" Target="https://www.genome.jp/entry/R03042/R03409" TargetMode="External"/><Relationship Id="rId1188" Type="http://schemas.openxmlformats.org/officeDocument/2006/relationships/hyperlink" Target="https://www.genome.jp/entry/R03348" TargetMode="External"/><Relationship Id="rId1395" Type="http://schemas.openxmlformats.org/officeDocument/2006/relationships/hyperlink" Target="https://www.genome.jp/dbget-bin/www_bget?ec:2.2.1.2" TargetMode="External"/><Relationship Id="rId2001" Type="http://schemas.openxmlformats.org/officeDocument/2006/relationships/hyperlink" Target="https://www.genome.jp/dbget-bin/www_bget?ec:1.1.1.1" TargetMode="External"/><Relationship Id="rId2239" Type="http://schemas.openxmlformats.org/officeDocument/2006/relationships/hyperlink" Target="https://www.genome.jp/entry/R00630/R06728/R08255/R08258/R08220/R08249/R08251/R08295/R08300" TargetMode="External"/><Relationship Id="rId2446" Type="http://schemas.openxmlformats.org/officeDocument/2006/relationships/hyperlink" Target="https://www.genome.jp/entry/R00626/R02135/R03024/R01010/R04620" TargetMode="External"/><Relationship Id="rId2653" Type="http://schemas.openxmlformats.org/officeDocument/2006/relationships/hyperlink" Target="https://www.genome.jp/dbget-bin/www_bget?ec:1.1.1.100" TargetMode="External"/><Relationship Id="rId2860" Type="http://schemas.openxmlformats.org/officeDocument/2006/relationships/hyperlink" Target="https://enzyme.expasy.org/EC/1.3.8.2" TargetMode="External"/><Relationship Id="rId3704" Type="http://schemas.openxmlformats.org/officeDocument/2006/relationships/hyperlink" Target="https://enzyme.expasy.org/EC/2.4.1.109" TargetMode="External"/><Relationship Id="rId418" Type="http://schemas.openxmlformats.org/officeDocument/2006/relationships/hyperlink" Target="https://enzyme.expasy.org/EC/2.1.1.176" TargetMode="External"/><Relationship Id="rId625" Type="http://schemas.openxmlformats.org/officeDocument/2006/relationships/hyperlink" Target="https://enzyme.expasy.org/EC/3.4.21.92" TargetMode="External"/><Relationship Id="rId832" Type="http://schemas.openxmlformats.org/officeDocument/2006/relationships/hyperlink" Target="https://www.genome.jp/dbget-bin/www_bget?ec:2.7.11.1" TargetMode="External"/><Relationship Id="rId1048" Type="http://schemas.openxmlformats.org/officeDocument/2006/relationships/hyperlink" Target="https://www.genome.jp/dbget-bin/www_bget?ec:2.3.1.31" TargetMode="External"/><Relationship Id="rId1255" Type="http://schemas.openxmlformats.org/officeDocument/2006/relationships/hyperlink" Target="https://www.genome.jp/dbget-bin/www_bget?ec:1.7.99.4" TargetMode="External"/><Relationship Id="rId1462" Type="http://schemas.openxmlformats.org/officeDocument/2006/relationships/hyperlink" Target="https://www.genome.jp/dbget-bin/www_bget?ec:6.3.5.5" TargetMode="External"/><Relationship Id="rId2306" Type="http://schemas.openxmlformats.org/officeDocument/2006/relationships/hyperlink" Target="https://www.genome.jp/dbget-bin/www_bget?ec:3.1.4.3" TargetMode="External"/><Relationship Id="rId2513" Type="http://schemas.openxmlformats.org/officeDocument/2006/relationships/hyperlink" Target="https://enzyme.expasy.org/EC/2.7.4.6" TargetMode="External"/><Relationship Id="rId2958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911" Type="http://schemas.openxmlformats.org/officeDocument/2006/relationships/hyperlink" Target="https://www.genome.jp/entry/R01652/R04426/R10052/R00994" TargetMode="External"/><Relationship Id="rId1115" Type="http://schemas.openxmlformats.org/officeDocument/2006/relationships/hyperlink" Target="https://www.genome.jp/dbget-bin/www_bget?ec:3.6.4.12" TargetMode="External"/><Relationship Id="rId1322" Type="http://schemas.openxmlformats.org/officeDocument/2006/relationships/hyperlink" Target="https://www.genome.jp/dbget-bin/www_bget?ec:2.8.1.10" TargetMode="External"/><Relationship Id="rId1767" Type="http://schemas.openxmlformats.org/officeDocument/2006/relationships/hyperlink" Target="https://www.genome.jp/entry/R00539/R00317/R01421/R01515" TargetMode="External"/><Relationship Id="rId1974" Type="http://schemas.openxmlformats.org/officeDocument/2006/relationships/hyperlink" Target="https://enzyme.expasy.org/EC/2.8.1.8" TargetMode="External"/><Relationship Id="rId2720" Type="http://schemas.openxmlformats.org/officeDocument/2006/relationships/hyperlink" Target="https://enzyme.expasy.org/EC/3.6.1.9" TargetMode="External"/><Relationship Id="rId2818" Type="http://schemas.openxmlformats.org/officeDocument/2006/relationships/hyperlink" Target="https://www.genome.jp/entry/R03145" TargetMode="External"/><Relationship Id="rId59" Type="http://schemas.openxmlformats.org/officeDocument/2006/relationships/hyperlink" Target="https://enzyme.expasy.org/EC/5.6.2.2" TargetMode="External"/><Relationship Id="rId1627" Type="http://schemas.openxmlformats.org/officeDocument/2006/relationships/hyperlink" Target="https://www.genome.jp/entry/R02185/R02187/R02189" TargetMode="External"/><Relationship Id="rId1834" Type="http://schemas.openxmlformats.org/officeDocument/2006/relationships/hyperlink" Target="https://www.genome.jp/entry/R00996/R11098/R11101/R00220/R06131" TargetMode="External"/><Relationship Id="rId3287" Type="http://schemas.openxmlformats.org/officeDocument/2006/relationships/hyperlink" Target="https://www.genome.jp/dbget-bin/www_bget?ec:2.7.7.7" TargetMode="External"/><Relationship Id="rId2096" Type="http://schemas.openxmlformats.org/officeDocument/2006/relationships/hyperlink" Target="https://www.genome.jp/dbget-bin/www_bget?ec:3.1.3.5" TargetMode="External"/><Relationship Id="rId3494" Type="http://schemas.openxmlformats.org/officeDocument/2006/relationships/hyperlink" Target="https://enzyme.expasy.org/EC/4.1.99.3" TargetMode="External"/><Relationship Id="rId3799" Type="http://schemas.openxmlformats.org/officeDocument/2006/relationships/hyperlink" Target="https://www.genome.jp/dbget-bin/www_bget?ec:1.17.7.4" TargetMode="External"/><Relationship Id="rId1901" Type="http://schemas.openxmlformats.org/officeDocument/2006/relationships/hyperlink" Target="https://www.genome.jp/dbget-bin/www_bget?ec:2.5.1.54" TargetMode="External"/><Relationship Id="rId3147" Type="http://schemas.openxmlformats.org/officeDocument/2006/relationships/hyperlink" Target="https://www.genome.jp/entry/R00379/R00375/R00376/R00377/R00378/R11029" TargetMode="External"/><Relationship Id="rId3354" Type="http://schemas.openxmlformats.org/officeDocument/2006/relationships/hyperlink" Target="https://www.genome.jp/entry/R00006/R00226/R00014/R03050/R04672/R04673/R08648" TargetMode="External"/><Relationship Id="rId3561" Type="http://schemas.openxmlformats.org/officeDocument/2006/relationships/hyperlink" Target="https://www.genome.jp/dbget-bin/www_bget?ec:2.7.4.3" TargetMode="External"/><Relationship Id="rId3659" Type="http://schemas.openxmlformats.org/officeDocument/2006/relationships/hyperlink" Target="https://www.genome.jp/entry/R07343/R01185/R01186/R01187" TargetMode="External"/><Relationship Id="rId275" Type="http://schemas.openxmlformats.org/officeDocument/2006/relationships/hyperlink" Target="https://enzyme.expasy.org/EC/1.17.5.3" TargetMode="External"/><Relationship Id="rId482" Type="http://schemas.openxmlformats.org/officeDocument/2006/relationships/hyperlink" Target="https://enzyme.expasy.org/EC/3.1.-.-" TargetMode="External"/><Relationship Id="rId2163" Type="http://schemas.openxmlformats.org/officeDocument/2006/relationships/hyperlink" Target="https://enzyme.expasy.org/EC/3.5.1.88" TargetMode="External"/><Relationship Id="rId2370" Type="http://schemas.openxmlformats.org/officeDocument/2006/relationships/hyperlink" Target="https://www.genome.jp/dbget-bin/www_bget?enzyme+3.1.4.46" TargetMode="External"/><Relationship Id="rId3007" Type="http://schemas.openxmlformats.org/officeDocument/2006/relationships/hyperlink" Target="https://enzyme.expasy.org/EC/3.2.1.52" TargetMode="External"/><Relationship Id="rId3214" Type="http://schemas.openxmlformats.org/officeDocument/2006/relationships/hyperlink" Target="https://enzyme.expasy.org/EC/2.7.7.7" TargetMode="External"/><Relationship Id="rId3421" Type="http://schemas.openxmlformats.org/officeDocument/2006/relationships/hyperlink" Target="https://www.genome.jp/dbget-bin/www_bget?ec:1.8.1.4" TargetMode="External"/><Relationship Id="rId3866" Type="http://schemas.openxmlformats.org/officeDocument/2006/relationships/hyperlink" Target="https://www.genome.jp/entry/R04779/R00756/R00767/R00769/R00770/R01843/R03236/R03237/R03238/R03239" TargetMode="External"/><Relationship Id="rId135" Type="http://schemas.openxmlformats.org/officeDocument/2006/relationships/hyperlink" Target="https://enzyme.expasy.org/EC/1.8.1.4" TargetMode="External"/><Relationship Id="rId342" Type="http://schemas.openxmlformats.org/officeDocument/2006/relationships/hyperlink" Target="https://enzyme.expasy.org/EC/3.2.2.27" TargetMode="External"/><Relationship Id="rId787" Type="http://schemas.openxmlformats.org/officeDocument/2006/relationships/hyperlink" Target="https://enzyme.expasy.org/EC/1.8.4.8" TargetMode="External"/><Relationship Id="rId994" Type="http://schemas.openxmlformats.org/officeDocument/2006/relationships/hyperlink" Target="https://www.genome.jp/dbget-bin/www_bget?EC:1.3.3.4" TargetMode="External"/><Relationship Id="rId2023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230" Type="http://schemas.openxmlformats.org/officeDocument/2006/relationships/hyperlink" Target="https://www.genome.jp/entry/R00630/R06728/R08255/R08258/R08220/R08249/R08251/R08295/R08300" TargetMode="External"/><Relationship Id="rId2468" Type="http://schemas.openxmlformats.org/officeDocument/2006/relationships/hyperlink" Target="https://www.genome.jp/entry/R00674/R02340/R02722" TargetMode="External"/><Relationship Id="rId2675" Type="http://schemas.openxmlformats.org/officeDocument/2006/relationships/hyperlink" Target="https://www.genome.jp/entry/R02767/R04533/R04534/R04536/R04543/R04566/R04953/R04964/R07763/R10116/R10120" TargetMode="External"/><Relationship Id="rId2882" Type="http://schemas.openxmlformats.org/officeDocument/2006/relationships/hyperlink" Target="https://www.genome.jp/dbget-bin/www_bget?ec:2.4.2.8" TargetMode="External"/><Relationship Id="rId3519" Type="http://schemas.openxmlformats.org/officeDocument/2006/relationships/hyperlink" Target="https://www.genome.jp/dbget-bin/www_bget?ec:2.7.7.6" TargetMode="External"/><Relationship Id="rId3726" Type="http://schemas.openxmlformats.org/officeDocument/2006/relationships/hyperlink" Target="https://enzyme.expasy.org/EC/4.2.1.17" TargetMode="External"/><Relationship Id="rId3933" Type="http://schemas.openxmlformats.org/officeDocument/2006/relationships/hyperlink" Target="https://www.genome.jp/entry/R05704/R00374" TargetMode="External"/><Relationship Id="rId202" Type="http://schemas.openxmlformats.org/officeDocument/2006/relationships/hyperlink" Target="https://enzyme.expasy.org/EC/3.6.1.22" TargetMode="External"/><Relationship Id="rId647" Type="http://schemas.openxmlformats.org/officeDocument/2006/relationships/hyperlink" Target="https://enzyme.expasy.org/EC/2.7.7.56" TargetMode="External"/><Relationship Id="rId854" Type="http://schemas.openxmlformats.org/officeDocument/2006/relationships/hyperlink" Target="https://www.genome.jp/dbget-bin/www_bget?ec:2.7.13.3" TargetMode="External"/><Relationship Id="rId1277" Type="http://schemas.openxmlformats.org/officeDocument/2006/relationships/hyperlink" Target="https://www.genome.jp/entry/R01209/R04441/R05070" TargetMode="External"/><Relationship Id="rId1484" Type="http://schemas.openxmlformats.org/officeDocument/2006/relationships/hyperlink" Target="https://enzyme.expasy.org/EC/6.3.5.5" TargetMode="External"/><Relationship Id="rId1691" Type="http://schemas.openxmlformats.org/officeDocument/2006/relationships/hyperlink" Target="https://www.genome.jp/dbget-bin/www_bget?ec:2.3.1.41" TargetMode="External"/><Relationship Id="rId2328" Type="http://schemas.openxmlformats.org/officeDocument/2006/relationships/hyperlink" Target="https://www.genome.jp/dbget-bin/www_bget?ec:2.7.2.11" TargetMode="External"/><Relationship Id="rId2535" Type="http://schemas.openxmlformats.org/officeDocument/2006/relationships/hyperlink" Target="https://www.genome.jp/dbget-bin/www_bget?ec:2.7.4.6" TargetMode="External"/><Relationship Id="rId2742" Type="http://schemas.openxmlformats.org/officeDocument/2006/relationships/hyperlink" Target="https://www.genome.jp/dbget-bin/www_bget?ec:3.6.1.9" TargetMode="External"/><Relationship Id="rId507" Type="http://schemas.openxmlformats.org/officeDocument/2006/relationships/hyperlink" Target="https://enzyme.expasy.org/EC/3.4.21.89" TargetMode="External"/><Relationship Id="rId714" Type="http://schemas.openxmlformats.org/officeDocument/2006/relationships/hyperlink" Target="https://enzyme.expasy.org/EC/3.1.11.2" TargetMode="External"/><Relationship Id="rId921" Type="http://schemas.openxmlformats.org/officeDocument/2006/relationships/hyperlink" Target="https://www.genome.jp/entry/R00009/R00602/R02670" TargetMode="External"/><Relationship Id="rId1137" Type="http://schemas.openxmlformats.org/officeDocument/2006/relationships/hyperlink" Target="https://www.genome.jp/entry/R00351" TargetMode="External"/><Relationship Id="rId1344" Type="http://schemas.openxmlformats.org/officeDocument/2006/relationships/hyperlink" Target="https://www.genome.jp/entry/2.7.1.50" TargetMode="External"/><Relationship Id="rId1551" Type="http://schemas.openxmlformats.org/officeDocument/2006/relationships/hyperlink" Target="https://www.genome.jp/dbget-bin/www_bget?ec:1.15.1.1" TargetMode="External"/><Relationship Id="rId1789" Type="http://schemas.openxmlformats.org/officeDocument/2006/relationships/hyperlink" Target="https://www.genome.jp/dbget-bin/www_bget?ec:2.7.1.40" TargetMode="External"/><Relationship Id="rId1996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602" Type="http://schemas.openxmlformats.org/officeDocument/2006/relationships/hyperlink" Target="https://www.genome.jp/dbget-bin/www_bget?ec:2.5.1.48" TargetMode="External"/><Relationship Id="rId50" Type="http://schemas.openxmlformats.org/officeDocument/2006/relationships/hyperlink" Target="https://enzyme.expasy.org/EC/4.2.1.79" TargetMode="External"/><Relationship Id="rId1204" Type="http://schemas.openxmlformats.org/officeDocument/2006/relationships/hyperlink" Target="https://www.genome.jp/entry/R00945/R09099" TargetMode="External"/><Relationship Id="rId1411" Type="http://schemas.openxmlformats.org/officeDocument/2006/relationships/hyperlink" Target="https://www.genome.jp/entry/R01061" TargetMode="External"/><Relationship Id="rId1649" Type="http://schemas.openxmlformats.org/officeDocument/2006/relationships/hyperlink" Target="https://www.genome.jp/dbget-bin/www_bget?ec:2.7.1.2" TargetMode="External"/><Relationship Id="rId1856" Type="http://schemas.openxmlformats.org/officeDocument/2006/relationships/hyperlink" Target="https://www.genome.jp/entry/R03656" TargetMode="External"/><Relationship Id="rId2907" Type="http://schemas.openxmlformats.org/officeDocument/2006/relationships/hyperlink" Target="https://www.genome.jp/entry/R01068/R01070/R01829/R02568" TargetMode="External"/><Relationship Id="rId3071" Type="http://schemas.openxmlformats.org/officeDocument/2006/relationships/hyperlink" Target="https://www.genome.jp/dbget-bin/www_bget?ec:2.6.1.85" TargetMode="External"/><Relationship Id="rId1509" Type="http://schemas.openxmlformats.org/officeDocument/2006/relationships/hyperlink" Target="https://www.genome.jp/entry/R02413/R12885" TargetMode="External"/><Relationship Id="rId1716" Type="http://schemas.openxmlformats.org/officeDocument/2006/relationships/hyperlink" Target="https://enzyme.expasy.org/EC/2.7.7.8" TargetMode="External"/><Relationship Id="rId1923" Type="http://schemas.openxmlformats.org/officeDocument/2006/relationships/hyperlink" Target="https://www.genome.jp/dbget-bin/www_bget?ec:6.3.5.4" TargetMode="External"/><Relationship Id="rId3169" Type="http://schemas.openxmlformats.org/officeDocument/2006/relationships/hyperlink" Target="https://enzyme.expasy.org/EC/2.7.7.7" TargetMode="External"/><Relationship Id="rId3376" Type="http://schemas.openxmlformats.org/officeDocument/2006/relationships/hyperlink" Target="https://www.genome.jp/dbget-bin/www_bget?ec:3.3.2.10" TargetMode="External"/><Relationship Id="rId3583" Type="http://schemas.openxmlformats.org/officeDocument/2006/relationships/hyperlink" Target="https://www.genome.jp/entry/R07358/R02964/R03643/R03816/R07359" TargetMode="External"/><Relationship Id="rId297" Type="http://schemas.openxmlformats.org/officeDocument/2006/relationships/hyperlink" Target="https://enzyme.expasy.org/EC/4.1.1.20" TargetMode="External"/><Relationship Id="rId2185" Type="http://schemas.openxmlformats.org/officeDocument/2006/relationships/hyperlink" Target="https://enzyme.expasy.org/EC/1.18.1.2" TargetMode="External"/><Relationship Id="rId2392" Type="http://schemas.openxmlformats.org/officeDocument/2006/relationships/hyperlink" Target="https://www.genome.jp/entry/R04294/R02017/R02018/R02019/R02024/R08363/R08364/R11893" TargetMode="External"/><Relationship Id="rId3029" Type="http://schemas.openxmlformats.org/officeDocument/2006/relationships/hyperlink" Target="https://www.genome.jp/dbget-bin/www_bget?ec:3.2.1.52" TargetMode="External"/><Relationship Id="rId3236" Type="http://schemas.openxmlformats.org/officeDocument/2006/relationships/hyperlink" Target="https://www.genome.jp/dbget-bin/www_bget?ec:2.7.7.7" TargetMode="External"/><Relationship Id="rId3790" Type="http://schemas.openxmlformats.org/officeDocument/2006/relationships/hyperlink" Target="https://www.genome.jp/dbget-bin/www_bget?ec:2.1.2.1" TargetMode="External"/><Relationship Id="rId3888" Type="http://schemas.openxmlformats.org/officeDocument/2006/relationships/hyperlink" Target="https://enzyme.expasy.org/EC/4.2.1.9" TargetMode="External"/><Relationship Id="rId157" Type="http://schemas.openxmlformats.org/officeDocument/2006/relationships/hyperlink" Target="https://enzyme.expasy.org/EC/4.1.1.37" TargetMode="External"/><Relationship Id="rId364" Type="http://schemas.openxmlformats.org/officeDocument/2006/relationships/hyperlink" Target="https://enzyme.expasy.org/EC/6.1.1.1" TargetMode="External"/><Relationship Id="rId2045" Type="http://schemas.openxmlformats.org/officeDocument/2006/relationships/hyperlink" Target="https://www.genome.jp/dbget-bin/www_bget?ec:3.5.4.16" TargetMode="External"/><Relationship Id="rId2697" Type="http://schemas.openxmlformats.org/officeDocument/2006/relationships/hyperlink" Target="https://www.genome.jp/dbget-bin/www_bget?ec:6.3.3.3" TargetMode="External"/><Relationship Id="rId3443" Type="http://schemas.openxmlformats.org/officeDocument/2006/relationships/hyperlink" Target="https://www.genome.jp/entry/R02164/R13223" TargetMode="External"/><Relationship Id="rId3650" Type="http://schemas.openxmlformats.org/officeDocument/2006/relationships/hyperlink" Target="https://www.genome.jp/entry/R07343/R01185/R01186/R01187" TargetMode="External"/><Relationship Id="rId3748" Type="http://schemas.openxmlformats.org/officeDocument/2006/relationships/hyperlink" Target="https://www.genome.jp/dbget-bin/www_bget?ec:4.2.1.17" TargetMode="External"/><Relationship Id="rId571" Type="http://schemas.openxmlformats.org/officeDocument/2006/relationships/hyperlink" Target="https://enzyme.expasy.org/EC/3.5.4.16" TargetMode="External"/><Relationship Id="rId669" Type="http://schemas.openxmlformats.org/officeDocument/2006/relationships/hyperlink" Target="https://enzyme.expasy.org/EC/2.4.2.14" TargetMode="External"/><Relationship Id="rId876" Type="http://schemas.openxmlformats.org/officeDocument/2006/relationships/hyperlink" Target="https://www.genome.jp/dbget-bin/www_bget?ec:2.1.1.63" TargetMode="External"/><Relationship Id="rId1299" Type="http://schemas.openxmlformats.org/officeDocument/2006/relationships/hyperlink" Target="https://www.genome.jp/entry/R07234" TargetMode="External"/><Relationship Id="rId2252" Type="http://schemas.openxmlformats.org/officeDocument/2006/relationships/hyperlink" Target="https://www.genome.jp/entry/4.4.1.13" TargetMode="External"/><Relationship Id="rId2557" Type="http://schemas.openxmlformats.org/officeDocument/2006/relationships/hyperlink" Target="https://enzyme.expasy.org/EC/6.3.2.17" TargetMode="External"/><Relationship Id="rId3303" Type="http://schemas.openxmlformats.org/officeDocument/2006/relationships/hyperlink" Target="https://www.genome.jp/entry/R02565/R02566" TargetMode="External"/><Relationship Id="rId3510" Type="http://schemas.openxmlformats.org/officeDocument/2006/relationships/hyperlink" Target="https://www.genome.jp/dbget-bin/www_bget?ec:2.7.7.6" TargetMode="External"/><Relationship Id="rId3608" Type="http://schemas.openxmlformats.org/officeDocument/2006/relationships/hyperlink" Target="https://enzyme.expasy.org/EC/2.4.2.2" TargetMode="External"/><Relationship Id="rId3955" Type="http://schemas.openxmlformats.org/officeDocument/2006/relationships/hyperlink" Target="https://enzyme.expasy.org/EC/3.1.1.1" TargetMode="External"/><Relationship Id="rId224" Type="http://schemas.openxmlformats.org/officeDocument/2006/relationships/hyperlink" Target="https://enzyme.expasy.org/EC/5.4.99.5" TargetMode="External"/><Relationship Id="rId431" Type="http://schemas.openxmlformats.org/officeDocument/2006/relationships/hyperlink" Target="https://enzyme.expasy.org/EC/4.2.3.4" TargetMode="External"/><Relationship Id="rId529" Type="http://schemas.openxmlformats.org/officeDocument/2006/relationships/hyperlink" Target="https://enzyme.expasy.org/EC/2.7.7.7" TargetMode="External"/><Relationship Id="rId736" Type="http://schemas.openxmlformats.org/officeDocument/2006/relationships/hyperlink" Target="https://enzyme.expasy.org/EC/1.3.1.84" TargetMode="External"/><Relationship Id="rId1061" Type="http://schemas.openxmlformats.org/officeDocument/2006/relationships/hyperlink" Target="https://www.genome.jp/dbget-bin/www_bget?ec:3.1.1.1" TargetMode="External"/><Relationship Id="rId1159" Type="http://schemas.openxmlformats.org/officeDocument/2006/relationships/hyperlink" Target="https://www.genome.jp/entry/R03307" TargetMode="External"/><Relationship Id="rId1366" Type="http://schemas.openxmlformats.org/officeDocument/2006/relationships/hyperlink" Target="https://enzyme.expasy.org/EC/4.99.1.1" TargetMode="External"/><Relationship Id="rId2112" Type="http://schemas.openxmlformats.org/officeDocument/2006/relationships/hyperlink" Target="https://www.genome.jp/entry/R07297/R00183/R00511/R00963/R01126/R01227/R02323/R02719/R03346/R01569/R01664/R01968/R02088/R02102/R12958" TargetMode="External"/><Relationship Id="rId2417" Type="http://schemas.openxmlformats.org/officeDocument/2006/relationships/hyperlink" Target="https://www.genome.jp/dbget-bin/www_bget?ec:1.17.4.1" TargetMode="External"/><Relationship Id="rId2764" Type="http://schemas.openxmlformats.org/officeDocument/2006/relationships/hyperlink" Target="https://www.genome.jp/dbget-bin/www_bget?ec:2.5.1.47" TargetMode="External"/><Relationship Id="rId2971" Type="http://schemas.openxmlformats.org/officeDocument/2006/relationships/hyperlink" Target="https://enzyme.expasy.org/EC/1.2.1.3" TargetMode="External"/><Relationship Id="rId3815" Type="http://schemas.openxmlformats.org/officeDocument/2006/relationships/hyperlink" Target="https://www.genome.jp/entry/R00801/R00802/R02410/R03635/R03921/R06087/R06088/R06100/R06101/R06102" TargetMode="External"/><Relationship Id="rId943" Type="http://schemas.openxmlformats.org/officeDocument/2006/relationships/hyperlink" Target="https://www.genome.jp/entry/R00899/R04951" TargetMode="External"/><Relationship Id="rId1019" Type="http://schemas.openxmlformats.org/officeDocument/2006/relationships/hyperlink" Target="https://www.genome.jp/dbget-bin/www_bget?ec:2.7.7.6" TargetMode="External"/><Relationship Id="rId1573" Type="http://schemas.openxmlformats.org/officeDocument/2006/relationships/hyperlink" Target="https://www.genome.jp/dbget-bin/www_bget?ec:1.11.1.24" TargetMode="External"/><Relationship Id="rId1780" Type="http://schemas.openxmlformats.org/officeDocument/2006/relationships/hyperlink" Target="https://www.genome.jp/entry/R00243/R00145/R00146" TargetMode="External"/><Relationship Id="rId1878" Type="http://schemas.openxmlformats.org/officeDocument/2006/relationships/hyperlink" Target="https://www.genome.jp/dbget-bin/www_bget?ec:2.7.8.13" TargetMode="External"/><Relationship Id="rId2624" Type="http://schemas.openxmlformats.org/officeDocument/2006/relationships/hyperlink" Target="https://www.genome.jp/dbget-bin/www_bget?ec:1.1.1.100" TargetMode="External"/><Relationship Id="rId2831" Type="http://schemas.openxmlformats.org/officeDocument/2006/relationships/hyperlink" Target="https://www.genome.jp/entry/R00132/R10092" TargetMode="External"/><Relationship Id="rId2929" Type="http://schemas.openxmlformats.org/officeDocument/2006/relationships/hyperlink" Target="https://www.genome.jp/entry/R05875/R12422" TargetMode="External"/><Relationship Id="rId72" Type="http://schemas.openxmlformats.org/officeDocument/2006/relationships/hyperlink" Target="https://enzyme.expasy.org/EC/7.2.2.8" TargetMode="External"/><Relationship Id="rId803" Type="http://schemas.openxmlformats.org/officeDocument/2006/relationships/hyperlink" Target="https://www.genome.jp/entry/R00379/R00375/R00376/R00377/R00378/R11029" TargetMode="External"/><Relationship Id="rId1226" Type="http://schemas.openxmlformats.org/officeDocument/2006/relationships/hyperlink" Target="https://www.genome.jp/dbget-bin/www_bget?enzyme+5.4.99.28" TargetMode="External"/><Relationship Id="rId1433" Type="http://schemas.openxmlformats.org/officeDocument/2006/relationships/hyperlink" Target="https://www.genome.jp/entry/R04457" TargetMode="External"/><Relationship Id="rId1640" Type="http://schemas.openxmlformats.org/officeDocument/2006/relationships/hyperlink" Target="https://www.genome.jp/entry/R02735" TargetMode="External"/><Relationship Id="rId1738" Type="http://schemas.openxmlformats.org/officeDocument/2006/relationships/hyperlink" Target="https://www.genome.jp/dbget-bin/www_bget?ec:1.1.5.4" TargetMode="External"/><Relationship Id="rId3093" Type="http://schemas.openxmlformats.org/officeDocument/2006/relationships/hyperlink" Target="https://www.genome.jp/entry/R00630/R06728/R08255/R08258/R08220/R08249/R08251/R08295/R08300" TargetMode="External"/><Relationship Id="rId1500" Type="http://schemas.openxmlformats.org/officeDocument/2006/relationships/hyperlink" Target="https://www.genome.jp/entry/R03083" TargetMode="External"/><Relationship Id="rId1945" Type="http://schemas.openxmlformats.org/officeDocument/2006/relationships/hyperlink" Target="https://www.genome.jp/entry/R00899/R04951" TargetMode="External"/><Relationship Id="rId3160" Type="http://schemas.openxmlformats.org/officeDocument/2006/relationships/hyperlink" Target="https://enzyme.expasy.org/EC/2.7.7.7" TargetMode="External"/><Relationship Id="rId3398" Type="http://schemas.openxmlformats.org/officeDocument/2006/relationships/hyperlink" Target="https://www.genome.jp/entry/R00899/R04951" TargetMode="External"/><Relationship Id="rId1805" Type="http://schemas.openxmlformats.org/officeDocument/2006/relationships/hyperlink" Target="https://www.genome.jp/entry/R00200/R00430/R00572/R00659/R00724/R01138/R01858/R02320" TargetMode="External"/><Relationship Id="rId3020" Type="http://schemas.openxmlformats.org/officeDocument/2006/relationships/hyperlink" Target="https://www.genome.jp/dbget-bin/www_bget?ec:3.2.1.52" TargetMode="External"/><Relationship Id="rId3258" Type="http://schemas.openxmlformats.org/officeDocument/2006/relationships/hyperlink" Target="https://www.genome.jp/dbget-bin/www_bget?ec:2.7.7.7" TargetMode="External"/><Relationship Id="rId3465" Type="http://schemas.openxmlformats.org/officeDocument/2006/relationships/hyperlink" Target="https://www.genome.jp/dbget-bin/www_bget?enzyme+1.5.1.2" TargetMode="External"/><Relationship Id="rId3672" Type="http://schemas.openxmlformats.org/officeDocument/2006/relationships/hyperlink" Target="https://enzyme.expasy.org/EC/1.5.1.3" TargetMode="External"/><Relationship Id="rId179" Type="http://schemas.openxmlformats.org/officeDocument/2006/relationships/hyperlink" Target="https://enzyme.expasy.org/EC/2.7.1.6" TargetMode="External"/><Relationship Id="rId386" Type="http://schemas.openxmlformats.org/officeDocument/2006/relationships/hyperlink" Target="https://enzyme.expasy.org/EC/2.3.1.-" TargetMode="External"/><Relationship Id="rId593" Type="http://schemas.openxmlformats.org/officeDocument/2006/relationships/hyperlink" Target="https://enzyme.expasy.org/EC/3.5.1.49" TargetMode="External"/><Relationship Id="rId2067" Type="http://schemas.openxmlformats.org/officeDocument/2006/relationships/hyperlink" Target="https://enzyme.expasy.org/EC/3.5.4.16" TargetMode="External"/><Relationship Id="rId2274" Type="http://schemas.openxmlformats.org/officeDocument/2006/relationships/hyperlink" Target="https://www.genome.jp/entry/R12188/R01286/R02408/R02953/R03528/R00782/R04941/R09366" TargetMode="External"/><Relationship Id="rId2481" Type="http://schemas.openxmlformats.org/officeDocument/2006/relationships/hyperlink" Target="https://www.genome.jp/dbget-bin/www_bget?ec:2.7.7.72" TargetMode="External"/><Relationship Id="rId3118" Type="http://schemas.openxmlformats.org/officeDocument/2006/relationships/hyperlink" Target="https://enzyme.expasy.org/EC/6.2.1.3" TargetMode="External"/><Relationship Id="rId3325" Type="http://schemas.openxmlformats.org/officeDocument/2006/relationships/hyperlink" Target="https://enzyme.expasy.org/EC/2.2.1.6" TargetMode="External"/><Relationship Id="rId3532" Type="http://schemas.openxmlformats.org/officeDocument/2006/relationships/hyperlink" Target="https://www.genome.jp/entry/R00444/R00435/R00441/R00442/R00443/R10813" TargetMode="External"/><Relationship Id="rId246" Type="http://schemas.openxmlformats.org/officeDocument/2006/relationships/hyperlink" Target="https://enzyme.expasy.org/EC/4.2.1.17" TargetMode="External"/><Relationship Id="rId453" Type="http://schemas.openxmlformats.org/officeDocument/2006/relationships/hyperlink" Target="https://enzyme.expasy.org/EC/2.3.1.-" TargetMode="External"/><Relationship Id="rId660" Type="http://schemas.openxmlformats.org/officeDocument/2006/relationships/hyperlink" Target="https://enzyme.expasy.org/EC/2.5.1.47" TargetMode="External"/><Relationship Id="rId898" Type="http://schemas.openxmlformats.org/officeDocument/2006/relationships/hyperlink" Target="https://www.genome.jp/dbget-bin/www_bget?ec:2.10.1.1" TargetMode="External"/><Relationship Id="rId1083" Type="http://schemas.openxmlformats.org/officeDocument/2006/relationships/hyperlink" Target="https://www.genome.jp/entry/R01570/R01876/R02296/R02484/R02298" TargetMode="External"/><Relationship Id="rId1290" Type="http://schemas.openxmlformats.org/officeDocument/2006/relationships/hyperlink" Target="https://www.genome.jp/entry/R03968/R04001/R10170" TargetMode="External"/><Relationship Id="rId2134" Type="http://schemas.openxmlformats.org/officeDocument/2006/relationships/hyperlink" Target="https://www.genome.jp/dbget-bin/www_bget?enzyme+1.2.1.79" TargetMode="External"/><Relationship Id="rId2341" Type="http://schemas.openxmlformats.org/officeDocument/2006/relationships/hyperlink" Target="https://enzyme.expasy.org/EC/1.1.5.3" TargetMode="External"/><Relationship Id="rId2579" Type="http://schemas.openxmlformats.org/officeDocument/2006/relationships/hyperlink" Target="https://www.genome.jp/entry/R00342/R07136" TargetMode="External"/><Relationship Id="rId2786" Type="http://schemas.openxmlformats.org/officeDocument/2006/relationships/hyperlink" Target="https://www.genome.jp/entry/R01148/R01344/R01582/R02459/R02851/R02924/R05053" TargetMode="External"/><Relationship Id="rId2993" Type="http://schemas.openxmlformats.org/officeDocument/2006/relationships/hyperlink" Target="https://www.genome.jp/dbget-bin/www_bget?ec:1.2.1.3" TargetMode="External"/><Relationship Id="rId3837" Type="http://schemas.openxmlformats.org/officeDocument/2006/relationships/hyperlink" Target="https://enzyme.expasy.org/EC/1.7.2.1" TargetMode="External"/><Relationship Id="rId106" Type="http://schemas.openxmlformats.org/officeDocument/2006/relationships/hyperlink" Target="https://enzyme.expasy.org/EC/3.6.1.55" TargetMode="External"/><Relationship Id="rId313" Type="http://schemas.openxmlformats.org/officeDocument/2006/relationships/hyperlink" Target="https://enzyme.expasy.org/EC/2.8.1.7" TargetMode="External"/><Relationship Id="rId758" Type="http://schemas.openxmlformats.org/officeDocument/2006/relationships/hyperlink" Target="https://enzyme.expasy.org/EC/5.4.99.9" TargetMode="External"/><Relationship Id="rId965" Type="http://schemas.openxmlformats.org/officeDocument/2006/relationships/hyperlink" Target="https://www.genome.jp/dbget-bin/www_bget?ec:4.4.1.21" TargetMode="External"/><Relationship Id="rId1150" Type="http://schemas.openxmlformats.org/officeDocument/2006/relationships/hyperlink" Target="https://www.genome.jp/dbget-bin/www_bget?ec:5.3.1.9" TargetMode="External"/><Relationship Id="rId1388" Type="http://schemas.openxmlformats.org/officeDocument/2006/relationships/hyperlink" Target="https://www.genome.jp/entry/R01641/R01067/R01830/R06590/R06861/R06863" TargetMode="External"/><Relationship Id="rId1595" Type="http://schemas.openxmlformats.org/officeDocument/2006/relationships/hyperlink" Target="https://www.genome.jp/entry/R01802" TargetMode="External"/><Relationship Id="rId2439" Type="http://schemas.openxmlformats.org/officeDocument/2006/relationships/hyperlink" Target="https://www.genome.jp/dbget-bin/www_bget?ec:3.1.3.1" TargetMode="External"/><Relationship Id="rId2646" Type="http://schemas.openxmlformats.org/officeDocument/2006/relationships/hyperlink" Target="https://www.genome.jp/entry/R02767/R04533/R04534/R04536/R04543/R04566/R04953/R04964/R07763/R10116/R10120" TargetMode="External"/><Relationship Id="rId2853" Type="http://schemas.openxmlformats.org/officeDocument/2006/relationships/hyperlink" Target="https://www.genome.jp/entry/R09690/R09719/R09744/R09745/R09746/R07653" TargetMode="External"/><Relationship Id="rId3904" Type="http://schemas.openxmlformats.org/officeDocument/2006/relationships/hyperlink" Target="https://www.genome.jp/dbget-bin/www_bget?ec:1.1.1.86" TargetMode="External"/><Relationship Id="rId94" Type="http://schemas.openxmlformats.org/officeDocument/2006/relationships/hyperlink" Target="https://enzyme.expasy.org/EC/3.4.24.-" TargetMode="External"/><Relationship Id="rId520" Type="http://schemas.openxmlformats.org/officeDocument/2006/relationships/hyperlink" Target="https://enzyme.expasy.org/EC/3.1.3.25" TargetMode="External"/><Relationship Id="rId618" Type="http://schemas.openxmlformats.org/officeDocument/2006/relationships/hyperlink" Target="https://enzyme.expasy.org/EC/6.3.2.17" TargetMode="External"/><Relationship Id="rId825" Type="http://schemas.openxmlformats.org/officeDocument/2006/relationships/hyperlink" Target="https://www.genome.jp/entry/R04273" TargetMode="External"/><Relationship Id="rId1248" Type="http://schemas.openxmlformats.org/officeDocument/2006/relationships/hyperlink" Target="https://www.genome.jp/entry/R01773/R01775" TargetMode="External"/><Relationship Id="rId1455" Type="http://schemas.openxmlformats.org/officeDocument/2006/relationships/hyperlink" Target="https://www.genome.jp/entry/R00332/R02090/R12852" TargetMode="External"/><Relationship Id="rId1662" Type="http://schemas.openxmlformats.org/officeDocument/2006/relationships/hyperlink" Target="https://www.genome.jp/dbget-bin/www_bget?ec:2.7.1.2" TargetMode="External"/><Relationship Id="rId2201" Type="http://schemas.openxmlformats.org/officeDocument/2006/relationships/hyperlink" Target="https://www.genome.jp/entry/R06895" TargetMode="External"/><Relationship Id="rId2506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1010" Type="http://schemas.openxmlformats.org/officeDocument/2006/relationships/hyperlink" Target="https://www.genome.jp/dbget-bin/www_bget?ec:2.5.1.30" TargetMode="External"/><Relationship Id="rId1108" Type="http://schemas.openxmlformats.org/officeDocument/2006/relationships/hyperlink" Target="https://www.genome.jp/entry/R04385" TargetMode="External"/><Relationship Id="rId1315" Type="http://schemas.openxmlformats.org/officeDocument/2006/relationships/hyperlink" Target="https://www.genome.jp/entry/R01398" TargetMode="External"/><Relationship Id="rId1967" Type="http://schemas.openxmlformats.org/officeDocument/2006/relationships/hyperlink" Target="https://www.genome.jp/dbget-bin/www_bget?ec:2.3.1.181" TargetMode="External"/><Relationship Id="rId2713" Type="http://schemas.openxmlformats.org/officeDocument/2006/relationships/hyperlink" Target="https://www.genome.jp/dbget-bin/www_bget?ec:2.3.1.54" TargetMode="External"/><Relationship Id="rId2920" Type="http://schemas.openxmlformats.org/officeDocument/2006/relationships/hyperlink" Target="https://www.genome.jp/dbget-bin/www_bget?ec:2.8.1.2" TargetMode="External"/><Relationship Id="rId1522" Type="http://schemas.openxmlformats.org/officeDocument/2006/relationships/hyperlink" Target="https://www.genome.jp/entry/R00220/R00590/R11099/R11100/R06131" TargetMode="External"/><Relationship Id="rId21" Type="http://schemas.openxmlformats.org/officeDocument/2006/relationships/hyperlink" Target="https://enzyme.expasy.org/EC/1.-.-.-" TargetMode="External"/><Relationship Id="rId2089" Type="http://schemas.openxmlformats.org/officeDocument/2006/relationships/hyperlink" Target="https://enzyme.expasy.org/EC/3.1.3.5" TargetMode="External"/><Relationship Id="rId3487" Type="http://schemas.openxmlformats.org/officeDocument/2006/relationships/hyperlink" Target="https://www.genome.jp/entry/R03197/R04972" TargetMode="External"/><Relationship Id="rId3694" Type="http://schemas.openxmlformats.org/officeDocument/2006/relationships/hyperlink" Target="https://www.genome.jp/entry/R02740/R00771/R02739/R03321/R13199" TargetMode="External"/><Relationship Id="rId2296" Type="http://schemas.openxmlformats.org/officeDocument/2006/relationships/hyperlink" Target="https://www.genome.jp/entry/R06398/R09385/R09389/R09393" TargetMode="External"/><Relationship Id="rId3347" Type="http://schemas.openxmlformats.org/officeDocument/2006/relationships/hyperlink" Target="https://www.genome.jp/dbget-bin/www_bget?ec:2.2.1.6" TargetMode="External"/><Relationship Id="rId3554" Type="http://schemas.openxmlformats.org/officeDocument/2006/relationships/hyperlink" Target="https://enzyme.expasy.org/EC/2.7.7.6" TargetMode="External"/><Relationship Id="rId3761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268" Type="http://schemas.openxmlformats.org/officeDocument/2006/relationships/hyperlink" Target="https://enzyme.expasy.org/EC/3.1.3.11" TargetMode="External"/><Relationship Id="rId475" Type="http://schemas.openxmlformats.org/officeDocument/2006/relationships/hyperlink" Target="https://enzyme.expasy.org/EC/2.7.1.144" TargetMode="External"/><Relationship Id="rId682" Type="http://schemas.openxmlformats.org/officeDocument/2006/relationships/hyperlink" Target="https://enzyme.expasy.org/EC/2.4.1.-" TargetMode="External"/><Relationship Id="rId2156" Type="http://schemas.openxmlformats.org/officeDocument/2006/relationships/hyperlink" Target="https://www.genome.jp/entry/R01856" TargetMode="External"/><Relationship Id="rId2363" Type="http://schemas.openxmlformats.org/officeDocument/2006/relationships/hyperlink" Target="https://www.genome.jp/entry/R01862" TargetMode="External"/><Relationship Id="rId2570" Type="http://schemas.openxmlformats.org/officeDocument/2006/relationships/hyperlink" Target="https://www.genome.jp/entry/R00189" TargetMode="External"/><Relationship Id="rId3207" Type="http://schemas.openxmlformats.org/officeDocument/2006/relationships/hyperlink" Target="https://www.genome.jp/entry/R00379/R00375/R00376/R00377/R00378/R11029" TargetMode="External"/><Relationship Id="rId3414" Type="http://schemas.openxmlformats.org/officeDocument/2006/relationships/hyperlink" Target="https://enzyme.expasy.org/EC/1.8.1.4" TargetMode="External"/><Relationship Id="rId3621" Type="http://schemas.openxmlformats.org/officeDocument/2006/relationships/hyperlink" Target="https://www.genome.jp/dbget-bin/www_bget?ec:6.3.4.15" TargetMode="External"/><Relationship Id="rId128" Type="http://schemas.openxmlformats.org/officeDocument/2006/relationships/hyperlink" Target="https://enzyme.expasy.org/EC/5.1.3.13" TargetMode="External"/><Relationship Id="rId335" Type="http://schemas.openxmlformats.org/officeDocument/2006/relationships/hyperlink" Target="https://enzyme.expasy.org/EC/3.6.4.12" TargetMode="External"/><Relationship Id="rId542" Type="http://schemas.openxmlformats.org/officeDocument/2006/relationships/hyperlink" Target="https://enzyme.expasy.org/EC/2.1.1.199" TargetMode="External"/><Relationship Id="rId1172" Type="http://schemas.openxmlformats.org/officeDocument/2006/relationships/hyperlink" Target="https://www.genome.jp/entry/R05634" TargetMode="External"/><Relationship Id="rId2016" Type="http://schemas.openxmlformats.org/officeDocument/2006/relationships/hyperlink" Target="https://www.genome.jp/dbget-bin/www_bget?ec:1.1.1.1" TargetMode="External"/><Relationship Id="rId2223" Type="http://schemas.openxmlformats.org/officeDocument/2006/relationships/hyperlink" Target="https://www.genome.jp/dbget-bin/www_bget?ec:3.1.1.1" TargetMode="External"/><Relationship Id="rId2430" Type="http://schemas.openxmlformats.org/officeDocument/2006/relationships/hyperlink" Target="https://www.genome.jp/entry/R04294/R02017/R02018/R02019/R02024/R08363/R08364/R11893" TargetMode="External"/><Relationship Id="rId402" Type="http://schemas.openxmlformats.org/officeDocument/2006/relationships/hyperlink" Target="https://enzyme.expasy.org/EC/3.2.-.-" TargetMode="External"/><Relationship Id="rId1032" Type="http://schemas.openxmlformats.org/officeDocument/2006/relationships/hyperlink" Target="https://www.genome.jp/dbget-bin/www_bget?enzyme+3.4.11.18" TargetMode="External"/><Relationship Id="rId1989" Type="http://schemas.openxmlformats.org/officeDocument/2006/relationships/hyperlink" Target="https://www.genome.jp/dbget-bin/www_bget?ec:1.1.1.1" TargetMode="External"/><Relationship Id="rId1849" Type="http://schemas.openxmlformats.org/officeDocument/2006/relationships/hyperlink" Target="https://www.genome.jp/entry/R00485/R06134" TargetMode="External"/><Relationship Id="rId3064" Type="http://schemas.openxmlformats.org/officeDocument/2006/relationships/hyperlink" Target="https://www.genome.jp/dbget-bin/www_bget?enzyme+5.1.3.9" TargetMode="External"/><Relationship Id="rId192" Type="http://schemas.openxmlformats.org/officeDocument/2006/relationships/hyperlink" Target="https://enzyme.expasy.org/EC/2.1.1.107" TargetMode="External"/><Relationship Id="rId1709" Type="http://schemas.openxmlformats.org/officeDocument/2006/relationships/hyperlink" Target="https://www.genome.jp/dbget-bin/www_bget?ec:2.3.1.41" TargetMode="External"/><Relationship Id="rId1916" Type="http://schemas.openxmlformats.org/officeDocument/2006/relationships/hyperlink" Target="https://www.genome.jp/entry/R00081/R00082" TargetMode="External"/><Relationship Id="rId3271" Type="http://schemas.openxmlformats.org/officeDocument/2006/relationships/hyperlink" Target="https://enzyme.expasy.org/EC/2.7.7.7" TargetMode="External"/><Relationship Id="rId2080" Type="http://schemas.openxmlformats.org/officeDocument/2006/relationships/hyperlink" Target="https://www.genome.jp/entry/R01699/R00014/R03270" TargetMode="External"/><Relationship Id="rId3131" Type="http://schemas.openxmlformats.org/officeDocument/2006/relationships/hyperlink" Target="https://www.genome.jp/entry/R00162/R03632" TargetMode="External"/><Relationship Id="rId2897" Type="http://schemas.openxmlformats.org/officeDocument/2006/relationships/hyperlink" Target="https://www.genome.jp/dbget-bin/www_bget?ec:3.6.1.1" TargetMode="External"/><Relationship Id="rId3948" Type="http://schemas.openxmlformats.org/officeDocument/2006/relationships/hyperlink" Target="https://www.genome.jp/entry/R00630/R06728/R08255/R08258/R08220/R08249/R08251/R08295/R08300" TargetMode="External"/><Relationship Id="rId869" Type="http://schemas.openxmlformats.org/officeDocument/2006/relationships/hyperlink" Target="https://www.genome.jp/entry/R00078" TargetMode="External"/><Relationship Id="rId1499" Type="http://schemas.openxmlformats.org/officeDocument/2006/relationships/hyperlink" Target="https://www.genome.jp/dbget-bin/www_bget?ec:4.2.3.4" TargetMode="External"/><Relationship Id="rId729" Type="http://schemas.openxmlformats.org/officeDocument/2006/relationships/hyperlink" Target="https://enzyme.expasy.org/EC/4.2.1.20" TargetMode="External"/><Relationship Id="rId1359" Type="http://schemas.openxmlformats.org/officeDocument/2006/relationships/hyperlink" Target="https://www.genome.jp/dbget-bin/www_bget?enzyme+3.6.1.27" TargetMode="External"/><Relationship Id="rId2757" Type="http://schemas.openxmlformats.org/officeDocument/2006/relationships/hyperlink" Target="https://www.genome.jp/entry/R00660" TargetMode="External"/><Relationship Id="rId2964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808" Type="http://schemas.openxmlformats.org/officeDocument/2006/relationships/hyperlink" Target="https://www.genome.jp/dbget-bin/www_bget?ec:3.2.1.26" TargetMode="External"/><Relationship Id="rId936" Type="http://schemas.openxmlformats.org/officeDocument/2006/relationships/hyperlink" Target="https://www.genome.jp/dbget-bin/www_bget?ec:4.2.1.46" TargetMode="External"/><Relationship Id="rId1219" Type="http://schemas.openxmlformats.org/officeDocument/2006/relationships/hyperlink" Target="https://www.genome.jp/dbget-bin/www_bget?ec:2.9.1.1" TargetMode="External"/><Relationship Id="rId1566" Type="http://schemas.openxmlformats.org/officeDocument/2006/relationships/hyperlink" Target="https://www.genome.jp/dbget-bin/www_bget?ec:2.4.1.345" TargetMode="External"/><Relationship Id="rId1773" Type="http://schemas.openxmlformats.org/officeDocument/2006/relationships/hyperlink" Target="https://www.genome.jp/dbget-bin/www_bget?ec:1.4.1.2" TargetMode="External"/><Relationship Id="rId1980" Type="http://schemas.openxmlformats.org/officeDocument/2006/relationships/hyperlink" Target="https://www.genome.jp/entry/R00253" TargetMode="External"/><Relationship Id="rId2617" Type="http://schemas.openxmlformats.org/officeDocument/2006/relationships/hyperlink" Target="https://enzyme.expasy.org/EC/1.4.1.1" TargetMode="External"/><Relationship Id="rId2824" Type="http://schemas.openxmlformats.org/officeDocument/2006/relationships/hyperlink" Target="https://www.genome.jp/dbget-bin/www_bget?ec:6.1.1.16" TargetMode="External"/><Relationship Id="rId65" Type="http://schemas.openxmlformats.org/officeDocument/2006/relationships/hyperlink" Target="https://enzyme.expasy.org/EC/2.7.-.-" TargetMode="External"/><Relationship Id="rId1426" Type="http://schemas.openxmlformats.org/officeDocument/2006/relationships/hyperlink" Target="https://www.genome.jp/entry/R00291/R00418/R02984" TargetMode="External"/><Relationship Id="rId1633" Type="http://schemas.openxmlformats.org/officeDocument/2006/relationships/hyperlink" Target="https://www.genome.jp/entry/R02185/R02187/R02189" TargetMode="External"/><Relationship Id="rId1840" Type="http://schemas.openxmlformats.org/officeDocument/2006/relationships/hyperlink" Target="https://www.genome.jp/entry/R00996/R11098/R11101/R00220/R06131" TargetMode="External"/><Relationship Id="rId1700" Type="http://schemas.openxmlformats.org/officeDocument/2006/relationships/hyperlink" Target="https://www.genome.jp/dbget-bin/www_bget?ec:2.3.1.41" TargetMode="External"/><Relationship Id="rId3598" Type="http://schemas.openxmlformats.org/officeDocument/2006/relationships/hyperlink" Target="https://www.genome.jp/entry/R01878/R02485/R08221" TargetMode="External"/><Relationship Id="rId3458" Type="http://schemas.openxmlformats.org/officeDocument/2006/relationships/hyperlink" Target="https://enzyme.expasy.org/EC/1.5.1.2" TargetMode="External"/><Relationship Id="rId3665" Type="http://schemas.openxmlformats.org/officeDocument/2006/relationships/hyperlink" Target="https://www.genome.jp/entry/R07343/R01185/R01186/R01187" TargetMode="External"/><Relationship Id="rId3872" Type="http://schemas.openxmlformats.org/officeDocument/2006/relationships/hyperlink" Target="https://www.genome.jp/entry/R04779/R00756/R00767/R00769/R00770/R01843/R03236/R03237/R03238/R03239" TargetMode="External"/><Relationship Id="rId379" Type="http://schemas.openxmlformats.org/officeDocument/2006/relationships/hyperlink" Target="https://enzyme.expasy.org/EC/2.1.1.11" TargetMode="External"/><Relationship Id="rId586" Type="http://schemas.openxmlformats.org/officeDocument/2006/relationships/hyperlink" Target="https://enzyme.expasy.org/EC/2.8.3.5" TargetMode="External"/><Relationship Id="rId793" Type="http://schemas.openxmlformats.org/officeDocument/2006/relationships/hyperlink" Target="https://enzyme.expasy.org/EC/1.-.-.-" TargetMode="External"/><Relationship Id="rId2267" Type="http://schemas.openxmlformats.org/officeDocument/2006/relationships/hyperlink" Target="https://www.genome.jp/entry/R12188/R01286/R02408/R02953/R03528/R00782/R04941/R09366" TargetMode="External"/><Relationship Id="rId2474" Type="http://schemas.openxmlformats.org/officeDocument/2006/relationships/hyperlink" Target="https://www.genome.jp/entry/R00674/R02340/R02722" TargetMode="External"/><Relationship Id="rId2681" Type="http://schemas.openxmlformats.org/officeDocument/2006/relationships/hyperlink" Target="https://www.genome.jp/entry/R02767/R04533/R04534/R04536/R04543/R04566/R04953/R04964/R07763/R10116/R10120" TargetMode="External"/><Relationship Id="rId3318" Type="http://schemas.openxmlformats.org/officeDocument/2006/relationships/hyperlink" Target="https://www.genome.jp/entry/R00006/R00226/R00014/R03050/R04672/R04673/R08648" TargetMode="External"/><Relationship Id="rId3525" Type="http://schemas.openxmlformats.org/officeDocument/2006/relationships/hyperlink" Target="https://www.genome.jp/dbget-bin/www_bget?ec:2.7.7.6" TargetMode="External"/><Relationship Id="rId239" Type="http://schemas.openxmlformats.org/officeDocument/2006/relationships/hyperlink" Target="https://enzyme.expasy.org/EC/2.3.1.-" TargetMode="External"/><Relationship Id="rId446" Type="http://schemas.openxmlformats.org/officeDocument/2006/relationships/hyperlink" Target="https://enzyme.expasy.org/EC/3.1.31.-" TargetMode="External"/><Relationship Id="rId653" Type="http://schemas.openxmlformats.org/officeDocument/2006/relationships/hyperlink" Target="https://enzyme.expasy.org/EC/7.1.1.9" TargetMode="External"/><Relationship Id="rId1076" Type="http://schemas.openxmlformats.org/officeDocument/2006/relationships/hyperlink" Target="https://www.genome.jp/dbget-bin/www_bget?ec:6.4.1.7" TargetMode="External"/><Relationship Id="rId1283" Type="http://schemas.openxmlformats.org/officeDocument/2006/relationships/hyperlink" Target="https://www.genome.jp/entry/R01652/R04426/R10052/R00994" TargetMode="External"/><Relationship Id="rId1490" Type="http://schemas.openxmlformats.org/officeDocument/2006/relationships/hyperlink" Target="https://enzyme.expasy.org/EC/6.3.5.5" TargetMode="External"/><Relationship Id="rId2127" Type="http://schemas.openxmlformats.org/officeDocument/2006/relationships/hyperlink" Target="https://enzyme.expasy.org/EC/2.3.1.47" TargetMode="External"/><Relationship Id="rId2334" Type="http://schemas.openxmlformats.org/officeDocument/2006/relationships/hyperlink" Target="https://www.genome.jp/entry/R00505/R09009" TargetMode="External"/><Relationship Id="rId3732" Type="http://schemas.openxmlformats.org/officeDocument/2006/relationships/hyperlink" Target="https://enzyme.expasy.org/EC/4.2.1.17" TargetMode="External"/><Relationship Id="rId306" Type="http://schemas.openxmlformats.org/officeDocument/2006/relationships/hyperlink" Target="https://enzyme.expasy.org/EC/6.2.1.3" TargetMode="External"/><Relationship Id="rId860" Type="http://schemas.openxmlformats.org/officeDocument/2006/relationships/hyperlink" Target="https://www.genome.jp/entry/R02734" TargetMode="External"/><Relationship Id="rId1143" Type="http://schemas.openxmlformats.org/officeDocument/2006/relationships/hyperlink" Target="https://www.genome.jp/entry/R04273" TargetMode="External"/><Relationship Id="rId2541" Type="http://schemas.openxmlformats.org/officeDocument/2006/relationships/hyperlink" Target="https://www.genome.jp/dbget-bin/www_bget?ec:2.7.4.6" TargetMode="External"/><Relationship Id="rId513" Type="http://schemas.openxmlformats.org/officeDocument/2006/relationships/hyperlink" Target="https://enzyme.expasy.org/EC/1.4.1.2" TargetMode="External"/><Relationship Id="rId720" Type="http://schemas.openxmlformats.org/officeDocument/2006/relationships/hyperlink" Target="https://enzyme.expasy.org/EC/2.1.1.-" TargetMode="External"/><Relationship Id="rId1350" Type="http://schemas.openxmlformats.org/officeDocument/2006/relationships/hyperlink" Target="https://www.genome.jp/dbget-bin/www_bget?ec:2.1.1.220" TargetMode="External"/><Relationship Id="rId2401" Type="http://schemas.openxmlformats.org/officeDocument/2006/relationships/hyperlink" Target="https://www.genome.jp/entry/R04294/R02017/R02018/R02019/R02024/R08363/R08364/R11893" TargetMode="External"/><Relationship Id="rId1003" Type="http://schemas.openxmlformats.org/officeDocument/2006/relationships/hyperlink" Target="https://www.genome.jp/entry/R04030" TargetMode="External"/><Relationship Id="rId1210" Type="http://schemas.openxmlformats.org/officeDocument/2006/relationships/hyperlink" Target="https://www.genome.jp/dbget-bin/www_bget?ec:1.17.7.4" TargetMode="External"/><Relationship Id="rId3175" Type="http://schemas.openxmlformats.org/officeDocument/2006/relationships/hyperlink" Target="https://enzyme.expasy.org/EC/2.7.7.7" TargetMode="External"/><Relationship Id="rId3382" Type="http://schemas.openxmlformats.org/officeDocument/2006/relationships/hyperlink" Target="https://www.genome.jp/dbget-bin/www_bget?ec:3.3.2.10" TargetMode="External"/><Relationship Id="rId2191" Type="http://schemas.openxmlformats.org/officeDocument/2006/relationships/hyperlink" Target="https://www.genome.jp/dbget-bin/www_bget?ec:2.7.1.35" TargetMode="External"/><Relationship Id="rId3035" Type="http://schemas.openxmlformats.org/officeDocument/2006/relationships/hyperlink" Target="https://www.genome.jp/dbget-bin/www_bget?ec:3.2.1.52" TargetMode="External"/><Relationship Id="rId3242" Type="http://schemas.openxmlformats.org/officeDocument/2006/relationships/hyperlink" Target="https://www.genome.jp/dbget-bin/www_bget?ec:2.7.7.7" TargetMode="External"/><Relationship Id="rId163" Type="http://schemas.openxmlformats.org/officeDocument/2006/relationships/hyperlink" Target="https://enzyme.expasy.org/EC/4.1.3.36" TargetMode="External"/><Relationship Id="rId370" Type="http://schemas.openxmlformats.org/officeDocument/2006/relationships/hyperlink" Target="https://enzyme.expasy.org/EC/5.4.99.22" TargetMode="External"/><Relationship Id="rId2051" Type="http://schemas.openxmlformats.org/officeDocument/2006/relationships/hyperlink" Target="https://www.genome.jp/dbget-bin/www_bget?ec:3.5.4.16" TargetMode="External"/><Relationship Id="rId3102" Type="http://schemas.openxmlformats.org/officeDocument/2006/relationships/hyperlink" Target="https://www.genome.jp/entry/R00630/R06728/R08255/R08258/R08220/R08249/R08251/R08295/R08300" TargetMode="External"/><Relationship Id="rId230" Type="http://schemas.openxmlformats.org/officeDocument/2006/relationships/hyperlink" Target="https://enzyme.expasy.org/EC/2.7.7.9" TargetMode="External"/><Relationship Id="rId2868" Type="http://schemas.openxmlformats.org/officeDocument/2006/relationships/hyperlink" Target="https://www.genome.jp/dbget-bin/www_bget?ec:3.4.22.40" TargetMode="External"/><Relationship Id="rId3919" Type="http://schemas.openxmlformats.org/officeDocument/2006/relationships/hyperlink" Target="https://www.genome.jp/dbget-bin/www_bget?ec:4.2.1.33" TargetMode="External"/><Relationship Id="rId1677" Type="http://schemas.openxmlformats.org/officeDocument/2006/relationships/hyperlink" Target="https://www.genome.jp/dbget-bin/www_bget?ec:2.1.1.33" TargetMode="External"/><Relationship Id="rId1884" Type="http://schemas.openxmlformats.org/officeDocument/2006/relationships/hyperlink" Target="https://www.genome.jp/entry/R04573/R04617" TargetMode="External"/><Relationship Id="rId2728" Type="http://schemas.openxmlformats.org/officeDocument/2006/relationships/hyperlink" Target="https://www.genome.jp/entry/R01532/R00087/R00426/R00515/R00662/R11323/R00103/R00160/R00287/R03004/R03036" TargetMode="External"/><Relationship Id="rId2935" Type="http://schemas.openxmlformats.org/officeDocument/2006/relationships/hyperlink" Target="https://enzyme.expasy.org/EC/1.2.1.3" TargetMode="External"/><Relationship Id="rId907" Type="http://schemas.openxmlformats.org/officeDocument/2006/relationships/hyperlink" Target="https://www.genome.jp/entry/R00311" TargetMode="External"/><Relationship Id="rId1537" Type="http://schemas.openxmlformats.org/officeDocument/2006/relationships/hyperlink" Target="https://www.genome.jp/entry/R00220/R00590/R11099/R11100/R06131" TargetMode="External"/><Relationship Id="rId1744" Type="http://schemas.openxmlformats.org/officeDocument/2006/relationships/hyperlink" Target="https://www.genome.jp/dbget-bin/www_bget?ec:1.8.1.15" TargetMode="External"/><Relationship Id="rId1951" Type="http://schemas.openxmlformats.org/officeDocument/2006/relationships/hyperlink" Target="https://www.genome.jp/dbget-bin/www_bget?ec:1.4.4.2" TargetMode="External"/><Relationship Id="rId36" Type="http://schemas.openxmlformats.org/officeDocument/2006/relationships/hyperlink" Target="https://enzyme.expasy.org/EC/1.7.2.5" TargetMode="External"/><Relationship Id="rId1604" Type="http://schemas.openxmlformats.org/officeDocument/2006/relationships/hyperlink" Target="https://enzyme.expasy.org/EC/3.6.4.13" TargetMode="External"/><Relationship Id="rId1811" Type="http://schemas.openxmlformats.org/officeDocument/2006/relationships/hyperlink" Target="https://www.genome.jp/entry/R03457" TargetMode="External"/><Relationship Id="rId3569" Type="http://schemas.openxmlformats.org/officeDocument/2006/relationships/hyperlink" Target="https://enzyme.expasy.org/EC/1.1.1.42" TargetMode="External"/><Relationship Id="rId697" Type="http://schemas.openxmlformats.org/officeDocument/2006/relationships/hyperlink" Target="https://enzyme.expasy.org/EC/2.7.6.3" TargetMode="External"/><Relationship Id="rId2378" Type="http://schemas.openxmlformats.org/officeDocument/2006/relationships/hyperlink" Target="https://www.genome.jp/dbget-bin/www_bget?ec:1.1.1.27" TargetMode="External"/><Relationship Id="rId3429" Type="http://schemas.openxmlformats.org/officeDocument/2006/relationships/hyperlink" Target="https://enzyme.expasy.org/EC/1.8.1.4" TargetMode="External"/><Relationship Id="rId3776" Type="http://schemas.openxmlformats.org/officeDocument/2006/relationships/hyperlink" Target="https://www.genome.jp/entry/R02685/R03026/R03045/R04170/R04204/R04224/R04738/R04740/R04744/R04746/R04749/R07889/R07893/R07897/R07314/R03224/R04137/R05595/R06411/R06412/R06942/R08093" TargetMode="External"/><Relationship Id="rId1187" Type="http://schemas.openxmlformats.org/officeDocument/2006/relationships/hyperlink" Target="https://www.genome.jp/dbget-bin/www_bget?ec:2.4.2.19" TargetMode="External"/><Relationship Id="rId2585" Type="http://schemas.openxmlformats.org/officeDocument/2006/relationships/hyperlink" Target="https://www.genome.jp/entry/R03260/R00999/R01288/R02508/R03217/R04944/R04945/R04946" TargetMode="External"/><Relationship Id="rId2792" Type="http://schemas.openxmlformats.org/officeDocument/2006/relationships/hyperlink" Target="https://www.genome.jp/entry/R01148/R01344/R01582/R02459/R02851/R02924/R05053" TargetMode="External"/><Relationship Id="rId3636" Type="http://schemas.openxmlformats.org/officeDocument/2006/relationships/hyperlink" Target="https://www.genome.jp/dbget-bin/www_bget?ec:3.6.1.22" TargetMode="External"/><Relationship Id="rId3843" Type="http://schemas.openxmlformats.org/officeDocument/2006/relationships/hyperlink" Target="https://enzyme.expasy.org/EC/1.7.2.1" TargetMode="External"/><Relationship Id="rId557" Type="http://schemas.openxmlformats.org/officeDocument/2006/relationships/hyperlink" Target="https://enzyme.expasy.org/EC/2.6.1.42" TargetMode="External"/><Relationship Id="rId764" Type="http://schemas.openxmlformats.org/officeDocument/2006/relationships/hyperlink" Target="https://enzyme.expasy.org/EC/2.3.1.122" TargetMode="External"/><Relationship Id="rId971" Type="http://schemas.openxmlformats.org/officeDocument/2006/relationships/hyperlink" Target="https://www.genome.jp/dbget-bin/www_bget?ec:3.6.1.11" TargetMode="External"/><Relationship Id="rId1394" Type="http://schemas.openxmlformats.org/officeDocument/2006/relationships/hyperlink" Target="https://enzyme.expasy.org/EC/2.2.1.2" TargetMode="External"/><Relationship Id="rId2238" Type="http://schemas.openxmlformats.org/officeDocument/2006/relationships/hyperlink" Target="https://www.genome.jp/dbget-bin/www_bget?ec:3.1.1.1" TargetMode="External"/><Relationship Id="rId2445" Type="http://schemas.openxmlformats.org/officeDocument/2006/relationships/hyperlink" Target="https://www.genome.jp/dbget-bin/www_bget?ec:3.1.3.1" TargetMode="External"/><Relationship Id="rId2652" Type="http://schemas.openxmlformats.org/officeDocument/2006/relationships/hyperlink" Target="https://www.genome.jp/entry/R02767/R04533/R04534/R04536/R04543/R04566/R04953/R04964/R07763/R10116/R10120" TargetMode="External"/><Relationship Id="rId3703" Type="http://schemas.openxmlformats.org/officeDocument/2006/relationships/hyperlink" Target="https://www.genome.jp/entry/R04325/R04326" TargetMode="External"/><Relationship Id="rId3910" Type="http://schemas.openxmlformats.org/officeDocument/2006/relationships/hyperlink" Target="https://www.genome.jp/dbget-bin/www_bget?ec:1.1.1.85" TargetMode="External"/><Relationship Id="rId417" Type="http://schemas.openxmlformats.org/officeDocument/2006/relationships/hyperlink" Target="https://enzyme.expasy.org/EC/5.1.3.1" TargetMode="External"/><Relationship Id="rId624" Type="http://schemas.openxmlformats.org/officeDocument/2006/relationships/hyperlink" Target="https://enzyme.expasy.org/EC/3.4.21.92" TargetMode="External"/><Relationship Id="rId831" Type="http://schemas.openxmlformats.org/officeDocument/2006/relationships/hyperlink" Target="https://www.genome.jp/dbget-bin/www_bget?ec:2.7.11.1" TargetMode="External"/><Relationship Id="rId1047" Type="http://schemas.openxmlformats.org/officeDocument/2006/relationships/hyperlink" Target="https://www.genome.jp/dbget-bin/www_bget?ec:2.1.1.207" TargetMode="External"/><Relationship Id="rId1254" Type="http://schemas.openxmlformats.org/officeDocument/2006/relationships/hyperlink" Target="https://www.genome.jp/dbget-bin/www_bget?ec:1.7.99.4" TargetMode="External"/><Relationship Id="rId1461" Type="http://schemas.openxmlformats.org/officeDocument/2006/relationships/hyperlink" Target="https://www.genome.jp/entry/R00256/R00575/R01395/R10948/R10949/R07641" TargetMode="External"/><Relationship Id="rId2305" Type="http://schemas.openxmlformats.org/officeDocument/2006/relationships/hyperlink" Target="https://enzyme.expasy.org/EC/3.1.4.3" TargetMode="External"/><Relationship Id="rId2512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1114" Type="http://schemas.openxmlformats.org/officeDocument/2006/relationships/hyperlink" Target="https://www.genome.jp/dbget-bin/www_bget?ec:3.6.4.12" TargetMode="External"/><Relationship Id="rId1321" Type="http://schemas.openxmlformats.org/officeDocument/2006/relationships/hyperlink" Target="https://www.genome.jp/entry/R10277" TargetMode="External"/><Relationship Id="rId3079" Type="http://schemas.openxmlformats.org/officeDocument/2006/relationships/hyperlink" Target="https://enzyme.expasy.org/EC/3.1.1.1" TargetMode="External"/><Relationship Id="rId3286" Type="http://schemas.openxmlformats.org/officeDocument/2006/relationships/hyperlink" Target="https://enzyme.expasy.org/EC/2.7.7.7" TargetMode="External"/><Relationship Id="rId3493" Type="http://schemas.openxmlformats.org/officeDocument/2006/relationships/hyperlink" Target="https://www.genome.jp/entry/R04150/R07263" TargetMode="External"/><Relationship Id="rId2095" Type="http://schemas.openxmlformats.org/officeDocument/2006/relationships/hyperlink" Target="https://enzyme.expasy.org/EC/3.1.3.5" TargetMode="External"/><Relationship Id="rId3146" Type="http://schemas.openxmlformats.org/officeDocument/2006/relationships/hyperlink" Target="https://www.genome.jp/dbget-bin/www_bget?ec:2.7.7.7" TargetMode="External"/><Relationship Id="rId3353" Type="http://schemas.openxmlformats.org/officeDocument/2006/relationships/hyperlink" Target="https://www.genome.jp/dbget-bin/www_bget?ec:2.2.1.6" TargetMode="External"/><Relationship Id="rId274" Type="http://schemas.openxmlformats.org/officeDocument/2006/relationships/hyperlink" Target="https://enzyme.expasy.org/EC/1.17.1.9" TargetMode="External"/><Relationship Id="rId481" Type="http://schemas.openxmlformats.org/officeDocument/2006/relationships/hyperlink" Target="https://enzyme.expasy.org/EC/2.7.8.5" TargetMode="External"/><Relationship Id="rId2162" Type="http://schemas.openxmlformats.org/officeDocument/2006/relationships/hyperlink" Target="https://www.genome.jp/entry/R05635/R04268" TargetMode="External"/><Relationship Id="rId3006" Type="http://schemas.openxmlformats.org/officeDocument/2006/relationships/hyperlink" Target="https://www.genome.jp/entry/R00022/R03492/R04184/R04586/R05963/R06001/R06004/R06141/R07809/R07810/R09323/R10831/R11316/R11317/R12963" TargetMode="External"/><Relationship Id="rId3560" Type="http://schemas.openxmlformats.org/officeDocument/2006/relationships/hyperlink" Target="https://enzyme.expasy.org/EC/2.7.4.3" TargetMode="External"/><Relationship Id="rId134" Type="http://schemas.openxmlformats.org/officeDocument/2006/relationships/hyperlink" Target="https://enzyme.expasy.org/EC/1.3.5.1" TargetMode="External"/><Relationship Id="rId3213" Type="http://schemas.openxmlformats.org/officeDocument/2006/relationships/hyperlink" Target="https://www.genome.jp/entry/R00379/R00375/R00376/R00377/R00378/R11029" TargetMode="External"/><Relationship Id="rId3420" Type="http://schemas.openxmlformats.org/officeDocument/2006/relationships/hyperlink" Target="https://enzyme.expasy.org/EC/1.8.1.4" TargetMode="External"/><Relationship Id="rId341" Type="http://schemas.openxmlformats.org/officeDocument/2006/relationships/hyperlink" Target="https://enzyme.expasy.org/EC/2.7.4.16" TargetMode="External"/><Relationship Id="rId2022" Type="http://schemas.openxmlformats.org/officeDocument/2006/relationships/hyperlink" Target="https://www.genome.jp/dbget-bin/www_bget?ec:1.1.1.1" TargetMode="External"/><Relationship Id="rId2979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201" Type="http://schemas.openxmlformats.org/officeDocument/2006/relationships/hyperlink" Target="https://enzyme.expasy.org/EC/3.6.4.12" TargetMode="External"/><Relationship Id="rId1788" Type="http://schemas.openxmlformats.org/officeDocument/2006/relationships/hyperlink" Target="https://enzyme.expasy.org/EC/2.7.1.40" TargetMode="External"/><Relationship Id="rId1995" Type="http://schemas.openxmlformats.org/officeDocument/2006/relationships/hyperlink" Target="https://www.genome.jp/dbget-bin/www_bget?ec:1.1.1.1" TargetMode="External"/><Relationship Id="rId2839" Type="http://schemas.openxmlformats.org/officeDocument/2006/relationships/hyperlink" Target="https://www.genome.jp/entry/R02065/R04218/R10177/R07270/R07916" TargetMode="External"/><Relationship Id="rId1648" Type="http://schemas.openxmlformats.org/officeDocument/2006/relationships/hyperlink" Target="https://www.genome.jp/entry/R10147" TargetMode="External"/><Relationship Id="rId1508" Type="http://schemas.openxmlformats.org/officeDocument/2006/relationships/hyperlink" Target="https://www.genome.jp/dbget-bin/www_bget?ec:1.1.1.25" TargetMode="External"/><Relationship Id="rId1855" Type="http://schemas.openxmlformats.org/officeDocument/2006/relationships/hyperlink" Target="https://www.genome.jp/dbget-bin/www_bget?ec:6.1.1.5" TargetMode="External"/><Relationship Id="rId2906" Type="http://schemas.openxmlformats.org/officeDocument/2006/relationships/hyperlink" Target="https://www.genome.jp/entry/R01068/R01070/R01829/R02568" TargetMode="External"/><Relationship Id="rId3070" Type="http://schemas.openxmlformats.org/officeDocument/2006/relationships/hyperlink" Target="https://www.genome.jp/entry/R12080" TargetMode="External"/><Relationship Id="rId1715" Type="http://schemas.openxmlformats.org/officeDocument/2006/relationships/hyperlink" Target="https://www.genome.jp/entry/R07282/R00437/R00438/R00439/R00440" TargetMode="External"/><Relationship Id="rId1922" Type="http://schemas.openxmlformats.org/officeDocument/2006/relationships/hyperlink" Target="https://www.genome.jp/entry/R00081/R00082" TargetMode="External"/><Relationship Id="rId3887" Type="http://schemas.openxmlformats.org/officeDocument/2006/relationships/hyperlink" Target="https://www.genome.jp/entry/R01209/R04441/R05070" TargetMode="External"/><Relationship Id="rId2489" Type="http://schemas.openxmlformats.org/officeDocument/2006/relationships/hyperlink" Target="https://enzyme.expasy.org/EC/1.8.1.9" TargetMode="External"/><Relationship Id="rId2696" Type="http://schemas.openxmlformats.org/officeDocument/2006/relationships/hyperlink" Target="https://enzyme.expasy.org/EC/6.3.3.3" TargetMode="External"/><Relationship Id="rId3747" Type="http://schemas.openxmlformats.org/officeDocument/2006/relationships/hyperlink" Target="https://enzyme.expasy.org/EC/4.2.1.17" TargetMode="External"/><Relationship Id="rId3954" Type="http://schemas.openxmlformats.org/officeDocument/2006/relationships/hyperlink" Target="https://www.genome.jp/entry/R00630/R06728/R08255/R08258/R08220/R08249/R08251/R08295/R08300" TargetMode="External"/><Relationship Id="rId668" Type="http://schemas.openxmlformats.org/officeDocument/2006/relationships/hyperlink" Target="https://enzyme.expasy.org/EC/6.3.3.1" TargetMode="External"/><Relationship Id="rId875" Type="http://schemas.openxmlformats.org/officeDocument/2006/relationships/hyperlink" Target="https://www.genome.jp/entry/R04314" TargetMode="External"/><Relationship Id="rId1298" Type="http://schemas.openxmlformats.org/officeDocument/2006/relationships/hyperlink" Target="https://www.genome.jp/dbget-bin/www_bget?ec:2.1.1.171" TargetMode="External"/><Relationship Id="rId2349" Type="http://schemas.openxmlformats.org/officeDocument/2006/relationships/hyperlink" Target="https://enzyme.expasy.org/EC/6.1.1.11" TargetMode="External"/><Relationship Id="rId2556" Type="http://schemas.openxmlformats.org/officeDocument/2006/relationships/hyperlink" Target="https://www.genome.jp/entry/R04241/R00942/R01654/R02237/R05197" TargetMode="External"/><Relationship Id="rId2763" Type="http://schemas.openxmlformats.org/officeDocument/2006/relationships/hyperlink" Target="https://enzyme.expasy.org/EC/2.5.1.47" TargetMode="External"/><Relationship Id="rId2970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607" Type="http://schemas.openxmlformats.org/officeDocument/2006/relationships/hyperlink" Target="https://www.genome.jp/entry/R01570/R01876/R02296/R02484/R02298" TargetMode="External"/><Relationship Id="rId3814" Type="http://schemas.openxmlformats.org/officeDocument/2006/relationships/hyperlink" Target="https://www.genome.jp/dbget-bin/www_bget?ec:3.2.1.26" TargetMode="External"/><Relationship Id="rId528" Type="http://schemas.openxmlformats.org/officeDocument/2006/relationships/hyperlink" Target="https://enzyme.expasy.org/EC/4.3.1.19" TargetMode="External"/><Relationship Id="rId735" Type="http://schemas.openxmlformats.org/officeDocument/2006/relationships/hyperlink" Target="https://enzyme.expasy.org/EC/1.17.4.1" TargetMode="External"/><Relationship Id="rId942" Type="http://schemas.openxmlformats.org/officeDocument/2006/relationships/hyperlink" Target="https://www.genome.jp/entry/R00899/R04951" TargetMode="External"/><Relationship Id="rId1158" Type="http://schemas.openxmlformats.org/officeDocument/2006/relationships/hyperlink" Target="https://www.genome.jp/dbget-bin/www_bget?ec:5.5.1.2" TargetMode="External"/><Relationship Id="rId1365" Type="http://schemas.openxmlformats.org/officeDocument/2006/relationships/hyperlink" Target="https://www.genome.jp/dbget-bin/www_bget?ec:4.99.1.1" TargetMode="External"/><Relationship Id="rId1572" Type="http://schemas.openxmlformats.org/officeDocument/2006/relationships/hyperlink" Target="https://www.genome.jp/entry/R05751/R09787" TargetMode="External"/><Relationship Id="rId2209" Type="http://schemas.openxmlformats.org/officeDocument/2006/relationships/hyperlink" Target="https://www.genome.jp/entry/R00630/R06728/R08255/R08258/R08220/R08249/R08251/R08295/R08300" TargetMode="External"/><Relationship Id="rId2416" Type="http://schemas.openxmlformats.org/officeDocument/2006/relationships/hyperlink" Target="https://enzyme.expasy.org/EC/1.17.4.1" TargetMode="External"/><Relationship Id="rId2623" Type="http://schemas.openxmlformats.org/officeDocument/2006/relationships/hyperlink" Target="https://enzyme.expasy.org/EC/1.1.1.100" TargetMode="External"/><Relationship Id="rId1018" Type="http://schemas.openxmlformats.org/officeDocument/2006/relationships/hyperlink" Target="https://www.genome.jp/dbget-bin/www_bget?ec:2.7.7.6" TargetMode="External"/><Relationship Id="rId1225" Type="http://schemas.openxmlformats.org/officeDocument/2006/relationships/hyperlink" Target="https://www.genome.jp/dbget-bin/www_bget?enzyme+5.4.99.28" TargetMode="External"/><Relationship Id="rId1432" Type="http://schemas.openxmlformats.org/officeDocument/2006/relationships/hyperlink" Target="https://www.genome.jp/dbget-bin/www_bget?ec:2.5.1.78" TargetMode="External"/><Relationship Id="rId2830" Type="http://schemas.openxmlformats.org/officeDocument/2006/relationships/hyperlink" Target="https://www.genome.jp/dbget-bin/www_bget?ec:4.2.1.1" TargetMode="External"/><Relationship Id="rId71" Type="http://schemas.openxmlformats.org/officeDocument/2006/relationships/hyperlink" Target="https://enzyme.expasy.org/EC/3.1.3.16" TargetMode="External"/><Relationship Id="rId802" Type="http://schemas.openxmlformats.org/officeDocument/2006/relationships/hyperlink" Target="https://www.genome.jp/dbget-bin/www_bget?ec:2.7.7.7" TargetMode="External"/><Relationship Id="rId3397" Type="http://schemas.openxmlformats.org/officeDocument/2006/relationships/hyperlink" Target="https://www.genome.jp/dbget-bin/www_bget?ec:3.4.11.2" TargetMode="External"/><Relationship Id="rId178" Type="http://schemas.openxmlformats.org/officeDocument/2006/relationships/hyperlink" Target="https://enzyme.expasy.org/EC/2.7.7.12" TargetMode="External"/><Relationship Id="rId3257" Type="http://schemas.openxmlformats.org/officeDocument/2006/relationships/hyperlink" Target="https://www.genome.jp/entry/R00379/R00375/R00376/R00377/R00378/R11029" TargetMode="External"/><Relationship Id="rId3464" Type="http://schemas.openxmlformats.org/officeDocument/2006/relationships/hyperlink" Target="https://enzyme.expasy.org/EC/1.5.1.2" TargetMode="External"/><Relationship Id="rId3671" Type="http://schemas.openxmlformats.org/officeDocument/2006/relationships/hyperlink" Target="https://www.genome.jp/entry/R00939/R00936/R00937/R00940/R02235/R02236/R11765" TargetMode="External"/><Relationship Id="rId385" Type="http://schemas.openxmlformats.org/officeDocument/2006/relationships/hyperlink" Target="https://enzyme.expasy.org/EC/2.4.1.54" TargetMode="External"/><Relationship Id="rId592" Type="http://schemas.openxmlformats.org/officeDocument/2006/relationships/hyperlink" Target="https://enzyme.expasy.org/EC/2.5.1.88" TargetMode="External"/><Relationship Id="rId2066" Type="http://schemas.openxmlformats.org/officeDocument/2006/relationships/hyperlink" Target="https://www.genome.jp/entry/R00424/R00428/R04639/R05046/R05048" TargetMode="External"/><Relationship Id="rId2273" Type="http://schemas.openxmlformats.org/officeDocument/2006/relationships/hyperlink" Target="https://www.genome.jp/entry/R12188/R01286/R02408/R02953/R03528/R00782/R04941/R09366" TargetMode="External"/><Relationship Id="rId2480" Type="http://schemas.openxmlformats.org/officeDocument/2006/relationships/hyperlink" Target="https://enzyme.expasy.org/EC/2.7.7.72" TargetMode="External"/><Relationship Id="rId3117" Type="http://schemas.openxmlformats.org/officeDocument/2006/relationships/hyperlink" Target="https://www.genome.jp/entry/R00390/R01280" TargetMode="External"/><Relationship Id="rId3324" Type="http://schemas.openxmlformats.org/officeDocument/2006/relationships/hyperlink" Target="https://www.genome.jp/entry/R00006/R00226/R00014/R03050/R04672/R04673/R08648" TargetMode="External"/><Relationship Id="rId3531" Type="http://schemas.openxmlformats.org/officeDocument/2006/relationships/hyperlink" Target="https://www.genome.jp/dbget-bin/www_bget?ec:2.7.7.6" TargetMode="External"/><Relationship Id="rId245" Type="http://schemas.openxmlformats.org/officeDocument/2006/relationships/hyperlink" Target="https://enzyme.expasy.org/EC/3.1.3.-" TargetMode="External"/><Relationship Id="rId452" Type="http://schemas.openxmlformats.org/officeDocument/2006/relationships/hyperlink" Target="https://enzyme.expasy.org/EC/2.4.1.345" TargetMode="External"/><Relationship Id="rId1082" Type="http://schemas.openxmlformats.org/officeDocument/2006/relationships/hyperlink" Target="https://www.genome.jp/dbget-bin/www_bget?ec:2.4.2.2" TargetMode="External"/><Relationship Id="rId2133" Type="http://schemas.openxmlformats.org/officeDocument/2006/relationships/hyperlink" Target="https://www.genome.jp/entry/R00714" TargetMode="External"/><Relationship Id="rId2340" Type="http://schemas.openxmlformats.org/officeDocument/2006/relationships/hyperlink" Target="https://www.genome.jp/entry/R00849/R08657/R00848" TargetMode="External"/><Relationship Id="rId105" Type="http://schemas.openxmlformats.org/officeDocument/2006/relationships/hyperlink" Target="https://enzyme.expasy.org/EC/2.6.1.-" TargetMode="External"/><Relationship Id="rId312" Type="http://schemas.openxmlformats.org/officeDocument/2006/relationships/hyperlink" Target="https://enzyme.expasy.org/EC/3.6.3.-" TargetMode="External"/><Relationship Id="rId2200" Type="http://schemas.openxmlformats.org/officeDocument/2006/relationships/hyperlink" Target="https://www.genome.jp/dbget-bin/www_bget?ec:1.3.98.3" TargetMode="External"/><Relationship Id="rId1899" Type="http://schemas.openxmlformats.org/officeDocument/2006/relationships/hyperlink" Target="https://www.genome.jp/dbget-bin/www_bget?ec:2.5.1.10" TargetMode="External"/><Relationship Id="rId1759" Type="http://schemas.openxmlformats.org/officeDocument/2006/relationships/hyperlink" Target="https://www.genome.jp/entry/R00597" TargetMode="External"/><Relationship Id="rId1966" Type="http://schemas.openxmlformats.org/officeDocument/2006/relationships/hyperlink" Target="https://enzyme.expasy.org/EC/2.3.1.181" TargetMode="External"/><Relationship Id="rId3181" Type="http://schemas.openxmlformats.org/officeDocument/2006/relationships/hyperlink" Target="https://enzyme.expasy.org/EC/2.7.7.7" TargetMode="External"/><Relationship Id="rId1619" Type="http://schemas.openxmlformats.org/officeDocument/2006/relationships/hyperlink" Target="https://www.genome.jp/dbget-bin/www_bget?ec:2.2.1.7" TargetMode="External"/><Relationship Id="rId1826" Type="http://schemas.openxmlformats.org/officeDocument/2006/relationships/hyperlink" Target="https://www.genome.jp/dbget-bin/www_bget?ec:1.1.1.23" TargetMode="External"/><Relationship Id="rId3041" Type="http://schemas.openxmlformats.org/officeDocument/2006/relationships/hyperlink" Target="https://www.genome.jp/dbget-bin/www_bget?ec:3.2.1.52" TargetMode="External"/><Relationship Id="rId3858" Type="http://schemas.openxmlformats.org/officeDocument/2006/relationships/hyperlink" Target="https://enzyme.expasy.org/EC/2.7.1.11" TargetMode="External"/><Relationship Id="rId779" Type="http://schemas.openxmlformats.org/officeDocument/2006/relationships/hyperlink" Target="https://enzyme.expasy.org/EC/2.1.1.-" TargetMode="External"/><Relationship Id="rId986" Type="http://schemas.openxmlformats.org/officeDocument/2006/relationships/hyperlink" Target="https://www.genome.jp/dbget-bin/www_bget?ec:2.1.1.107" TargetMode="External"/><Relationship Id="rId2667" Type="http://schemas.openxmlformats.org/officeDocument/2006/relationships/hyperlink" Target="https://enzyme.expasy.org/EC/1.1.1.100" TargetMode="External"/><Relationship Id="rId3718" Type="http://schemas.openxmlformats.org/officeDocument/2006/relationships/hyperlink" Target="https://www.genome.jp/dbget-bin/www_bget?ec:4.2.1.17" TargetMode="External"/><Relationship Id="rId639" Type="http://schemas.openxmlformats.org/officeDocument/2006/relationships/hyperlink" Target="https://enzyme.expasy.org/EC/1.11.1.24" TargetMode="External"/><Relationship Id="rId1269" Type="http://schemas.openxmlformats.org/officeDocument/2006/relationships/hyperlink" Target="https://www.genome.jp/entry/R07460/R11528/R11529" TargetMode="External"/><Relationship Id="rId1476" Type="http://schemas.openxmlformats.org/officeDocument/2006/relationships/hyperlink" Target="https://www.genome.jp/dbget-bin/www_bget?ec:6.3.5.5" TargetMode="External"/><Relationship Id="rId2874" Type="http://schemas.openxmlformats.org/officeDocument/2006/relationships/hyperlink" Target="https://www.genome.jp/dbget-bin/www_bget?ec:2.5.1.15" TargetMode="External"/><Relationship Id="rId3925" Type="http://schemas.openxmlformats.org/officeDocument/2006/relationships/hyperlink" Target="https://www.genome.jp/dbget-bin/www_bget?ec:4.2.1.33" TargetMode="External"/><Relationship Id="rId846" Type="http://schemas.openxmlformats.org/officeDocument/2006/relationships/hyperlink" Target="https://www.genome.jp/dbget-bin/www_bget?ec:2.7.13.3" TargetMode="External"/><Relationship Id="rId1129" Type="http://schemas.openxmlformats.org/officeDocument/2006/relationships/hyperlink" Target="https://www.genome.jp/entry/R07343/R01185/R01186/R01187" TargetMode="External"/><Relationship Id="rId1683" Type="http://schemas.openxmlformats.org/officeDocument/2006/relationships/hyperlink" Target="https://www.genome.jp/entry/R02768/R04355/R04726/R04952/R04957/R04960/R04963/R04968/R07762/R10115/R10119" TargetMode="External"/><Relationship Id="rId1890" Type="http://schemas.openxmlformats.org/officeDocument/2006/relationships/hyperlink" Target="https://www.genome.jp/entry/2.4.99.28" TargetMode="External"/><Relationship Id="rId2527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34" Type="http://schemas.openxmlformats.org/officeDocument/2006/relationships/hyperlink" Target="https://www.genome.jp/entry/R01532/R00087/R00426/R00515/R00662/R11323/R00103/R00160/R00287/R03004/R03036" TargetMode="External"/><Relationship Id="rId2941" Type="http://schemas.openxmlformats.org/officeDocument/2006/relationships/hyperlink" Target="https://enzyme.expasy.org/EC/1.2.1.3" TargetMode="External"/><Relationship Id="rId706" Type="http://schemas.openxmlformats.org/officeDocument/2006/relationships/hyperlink" Target="https://enzyme.expasy.org/EC/2.7.13.3" TargetMode="External"/><Relationship Id="rId913" Type="http://schemas.openxmlformats.org/officeDocument/2006/relationships/hyperlink" Target="https://www.genome.jp/entry/R10209" TargetMode="External"/><Relationship Id="rId1336" Type="http://schemas.openxmlformats.org/officeDocument/2006/relationships/hyperlink" Target="https://www.genome.jp/entry/R00512/R01665" TargetMode="External"/><Relationship Id="rId1543" Type="http://schemas.openxmlformats.org/officeDocument/2006/relationships/hyperlink" Target="https://enzyme.expasy.org/EC/4.3.1.17" TargetMode="External"/><Relationship Id="rId1750" Type="http://schemas.openxmlformats.org/officeDocument/2006/relationships/hyperlink" Target="https://www.genome.jp/entry/R05688" TargetMode="External"/><Relationship Id="rId2801" Type="http://schemas.openxmlformats.org/officeDocument/2006/relationships/hyperlink" Target="https://www.genome.jp/entry/R04463" TargetMode="External"/><Relationship Id="rId42" Type="http://schemas.openxmlformats.org/officeDocument/2006/relationships/hyperlink" Target="https://enzyme.expasy.org/EC/3.1.11.2" TargetMode="External"/><Relationship Id="rId1403" Type="http://schemas.openxmlformats.org/officeDocument/2006/relationships/hyperlink" Target="https://www.genome.jp/entry/R00835/R02736" TargetMode="External"/><Relationship Id="rId1610" Type="http://schemas.openxmlformats.org/officeDocument/2006/relationships/hyperlink" Target="https://enzyme.expasy.org/EC/3.6.4.13" TargetMode="External"/><Relationship Id="rId3368" Type="http://schemas.openxmlformats.org/officeDocument/2006/relationships/hyperlink" Target="https://www.genome.jp/dbget-bin/www_bget?ec:1.11.1.6" TargetMode="External"/><Relationship Id="rId3575" Type="http://schemas.openxmlformats.org/officeDocument/2006/relationships/hyperlink" Target="https://enzyme.expasy.org/EC/1.6.5.2" TargetMode="External"/><Relationship Id="rId3782" Type="http://schemas.openxmlformats.org/officeDocument/2006/relationships/hyperlink" Target="https://www.genome.jp/entry/R00658/R04206" TargetMode="External"/><Relationship Id="rId289" Type="http://schemas.openxmlformats.org/officeDocument/2006/relationships/hyperlink" Target="https://enzyme.expasy.org/EC/3.5.3.8" TargetMode="External"/><Relationship Id="rId496" Type="http://schemas.openxmlformats.org/officeDocument/2006/relationships/hyperlink" Target="https://enzyme.expasy.org/EC/1.1.5.4" TargetMode="External"/><Relationship Id="rId2177" Type="http://schemas.openxmlformats.org/officeDocument/2006/relationships/hyperlink" Target="https://www.genome.jp/dbget-bin/www_bget?ec:2.3.1.8" TargetMode="External"/><Relationship Id="rId2384" Type="http://schemas.openxmlformats.org/officeDocument/2006/relationships/hyperlink" Target="https://www.genome.jp/entry/R04120/R07606" TargetMode="External"/><Relationship Id="rId2591" Type="http://schemas.openxmlformats.org/officeDocument/2006/relationships/hyperlink" Target="https://www.genome.jp/entry/R03260/R00999/R01288/R02508/R03217/R04944/R04945/R04946" TargetMode="External"/><Relationship Id="rId3228" Type="http://schemas.openxmlformats.org/officeDocument/2006/relationships/hyperlink" Target="https://www.genome.jp/entry/R00379/R00375/R00376/R00377/R00378/R11029" TargetMode="External"/><Relationship Id="rId3435" Type="http://schemas.openxmlformats.org/officeDocument/2006/relationships/hyperlink" Target="https://enzyme.expasy.org/EC/1.8.1.4" TargetMode="External"/><Relationship Id="rId3642" Type="http://schemas.openxmlformats.org/officeDocument/2006/relationships/hyperlink" Target="https://enzyme.expasy.org/EC/3.1.3.25" TargetMode="External"/><Relationship Id="rId149" Type="http://schemas.openxmlformats.org/officeDocument/2006/relationships/hyperlink" Target="https://enzyme.expasy.org/EC/2.7.13.3" TargetMode="External"/><Relationship Id="rId356" Type="http://schemas.openxmlformats.org/officeDocument/2006/relationships/hyperlink" Target="https://enzyme.expasy.org/EC/2.1.3.3" TargetMode="External"/><Relationship Id="rId563" Type="http://schemas.openxmlformats.org/officeDocument/2006/relationships/hyperlink" Target="https://enzyme.expasy.org/EC/2.8.1.8" TargetMode="External"/><Relationship Id="rId770" Type="http://schemas.openxmlformats.org/officeDocument/2006/relationships/hyperlink" Target="https://enzyme.expasy.org/EC/3.5.99.6" TargetMode="External"/><Relationship Id="rId1193" Type="http://schemas.openxmlformats.org/officeDocument/2006/relationships/hyperlink" Target="https://www.genome.jp/dbget-bin/www_bget?ec:4.2.1.11" TargetMode="External"/><Relationship Id="rId2037" Type="http://schemas.openxmlformats.org/officeDocument/2006/relationships/hyperlink" Target="https://www.genome.jp/dbget-bin/www_bget?ec:1.1.1.1" TargetMode="External"/><Relationship Id="rId2244" Type="http://schemas.openxmlformats.org/officeDocument/2006/relationships/hyperlink" Target="https://www.genome.jp/dbget-bin/www_bget?ec:3.1.1.1" TargetMode="External"/><Relationship Id="rId2451" Type="http://schemas.openxmlformats.org/officeDocument/2006/relationships/hyperlink" Target="https://www.genome.jp/entry/R00714" TargetMode="External"/><Relationship Id="rId216" Type="http://schemas.openxmlformats.org/officeDocument/2006/relationships/hyperlink" Target="https://enzyme.expasy.org/EC/3.6.3.-" TargetMode="External"/><Relationship Id="rId423" Type="http://schemas.openxmlformats.org/officeDocument/2006/relationships/hyperlink" Target="https://enzyme.expasy.org/EC/2.7.7.6" TargetMode="External"/><Relationship Id="rId1053" Type="http://schemas.openxmlformats.org/officeDocument/2006/relationships/hyperlink" Target="https://www.genome.jp/entry/R00267/R00268/R01899" TargetMode="External"/><Relationship Id="rId1260" Type="http://schemas.openxmlformats.org/officeDocument/2006/relationships/hyperlink" Target="https://www.genome.jp/entry/R00390/R01280" TargetMode="External"/><Relationship Id="rId2104" Type="http://schemas.openxmlformats.org/officeDocument/2006/relationships/hyperlink" Target="https://enzyme.expasy.org/EC/3.1.3.5" TargetMode="External"/><Relationship Id="rId3502" Type="http://schemas.openxmlformats.org/officeDocument/2006/relationships/hyperlink" Target="https://www.genome.jp/entry/R00444/R00435/R00441/R00442/R00443/R10813" TargetMode="External"/><Relationship Id="rId630" Type="http://schemas.openxmlformats.org/officeDocument/2006/relationships/hyperlink" Target="https://enzyme.expasy.org/EC/1.-.-.-" TargetMode="External"/><Relationship Id="rId2311" Type="http://schemas.openxmlformats.org/officeDocument/2006/relationships/hyperlink" Target="https://www.genome.jp/dbget-bin/www_bget?ec:2.1.1.72" TargetMode="External"/><Relationship Id="rId1120" Type="http://schemas.openxmlformats.org/officeDocument/2006/relationships/hyperlink" Target="https://www.genome.jp/dbget-bin/www_bget?ec:3.6.4.12" TargetMode="External"/><Relationship Id="rId1937" Type="http://schemas.openxmlformats.org/officeDocument/2006/relationships/hyperlink" Target="https://www.genome.jp/entry/R01090/R01214/R02199/R10991" TargetMode="External"/><Relationship Id="rId3085" Type="http://schemas.openxmlformats.org/officeDocument/2006/relationships/hyperlink" Target="https://enzyme.expasy.org/EC/3.1.1.1" TargetMode="External"/><Relationship Id="rId3292" Type="http://schemas.openxmlformats.org/officeDocument/2006/relationships/hyperlink" Target="https://enzyme.expasy.org/EC/2.7.7.7" TargetMode="External"/><Relationship Id="rId3152" Type="http://schemas.openxmlformats.org/officeDocument/2006/relationships/hyperlink" Target="https://www.genome.jp/dbget-bin/www_bget?ec:2.7.7.7" TargetMode="External"/><Relationship Id="rId280" Type="http://schemas.openxmlformats.org/officeDocument/2006/relationships/hyperlink" Target="https://enzyme.expasy.org/EC/5.4.99.28" TargetMode="External"/><Relationship Id="rId3012" Type="http://schemas.openxmlformats.org/officeDocument/2006/relationships/hyperlink" Target="https://www.genome.jp/entry/R00022/R03492/R04184/R04586/R05963/R06001/R06004/R06141/R07809/R07810/R09323/R10831/R11316/R11317/R12963" TargetMode="External"/><Relationship Id="rId140" Type="http://schemas.openxmlformats.org/officeDocument/2006/relationships/hyperlink" Target="https://enzyme.expasy.org/EC/6.1.-.-" TargetMode="External"/><Relationship Id="rId3969" Type="http://schemas.openxmlformats.org/officeDocument/2006/relationships/hyperlink" Target="https://www.genome.jp/entry/R00630/R06728/R08255/R08258/R08220/R08249/R08251/R08295/R08300" TargetMode="External"/><Relationship Id="rId6" Type="http://schemas.openxmlformats.org/officeDocument/2006/relationships/hyperlink" Target="https://enzyme.expasy.org/EC/4.1.2.4" TargetMode="External"/><Relationship Id="rId2778" Type="http://schemas.openxmlformats.org/officeDocument/2006/relationships/hyperlink" Target="https://enzyme.expasy.org/EC/2.6.1.21" TargetMode="External"/><Relationship Id="rId2985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829" Type="http://schemas.openxmlformats.org/officeDocument/2006/relationships/hyperlink" Target="https://www.genome.jp/dbget-bin/www_bget?ec:3.6.1.65" TargetMode="External"/><Relationship Id="rId957" Type="http://schemas.openxmlformats.org/officeDocument/2006/relationships/hyperlink" Target="https://www.genome.jp/dbget-bin/www_bget?ec:1.3.5.4" TargetMode="External"/><Relationship Id="rId1587" Type="http://schemas.openxmlformats.org/officeDocument/2006/relationships/hyperlink" Target="https://www.genome.jp/entry/5.6.2.7" TargetMode="External"/><Relationship Id="rId1794" Type="http://schemas.openxmlformats.org/officeDocument/2006/relationships/hyperlink" Target="https://enzyme.expasy.org/EC/2.7.1.40" TargetMode="External"/><Relationship Id="rId2638" Type="http://schemas.openxmlformats.org/officeDocument/2006/relationships/hyperlink" Target="https://enzyme.expasy.org/EC/1.1.1.100" TargetMode="External"/><Relationship Id="rId2845" Type="http://schemas.openxmlformats.org/officeDocument/2006/relationships/hyperlink" Target="https://www.genome.jp/entry/R02065/R04218/R10177/R07270/R07916" TargetMode="External"/><Relationship Id="rId86" Type="http://schemas.openxmlformats.org/officeDocument/2006/relationships/hyperlink" Target="https://enzyme.expasy.org/EC/1.2.1.8" TargetMode="External"/><Relationship Id="rId817" Type="http://schemas.openxmlformats.org/officeDocument/2006/relationships/hyperlink" Target="https://www.genome.jp/entry/R00379/R00375/R00376/R00377/R00378/R11029" TargetMode="External"/><Relationship Id="rId1447" Type="http://schemas.openxmlformats.org/officeDocument/2006/relationships/hyperlink" Target="https://www.genome.jp/entry/R00177/R04771" TargetMode="External"/><Relationship Id="rId1654" Type="http://schemas.openxmlformats.org/officeDocument/2006/relationships/hyperlink" Target="https://www.genome.jp/dbget-bin/www_bget?ec:2.7.1.2" TargetMode="External"/><Relationship Id="rId1861" Type="http://schemas.openxmlformats.org/officeDocument/2006/relationships/hyperlink" Target="https://www.genome.jp/dbget-bin/www_bget?ec:2.4.1.227" TargetMode="External"/><Relationship Id="rId2705" Type="http://schemas.openxmlformats.org/officeDocument/2006/relationships/hyperlink" Target="https://www.genome.jp/entry/R00135" TargetMode="External"/><Relationship Id="rId2912" Type="http://schemas.openxmlformats.org/officeDocument/2006/relationships/hyperlink" Target="https://www.genome.jp/entry/R01068/R01070/R01829/R02568" TargetMode="External"/><Relationship Id="rId1307" Type="http://schemas.openxmlformats.org/officeDocument/2006/relationships/hyperlink" Target="https://www.genome.jp/entry/R03660" TargetMode="External"/><Relationship Id="rId1514" Type="http://schemas.openxmlformats.org/officeDocument/2006/relationships/hyperlink" Target="https://www.genome.jp/dbget-bin/www_bget?ec:1.14.14.3" TargetMode="External"/><Relationship Id="rId1721" Type="http://schemas.openxmlformats.org/officeDocument/2006/relationships/hyperlink" Target="https://www.genome.jp/entry/R07282/R00437/R00438/R00439/R00440" TargetMode="External"/><Relationship Id="rId13" Type="http://schemas.openxmlformats.org/officeDocument/2006/relationships/hyperlink" Target="https://enzyme.expasy.org/EC/7.6.2.9" TargetMode="External"/><Relationship Id="rId3479" Type="http://schemas.openxmlformats.org/officeDocument/2006/relationships/hyperlink" Target="https://enzyme.expasy.org/EC/2.1.1.107" TargetMode="External"/><Relationship Id="rId3686" Type="http://schemas.openxmlformats.org/officeDocument/2006/relationships/hyperlink" Target="https://www.genome.jp/entry/R00939/R00936/R00937/R00940/R02235/R02236/R11765" TargetMode="External"/><Relationship Id="rId2288" Type="http://schemas.openxmlformats.org/officeDocument/2006/relationships/hyperlink" Target="https://enzyme.expasy.org/EC/1.14.13.107" TargetMode="External"/><Relationship Id="rId2495" Type="http://schemas.openxmlformats.org/officeDocument/2006/relationships/hyperlink" Target="https://enzyme.expasy.org/EC/1.8.1.9" TargetMode="External"/><Relationship Id="rId3339" Type="http://schemas.openxmlformats.org/officeDocument/2006/relationships/hyperlink" Target="https://www.genome.jp/entry/R00006/R00226/R00014/R03050/R04672/R04673/R08648" TargetMode="External"/><Relationship Id="rId3893" Type="http://schemas.openxmlformats.org/officeDocument/2006/relationships/hyperlink" Target="https://www.genome.jp/entry/R04439/R03051/R04440/R05068/R05069/R05071" TargetMode="External"/><Relationship Id="rId467" Type="http://schemas.openxmlformats.org/officeDocument/2006/relationships/hyperlink" Target="https://enzyme.expasy.org/EC/3.1.-.-" TargetMode="External"/><Relationship Id="rId1097" Type="http://schemas.openxmlformats.org/officeDocument/2006/relationships/hyperlink" Target="https://www.genome.jp/dbget-bin/www_bget?ec:6.3.4.18" TargetMode="External"/><Relationship Id="rId2148" Type="http://schemas.openxmlformats.org/officeDocument/2006/relationships/hyperlink" Target="https://enzyme.expasy.org/EC/2.3.1.9" TargetMode="External"/><Relationship Id="rId3546" Type="http://schemas.openxmlformats.org/officeDocument/2006/relationships/hyperlink" Target="https://www.genome.jp/dbget-bin/www_bget?ec:2.7.7.6" TargetMode="External"/><Relationship Id="rId3753" Type="http://schemas.openxmlformats.org/officeDocument/2006/relationships/hyperlink" Target="https://enzyme.expasy.org/EC/4.2.1.17" TargetMode="External"/><Relationship Id="rId3960" Type="http://schemas.openxmlformats.org/officeDocument/2006/relationships/hyperlink" Target="https://www.genome.jp/entry/R00630/R06728/R08255/R08258/R08220/R08249/R08251/R08295/R08300" TargetMode="External"/><Relationship Id="rId674" Type="http://schemas.openxmlformats.org/officeDocument/2006/relationships/hyperlink" Target="https://enzyme.expasy.org/EC/6.3.5.3" TargetMode="External"/><Relationship Id="rId881" Type="http://schemas.openxmlformats.org/officeDocument/2006/relationships/hyperlink" Target="https://www.genome.jp/entry/R02274" TargetMode="External"/><Relationship Id="rId2355" Type="http://schemas.openxmlformats.org/officeDocument/2006/relationships/hyperlink" Target="https://www.genome.jp/dbget-bin/www_bget?ec:3.1.3.73" TargetMode="External"/><Relationship Id="rId2562" Type="http://schemas.openxmlformats.org/officeDocument/2006/relationships/hyperlink" Target="https://www.genome.jp/dbget-bin/www_bget?ec:2.1.2.11" TargetMode="External"/><Relationship Id="rId3406" Type="http://schemas.openxmlformats.org/officeDocument/2006/relationships/hyperlink" Target="https://www.genome.jp/dbget-bin/www_bget?ec:2.3.1.122" TargetMode="External"/><Relationship Id="rId3613" Type="http://schemas.openxmlformats.org/officeDocument/2006/relationships/hyperlink" Target="https://www.genome.jp/entry/R02108/R02112/R06209/R11262" TargetMode="External"/><Relationship Id="rId3820" Type="http://schemas.openxmlformats.org/officeDocument/2006/relationships/hyperlink" Target="https://www.genome.jp/dbget-bin/www_bget?ec:3.2.1.26" TargetMode="External"/><Relationship Id="rId327" Type="http://schemas.openxmlformats.org/officeDocument/2006/relationships/hyperlink" Target="https://enzyme.expasy.org/EC/2.2.1.6" TargetMode="External"/><Relationship Id="rId534" Type="http://schemas.openxmlformats.org/officeDocument/2006/relationships/hyperlink" Target="https://enzyme.expasy.org/EC/6.1.1.5" TargetMode="External"/><Relationship Id="rId741" Type="http://schemas.openxmlformats.org/officeDocument/2006/relationships/hyperlink" Target="https://enzyme.expasy.org/EC/5.5.1.4" TargetMode="External"/><Relationship Id="rId1164" Type="http://schemas.openxmlformats.org/officeDocument/2006/relationships/hyperlink" Target="https://www.genome.jp/dbget-bin/www_bget?ec:2.4.1.109" TargetMode="External"/><Relationship Id="rId1371" Type="http://schemas.openxmlformats.org/officeDocument/2006/relationships/hyperlink" Target="https://enzyme.expasy.org/EC/3.6.3.-" TargetMode="External"/><Relationship Id="rId2008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215" Type="http://schemas.openxmlformats.org/officeDocument/2006/relationships/hyperlink" Target="https://www.genome.jp/entry/R00630/R06728/R08255/R08258/R08220/R08249/R08251/R08295/R08300" TargetMode="External"/><Relationship Id="rId2422" Type="http://schemas.openxmlformats.org/officeDocument/2006/relationships/hyperlink" Target="https://enzyme.expasy.org/EC/1.17.4.1" TargetMode="External"/><Relationship Id="rId601" Type="http://schemas.openxmlformats.org/officeDocument/2006/relationships/hyperlink" Target="https://enzyme.expasy.org/EC/3.6.3.-" TargetMode="External"/><Relationship Id="rId1024" Type="http://schemas.openxmlformats.org/officeDocument/2006/relationships/hyperlink" Target="https://www.genome.jp/entry/R00444/R00435/R00441/R00442/R00443/R10813" TargetMode="External"/><Relationship Id="rId1231" Type="http://schemas.openxmlformats.org/officeDocument/2006/relationships/hyperlink" Target="https://www.genome.jp/dbget-bin/www_bget?ec:3.2.1.26" TargetMode="External"/><Relationship Id="rId3196" Type="http://schemas.openxmlformats.org/officeDocument/2006/relationships/hyperlink" Target="https://enzyme.expasy.org/EC/2.7.7.7" TargetMode="External"/><Relationship Id="rId3056" Type="http://schemas.openxmlformats.org/officeDocument/2006/relationships/hyperlink" Target="https://enzyme.expasy.org/EC/2.4.1.11" TargetMode="External"/><Relationship Id="rId3263" Type="http://schemas.openxmlformats.org/officeDocument/2006/relationships/hyperlink" Target="https://www.genome.jp/entry/R00379/R00375/R00376/R00377/R00378/R11029" TargetMode="External"/><Relationship Id="rId3470" Type="http://schemas.openxmlformats.org/officeDocument/2006/relationships/hyperlink" Target="https://enzyme.expasy.org/EC/2.1.1.107" TargetMode="External"/><Relationship Id="rId184" Type="http://schemas.openxmlformats.org/officeDocument/2006/relationships/hyperlink" Target="https://enzyme.expasy.org/EC/2.7.1.12" TargetMode="External"/><Relationship Id="rId391" Type="http://schemas.openxmlformats.org/officeDocument/2006/relationships/hyperlink" Target="https://enzyme.expasy.org/EC/2.1.1.220" TargetMode="External"/><Relationship Id="rId1908" Type="http://schemas.openxmlformats.org/officeDocument/2006/relationships/hyperlink" Target="https://enzyme.expasy.org/EC/7.1.1.9" TargetMode="External"/><Relationship Id="rId2072" Type="http://schemas.openxmlformats.org/officeDocument/2006/relationships/hyperlink" Target="https://www.genome.jp/entry/R00424/R00428/R04639/R05046/R05048" TargetMode="External"/><Relationship Id="rId3123" Type="http://schemas.openxmlformats.org/officeDocument/2006/relationships/hyperlink" Target="https://www.genome.jp/entry/R00390/R01280" TargetMode="External"/><Relationship Id="rId251" Type="http://schemas.openxmlformats.org/officeDocument/2006/relationships/hyperlink" Target="https://enzyme.expasy.org/EC/2.7.13.3" TargetMode="External"/><Relationship Id="rId3330" Type="http://schemas.openxmlformats.org/officeDocument/2006/relationships/hyperlink" Target="https://www.genome.jp/entry/R00006/R00226/R00014/R03050/R04672/R04673/R08648" TargetMode="External"/><Relationship Id="rId2889" Type="http://schemas.openxmlformats.org/officeDocument/2006/relationships/hyperlink" Target="https://www.genome.jp/entry/R01132/R01229/R02142/R08237/R08238/R08245" TargetMode="External"/><Relationship Id="rId111" Type="http://schemas.openxmlformats.org/officeDocument/2006/relationships/hyperlink" Target="https://enzyme.expasy.org/EC/2.4.2.29" TargetMode="External"/><Relationship Id="rId1698" Type="http://schemas.openxmlformats.org/officeDocument/2006/relationships/hyperlink" Target="https://www.genome.jp/entry/R02768/R04355/R04726/R04952/R04957/R04960/R04963/R04968/R07762/R10115/R10119" TargetMode="External"/><Relationship Id="rId2749" Type="http://schemas.openxmlformats.org/officeDocument/2006/relationships/hyperlink" Target="https://www.genome.jp/entry/R01532/R00087/R00426/R00515/R00662/R11323/R00103/R00160/R00287/R03004/R03036" TargetMode="External"/><Relationship Id="rId2956" Type="http://schemas.openxmlformats.org/officeDocument/2006/relationships/hyperlink" Target="https://enzyme.expasy.org/EC/1.2.1.3" TargetMode="External"/><Relationship Id="rId928" Type="http://schemas.openxmlformats.org/officeDocument/2006/relationships/hyperlink" Target="https://www.genome.jp/entry/R00390/R01280" TargetMode="External"/><Relationship Id="rId1558" Type="http://schemas.openxmlformats.org/officeDocument/2006/relationships/hyperlink" Target="https://www.genome.jp/dbget-bin/www_bget?ec:2.4.1.345" TargetMode="External"/><Relationship Id="rId1765" Type="http://schemas.openxmlformats.org/officeDocument/2006/relationships/hyperlink" Target="https://enzyme.expasy.org/EC/3.6.1.7" TargetMode="External"/><Relationship Id="rId2609" Type="http://schemas.openxmlformats.org/officeDocument/2006/relationships/hyperlink" Target="https://enzyme.expasy.org/EC/5.3.1.6" TargetMode="External"/><Relationship Id="rId57" Type="http://schemas.openxmlformats.org/officeDocument/2006/relationships/hyperlink" Target="https://enzyme.expasy.org/EC/2.7.7.7" TargetMode="External"/><Relationship Id="rId1418" Type="http://schemas.openxmlformats.org/officeDocument/2006/relationships/hyperlink" Target="https://enzyme.expasy.org/EC/5.1.3.2" TargetMode="External"/><Relationship Id="rId1972" Type="http://schemas.openxmlformats.org/officeDocument/2006/relationships/hyperlink" Target="https://www.genome.jp/dbget-bin/www_bget?2.8.1.8" TargetMode="External"/><Relationship Id="rId2816" Type="http://schemas.openxmlformats.org/officeDocument/2006/relationships/hyperlink" Target="https://www.genome.jp/entry/R04144" TargetMode="External"/><Relationship Id="rId1625" Type="http://schemas.openxmlformats.org/officeDocument/2006/relationships/hyperlink" Target="https://www.genome.jp/entry/R02100/R11896" TargetMode="External"/><Relationship Id="rId1832" Type="http://schemas.openxmlformats.org/officeDocument/2006/relationships/hyperlink" Target="https://enzyme.expasy.org/EC/4.3.1.19" TargetMode="External"/><Relationship Id="rId3797" Type="http://schemas.openxmlformats.org/officeDocument/2006/relationships/hyperlink" Target="https://www.genome.jp/entry/R00762/R04780/R01845" TargetMode="External"/><Relationship Id="rId2399" Type="http://schemas.openxmlformats.org/officeDocument/2006/relationships/hyperlink" Target="https://enzyme.expasy.org/EC/1.17.4.1" TargetMode="External"/><Relationship Id="rId3657" Type="http://schemas.openxmlformats.org/officeDocument/2006/relationships/hyperlink" Target="https://enzyme.expasy.org/EC/3.1.3.25" TargetMode="External"/><Relationship Id="rId3864" Type="http://schemas.openxmlformats.org/officeDocument/2006/relationships/hyperlink" Target="https://enzyme.expasy.org/EC/2.7.1.11" TargetMode="External"/><Relationship Id="rId578" Type="http://schemas.openxmlformats.org/officeDocument/2006/relationships/hyperlink" Target="https://enzyme.expasy.org/EC/3.1.-.-" TargetMode="External"/><Relationship Id="rId785" Type="http://schemas.openxmlformats.org/officeDocument/2006/relationships/hyperlink" Target="https://enzyme.expasy.org/EC/2.6.1.2" TargetMode="External"/><Relationship Id="rId992" Type="http://schemas.openxmlformats.org/officeDocument/2006/relationships/hyperlink" Target="https://www.genome.jp/dbget-bin/www_bget?ec:4.1.1.37" TargetMode="External"/><Relationship Id="rId2259" Type="http://schemas.openxmlformats.org/officeDocument/2006/relationships/hyperlink" Target="https://enzyme.expasy.org/EC/4.4.1.8" TargetMode="External"/><Relationship Id="rId2466" Type="http://schemas.openxmlformats.org/officeDocument/2006/relationships/hyperlink" Target="https://enzyme.expasy.org/EC/4.2.1.20" TargetMode="External"/><Relationship Id="rId2673" Type="http://schemas.openxmlformats.org/officeDocument/2006/relationships/hyperlink" Target="https://enzyme.expasy.org/EC/1.1.1.100" TargetMode="External"/><Relationship Id="rId2880" Type="http://schemas.openxmlformats.org/officeDocument/2006/relationships/hyperlink" Target="https://www.genome.jp/entry/R01132/R01229/R02142/R08237/R08238/R08245" TargetMode="External"/><Relationship Id="rId3517" Type="http://schemas.openxmlformats.org/officeDocument/2006/relationships/hyperlink" Target="https://www.genome.jp/entry/R00444/R00435/R00441/R00442/R00443/R10813" TargetMode="External"/><Relationship Id="rId3724" Type="http://schemas.openxmlformats.org/officeDocument/2006/relationships/hyperlink" Target="https://www.genome.jp/dbget-bin/www_bget?ec:4.2.1.17" TargetMode="External"/><Relationship Id="rId3931" Type="http://schemas.openxmlformats.org/officeDocument/2006/relationships/hyperlink" Target="https://enzyme.expasy.org/EC/1.4.99.5" TargetMode="External"/><Relationship Id="rId438" Type="http://schemas.openxmlformats.org/officeDocument/2006/relationships/hyperlink" Target="https://enzyme.expasy.org/EC/1.14.14.3" TargetMode="External"/><Relationship Id="rId645" Type="http://schemas.openxmlformats.org/officeDocument/2006/relationships/hyperlink" Target="https://enzyme.expasy.org/EC/2.3.1.54" TargetMode="External"/><Relationship Id="rId852" Type="http://schemas.openxmlformats.org/officeDocument/2006/relationships/hyperlink" Target="https://www.genome.jp/dbget-bin/www_bget?ec:2.7.13.3" TargetMode="External"/><Relationship Id="rId1068" Type="http://schemas.openxmlformats.org/officeDocument/2006/relationships/hyperlink" Target="https://www.genome.jp/dbget-bin/www_bget?ec:2.4.2.9" TargetMode="External"/><Relationship Id="rId1275" Type="http://schemas.openxmlformats.org/officeDocument/2006/relationships/hyperlink" Target="https://www.genome.jp/entry/R04779/R00756/R00767/R00769/R00770/R01843/R03236/R03237/R03238/R03239" TargetMode="External"/><Relationship Id="rId1482" Type="http://schemas.openxmlformats.org/officeDocument/2006/relationships/hyperlink" Target="https://www.genome.jp/entry/R00256/R00575/R01395/R10948/R10949/R07641" TargetMode="External"/><Relationship Id="rId2119" Type="http://schemas.openxmlformats.org/officeDocument/2006/relationships/hyperlink" Target="https://enzyme.expasy.org/EC/3.1.3.5" TargetMode="External"/><Relationship Id="rId2326" Type="http://schemas.openxmlformats.org/officeDocument/2006/relationships/hyperlink" Target="https://www.genome.jp/dbget-bin/www_bget?ec:1.1.1.79" TargetMode="External"/><Relationship Id="rId2533" Type="http://schemas.openxmlformats.org/officeDocument/2006/relationships/hyperlink" Target="https://www.genome.jp/entry/R00331/R00124/R00139/R00156/R00330/R00570/R00722/R01137/R01857/R02093/R02326/R02331/R03530/R12853/R11894/R11895" TargetMode="External"/><Relationship Id="rId2740" Type="http://schemas.openxmlformats.org/officeDocument/2006/relationships/hyperlink" Target="https://www.genome.jp/entry/R01532/R00087/R00426/R00515/R00662/R11323/R00103/R00160/R00287/R03004/R03036" TargetMode="External"/><Relationship Id="rId505" Type="http://schemas.openxmlformats.org/officeDocument/2006/relationships/hyperlink" Target="https://enzyme.expasy.org/EC/3.1.26.4" TargetMode="External"/><Relationship Id="rId712" Type="http://schemas.openxmlformats.org/officeDocument/2006/relationships/hyperlink" Target="https://enzyme.expasy.org/EC/3.5.1.88" TargetMode="External"/><Relationship Id="rId1135" Type="http://schemas.openxmlformats.org/officeDocument/2006/relationships/hyperlink" Target="https://www.genome.jp/entry/R04173/R05085" TargetMode="External"/><Relationship Id="rId1342" Type="http://schemas.openxmlformats.org/officeDocument/2006/relationships/hyperlink" Target="https://www.genome.jp/dbget-bin/www_bget?enzyme+2.7.1.49" TargetMode="External"/><Relationship Id="rId1202" Type="http://schemas.openxmlformats.org/officeDocument/2006/relationships/hyperlink" Target="https://www.genome.jp/entry/R03018/R02971/R04391" TargetMode="External"/><Relationship Id="rId2600" Type="http://schemas.openxmlformats.org/officeDocument/2006/relationships/hyperlink" Target="https://www.genome.jp/entry/R03260/R00999/R01288/R02508/R03217/R04944/R04945/R04946" TargetMode="External"/><Relationship Id="rId3167" Type="http://schemas.openxmlformats.org/officeDocument/2006/relationships/hyperlink" Target="https://www.genome.jp/dbget-bin/www_bget?ec:2.7.7.7" TargetMode="External"/><Relationship Id="rId295" Type="http://schemas.openxmlformats.org/officeDocument/2006/relationships/hyperlink" Target="https://enzyme.expasy.org/EC/3.4.14.-" TargetMode="External"/><Relationship Id="rId3374" Type="http://schemas.openxmlformats.org/officeDocument/2006/relationships/hyperlink" Target="https://www.genome.jp/entry/R02822/R05842/R07108/R07109/R07110/R07111" TargetMode="External"/><Relationship Id="rId3581" Type="http://schemas.openxmlformats.org/officeDocument/2006/relationships/hyperlink" Target="https://enzyme.expasy.org/EC/1.6.5.2" TargetMode="External"/><Relationship Id="rId2183" Type="http://schemas.openxmlformats.org/officeDocument/2006/relationships/hyperlink" Target="https://www.genome.jp/entry/R01195/R10159" TargetMode="External"/><Relationship Id="rId2390" Type="http://schemas.openxmlformats.org/officeDocument/2006/relationships/hyperlink" Target="https://enzyme.expasy.org/EC/1.17.4.1" TargetMode="External"/><Relationship Id="rId3027" Type="http://schemas.openxmlformats.org/officeDocument/2006/relationships/hyperlink" Target="https://www.genome.jp/entry/R00022/R03492/R04184/R04586/R05963/R06001/R06004/R06141/R07809/R07810/R09323/R10831/R11316/R11317/R12963" TargetMode="External"/><Relationship Id="rId3234" Type="http://schemas.openxmlformats.org/officeDocument/2006/relationships/hyperlink" Target="https://www.genome.jp/entry/R00379/R00375/R00376/R00377/R00378/R11029" TargetMode="External"/><Relationship Id="rId3441" Type="http://schemas.openxmlformats.org/officeDocument/2006/relationships/hyperlink" Target="https://enzyme.expasy.org/EC/1.3.5.1" TargetMode="External"/><Relationship Id="rId155" Type="http://schemas.openxmlformats.org/officeDocument/2006/relationships/hyperlink" Target="https://enzyme.expasy.org/EC/2.1.1.107" TargetMode="External"/><Relationship Id="rId362" Type="http://schemas.openxmlformats.org/officeDocument/2006/relationships/hyperlink" Target="https://enzyme.expasy.org/EC/2.5.1.3" TargetMode="External"/><Relationship Id="rId2043" Type="http://schemas.openxmlformats.org/officeDocument/2006/relationships/hyperlink" Target="https://www.genome.jp/dbget-bin/www_bget?ec:1.1.1.1" TargetMode="External"/><Relationship Id="rId2250" Type="http://schemas.openxmlformats.org/officeDocument/2006/relationships/hyperlink" Target="https://www.genome.jp/dbget-bin/www_bget?ec:3.1.1.1" TargetMode="External"/><Relationship Id="rId3301" Type="http://schemas.openxmlformats.org/officeDocument/2006/relationships/hyperlink" Target="https://enzyme.expasy.org/EC/1.2.1.8" TargetMode="External"/><Relationship Id="rId222" Type="http://schemas.openxmlformats.org/officeDocument/2006/relationships/hyperlink" Target="https://enzyme.expasy.org/EC/3.2.2.-" TargetMode="External"/><Relationship Id="rId2110" Type="http://schemas.openxmlformats.org/officeDocument/2006/relationships/hyperlink" Target="https://enzyme.expasy.org/EC/3.1.3.5" TargetMode="External"/><Relationship Id="rId1669" Type="http://schemas.openxmlformats.org/officeDocument/2006/relationships/hyperlink" Target="https://www.genome.jp/dbget-bin/www_bget?ec:3.5.99.6" TargetMode="External"/><Relationship Id="rId1876" Type="http://schemas.openxmlformats.org/officeDocument/2006/relationships/hyperlink" Target="https://www.genome.jp/entry/R05629/R05630" TargetMode="External"/><Relationship Id="rId2927" Type="http://schemas.openxmlformats.org/officeDocument/2006/relationships/hyperlink" Target="https://www.genome.jp/entry/R03105/R12689/R12690" TargetMode="External"/><Relationship Id="rId3091" Type="http://schemas.openxmlformats.org/officeDocument/2006/relationships/hyperlink" Target="https://enzyme.expasy.org/EC/3.1.1.1" TargetMode="External"/><Relationship Id="rId1529" Type="http://schemas.openxmlformats.org/officeDocument/2006/relationships/hyperlink" Target="https://enzyme.expasy.org/EC/4.3.1.17" TargetMode="External"/><Relationship Id="rId1736" Type="http://schemas.openxmlformats.org/officeDocument/2006/relationships/hyperlink" Target="https://www.genome.jp/entry/R00361/R00360/R01257" TargetMode="External"/><Relationship Id="rId1943" Type="http://schemas.openxmlformats.org/officeDocument/2006/relationships/hyperlink" Target="https://www.genome.jp/entry/R01090/R01214/R02199/R10991" TargetMode="External"/><Relationship Id="rId28" Type="http://schemas.openxmlformats.org/officeDocument/2006/relationships/hyperlink" Target="https://enzyme.expasy.org/EC/1.-.-.-" TargetMode="External"/><Relationship Id="rId1803" Type="http://schemas.openxmlformats.org/officeDocument/2006/relationships/hyperlink" Target="https://enzyme.expasy.org/EC/2.7.1.40" TargetMode="External"/><Relationship Id="rId3768" Type="http://schemas.openxmlformats.org/officeDocument/2006/relationships/hyperlink" Target="https://enzyme.expasy.org/EC/4.2.1.17" TargetMode="External"/><Relationship Id="rId689" Type="http://schemas.openxmlformats.org/officeDocument/2006/relationships/hyperlink" Target="https://enzyme.expasy.org/EC/3.2.2.-" TargetMode="External"/><Relationship Id="rId896" Type="http://schemas.openxmlformats.org/officeDocument/2006/relationships/hyperlink" Target="https://www.genome.jp/dbget-bin/www_bget?ec:2.8.1.12" TargetMode="External"/><Relationship Id="rId2577" Type="http://schemas.openxmlformats.org/officeDocument/2006/relationships/hyperlink" Target="https://enzyme.expasy.org/EC/1.1.1.37" TargetMode="External"/><Relationship Id="rId2784" Type="http://schemas.openxmlformats.org/officeDocument/2006/relationships/hyperlink" Target="https://enzyme.expasy.org/EC/2.6.1.21" TargetMode="External"/><Relationship Id="rId3628" Type="http://schemas.openxmlformats.org/officeDocument/2006/relationships/hyperlink" Target="https://www.genome.jp/entry/R01051/R02750" TargetMode="External"/><Relationship Id="rId549" Type="http://schemas.openxmlformats.org/officeDocument/2006/relationships/hyperlink" Target="https://enzyme.expasy.org/EC/3.4.-.-" TargetMode="External"/><Relationship Id="rId756" Type="http://schemas.openxmlformats.org/officeDocument/2006/relationships/hyperlink" Target="https://enzyme.expasy.org/EC/2.7.1.30" TargetMode="External"/><Relationship Id="rId1179" Type="http://schemas.openxmlformats.org/officeDocument/2006/relationships/hyperlink" Target="https://www.genome.jp/entry/R04238" TargetMode="External"/><Relationship Id="rId1386" Type="http://schemas.openxmlformats.org/officeDocument/2006/relationships/hyperlink" Target="https://enzyme.expasy.org/EC/2.2.1.1" TargetMode="External"/><Relationship Id="rId1593" Type="http://schemas.openxmlformats.org/officeDocument/2006/relationships/hyperlink" Target="https://www.genome.jp/entry/5.6.2.7" TargetMode="External"/><Relationship Id="rId2437" Type="http://schemas.openxmlformats.org/officeDocument/2006/relationships/hyperlink" Target="https://www.genome.jp/entry/R00626/R02135/R03024/R01010/R04620" TargetMode="External"/><Relationship Id="rId2991" Type="http://schemas.openxmlformats.org/officeDocument/2006/relationships/hyperlink" Target="https://www.genome.jp/entry/R00538/R00631/R00710/R00904/R01752/R02549/R02678/R02940/R03283/R03869/R04065/R04506/R04903/R05050/R05286/R06366/R08146/R00264/R01986/R02957/R05237/R05238" TargetMode="External"/><Relationship Id="rId3835" Type="http://schemas.openxmlformats.org/officeDocument/2006/relationships/hyperlink" Target="https://www.genome.jp/dbget-bin/www_bget?enzyme+1.1.1.3" TargetMode="External"/><Relationship Id="rId409" Type="http://schemas.openxmlformats.org/officeDocument/2006/relationships/hyperlink" Target="https://enzyme.expasy.org/EC/2.2.1.2" TargetMode="External"/><Relationship Id="rId963" Type="http://schemas.openxmlformats.org/officeDocument/2006/relationships/hyperlink" Target="https://www.genome.jp/dbget-bin/www_bget?ec:1.3.1.98" TargetMode="External"/><Relationship Id="rId1039" Type="http://schemas.openxmlformats.org/officeDocument/2006/relationships/hyperlink" Target="https://www.genome.jp/dbget-bin/www_bget?ec:2.6.1.16" TargetMode="External"/><Relationship Id="rId1246" Type="http://schemas.openxmlformats.org/officeDocument/2006/relationships/hyperlink" Target="https://www.genome.jp/entry/R00451" TargetMode="External"/><Relationship Id="rId2644" Type="http://schemas.openxmlformats.org/officeDocument/2006/relationships/hyperlink" Target="https://enzyme.expasy.org/EC/1.1.1.100" TargetMode="External"/><Relationship Id="rId2851" Type="http://schemas.openxmlformats.org/officeDocument/2006/relationships/hyperlink" Target="https://enzyme.expasy.org/EC/1.3.8.2" TargetMode="External"/><Relationship Id="rId3902" Type="http://schemas.openxmlformats.org/officeDocument/2006/relationships/hyperlink" Target="https://www.genome.jp/entry/R04439/R03051/R04440/R05068/R05069/R05071" TargetMode="External"/><Relationship Id="rId92" Type="http://schemas.openxmlformats.org/officeDocument/2006/relationships/hyperlink" Target="https://enzyme.expasy.org/EC/3.5.-.-" TargetMode="External"/><Relationship Id="rId616" Type="http://schemas.openxmlformats.org/officeDocument/2006/relationships/hyperlink" Target="https://enzyme.expasy.org/EC/3.1.26.12" TargetMode="External"/><Relationship Id="rId823" Type="http://schemas.openxmlformats.org/officeDocument/2006/relationships/hyperlink" Target="https://www.genome.jp/dbget-bin/www_bget?ec:5.2.1.8" TargetMode="External"/><Relationship Id="rId1453" Type="http://schemas.openxmlformats.org/officeDocument/2006/relationships/hyperlink" Target="https://enzyme.expasy.org/EC/2.7.4.8" TargetMode="External"/><Relationship Id="rId1660" Type="http://schemas.openxmlformats.org/officeDocument/2006/relationships/hyperlink" Target="https://www.genome.jp/dbget-bin/www_bget?ec:2.7.1.2" TargetMode="External"/><Relationship Id="rId2504" Type="http://schemas.openxmlformats.org/officeDocument/2006/relationships/hyperlink" Target="https://enzyme.expasy.org/EC/2.7.4.6" TargetMode="External"/><Relationship Id="rId2711" Type="http://schemas.openxmlformats.org/officeDocument/2006/relationships/hyperlink" Target="https://www.genome.jp/entry/R00212/R06987" TargetMode="External"/><Relationship Id="rId1106" Type="http://schemas.openxmlformats.org/officeDocument/2006/relationships/hyperlink" Target="https://www.genome.jp/dbget-bin/www_bget?ec:6.3.4.14" TargetMode="External"/><Relationship Id="rId1313" Type="http://schemas.openxmlformats.org/officeDocument/2006/relationships/hyperlink" Target="https://www.genome.jp/entry/R02283" TargetMode="External"/><Relationship Id="rId1520" Type="http://schemas.openxmlformats.org/officeDocument/2006/relationships/hyperlink" Target="https://enzyme.expasy.org/EC/4.3.1.17" TargetMode="External"/><Relationship Id="rId3278" Type="http://schemas.openxmlformats.org/officeDocument/2006/relationships/hyperlink" Target="https://www.genome.jp/dbget-bin/www_bget?ec:2.7.7.7" TargetMode="External"/><Relationship Id="rId3485" Type="http://schemas.openxmlformats.org/officeDocument/2006/relationships/hyperlink" Target="https://enzyme.expasy.org/EC/4.1.1.37" TargetMode="External"/><Relationship Id="rId3692" Type="http://schemas.openxmlformats.org/officeDocument/2006/relationships/hyperlink" Target="https://enzyme.expasy.org/EC/5.3.1.9" TargetMode="External"/><Relationship Id="rId199" Type="http://schemas.openxmlformats.org/officeDocument/2006/relationships/hyperlink" Target="https://enzyme.expasy.org/EC/3.6.4.13" TargetMode="External"/><Relationship Id="rId2087" Type="http://schemas.openxmlformats.org/officeDocument/2006/relationships/hyperlink" Target="https://www.genome.jp/dbget-bin/www_bget?ec:3.1.3.5" TargetMode="External"/><Relationship Id="rId2294" Type="http://schemas.openxmlformats.org/officeDocument/2006/relationships/hyperlink" Target="https://enzyme.expasy.org/EC/1.14.13.107" TargetMode="External"/><Relationship Id="rId3138" Type="http://schemas.openxmlformats.org/officeDocument/2006/relationships/hyperlink" Target="https://www.genome.jp/entry/R00162/R03632" TargetMode="External"/><Relationship Id="rId3345" Type="http://schemas.openxmlformats.org/officeDocument/2006/relationships/hyperlink" Target="https://www.genome.jp/entry/R00006/R00226/R00014/R03050/R04672/R04673/R08648" TargetMode="External"/><Relationship Id="rId3552" Type="http://schemas.openxmlformats.org/officeDocument/2006/relationships/hyperlink" Target="https://www.genome.jp/dbget-bin/www_bget?ec:2.7.7.6" TargetMode="External"/><Relationship Id="rId266" Type="http://schemas.openxmlformats.org/officeDocument/2006/relationships/hyperlink" Target="https://enzyme.expasy.org/EC/2.3.1.-" TargetMode="External"/><Relationship Id="rId473" Type="http://schemas.openxmlformats.org/officeDocument/2006/relationships/hyperlink" Target="https://enzyme.expasy.org/EC/3.4.21.88" TargetMode="External"/><Relationship Id="rId680" Type="http://schemas.openxmlformats.org/officeDocument/2006/relationships/hyperlink" Target="https://enzyme.expasy.org/EC/2.7.13.3" TargetMode="External"/><Relationship Id="rId2154" Type="http://schemas.openxmlformats.org/officeDocument/2006/relationships/hyperlink" Target="https://www.genome.jp/dbget-bin/www_bget?ec:4.6.1.24" TargetMode="External"/><Relationship Id="rId2361" Type="http://schemas.openxmlformats.org/officeDocument/2006/relationships/hyperlink" Target="https://www.genome.jp/entry/R01373/R00691" TargetMode="External"/><Relationship Id="rId3205" Type="http://schemas.openxmlformats.org/officeDocument/2006/relationships/hyperlink" Target="https://enzyme.expasy.org/EC/2.7.7.7" TargetMode="External"/><Relationship Id="rId3412" Type="http://schemas.openxmlformats.org/officeDocument/2006/relationships/hyperlink" Target="https://www.genome.jp/dbget-bin/www_bget?ec:1.8.1.4" TargetMode="External"/><Relationship Id="rId126" Type="http://schemas.openxmlformats.org/officeDocument/2006/relationships/hyperlink" Target="https://enzyme.expasy.org/EC/3.-.-.-" TargetMode="External"/><Relationship Id="rId333" Type="http://schemas.openxmlformats.org/officeDocument/2006/relationships/hyperlink" Target="https://enzyme.expasy.org/EC/3.6.3.-" TargetMode="External"/><Relationship Id="rId540" Type="http://schemas.openxmlformats.org/officeDocument/2006/relationships/hyperlink" Target="https://enzyme.expasy.org/EC/6.3.2.13" TargetMode="External"/><Relationship Id="rId1170" Type="http://schemas.openxmlformats.org/officeDocument/2006/relationships/hyperlink" Target="https://www.genome.jp/entry/R10716" TargetMode="External"/><Relationship Id="rId2014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221" Type="http://schemas.openxmlformats.org/officeDocument/2006/relationships/hyperlink" Target="https://www.genome.jp/entry/R00630/R06728/R08255/R08258/R08220/R08249/R08251/R08295/R08300" TargetMode="External"/><Relationship Id="rId1030" Type="http://schemas.openxmlformats.org/officeDocument/2006/relationships/hyperlink" Target="https://www.genome.jp/dbget-bin/www_bget?ec:2.7.4.3" TargetMode="External"/><Relationship Id="rId400" Type="http://schemas.openxmlformats.org/officeDocument/2006/relationships/hyperlink" Target="https://enzyme.expasy.org/EC/1.3.5.2" TargetMode="External"/><Relationship Id="rId1987" Type="http://schemas.openxmlformats.org/officeDocument/2006/relationships/hyperlink" Target="https://www.genome.jp/dbget-bin/www_bget?ec:2.7.7.42" TargetMode="External"/><Relationship Id="rId1847" Type="http://schemas.openxmlformats.org/officeDocument/2006/relationships/hyperlink" Target="https://enzyme.expasy.org/EC/3.5.1.1" TargetMode="External"/><Relationship Id="rId1707" Type="http://schemas.openxmlformats.org/officeDocument/2006/relationships/hyperlink" Target="https://www.genome.jp/entry/R02768/R04355/R04726/R04952/R04957/R04960/R04963/R04968/R07762/R10115/R10119" TargetMode="External"/><Relationship Id="rId3062" Type="http://schemas.openxmlformats.org/officeDocument/2006/relationships/hyperlink" Target="https://www.genome.jp/dbget-bin/www_bget?ec:3.5.3.6" TargetMode="External"/><Relationship Id="rId190" Type="http://schemas.openxmlformats.org/officeDocument/2006/relationships/hyperlink" Target="https://enzyme.expasy.org/EC/1.8.7.1" TargetMode="External"/><Relationship Id="rId1914" Type="http://schemas.openxmlformats.org/officeDocument/2006/relationships/hyperlink" Target="https://www.genome.jp/entry/R00081/R00082" TargetMode="External"/><Relationship Id="rId3879" Type="http://schemas.openxmlformats.org/officeDocument/2006/relationships/hyperlink" Target="https://enzyme.expasy.org/EC/2.7.1.11" TargetMode="External"/><Relationship Id="rId2688" Type="http://schemas.openxmlformats.org/officeDocument/2006/relationships/hyperlink" Target="https://enzyme.expasy.org/EC/3.5.1.2" TargetMode="External"/><Relationship Id="rId2895" Type="http://schemas.openxmlformats.org/officeDocument/2006/relationships/hyperlink" Target="https://www.genome.jp/entry/R01132/R01229/R02142/R08237/R08238/R08245" TargetMode="External"/><Relationship Id="rId3739" Type="http://schemas.openxmlformats.org/officeDocument/2006/relationships/hyperlink" Target="https://www.genome.jp/dbget-bin/www_bget?ec:4.2.1.17" TargetMode="External"/><Relationship Id="rId3946" Type="http://schemas.openxmlformats.org/officeDocument/2006/relationships/hyperlink" Target="https://enzyme.expasy.org/EC/3.1.1.1" TargetMode="External"/><Relationship Id="rId867" Type="http://schemas.openxmlformats.org/officeDocument/2006/relationships/hyperlink" Target="https://www.genome.jp/entry/R00182" TargetMode="External"/><Relationship Id="rId1497" Type="http://schemas.openxmlformats.org/officeDocument/2006/relationships/hyperlink" Target="https://www.genome.jp/dbget-bin/www_bget?ec:4.2.1.10" TargetMode="External"/><Relationship Id="rId2548" Type="http://schemas.openxmlformats.org/officeDocument/2006/relationships/hyperlink" Target="https://enzyme.expasy.org/EC/6.3.2.17" TargetMode="External"/><Relationship Id="rId2755" Type="http://schemas.openxmlformats.org/officeDocument/2006/relationships/hyperlink" Target="https://www.genome.jp/entry/R01724" TargetMode="External"/><Relationship Id="rId2962" Type="http://schemas.openxmlformats.org/officeDocument/2006/relationships/hyperlink" Target="https://enzyme.expasy.org/EC/1.2.1.3" TargetMode="External"/><Relationship Id="rId3806" Type="http://schemas.openxmlformats.org/officeDocument/2006/relationships/hyperlink" Target="https://www.genome.jp/entry/R00801/R00802/R02410/R03635/R03921/R06087/R06088/R06100/R06101/R06102" TargetMode="External"/><Relationship Id="rId727" Type="http://schemas.openxmlformats.org/officeDocument/2006/relationships/hyperlink" Target="https://enzyme.expasy.org/EC/2.7.7.72" TargetMode="External"/><Relationship Id="rId934" Type="http://schemas.openxmlformats.org/officeDocument/2006/relationships/hyperlink" Target="https://www.genome.jp/dbget-bin/www_bget?ec:5.1.3.13" TargetMode="External"/><Relationship Id="rId1357" Type="http://schemas.openxmlformats.org/officeDocument/2006/relationships/hyperlink" Target="https://www.genome.jp/dbget-bin/www_bget?ec:6.3.1.13" TargetMode="External"/><Relationship Id="rId1564" Type="http://schemas.openxmlformats.org/officeDocument/2006/relationships/hyperlink" Target="https://www.genome.jp/dbget-bin/www_bget?ec:2.4.1.345" TargetMode="External"/><Relationship Id="rId1771" Type="http://schemas.openxmlformats.org/officeDocument/2006/relationships/hyperlink" Target="https://www.genome.jp/dbget-bin/www_bget?ec:3.2.2.23" TargetMode="External"/><Relationship Id="rId2408" Type="http://schemas.openxmlformats.org/officeDocument/2006/relationships/hyperlink" Target="https://enzyme.expasy.org/EC/1.17.4.1" TargetMode="External"/><Relationship Id="rId2615" Type="http://schemas.openxmlformats.org/officeDocument/2006/relationships/hyperlink" Target="https://www.genome.jp/dbget-bin/www_bget?ec:1.4.1.1" TargetMode="External"/><Relationship Id="rId2822" Type="http://schemas.openxmlformats.org/officeDocument/2006/relationships/hyperlink" Target="https://www.genome.jp/dbget-bin/www_bget?ec:3.1.3.12" TargetMode="External"/><Relationship Id="rId63" Type="http://schemas.openxmlformats.org/officeDocument/2006/relationships/hyperlink" Target="https://enzyme.expasy.org/EC/1.5.1.20" TargetMode="External"/><Relationship Id="rId1217" Type="http://schemas.openxmlformats.org/officeDocument/2006/relationships/hyperlink" Target="https://www.genome.jp/dbget-bin/www_bget?ec:2.7.9.3" TargetMode="External"/><Relationship Id="rId1424" Type="http://schemas.openxmlformats.org/officeDocument/2006/relationships/hyperlink" Target="https://enzyme.expasy.org/EC/5.1.3.2" TargetMode="External"/><Relationship Id="rId1631" Type="http://schemas.openxmlformats.org/officeDocument/2006/relationships/hyperlink" Target="https://enzyme.expasy.org/EC/2.7.1.63" TargetMode="External"/><Relationship Id="rId3389" Type="http://schemas.openxmlformats.org/officeDocument/2006/relationships/hyperlink" Target="https://www.genome.jp/entry/R00089/R00434" TargetMode="External"/><Relationship Id="rId3596" Type="http://schemas.openxmlformats.org/officeDocument/2006/relationships/hyperlink" Target="https://enzyme.expasy.org/EC/3.5.4.5" TargetMode="External"/><Relationship Id="rId2198" Type="http://schemas.openxmlformats.org/officeDocument/2006/relationships/hyperlink" Target="https://www.genome.jp/entry/R00174/R01909/R02493" TargetMode="External"/><Relationship Id="rId3249" Type="http://schemas.openxmlformats.org/officeDocument/2006/relationships/hyperlink" Target="https://www.genome.jp/dbget-bin/www_bget?ec:2.7.7.7" TargetMode="External"/><Relationship Id="rId3456" Type="http://schemas.openxmlformats.org/officeDocument/2006/relationships/hyperlink" Target="https://www.genome.jp/dbget-bin/www_bget?ec:3.6.1.11" TargetMode="External"/><Relationship Id="rId377" Type="http://schemas.openxmlformats.org/officeDocument/2006/relationships/hyperlink" Target="https://enzyme.expasy.org/EC/1.1.1.44" TargetMode="External"/><Relationship Id="rId584" Type="http://schemas.openxmlformats.org/officeDocument/2006/relationships/hyperlink" Target="https://enzyme.expasy.org/EC/6.4.1.7" TargetMode="External"/><Relationship Id="rId2058" Type="http://schemas.openxmlformats.org/officeDocument/2006/relationships/hyperlink" Target="https://www.genome.jp/entry/R00424/R00428/R04639/R05046/R05048" TargetMode="External"/><Relationship Id="rId2265" Type="http://schemas.openxmlformats.org/officeDocument/2006/relationships/hyperlink" Target="https://enzyme.expasy.org/EC/4.4.1.8" TargetMode="External"/><Relationship Id="rId3109" Type="http://schemas.openxmlformats.org/officeDocument/2006/relationships/hyperlink" Target="https://enzyme.expasy.org/EC/3.1.3.3" TargetMode="External"/><Relationship Id="rId3663" Type="http://schemas.openxmlformats.org/officeDocument/2006/relationships/hyperlink" Target="https://enzyme.expasy.org/EC/3.1.3.25" TargetMode="External"/><Relationship Id="rId3870" Type="http://schemas.openxmlformats.org/officeDocument/2006/relationships/hyperlink" Target="https://enzyme.expasy.org/EC/2.7.1.11" TargetMode="External"/><Relationship Id="rId237" Type="http://schemas.openxmlformats.org/officeDocument/2006/relationships/hyperlink" Target="https://enzyme.expasy.org/EC/6.1.1.10" TargetMode="External"/><Relationship Id="rId791" Type="http://schemas.openxmlformats.org/officeDocument/2006/relationships/hyperlink" Target="https://enzyme.expasy.org/EC/3.5.1.111" TargetMode="External"/><Relationship Id="rId1074" Type="http://schemas.openxmlformats.org/officeDocument/2006/relationships/hyperlink" Target="https://www.genome.jp/dbget-bin/www_bget?ec:2.7.8.23" TargetMode="External"/><Relationship Id="rId2472" Type="http://schemas.openxmlformats.org/officeDocument/2006/relationships/hyperlink" Target="https://enzyme.expasy.org/EC/4.2.1.20" TargetMode="External"/><Relationship Id="rId3316" Type="http://schemas.openxmlformats.org/officeDocument/2006/relationships/hyperlink" Target="https://enzyme.expasy.org/EC/2.2.1.6" TargetMode="External"/><Relationship Id="rId3523" Type="http://schemas.openxmlformats.org/officeDocument/2006/relationships/hyperlink" Target="https://www.genome.jp/entry/R00444/R00435/R00441/R00442/R00443/R10813" TargetMode="External"/><Relationship Id="rId3730" Type="http://schemas.openxmlformats.org/officeDocument/2006/relationships/hyperlink" Target="https://www.genome.jp/dbget-bin/www_bget?ec:4.2.1.17" TargetMode="External"/><Relationship Id="rId444" Type="http://schemas.openxmlformats.org/officeDocument/2006/relationships/hyperlink" Target="https://enzyme.expasy.org/EC/5.2.1.8" TargetMode="External"/><Relationship Id="rId651" Type="http://schemas.openxmlformats.org/officeDocument/2006/relationships/hyperlink" Target="https://enzyme.expasy.org/EC/3.6.4.12" TargetMode="External"/><Relationship Id="rId1281" Type="http://schemas.openxmlformats.org/officeDocument/2006/relationships/hyperlink" Target="https://www.genome.jp/entry/R01513/R08198" TargetMode="External"/><Relationship Id="rId2125" Type="http://schemas.openxmlformats.org/officeDocument/2006/relationships/hyperlink" Target="https://www.genome.jp/dbget-bin/www_bget?ec:2.3.1.47" TargetMode="External"/><Relationship Id="rId2332" Type="http://schemas.openxmlformats.org/officeDocument/2006/relationships/hyperlink" Target="https://enzyme.expasy.org/EC/5.4.99.9" TargetMode="External"/><Relationship Id="rId304" Type="http://schemas.openxmlformats.org/officeDocument/2006/relationships/hyperlink" Target="https://enzyme.expasy.org/EC/1.7.99.4" TargetMode="External"/><Relationship Id="rId511" Type="http://schemas.openxmlformats.org/officeDocument/2006/relationships/hyperlink" Target="https://enzyme.expasy.org/EC/3.2.2.23" TargetMode="External"/><Relationship Id="rId1141" Type="http://schemas.openxmlformats.org/officeDocument/2006/relationships/hyperlink" Target="https://www.genome.jp/entry/R04273" TargetMode="External"/><Relationship Id="rId1001" Type="http://schemas.openxmlformats.org/officeDocument/2006/relationships/hyperlink" Target="https://www.genome.jp/entry/R10757" TargetMode="External"/><Relationship Id="rId1958" Type="http://schemas.openxmlformats.org/officeDocument/2006/relationships/hyperlink" Target="https://www.genome.jp/dbget-bin/www_bget?ec:2.3.1.181" TargetMode="External"/><Relationship Id="rId3173" Type="http://schemas.openxmlformats.org/officeDocument/2006/relationships/hyperlink" Target="https://www.genome.jp/dbget-bin/www_bget?ec:2.7.7.7" TargetMode="External"/><Relationship Id="rId3380" Type="http://schemas.openxmlformats.org/officeDocument/2006/relationships/hyperlink" Target="https://www.genome.jp/entry/R02822/R05842/R07108/R07109/R07110/R07111" TargetMode="External"/><Relationship Id="rId1818" Type="http://schemas.openxmlformats.org/officeDocument/2006/relationships/hyperlink" Target="https://www.genome.jp/dbget-bin/www_bget?ec:2.6.1.9" TargetMode="External"/><Relationship Id="rId3033" Type="http://schemas.openxmlformats.org/officeDocument/2006/relationships/hyperlink" Target="https://www.genome.jp/entry/R00022/R03492/R04184/R04586/R05963/R06001/R06004/R06141/R07809/R07810/R09323/R10831/R11316/R11317/R12963" TargetMode="External"/><Relationship Id="rId3240" Type="http://schemas.openxmlformats.org/officeDocument/2006/relationships/hyperlink" Target="https://www.genome.jp/entry/R00379/R00375/R00376/R00377/R00378/R11029" TargetMode="External"/><Relationship Id="rId161" Type="http://schemas.openxmlformats.org/officeDocument/2006/relationships/hyperlink" Target="https://enzyme.expasy.org/EC/2.5.1.74" TargetMode="External"/><Relationship Id="rId2799" Type="http://schemas.openxmlformats.org/officeDocument/2006/relationships/hyperlink" Target="https://www.genome.jp/entry/R01072" TargetMode="External"/><Relationship Id="rId3100" Type="http://schemas.openxmlformats.org/officeDocument/2006/relationships/hyperlink" Target="https://enzyme.expasy.org/EC/3.1.1.1" TargetMode="External"/><Relationship Id="rId978" Type="http://schemas.openxmlformats.org/officeDocument/2006/relationships/hyperlink" Target="https://www.genome.jp/entry/R00582/R02853" TargetMode="External"/><Relationship Id="rId2659" Type="http://schemas.openxmlformats.org/officeDocument/2006/relationships/hyperlink" Target="https://www.genome.jp/dbget-bin/www_bget?ec:1.1.1.100" TargetMode="External"/><Relationship Id="rId2866" Type="http://schemas.openxmlformats.org/officeDocument/2006/relationships/hyperlink" Target="https://www.genome.jp/dbget-bin/www_bget?ec:6.1.1.6" TargetMode="External"/><Relationship Id="rId3917" Type="http://schemas.openxmlformats.org/officeDocument/2006/relationships/hyperlink" Target="https://www.genome.jp/entry/R01652/R04426/R10052/R00994" TargetMode="External"/><Relationship Id="rId838" Type="http://schemas.openxmlformats.org/officeDocument/2006/relationships/hyperlink" Target="https://www.genome.jp/entry/R00162/R03632" TargetMode="External"/><Relationship Id="rId1468" Type="http://schemas.openxmlformats.org/officeDocument/2006/relationships/hyperlink" Target="https://www.genome.jp/entry/R00256/R00575/R01395/R10948/R10949/R07641" TargetMode="External"/><Relationship Id="rId1675" Type="http://schemas.openxmlformats.org/officeDocument/2006/relationships/hyperlink" Target="https://www.genome.jp/dbget-bin/www_bget?ec:4.1.1.32" TargetMode="External"/><Relationship Id="rId1882" Type="http://schemas.openxmlformats.org/officeDocument/2006/relationships/hyperlink" Target="https://enzyme.expasy.org/EC/6.3.2.10" TargetMode="External"/><Relationship Id="rId2519" Type="http://schemas.openxmlformats.org/officeDocument/2006/relationships/hyperlink" Target="https://enzyme.expasy.org/EC/2.7.4.6" TargetMode="External"/><Relationship Id="rId2726" Type="http://schemas.openxmlformats.org/officeDocument/2006/relationships/hyperlink" Target="https://enzyme.expasy.org/EC/3.6.1.9" TargetMode="External"/><Relationship Id="rId1328" Type="http://schemas.openxmlformats.org/officeDocument/2006/relationships/hyperlink" Target="https://www.genome.jp/dbget-bin/www_bget?ec:6.1.1.1" TargetMode="External"/><Relationship Id="rId1535" Type="http://schemas.openxmlformats.org/officeDocument/2006/relationships/hyperlink" Target="https://www.genome.jp/entry/R00220/R00590/R11099/R11100/R06131" TargetMode="External"/><Relationship Id="rId2933" Type="http://schemas.openxmlformats.org/officeDocument/2006/relationships/hyperlink" Target="https://www.genome.jp/dbget-bin/www_bget?ec:1.2.1.3" TargetMode="External"/><Relationship Id="rId905" Type="http://schemas.openxmlformats.org/officeDocument/2006/relationships/hyperlink" Target="https://www.genome.jp/entry/R09832" TargetMode="External"/><Relationship Id="rId1742" Type="http://schemas.openxmlformats.org/officeDocument/2006/relationships/hyperlink" Target="https://www.genome.jp/dbget-bin/www_bget?ec:1.8.1.15" TargetMode="External"/><Relationship Id="rId34" Type="http://schemas.openxmlformats.org/officeDocument/2006/relationships/hyperlink" Target="https://enzyme.expasy.org/EC/2.5.1.-" TargetMode="External"/><Relationship Id="rId1602" Type="http://schemas.openxmlformats.org/officeDocument/2006/relationships/hyperlink" Target="https://www.genome.jp/entry/R03663" TargetMode="External"/><Relationship Id="rId3567" Type="http://schemas.openxmlformats.org/officeDocument/2006/relationships/hyperlink" Target="https://www.genome.jp/dbget-bin/www_bget?ec:1.1.1.205" TargetMode="External"/><Relationship Id="rId3774" Type="http://schemas.openxmlformats.org/officeDocument/2006/relationships/hyperlink" Target="https://enzyme.expasy.org/EC/4.2.1.17" TargetMode="External"/><Relationship Id="rId488" Type="http://schemas.openxmlformats.org/officeDocument/2006/relationships/hyperlink" Target="https://enzyme.expasy.org/EC/5.4.99.25" TargetMode="External"/><Relationship Id="rId695" Type="http://schemas.openxmlformats.org/officeDocument/2006/relationships/hyperlink" Target="https://enzyme.expasy.org/EC/3.4.22.40" TargetMode="External"/><Relationship Id="rId2169" Type="http://schemas.openxmlformats.org/officeDocument/2006/relationships/hyperlink" Target="https://www.genome.jp/dbget-bin/www_bget?ec:2.7.2.1" TargetMode="External"/><Relationship Id="rId2376" Type="http://schemas.openxmlformats.org/officeDocument/2006/relationships/hyperlink" Target="https://www.genome.jp/entry/R00703/R01000/R03104" TargetMode="External"/><Relationship Id="rId2583" Type="http://schemas.openxmlformats.org/officeDocument/2006/relationships/hyperlink" Target="https://www.genome.jp/entry/R08878" TargetMode="External"/><Relationship Id="rId2790" Type="http://schemas.openxmlformats.org/officeDocument/2006/relationships/hyperlink" Target="https://enzyme.expasy.org/EC/2.6.1.21" TargetMode="External"/><Relationship Id="rId3427" Type="http://schemas.openxmlformats.org/officeDocument/2006/relationships/hyperlink" Target="https://www.genome.jp/dbget-bin/www_bget?ec:1.8.1.4" TargetMode="External"/><Relationship Id="rId3634" Type="http://schemas.openxmlformats.org/officeDocument/2006/relationships/hyperlink" Target="https://www.genome.jp/entry/R00103/R11104/R03004" TargetMode="External"/><Relationship Id="rId3841" Type="http://schemas.openxmlformats.org/officeDocument/2006/relationships/hyperlink" Target="https://www.genome.jp/dbget-bin/www_bget?ec:1.7.2.1" TargetMode="External"/><Relationship Id="rId348" Type="http://schemas.openxmlformats.org/officeDocument/2006/relationships/hyperlink" Target="https://enzyme.expasy.org/EC/3.6.4.12" TargetMode="External"/><Relationship Id="rId555" Type="http://schemas.openxmlformats.org/officeDocument/2006/relationships/hyperlink" Target="https://enzyme.expasy.org/EC/6.3.5.4" TargetMode="External"/><Relationship Id="rId762" Type="http://schemas.openxmlformats.org/officeDocument/2006/relationships/hyperlink" Target="https://enzyme.expasy.org/EC/2.4.2.45" TargetMode="External"/><Relationship Id="rId1185" Type="http://schemas.openxmlformats.org/officeDocument/2006/relationships/hyperlink" Target="https://www.genome.jp/dbget-bin/www_bget?ec:2.7.6.1" TargetMode="External"/><Relationship Id="rId1392" Type="http://schemas.openxmlformats.org/officeDocument/2006/relationships/hyperlink" Target="https://www.genome.jp/dbget-bin/www_bget?ec:2.2.1.2" TargetMode="External"/><Relationship Id="rId2029" Type="http://schemas.openxmlformats.org/officeDocument/2006/relationships/hyperlink" Target="https://www.genome.jp/entry/R00623/R00754/R02124/R02878/R04805/R04880/R05233/R05234/R06917/R06927/R08281/R08306/R08557/R08558/R10783/R00624/R08310/R02246/R07105" TargetMode="External"/><Relationship Id="rId2236" Type="http://schemas.openxmlformats.org/officeDocument/2006/relationships/hyperlink" Target="https://www.genome.jp/entry/R00630/R06728/R08255/R08258/R08220/R08249/R08251/R08295/R08300" TargetMode="External"/><Relationship Id="rId2443" Type="http://schemas.openxmlformats.org/officeDocument/2006/relationships/hyperlink" Target="https://www.genome.jp/entry/R00626/R02135/R03024/R01010/R04620" TargetMode="External"/><Relationship Id="rId2650" Type="http://schemas.openxmlformats.org/officeDocument/2006/relationships/hyperlink" Target="https://enzyme.expasy.org/EC/1.1.1.100" TargetMode="External"/><Relationship Id="rId3701" Type="http://schemas.openxmlformats.org/officeDocument/2006/relationships/hyperlink" Target="https://enzyme.expasy.org/EC/2.1.2.2" TargetMode="External"/><Relationship Id="rId208" Type="http://schemas.openxmlformats.org/officeDocument/2006/relationships/hyperlink" Target="https://enzyme.expasy.org/EC/3.1.-.-" TargetMode="External"/><Relationship Id="rId415" Type="http://schemas.openxmlformats.org/officeDocument/2006/relationships/hyperlink" Target="https://enzyme.expasy.org/EC/2.5.1.78" TargetMode="External"/><Relationship Id="rId622" Type="http://schemas.openxmlformats.org/officeDocument/2006/relationships/hyperlink" Target="https://enzyme.expasy.org/EC/1.1.1.37" TargetMode="External"/><Relationship Id="rId1045" Type="http://schemas.openxmlformats.org/officeDocument/2006/relationships/hyperlink" Target="https://www.genome.jp/dbget-bin/www_bget?ec:1.1.1.205" TargetMode="External"/><Relationship Id="rId1252" Type="http://schemas.openxmlformats.org/officeDocument/2006/relationships/hyperlink" Target="https://www.genome.jp/entry/R00783/R00784/R00280/R00785" TargetMode="External"/><Relationship Id="rId2303" Type="http://schemas.openxmlformats.org/officeDocument/2006/relationships/hyperlink" Target="https://www.genome.jp/dbget-bin/www_bget?ec:3.1.4.3" TargetMode="External"/><Relationship Id="rId2510" Type="http://schemas.openxmlformats.org/officeDocument/2006/relationships/hyperlink" Target="https://enzyme.expasy.org/EC/2.7.4.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nome.jp/entry/C00430" TargetMode="External"/><Relationship Id="rId2" Type="http://schemas.openxmlformats.org/officeDocument/2006/relationships/hyperlink" Target="https://www.genome.jp/entry/C01278" TargetMode="External"/><Relationship Id="rId1" Type="http://schemas.openxmlformats.org/officeDocument/2006/relationships/hyperlink" Target="https://www.genome.jp/entry/C00430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enome.jp/entry/C012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407E-6AD4-EE4E-BC27-802785618029}">
  <dimension ref="A1:D27"/>
  <sheetViews>
    <sheetView tabSelected="1" workbookViewId="0">
      <selection activeCell="B1" sqref="B1"/>
    </sheetView>
  </sheetViews>
  <sheetFormatPr defaultColWidth="10.6640625" defaultRowHeight="16"/>
  <cols>
    <col min="1" max="1" width="30.5" customWidth="1"/>
    <col min="2" max="2" width="51.33203125" customWidth="1"/>
  </cols>
  <sheetData>
    <row r="1" spans="1:4" ht="16.5" thickBot="1">
      <c r="A1" s="38" t="s">
        <v>15277</v>
      </c>
      <c r="B1" s="1" t="s">
        <v>15302</v>
      </c>
    </row>
    <row r="2" spans="1:4" ht="16.5" thickBot="1">
      <c r="A2" s="39" t="s">
        <v>15278</v>
      </c>
      <c r="B2" s="1" t="s">
        <v>15991</v>
      </c>
    </row>
    <row r="3" spans="1:4">
      <c r="A3" s="39" t="s">
        <v>15279</v>
      </c>
      <c r="B3" t="s">
        <v>15305</v>
      </c>
    </row>
    <row r="4" spans="1:4" ht="16.5" thickBot="1">
      <c r="A4" s="38" t="s">
        <v>15280</v>
      </c>
      <c r="B4" t="s">
        <v>15310</v>
      </c>
    </row>
    <row r="5" spans="1:4" ht="16.5" thickBot="1">
      <c r="A5" s="39" t="s">
        <v>15281</v>
      </c>
      <c r="B5" t="s">
        <v>15306</v>
      </c>
    </row>
    <row r="6" spans="1:4">
      <c r="A6" s="40" t="s">
        <v>15282</v>
      </c>
      <c r="B6" t="s">
        <v>15307</v>
      </c>
    </row>
    <row r="7" spans="1:4">
      <c r="A7" s="41"/>
      <c r="B7" s="42" t="s">
        <v>15300</v>
      </c>
      <c r="C7" s="42" t="s">
        <v>15301</v>
      </c>
    </row>
    <row r="8" spans="1:4">
      <c r="A8" s="41" t="s">
        <v>15283</v>
      </c>
      <c r="B8" s="43" t="s">
        <v>15303</v>
      </c>
      <c r="C8" s="43" t="s">
        <v>15303</v>
      </c>
      <c r="D8" s="43"/>
    </row>
    <row r="9" spans="1:4">
      <c r="A9" s="41" t="s">
        <v>15284</v>
      </c>
      <c r="B9" s="43" t="s">
        <v>15303</v>
      </c>
      <c r="C9" s="43" t="s">
        <v>15303</v>
      </c>
      <c r="D9" s="43"/>
    </row>
    <row r="10" spans="1:4">
      <c r="A10" s="41" t="s">
        <v>15285</v>
      </c>
      <c r="B10" s="43">
        <v>1</v>
      </c>
      <c r="C10" s="43">
        <v>1</v>
      </c>
      <c r="D10" s="43"/>
    </row>
    <row r="11" spans="1:4">
      <c r="A11" s="41" t="s">
        <v>15286</v>
      </c>
      <c r="B11" s="43">
        <v>1</v>
      </c>
      <c r="C11" s="43">
        <v>1</v>
      </c>
      <c r="D11" s="43"/>
    </row>
    <row r="12" spans="1:4">
      <c r="A12" s="41" t="s">
        <v>15287</v>
      </c>
      <c r="B12" s="43" t="s">
        <v>15303</v>
      </c>
      <c r="C12" s="43" t="s">
        <v>15303</v>
      </c>
      <c r="D12" s="43"/>
    </row>
    <row r="13" spans="1:4">
      <c r="A13" s="41" t="s">
        <v>15288</v>
      </c>
      <c r="B13" s="43">
        <v>1</v>
      </c>
      <c r="C13" s="43">
        <v>1</v>
      </c>
      <c r="D13" s="43"/>
    </row>
    <row r="14" spans="1:4">
      <c r="A14" s="41" t="s">
        <v>15289</v>
      </c>
      <c r="B14" s="43">
        <v>1</v>
      </c>
      <c r="C14" s="43">
        <v>1</v>
      </c>
      <c r="D14" s="43"/>
    </row>
    <row r="15" spans="1:4">
      <c r="A15" s="41" t="s">
        <v>15290</v>
      </c>
      <c r="B15" s="43" t="s">
        <v>15303</v>
      </c>
      <c r="C15" s="43" t="s">
        <v>15303</v>
      </c>
      <c r="D15" s="43"/>
    </row>
    <row r="16" spans="1:4">
      <c r="A16" s="41" t="s">
        <v>15291</v>
      </c>
      <c r="B16" s="43">
        <v>1</v>
      </c>
      <c r="C16" s="43">
        <v>1</v>
      </c>
      <c r="D16" s="43"/>
    </row>
    <row r="17" spans="1:4">
      <c r="A17" s="41" t="s">
        <v>15292</v>
      </c>
      <c r="B17" s="43">
        <v>59.5</v>
      </c>
      <c r="C17" s="43">
        <v>59.5</v>
      </c>
      <c r="D17" s="43"/>
    </row>
    <row r="18" spans="1:4">
      <c r="A18" s="41" t="s">
        <v>15293</v>
      </c>
      <c r="B18" s="43" t="s">
        <v>15304</v>
      </c>
      <c r="C18" s="43" t="s">
        <v>15304</v>
      </c>
      <c r="D18" s="43"/>
    </row>
    <row r="19" spans="1:4">
      <c r="A19" s="41" t="s">
        <v>15294</v>
      </c>
      <c r="B19" s="44">
        <v>2337</v>
      </c>
      <c r="C19" s="44">
        <v>2339</v>
      </c>
      <c r="D19" s="43"/>
    </row>
    <row r="20" spans="1:4">
      <c r="A20" s="41" t="s">
        <v>15295</v>
      </c>
      <c r="B20" s="44">
        <v>2216</v>
      </c>
      <c r="C20" s="44">
        <v>2264</v>
      </c>
      <c r="D20" s="43"/>
    </row>
    <row r="21" spans="1:4">
      <c r="A21" s="30"/>
      <c r="B21" s="43"/>
      <c r="C21" s="43"/>
      <c r="D21" s="43"/>
    </row>
    <row r="22" spans="1:4">
      <c r="A22" s="41" t="s">
        <v>15296</v>
      </c>
      <c r="B22" s="43" t="s">
        <v>15309</v>
      </c>
      <c r="C22" s="43" t="s">
        <v>15308</v>
      </c>
      <c r="D22" s="43"/>
    </row>
    <row r="23" spans="1:4">
      <c r="A23" s="30"/>
      <c r="B23" s="43"/>
      <c r="C23" s="43"/>
      <c r="D23" s="43"/>
    </row>
    <row r="24" spans="1:4">
      <c r="A24" s="30"/>
      <c r="B24" s="43"/>
      <c r="C24" s="43"/>
      <c r="D24" s="43"/>
    </row>
    <row r="25" spans="1:4">
      <c r="A25" s="30" t="s">
        <v>15297</v>
      </c>
      <c r="B25" s="43"/>
      <c r="C25" s="43"/>
      <c r="D25" s="43"/>
    </row>
    <row r="26" spans="1:4">
      <c r="A26" s="30" t="s">
        <v>15298</v>
      </c>
      <c r="B26" s="45">
        <v>0.96289999999999998</v>
      </c>
    </row>
    <row r="27" spans="1:4">
      <c r="A27" s="30" t="s">
        <v>15299</v>
      </c>
      <c r="B27" s="45">
        <v>2.3999999999999998E-3</v>
      </c>
    </row>
  </sheetData>
  <hyperlinks>
    <hyperlink ref="B1" r:id="rId1" xr:uid="{36793BCB-651E-164C-9348-4CC3DA72B4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22DC-AE06-0041-8AA6-8987881581A1}">
  <dimension ref="A1:M2340"/>
  <sheetViews>
    <sheetView workbookViewId="0">
      <selection activeCell="K14" sqref="K14"/>
    </sheetView>
  </sheetViews>
  <sheetFormatPr defaultColWidth="10.6640625" defaultRowHeight="16"/>
  <cols>
    <col min="1" max="1" width="16" customWidth="1"/>
    <col min="4" max="4" width="15.33203125" customWidth="1"/>
    <col min="5" max="5" width="16.1640625" customWidth="1"/>
    <col min="6" max="6" width="70.1640625" customWidth="1"/>
    <col min="9" max="9" width="17.83203125" customWidth="1"/>
    <col min="10" max="10" width="19.6640625" customWidth="1"/>
    <col min="12" max="12" width="15.83203125" customWidth="1"/>
    <col min="13" max="13" width="25.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31</v>
      </c>
      <c r="C2">
        <v>1701</v>
      </c>
      <c r="E2" t="s">
        <v>14</v>
      </c>
      <c r="F2" t="s">
        <v>15</v>
      </c>
      <c r="G2" t="s">
        <v>16</v>
      </c>
      <c r="H2">
        <v>0</v>
      </c>
      <c r="I2" t="s">
        <v>17</v>
      </c>
      <c r="K2" t="s">
        <v>18</v>
      </c>
      <c r="L2">
        <v>556</v>
      </c>
      <c r="M2" t="s">
        <v>19</v>
      </c>
    </row>
    <row r="3" spans="1:13">
      <c r="A3" t="s">
        <v>13</v>
      </c>
      <c r="B3">
        <v>2320</v>
      </c>
      <c r="C3">
        <v>3501</v>
      </c>
      <c r="E3" t="s">
        <v>14</v>
      </c>
      <c r="F3" t="s">
        <v>20</v>
      </c>
      <c r="G3" t="s">
        <v>21</v>
      </c>
      <c r="H3">
        <v>0</v>
      </c>
      <c r="I3" t="s">
        <v>17</v>
      </c>
      <c r="K3" t="s">
        <v>22</v>
      </c>
      <c r="L3">
        <v>393</v>
      </c>
      <c r="M3" t="s">
        <v>23</v>
      </c>
    </row>
    <row r="4" spans="1:13">
      <c r="A4" t="s">
        <v>13</v>
      </c>
      <c r="B4">
        <v>3501</v>
      </c>
      <c r="C4">
        <v>4691</v>
      </c>
      <c r="E4" t="s">
        <v>14</v>
      </c>
      <c r="F4" t="s">
        <v>24</v>
      </c>
      <c r="G4" t="s">
        <v>25</v>
      </c>
      <c r="H4">
        <v>0</v>
      </c>
      <c r="I4" t="s">
        <v>17</v>
      </c>
      <c r="K4" t="s">
        <v>26</v>
      </c>
      <c r="L4">
        <v>396</v>
      </c>
      <c r="M4" t="s">
        <v>27</v>
      </c>
    </row>
    <row r="5" spans="1:13">
      <c r="A5" t="s">
        <v>13</v>
      </c>
      <c r="B5">
        <v>4688</v>
      </c>
      <c r="C5">
        <v>5257</v>
      </c>
      <c r="E5" t="s">
        <v>14</v>
      </c>
      <c r="F5" t="s">
        <v>28</v>
      </c>
      <c r="H5">
        <v>0</v>
      </c>
      <c r="I5" t="s">
        <v>17</v>
      </c>
      <c r="K5" t="s">
        <v>29</v>
      </c>
      <c r="L5">
        <v>189</v>
      </c>
      <c r="M5" t="s">
        <v>30</v>
      </c>
    </row>
    <row r="6" spans="1:13">
      <c r="A6" t="s">
        <v>13</v>
      </c>
      <c r="B6">
        <v>5426</v>
      </c>
      <c r="C6">
        <v>7495</v>
      </c>
      <c r="E6" t="s">
        <v>14</v>
      </c>
      <c r="F6" t="s">
        <v>31</v>
      </c>
      <c r="G6" t="s">
        <v>32</v>
      </c>
      <c r="H6">
        <v>0</v>
      </c>
      <c r="I6" t="s">
        <v>17</v>
      </c>
      <c r="K6" t="s">
        <v>33</v>
      </c>
      <c r="L6">
        <v>689</v>
      </c>
      <c r="M6" t="s">
        <v>34</v>
      </c>
    </row>
    <row r="7" spans="1:13">
      <c r="A7" t="s">
        <v>13</v>
      </c>
      <c r="B7">
        <v>7586</v>
      </c>
      <c r="C7">
        <v>9085</v>
      </c>
      <c r="E7" t="s">
        <v>35</v>
      </c>
      <c r="F7" t="s">
        <v>36</v>
      </c>
      <c r="G7" t="s">
        <v>37</v>
      </c>
      <c r="H7">
        <v>0</v>
      </c>
      <c r="I7" t="s">
        <v>17</v>
      </c>
      <c r="K7" t="s">
        <v>38</v>
      </c>
      <c r="L7">
        <v>499</v>
      </c>
      <c r="M7" t="s">
        <v>39</v>
      </c>
    </row>
    <row r="8" spans="1:13">
      <c r="A8" t="s">
        <v>13</v>
      </c>
      <c r="B8">
        <v>9146</v>
      </c>
      <c r="C8">
        <v>9583</v>
      </c>
      <c r="E8" t="s">
        <v>35</v>
      </c>
      <c r="F8" t="s">
        <v>28</v>
      </c>
      <c r="H8">
        <v>0</v>
      </c>
      <c r="I8" t="s">
        <v>17</v>
      </c>
      <c r="K8" t="s">
        <v>40</v>
      </c>
      <c r="L8">
        <v>145</v>
      </c>
      <c r="M8" t="s">
        <v>41</v>
      </c>
    </row>
    <row r="9" spans="1:13">
      <c r="A9" t="s">
        <v>13</v>
      </c>
      <c r="B9">
        <v>9595</v>
      </c>
      <c r="C9">
        <v>9852</v>
      </c>
      <c r="E9" t="s">
        <v>35</v>
      </c>
      <c r="F9" t="s">
        <v>28</v>
      </c>
      <c r="H9">
        <v>0</v>
      </c>
      <c r="I9" t="s">
        <v>17</v>
      </c>
      <c r="K9" t="s">
        <v>42</v>
      </c>
      <c r="L9">
        <v>85</v>
      </c>
      <c r="M9" t="s">
        <v>43</v>
      </c>
    </row>
    <row r="10" spans="1:13">
      <c r="A10" t="s">
        <v>13</v>
      </c>
      <c r="B10">
        <v>9849</v>
      </c>
      <c r="C10">
        <v>10070</v>
      </c>
      <c r="E10" t="s">
        <v>35</v>
      </c>
      <c r="F10" t="s">
        <v>28</v>
      </c>
      <c r="H10">
        <v>0</v>
      </c>
      <c r="I10" t="s">
        <v>17</v>
      </c>
      <c r="K10" t="s">
        <v>44</v>
      </c>
      <c r="L10">
        <v>73</v>
      </c>
      <c r="M10" t="s">
        <v>45</v>
      </c>
    </row>
    <row r="11" spans="1:13">
      <c r="A11" t="s">
        <v>13</v>
      </c>
      <c r="B11">
        <v>10149</v>
      </c>
      <c r="C11">
        <v>12704</v>
      </c>
      <c r="E11" t="s">
        <v>14</v>
      </c>
      <c r="F11" t="s">
        <v>46</v>
      </c>
      <c r="G11" t="s">
        <v>47</v>
      </c>
      <c r="H11">
        <v>0</v>
      </c>
      <c r="I11" t="s">
        <v>17</v>
      </c>
      <c r="K11" t="s">
        <v>48</v>
      </c>
      <c r="L11">
        <v>851</v>
      </c>
      <c r="M11" t="s">
        <v>49</v>
      </c>
    </row>
    <row r="12" spans="1:13">
      <c r="A12" t="s">
        <v>13</v>
      </c>
      <c r="B12">
        <v>12708</v>
      </c>
      <c r="C12">
        <v>13046</v>
      </c>
      <c r="E12" t="s">
        <v>14</v>
      </c>
      <c r="F12" t="s">
        <v>28</v>
      </c>
      <c r="H12">
        <v>0</v>
      </c>
      <c r="I12" t="s">
        <v>17</v>
      </c>
      <c r="K12" t="s">
        <v>50</v>
      </c>
      <c r="L12">
        <v>112</v>
      </c>
      <c r="M12" t="s">
        <v>51</v>
      </c>
    </row>
    <row r="13" spans="1:13">
      <c r="A13" t="s">
        <v>13</v>
      </c>
      <c r="B13">
        <v>13221</v>
      </c>
      <c r="C13">
        <v>13297</v>
      </c>
      <c r="E13" t="s">
        <v>14</v>
      </c>
      <c r="F13" t="s">
        <v>52</v>
      </c>
      <c r="H13">
        <v>0</v>
      </c>
      <c r="I13" t="s">
        <v>53</v>
      </c>
      <c r="M13" t="s">
        <v>54</v>
      </c>
    </row>
    <row r="14" spans="1:13">
      <c r="A14" t="s">
        <v>13</v>
      </c>
      <c r="B14">
        <v>13307</v>
      </c>
      <c r="C14">
        <v>13380</v>
      </c>
      <c r="E14" t="s">
        <v>14</v>
      </c>
      <c r="F14" t="s">
        <v>55</v>
      </c>
      <c r="H14">
        <v>0</v>
      </c>
      <c r="I14" t="s">
        <v>53</v>
      </c>
      <c r="M14" t="s">
        <v>56</v>
      </c>
    </row>
    <row r="15" spans="1:13">
      <c r="A15" t="s">
        <v>13</v>
      </c>
      <c r="B15">
        <v>13567</v>
      </c>
      <c r="C15">
        <v>13764</v>
      </c>
      <c r="E15" t="s">
        <v>35</v>
      </c>
      <c r="F15" t="s">
        <v>28</v>
      </c>
      <c r="H15">
        <v>0</v>
      </c>
      <c r="I15" t="s">
        <v>17</v>
      </c>
      <c r="K15" t="s">
        <v>57</v>
      </c>
      <c r="L15">
        <v>65</v>
      </c>
      <c r="M15" t="s">
        <v>58</v>
      </c>
    </row>
    <row r="16" spans="1:13">
      <c r="A16" t="s">
        <v>13</v>
      </c>
      <c r="B16">
        <v>13771</v>
      </c>
      <c r="C16">
        <v>15750</v>
      </c>
      <c r="E16" t="s">
        <v>14</v>
      </c>
      <c r="F16" t="s">
        <v>59</v>
      </c>
      <c r="G16" t="s">
        <v>60</v>
      </c>
      <c r="H16">
        <v>0</v>
      </c>
      <c r="I16" t="s">
        <v>17</v>
      </c>
      <c r="K16" t="s">
        <v>61</v>
      </c>
      <c r="L16">
        <v>659</v>
      </c>
      <c r="M16" t="s">
        <v>62</v>
      </c>
    </row>
    <row r="17" spans="1:13">
      <c r="A17" t="s">
        <v>13</v>
      </c>
      <c r="B17">
        <v>15841</v>
      </c>
      <c r="C17">
        <v>16326</v>
      </c>
      <c r="E17" t="s">
        <v>14</v>
      </c>
      <c r="F17" t="s">
        <v>63</v>
      </c>
      <c r="H17">
        <v>0</v>
      </c>
      <c r="I17" t="s">
        <v>17</v>
      </c>
      <c r="K17" t="s">
        <v>64</v>
      </c>
      <c r="L17">
        <v>161</v>
      </c>
      <c r="M17" t="s">
        <v>65</v>
      </c>
    </row>
    <row r="18" spans="1:13">
      <c r="A18" t="s">
        <v>13</v>
      </c>
      <c r="B18">
        <v>16327</v>
      </c>
      <c r="C18">
        <v>16875</v>
      </c>
      <c r="E18" t="s">
        <v>35</v>
      </c>
      <c r="F18" t="s">
        <v>66</v>
      </c>
      <c r="H18">
        <v>0</v>
      </c>
      <c r="I18" t="s">
        <v>17</v>
      </c>
      <c r="K18" t="s">
        <v>67</v>
      </c>
      <c r="L18">
        <v>182</v>
      </c>
      <c r="M18" t="s">
        <v>68</v>
      </c>
    </row>
    <row r="19" spans="1:13">
      <c r="A19" t="s">
        <v>13</v>
      </c>
      <c r="B19">
        <v>16875</v>
      </c>
      <c r="C19">
        <v>17777</v>
      </c>
      <c r="E19" t="s">
        <v>35</v>
      </c>
      <c r="F19" t="s">
        <v>69</v>
      </c>
      <c r="G19" t="s">
        <v>70</v>
      </c>
      <c r="H19">
        <v>0</v>
      </c>
      <c r="I19" t="s">
        <v>17</v>
      </c>
      <c r="K19" t="s">
        <v>71</v>
      </c>
      <c r="L19">
        <v>300</v>
      </c>
      <c r="M19" t="s">
        <v>72</v>
      </c>
    </row>
    <row r="20" spans="1:13">
      <c r="A20" t="s">
        <v>13</v>
      </c>
      <c r="B20">
        <v>17947</v>
      </c>
      <c r="C20">
        <v>18020</v>
      </c>
      <c r="E20" t="s">
        <v>14</v>
      </c>
      <c r="F20" t="s">
        <v>55</v>
      </c>
      <c r="H20">
        <v>0</v>
      </c>
      <c r="I20" t="s">
        <v>53</v>
      </c>
      <c r="M20" t="s">
        <v>73</v>
      </c>
    </row>
    <row r="21" spans="1:13">
      <c r="A21" t="s">
        <v>13</v>
      </c>
      <c r="B21">
        <v>18073</v>
      </c>
      <c r="C21">
        <v>18546</v>
      </c>
      <c r="E21" t="s">
        <v>35</v>
      </c>
      <c r="F21" t="s">
        <v>74</v>
      </c>
      <c r="G21" t="s">
        <v>75</v>
      </c>
      <c r="H21">
        <v>0</v>
      </c>
      <c r="I21" t="s">
        <v>17</v>
      </c>
      <c r="K21" t="s">
        <v>76</v>
      </c>
      <c r="L21">
        <v>157</v>
      </c>
      <c r="M21" t="s">
        <v>77</v>
      </c>
    </row>
    <row r="22" spans="1:13">
      <c r="A22" t="s">
        <v>13</v>
      </c>
      <c r="B22">
        <v>18582</v>
      </c>
      <c r="C22">
        <v>18785</v>
      </c>
      <c r="E22" t="s">
        <v>35</v>
      </c>
      <c r="F22" t="s">
        <v>28</v>
      </c>
      <c r="H22">
        <v>0</v>
      </c>
      <c r="I22" t="s">
        <v>17</v>
      </c>
      <c r="K22" t="s">
        <v>78</v>
      </c>
      <c r="L22">
        <v>67</v>
      </c>
      <c r="M22" t="s">
        <v>79</v>
      </c>
    </row>
    <row r="23" spans="1:13">
      <c r="A23" t="s">
        <v>13</v>
      </c>
      <c r="B23">
        <v>18904</v>
      </c>
      <c r="C23">
        <v>19644</v>
      </c>
      <c r="E23" t="s">
        <v>35</v>
      </c>
      <c r="F23" t="s">
        <v>28</v>
      </c>
      <c r="H23">
        <v>0</v>
      </c>
      <c r="I23" t="s">
        <v>17</v>
      </c>
      <c r="K23" t="s">
        <v>80</v>
      </c>
      <c r="L23">
        <v>246</v>
      </c>
      <c r="M23" t="s">
        <v>81</v>
      </c>
    </row>
    <row r="24" spans="1:13">
      <c r="A24" t="s">
        <v>13</v>
      </c>
      <c r="B24">
        <v>19931</v>
      </c>
      <c r="C24">
        <v>20863</v>
      </c>
      <c r="E24" t="s">
        <v>14</v>
      </c>
      <c r="F24" t="s">
        <v>82</v>
      </c>
      <c r="G24" t="s">
        <v>83</v>
      </c>
      <c r="H24">
        <v>0</v>
      </c>
      <c r="I24" t="s">
        <v>17</v>
      </c>
      <c r="K24" t="s">
        <v>84</v>
      </c>
      <c r="L24">
        <v>310</v>
      </c>
      <c r="M24" t="s">
        <v>85</v>
      </c>
    </row>
    <row r="25" spans="1:13">
      <c r="A25" t="s">
        <v>13</v>
      </c>
      <c r="B25">
        <v>20850</v>
      </c>
      <c r="C25">
        <v>23120</v>
      </c>
      <c r="E25" t="s">
        <v>14</v>
      </c>
      <c r="F25" t="s">
        <v>86</v>
      </c>
      <c r="G25" t="s">
        <v>87</v>
      </c>
      <c r="H25">
        <v>0</v>
      </c>
      <c r="I25" t="s">
        <v>17</v>
      </c>
      <c r="K25" t="s">
        <v>88</v>
      </c>
      <c r="L25">
        <v>756</v>
      </c>
      <c r="M25" t="s">
        <v>89</v>
      </c>
    </row>
    <row r="26" spans="1:13">
      <c r="A26" t="s">
        <v>13</v>
      </c>
      <c r="B26">
        <v>23241</v>
      </c>
      <c r="C26">
        <v>24878</v>
      </c>
      <c r="E26" t="s">
        <v>14</v>
      </c>
      <c r="F26" t="s">
        <v>90</v>
      </c>
      <c r="G26" t="s">
        <v>91</v>
      </c>
      <c r="H26">
        <v>0</v>
      </c>
      <c r="I26" t="s">
        <v>17</v>
      </c>
      <c r="K26" t="s">
        <v>92</v>
      </c>
      <c r="L26">
        <v>545</v>
      </c>
      <c r="M26" t="s">
        <v>93</v>
      </c>
    </row>
    <row r="27" spans="1:13">
      <c r="A27" t="s">
        <v>13</v>
      </c>
      <c r="B27">
        <v>24949</v>
      </c>
      <c r="C27">
        <v>25479</v>
      </c>
      <c r="E27" t="s">
        <v>14</v>
      </c>
      <c r="F27" t="s">
        <v>94</v>
      </c>
      <c r="G27" t="s">
        <v>95</v>
      </c>
      <c r="H27">
        <v>0</v>
      </c>
      <c r="I27" t="s">
        <v>17</v>
      </c>
      <c r="K27" t="s">
        <v>96</v>
      </c>
      <c r="L27">
        <v>176</v>
      </c>
      <c r="M27" t="s">
        <v>97</v>
      </c>
    </row>
    <row r="28" spans="1:13">
      <c r="A28" t="s">
        <v>13</v>
      </c>
      <c r="B28">
        <v>25577</v>
      </c>
      <c r="C28">
        <v>26224</v>
      </c>
      <c r="E28" t="s">
        <v>14</v>
      </c>
      <c r="F28" t="s">
        <v>98</v>
      </c>
      <c r="G28" t="s">
        <v>99</v>
      </c>
      <c r="H28">
        <v>0</v>
      </c>
      <c r="I28" t="s">
        <v>17</v>
      </c>
      <c r="K28" t="s">
        <v>100</v>
      </c>
      <c r="L28">
        <v>215</v>
      </c>
      <c r="M28" t="s">
        <v>101</v>
      </c>
    </row>
    <row r="29" spans="1:13">
      <c r="A29" t="s">
        <v>13</v>
      </c>
      <c r="B29">
        <v>26531</v>
      </c>
      <c r="C29">
        <v>27946</v>
      </c>
      <c r="E29" t="s">
        <v>14</v>
      </c>
      <c r="F29" t="s">
        <v>28</v>
      </c>
      <c r="H29">
        <v>0</v>
      </c>
      <c r="I29" t="s">
        <v>17</v>
      </c>
      <c r="K29" t="s">
        <v>102</v>
      </c>
      <c r="L29">
        <v>471</v>
      </c>
      <c r="M29" t="s">
        <v>103</v>
      </c>
    </row>
    <row r="30" spans="1:13">
      <c r="A30" t="s">
        <v>13</v>
      </c>
      <c r="B30">
        <v>27936</v>
      </c>
      <c r="C30">
        <v>28538</v>
      </c>
      <c r="E30" t="s">
        <v>35</v>
      </c>
      <c r="F30" t="s">
        <v>28</v>
      </c>
      <c r="H30">
        <v>0</v>
      </c>
      <c r="I30" t="s">
        <v>17</v>
      </c>
      <c r="K30" t="s">
        <v>104</v>
      </c>
      <c r="L30">
        <v>200</v>
      </c>
      <c r="M30" t="s">
        <v>105</v>
      </c>
    </row>
    <row r="31" spans="1:13">
      <c r="A31" t="s">
        <v>13</v>
      </c>
      <c r="B31">
        <v>28887</v>
      </c>
      <c r="C31">
        <v>29195</v>
      </c>
      <c r="E31" t="s">
        <v>35</v>
      </c>
      <c r="F31" t="s">
        <v>28</v>
      </c>
      <c r="H31">
        <v>0</v>
      </c>
      <c r="I31" t="s">
        <v>17</v>
      </c>
      <c r="K31" t="s">
        <v>106</v>
      </c>
      <c r="L31">
        <v>102</v>
      </c>
      <c r="M31" t="s">
        <v>107</v>
      </c>
    </row>
    <row r="32" spans="1:13">
      <c r="A32" t="s">
        <v>13</v>
      </c>
      <c r="B32">
        <v>29508</v>
      </c>
      <c r="C32">
        <v>30683</v>
      </c>
      <c r="E32" t="s">
        <v>14</v>
      </c>
      <c r="F32" t="s">
        <v>108</v>
      </c>
      <c r="G32" t="s">
        <v>109</v>
      </c>
      <c r="H32">
        <v>0</v>
      </c>
      <c r="I32" t="s">
        <v>17</v>
      </c>
      <c r="K32" t="s">
        <v>110</v>
      </c>
      <c r="L32">
        <v>391</v>
      </c>
      <c r="M32" t="s">
        <v>111</v>
      </c>
    </row>
    <row r="33" spans="1:13">
      <c r="A33" t="s">
        <v>13</v>
      </c>
      <c r="B33">
        <v>30694</v>
      </c>
      <c r="C33">
        <v>31458</v>
      </c>
      <c r="E33" t="s">
        <v>14</v>
      </c>
      <c r="F33" t="s">
        <v>112</v>
      </c>
      <c r="G33" t="s">
        <v>113</v>
      </c>
      <c r="H33">
        <v>0</v>
      </c>
      <c r="I33" t="s">
        <v>17</v>
      </c>
      <c r="K33" t="s">
        <v>114</v>
      </c>
      <c r="L33">
        <v>254</v>
      </c>
      <c r="M33" t="s">
        <v>115</v>
      </c>
    </row>
    <row r="34" spans="1:13">
      <c r="A34" t="s">
        <v>13</v>
      </c>
      <c r="B34">
        <v>31501</v>
      </c>
      <c r="C34">
        <v>33603</v>
      </c>
      <c r="E34" t="s">
        <v>14</v>
      </c>
      <c r="F34" t="s">
        <v>116</v>
      </c>
      <c r="G34" t="s">
        <v>117</v>
      </c>
      <c r="H34">
        <v>0</v>
      </c>
      <c r="I34" t="s">
        <v>17</v>
      </c>
      <c r="K34" t="s">
        <v>118</v>
      </c>
      <c r="L34">
        <v>700</v>
      </c>
      <c r="M34" t="s">
        <v>119</v>
      </c>
    </row>
    <row r="35" spans="1:13">
      <c r="A35" t="s">
        <v>13</v>
      </c>
      <c r="B35">
        <v>33670</v>
      </c>
      <c r="C35">
        <v>33942</v>
      </c>
      <c r="E35" t="s">
        <v>35</v>
      </c>
      <c r="F35" t="s">
        <v>120</v>
      </c>
      <c r="G35" t="s">
        <v>121</v>
      </c>
      <c r="H35">
        <v>0</v>
      </c>
      <c r="I35" t="s">
        <v>17</v>
      </c>
      <c r="K35" t="s">
        <v>122</v>
      </c>
      <c r="L35">
        <v>90</v>
      </c>
      <c r="M35" t="s">
        <v>123</v>
      </c>
    </row>
    <row r="36" spans="1:13">
      <c r="A36" t="s">
        <v>13</v>
      </c>
      <c r="B36">
        <v>34013</v>
      </c>
      <c r="C36">
        <v>35965</v>
      </c>
      <c r="E36" t="s">
        <v>35</v>
      </c>
      <c r="F36" t="s">
        <v>124</v>
      </c>
      <c r="G36" t="s">
        <v>125</v>
      </c>
      <c r="H36">
        <v>0</v>
      </c>
      <c r="I36" t="s">
        <v>17</v>
      </c>
      <c r="K36" t="s">
        <v>126</v>
      </c>
      <c r="L36">
        <v>650</v>
      </c>
      <c r="M36" t="s">
        <v>127</v>
      </c>
    </row>
    <row r="37" spans="1:13">
      <c r="A37" t="s">
        <v>13</v>
      </c>
      <c r="B37">
        <v>35969</v>
      </c>
      <c r="C37">
        <v>37477</v>
      </c>
      <c r="E37" t="s">
        <v>35</v>
      </c>
      <c r="F37" t="s">
        <v>128</v>
      </c>
      <c r="G37" t="s">
        <v>129</v>
      </c>
      <c r="H37">
        <v>0</v>
      </c>
      <c r="I37" t="s">
        <v>17</v>
      </c>
      <c r="K37" t="s">
        <v>130</v>
      </c>
      <c r="L37">
        <v>502</v>
      </c>
      <c r="M37" t="s">
        <v>131</v>
      </c>
    </row>
    <row r="38" spans="1:13">
      <c r="A38" t="s">
        <v>13</v>
      </c>
      <c r="B38">
        <v>37477</v>
      </c>
      <c r="C38">
        <v>38907</v>
      </c>
      <c r="E38" t="s">
        <v>35</v>
      </c>
      <c r="F38" t="s">
        <v>132</v>
      </c>
      <c r="G38" t="s">
        <v>133</v>
      </c>
      <c r="H38">
        <v>0</v>
      </c>
      <c r="I38" t="s">
        <v>17</v>
      </c>
      <c r="K38" t="s">
        <v>134</v>
      </c>
      <c r="L38">
        <v>476</v>
      </c>
      <c r="M38" t="s">
        <v>135</v>
      </c>
    </row>
    <row r="39" spans="1:13">
      <c r="A39" t="s">
        <v>13</v>
      </c>
      <c r="B39">
        <v>38904</v>
      </c>
      <c r="C39">
        <v>40256</v>
      </c>
      <c r="E39" t="s">
        <v>35</v>
      </c>
      <c r="F39" t="s">
        <v>136</v>
      </c>
      <c r="G39" t="s">
        <v>137</v>
      </c>
      <c r="H39">
        <v>0</v>
      </c>
      <c r="I39" t="s">
        <v>17</v>
      </c>
      <c r="K39" t="s">
        <v>138</v>
      </c>
      <c r="L39">
        <v>450</v>
      </c>
      <c r="M39" t="s">
        <v>139</v>
      </c>
    </row>
    <row r="40" spans="1:13">
      <c r="A40" t="s">
        <v>13</v>
      </c>
      <c r="B40">
        <v>40260</v>
      </c>
      <c r="C40">
        <v>41624</v>
      </c>
      <c r="E40" t="s">
        <v>35</v>
      </c>
      <c r="F40" t="s">
        <v>140</v>
      </c>
      <c r="G40" t="s">
        <v>141</v>
      </c>
      <c r="H40">
        <v>0</v>
      </c>
      <c r="I40" t="s">
        <v>17</v>
      </c>
      <c r="K40" t="s">
        <v>142</v>
      </c>
      <c r="L40">
        <v>454</v>
      </c>
      <c r="M40" t="s">
        <v>143</v>
      </c>
    </row>
    <row r="41" spans="1:13">
      <c r="A41" t="s">
        <v>13</v>
      </c>
      <c r="B41">
        <v>41621</v>
      </c>
      <c r="C41">
        <v>42073</v>
      </c>
      <c r="E41" t="s">
        <v>35</v>
      </c>
      <c r="F41" t="s">
        <v>144</v>
      </c>
      <c r="G41" t="s">
        <v>145</v>
      </c>
      <c r="H41">
        <v>0</v>
      </c>
      <c r="I41" t="s">
        <v>17</v>
      </c>
      <c r="K41" t="s">
        <v>146</v>
      </c>
      <c r="L41">
        <v>150</v>
      </c>
      <c r="M41" t="s">
        <v>147</v>
      </c>
    </row>
    <row r="42" spans="1:13">
      <c r="A42" t="s">
        <v>13</v>
      </c>
      <c r="B42">
        <v>42099</v>
      </c>
      <c r="C42">
        <v>42932</v>
      </c>
      <c r="E42" t="s">
        <v>35</v>
      </c>
      <c r="F42" t="s">
        <v>148</v>
      </c>
      <c r="G42" t="s">
        <v>149</v>
      </c>
      <c r="H42">
        <v>0</v>
      </c>
      <c r="I42" t="s">
        <v>17</v>
      </c>
      <c r="K42" t="s">
        <v>150</v>
      </c>
      <c r="L42">
        <v>277</v>
      </c>
      <c r="M42" t="s">
        <v>151</v>
      </c>
    </row>
    <row r="43" spans="1:13">
      <c r="A43" t="s">
        <v>13</v>
      </c>
      <c r="B43">
        <v>43141</v>
      </c>
      <c r="C43">
        <v>43226</v>
      </c>
      <c r="E43" t="s">
        <v>14</v>
      </c>
      <c r="F43" t="s">
        <v>152</v>
      </c>
      <c r="H43">
        <v>0</v>
      </c>
      <c r="I43" t="s">
        <v>53</v>
      </c>
      <c r="M43" t="s">
        <v>153</v>
      </c>
    </row>
    <row r="44" spans="1:13">
      <c r="A44" t="s">
        <v>13</v>
      </c>
      <c r="B44">
        <v>43530</v>
      </c>
      <c r="C44">
        <v>43619</v>
      </c>
      <c r="E44" t="s">
        <v>35</v>
      </c>
      <c r="F44" t="s">
        <v>28</v>
      </c>
      <c r="H44">
        <v>0</v>
      </c>
      <c r="I44" t="s">
        <v>17</v>
      </c>
      <c r="K44" t="s">
        <v>154</v>
      </c>
      <c r="L44">
        <v>29</v>
      </c>
      <c r="M44" t="s">
        <v>155</v>
      </c>
    </row>
    <row r="45" spans="1:13">
      <c r="A45" t="s">
        <v>13</v>
      </c>
      <c r="B45">
        <v>44696</v>
      </c>
      <c r="C45">
        <v>45310</v>
      </c>
      <c r="E45" t="s">
        <v>35</v>
      </c>
      <c r="F45" t="s">
        <v>28</v>
      </c>
      <c r="H45">
        <v>0</v>
      </c>
      <c r="I45" t="s">
        <v>17</v>
      </c>
      <c r="K45" t="s">
        <v>156</v>
      </c>
      <c r="L45">
        <v>204</v>
      </c>
      <c r="M45" t="s">
        <v>157</v>
      </c>
    </row>
    <row r="46" spans="1:13">
      <c r="A46" t="s">
        <v>13</v>
      </c>
      <c r="B46">
        <v>45358</v>
      </c>
      <c r="C46">
        <v>47592</v>
      </c>
      <c r="E46" t="s">
        <v>35</v>
      </c>
      <c r="F46" t="s">
        <v>59</v>
      </c>
      <c r="G46" t="s">
        <v>158</v>
      </c>
      <c r="H46">
        <v>0</v>
      </c>
      <c r="I46" t="s">
        <v>17</v>
      </c>
      <c r="K46" t="s">
        <v>159</v>
      </c>
      <c r="L46">
        <v>744</v>
      </c>
      <c r="M46" t="s">
        <v>160</v>
      </c>
    </row>
    <row r="47" spans="1:13">
      <c r="A47" t="s">
        <v>13</v>
      </c>
      <c r="B47">
        <v>47644</v>
      </c>
      <c r="C47">
        <v>47970</v>
      </c>
      <c r="E47" t="s">
        <v>35</v>
      </c>
      <c r="F47" t="s">
        <v>161</v>
      </c>
      <c r="H47">
        <v>0</v>
      </c>
      <c r="I47" t="s">
        <v>17</v>
      </c>
      <c r="K47" t="s">
        <v>162</v>
      </c>
      <c r="L47">
        <v>108</v>
      </c>
      <c r="M47" t="s">
        <v>163</v>
      </c>
    </row>
    <row r="48" spans="1:13">
      <c r="A48" t="s">
        <v>13</v>
      </c>
      <c r="B48">
        <v>48085</v>
      </c>
      <c r="C48">
        <v>49212</v>
      </c>
      <c r="E48" t="s">
        <v>35</v>
      </c>
      <c r="F48" t="s">
        <v>164</v>
      </c>
      <c r="G48" t="s">
        <v>165</v>
      </c>
      <c r="H48">
        <v>0</v>
      </c>
      <c r="I48" t="s">
        <v>17</v>
      </c>
      <c r="K48" t="s">
        <v>166</v>
      </c>
      <c r="L48">
        <v>375</v>
      </c>
      <c r="M48" t="s">
        <v>167</v>
      </c>
    </row>
    <row r="49" spans="1:13">
      <c r="A49" t="s">
        <v>13</v>
      </c>
      <c r="B49">
        <v>49209</v>
      </c>
      <c r="C49">
        <v>49931</v>
      </c>
      <c r="E49" t="s">
        <v>35</v>
      </c>
      <c r="F49" t="s">
        <v>168</v>
      </c>
      <c r="G49" t="s">
        <v>169</v>
      </c>
      <c r="H49">
        <v>0</v>
      </c>
      <c r="I49" t="s">
        <v>17</v>
      </c>
      <c r="K49" t="s">
        <v>170</v>
      </c>
      <c r="L49">
        <v>240</v>
      </c>
      <c r="M49" t="s">
        <v>171</v>
      </c>
    </row>
    <row r="50" spans="1:13">
      <c r="A50" t="s">
        <v>13</v>
      </c>
      <c r="B50">
        <v>50337</v>
      </c>
      <c r="C50">
        <v>50912</v>
      </c>
      <c r="E50" t="s">
        <v>14</v>
      </c>
      <c r="F50" t="s">
        <v>28</v>
      </c>
      <c r="H50">
        <v>0</v>
      </c>
      <c r="I50" t="s">
        <v>17</v>
      </c>
      <c r="K50" t="s">
        <v>172</v>
      </c>
      <c r="L50">
        <v>191</v>
      </c>
      <c r="M50" t="s">
        <v>173</v>
      </c>
    </row>
    <row r="51" spans="1:13">
      <c r="A51" t="s">
        <v>13</v>
      </c>
      <c r="B51">
        <v>50984</v>
      </c>
      <c r="C51">
        <v>52465</v>
      </c>
      <c r="E51" t="s">
        <v>14</v>
      </c>
      <c r="F51" t="s">
        <v>174</v>
      </c>
      <c r="G51" t="s">
        <v>175</v>
      </c>
      <c r="H51">
        <v>0</v>
      </c>
      <c r="I51" t="s">
        <v>17</v>
      </c>
      <c r="K51" t="s">
        <v>176</v>
      </c>
      <c r="L51">
        <v>493</v>
      </c>
      <c r="M51" t="s">
        <v>177</v>
      </c>
    </row>
    <row r="52" spans="1:13">
      <c r="A52" t="s">
        <v>13</v>
      </c>
      <c r="B52">
        <v>53031</v>
      </c>
      <c r="C52">
        <v>53585</v>
      </c>
      <c r="E52" t="s">
        <v>14</v>
      </c>
      <c r="F52" t="s">
        <v>178</v>
      </c>
      <c r="H52">
        <v>0</v>
      </c>
      <c r="I52" t="s">
        <v>17</v>
      </c>
      <c r="K52" t="s">
        <v>179</v>
      </c>
      <c r="L52">
        <v>184</v>
      </c>
      <c r="M52" t="s">
        <v>180</v>
      </c>
    </row>
    <row r="53" spans="1:13">
      <c r="A53" t="s">
        <v>13</v>
      </c>
      <c r="B53">
        <v>53597</v>
      </c>
      <c r="C53">
        <v>53824</v>
      </c>
      <c r="E53" t="s">
        <v>14</v>
      </c>
      <c r="F53" t="s">
        <v>28</v>
      </c>
      <c r="H53">
        <v>0</v>
      </c>
      <c r="I53" t="s">
        <v>17</v>
      </c>
      <c r="K53" t="s">
        <v>181</v>
      </c>
      <c r="L53">
        <v>75</v>
      </c>
      <c r="M53" t="s">
        <v>182</v>
      </c>
    </row>
    <row r="54" spans="1:13">
      <c r="A54" t="s">
        <v>13</v>
      </c>
      <c r="B54">
        <v>53873</v>
      </c>
      <c r="C54">
        <v>54064</v>
      </c>
      <c r="E54" t="s">
        <v>35</v>
      </c>
      <c r="F54" t="s">
        <v>28</v>
      </c>
      <c r="H54">
        <v>0</v>
      </c>
      <c r="I54" t="s">
        <v>17</v>
      </c>
      <c r="K54" t="s">
        <v>183</v>
      </c>
      <c r="L54">
        <v>63</v>
      </c>
      <c r="M54" t="s">
        <v>184</v>
      </c>
    </row>
    <row r="55" spans="1:13">
      <c r="A55" t="s">
        <v>13</v>
      </c>
      <c r="B55">
        <v>54114</v>
      </c>
      <c r="C55">
        <v>54692</v>
      </c>
      <c r="E55" t="s">
        <v>35</v>
      </c>
      <c r="F55" t="s">
        <v>185</v>
      </c>
      <c r="H55">
        <v>0</v>
      </c>
      <c r="I55" t="s">
        <v>17</v>
      </c>
      <c r="K55" t="s">
        <v>186</v>
      </c>
      <c r="L55">
        <v>192</v>
      </c>
      <c r="M55" t="s">
        <v>187</v>
      </c>
    </row>
    <row r="56" spans="1:13">
      <c r="A56" t="s">
        <v>13</v>
      </c>
      <c r="B56">
        <v>54724</v>
      </c>
      <c r="C56">
        <v>55920</v>
      </c>
      <c r="E56" t="s">
        <v>35</v>
      </c>
      <c r="F56" t="s">
        <v>28</v>
      </c>
      <c r="H56">
        <v>0</v>
      </c>
      <c r="I56" t="s">
        <v>17</v>
      </c>
      <c r="K56" t="s">
        <v>188</v>
      </c>
      <c r="L56">
        <v>398</v>
      </c>
      <c r="M56" t="s">
        <v>189</v>
      </c>
    </row>
    <row r="57" spans="1:13">
      <c r="A57" t="s">
        <v>13</v>
      </c>
      <c r="B57">
        <v>56086</v>
      </c>
      <c r="C57">
        <v>56427</v>
      </c>
      <c r="E57" t="s">
        <v>14</v>
      </c>
      <c r="F57" t="s">
        <v>28</v>
      </c>
      <c r="H57">
        <v>0</v>
      </c>
      <c r="I57" t="s">
        <v>17</v>
      </c>
      <c r="K57" t="s">
        <v>190</v>
      </c>
      <c r="L57">
        <v>113</v>
      </c>
      <c r="M57" t="s">
        <v>191</v>
      </c>
    </row>
    <row r="58" spans="1:13">
      <c r="A58" t="s">
        <v>13</v>
      </c>
      <c r="B58">
        <v>56427</v>
      </c>
      <c r="C58">
        <v>57257</v>
      </c>
      <c r="E58" t="s">
        <v>14</v>
      </c>
      <c r="F58" t="s">
        <v>28</v>
      </c>
      <c r="H58">
        <v>0</v>
      </c>
      <c r="I58" t="s">
        <v>17</v>
      </c>
      <c r="K58" t="s">
        <v>192</v>
      </c>
      <c r="L58">
        <v>276</v>
      </c>
      <c r="M58" t="s">
        <v>193</v>
      </c>
    </row>
    <row r="59" spans="1:13">
      <c r="A59" t="s">
        <v>13</v>
      </c>
      <c r="B59">
        <v>57235</v>
      </c>
      <c r="C59">
        <v>57540</v>
      </c>
      <c r="E59" t="s">
        <v>14</v>
      </c>
      <c r="F59" t="s">
        <v>194</v>
      </c>
      <c r="H59">
        <v>0</v>
      </c>
      <c r="I59" t="s">
        <v>17</v>
      </c>
      <c r="K59" t="s">
        <v>195</v>
      </c>
      <c r="L59">
        <v>101</v>
      </c>
      <c r="M59" t="s">
        <v>196</v>
      </c>
    </row>
    <row r="60" spans="1:13">
      <c r="A60" t="s">
        <v>13</v>
      </c>
      <c r="B60">
        <v>57555</v>
      </c>
      <c r="C60">
        <v>58862</v>
      </c>
      <c r="E60" t="s">
        <v>35</v>
      </c>
      <c r="F60" t="s">
        <v>197</v>
      </c>
      <c r="G60" t="s">
        <v>198</v>
      </c>
      <c r="H60">
        <v>0</v>
      </c>
      <c r="I60" t="s">
        <v>17</v>
      </c>
      <c r="K60" t="s">
        <v>199</v>
      </c>
      <c r="L60">
        <v>435</v>
      </c>
      <c r="M60" t="s">
        <v>200</v>
      </c>
    </row>
    <row r="61" spans="1:13">
      <c r="A61" t="s">
        <v>13</v>
      </c>
      <c r="B61">
        <v>58928</v>
      </c>
      <c r="C61">
        <v>59920</v>
      </c>
      <c r="E61" t="s">
        <v>14</v>
      </c>
      <c r="F61" t="s">
        <v>201</v>
      </c>
      <c r="G61" t="s">
        <v>202</v>
      </c>
      <c r="H61">
        <v>0</v>
      </c>
      <c r="I61" t="s">
        <v>17</v>
      </c>
      <c r="K61" t="s">
        <v>203</v>
      </c>
      <c r="L61">
        <v>330</v>
      </c>
      <c r="M61" t="s">
        <v>204</v>
      </c>
    </row>
    <row r="62" spans="1:13">
      <c r="A62" t="s">
        <v>13</v>
      </c>
      <c r="B62">
        <v>59920</v>
      </c>
      <c r="C62">
        <v>60183</v>
      </c>
      <c r="E62" t="s">
        <v>14</v>
      </c>
      <c r="F62" t="s">
        <v>28</v>
      </c>
      <c r="H62">
        <v>0</v>
      </c>
      <c r="I62" t="s">
        <v>17</v>
      </c>
      <c r="K62" t="s">
        <v>205</v>
      </c>
      <c r="L62">
        <v>87</v>
      </c>
      <c r="M62" t="s">
        <v>206</v>
      </c>
    </row>
    <row r="63" spans="1:13">
      <c r="A63" t="s">
        <v>13</v>
      </c>
      <c r="B63">
        <v>60689</v>
      </c>
      <c r="C63">
        <v>61525</v>
      </c>
      <c r="E63" t="s">
        <v>14</v>
      </c>
      <c r="F63" t="s">
        <v>28</v>
      </c>
      <c r="H63">
        <v>0</v>
      </c>
      <c r="I63" t="s">
        <v>17</v>
      </c>
      <c r="K63" t="s">
        <v>207</v>
      </c>
      <c r="L63">
        <v>278</v>
      </c>
      <c r="M63" t="s">
        <v>208</v>
      </c>
    </row>
    <row r="64" spans="1:13">
      <c r="A64" t="s">
        <v>13</v>
      </c>
      <c r="B64">
        <v>61536</v>
      </c>
      <c r="C64">
        <v>62459</v>
      </c>
      <c r="E64" t="s">
        <v>14</v>
      </c>
      <c r="F64" t="s">
        <v>209</v>
      </c>
      <c r="G64" t="s">
        <v>210</v>
      </c>
      <c r="H64">
        <v>0</v>
      </c>
      <c r="I64" t="s">
        <v>17</v>
      </c>
      <c r="K64" t="s">
        <v>211</v>
      </c>
      <c r="L64">
        <v>307</v>
      </c>
      <c r="M64" t="s">
        <v>212</v>
      </c>
    </row>
    <row r="65" spans="1:13">
      <c r="A65" t="s">
        <v>13</v>
      </c>
      <c r="B65">
        <v>62460</v>
      </c>
      <c r="C65">
        <v>63473</v>
      </c>
      <c r="E65" t="s">
        <v>35</v>
      </c>
      <c r="F65" t="s">
        <v>213</v>
      </c>
      <c r="G65" t="s">
        <v>214</v>
      </c>
      <c r="H65">
        <v>0</v>
      </c>
      <c r="I65" t="s">
        <v>17</v>
      </c>
      <c r="K65" t="s">
        <v>215</v>
      </c>
      <c r="L65">
        <v>337</v>
      </c>
      <c r="M65" t="s">
        <v>216</v>
      </c>
    </row>
    <row r="66" spans="1:13">
      <c r="A66" t="s">
        <v>13</v>
      </c>
      <c r="B66">
        <v>63768</v>
      </c>
      <c r="C66">
        <v>65171</v>
      </c>
      <c r="E66" t="s">
        <v>14</v>
      </c>
      <c r="F66" t="s">
        <v>217</v>
      </c>
      <c r="G66" t="s">
        <v>218</v>
      </c>
      <c r="H66">
        <v>0</v>
      </c>
      <c r="I66" t="s">
        <v>17</v>
      </c>
      <c r="K66" t="s">
        <v>219</v>
      </c>
      <c r="L66">
        <v>467</v>
      </c>
      <c r="M66" t="s">
        <v>220</v>
      </c>
    </row>
    <row r="67" spans="1:13">
      <c r="A67" t="s">
        <v>13</v>
      </c>
      <c r="B67">
        <v>65244</v>
      </c>
      <c r="C67">
        <v>65756</v>
      </c>
      <c r="E67" t="s">
        <v>14</v>
      </c>
      <c r="F67" t="s">
        <v>221</v>
      </c>
      <c r="H67">
        <v>0</v>
      </c>
      <c r="I67" t="s">
        <v>17</v>
      </c>
      <c r="K67" t="s">
        <v>222</v>
      </c>
      <c r="L67">
        <v>170</v>
      </c>
      <c r="M67" t="s">
        <v>223</v>
      </c>
    </row>
    <row r="68" spans="1:13">
      <c r="A68" t="s">
        <v>13</v>
      </c>
      <c r="B68">
        <v>65778</v>
      </c>
      <c r="C68">
        <v>67259</v>
      </c>
      <c r="E68" t="s">
        <v>14</v>
      </c>
      <c r="F68" t="s">
        <v>224</v>
      </c>
      <c r="G68" t="s">
        <v>225</v>
      </c>
      <c r="H68">
        <v>0</v>
      </c>
      <c r="I68" t="s">
        <v>17</v>
      </c>
      <c r="K68" t="s">
        <v>226</v>
      </c>
      <c r="L68">
        <v>493</v>
      </c>
      <c r="M68" t="s">
        <v>227</v>
      </c>
    </row>
    <row r="69" spans="1:13">
      <c r="A69" t="s">
        <v>13</v>
      </c>
      <c r="B69">
        <v>67545</v>
      </c>
      <c r="C69">
        <v>68033</v>
      </c>
      <c r="E69" t="s">
        <v>14</v>
      </c>
      <c r="F69" t="s">
        <v>228</v>
      </c>
      <c r="G69" t="s">
        <v>229</v>
      </c>
      <c r="H69">
        <v>0</v>
      </c>
      <c r="I69" t="s">
        <v>17</v>
      </c>
      <c r="K69" t="s">
        <v>230</v>
      </c>
      <c r="L69">
        <v>162</v>
      </c>
      <c r="M69" t="s">
        <v>231</v>
      </c>
    </row>
    <row r="70" spans="1:13">
      <c r="A70" t="s">
        <v>13</v>
      </c>
      <c r="B70">
        <v>68108</v>
      </c>
      <c r="C70">
        <v>68461</v>
      </c>
      <c r="E70" t="s">
        <v>14</v>
      </c>
      <c r="F70" t="s">
        <v>28</v>
      </c>
      <c r="H70">
        <v>0</v>
      </c>
      <c r="I70" t="s">
        <v>17</v>
      </c>
      <c r="K70" t="s">
        <v>232</v>
      </c>
      <c r="L70">
        <v>117</v>
      </c>
      <c r="M70" t="s">
        <v>233</v>
      </c>
    </row>
    <row r="71" spans="1:13">
      <c r="A71" t="s">
        <v>13</v>
      </c>
      <c r="B71">
        <v>68474</v>
      </c>
      <c r="C71">
        <v>69070</v>
      </c>
      <c r="E71" t="s">
        <v>14</v>
      </c>
      <c r="F71" t="s">
        <v>234</v>
      </c>
      <c r="H71">
        <v>0</v>
      </c>
      <c r="I71" t="s">
        <v>17</v>
      </c>
      <c r="K71" t="s">
        <v>235</v>
      </c>
      <c r="L71">
        <v>198</v>
      </c>
      <c r="M71" t="s">
        <v>236</v>
      </c>
    </row>
    <row r="72" spans="1:13">
      <c r="A72" t="s">
        <v>13</v>
      </c>
      <c r="B72">
        <v>69053</v>
      </c>
      <c r="C72">
        <v>70186</v>
      </c>
      <c r="E72" t="s">
        <v>35</v>
      </c>
      <c r="F72" t="s">
        <v>237</v>
      </c>
      <c r="H72">
        <v>0</v>
      </c>
      <c r="I72" t="s">
        <v>17</v>
      </c>
      <c r="K72" t="s">
        <v>238</v>
      </c>
      <c r="L72">
        <v>377</v>
      </c>
      <c r="M72" t="s">
        <v>239</v>
      </c>
    </row>
    <row r="73" spans="1:13">
      <c r="A73" t="s">
        <v>13</v>
      </c>
      <c r="B73">
        <v>70283</v>
      </c>
      <c r="C73">
        <v>70864</v>
      </c>
      <c r="E73" t="s">
        <v>14</v>
      </c>
      <c r="F73" t="s">
        <v>240</v>
      </c>
      <c r="G73" t="s">
        <v>241</v>
      </c>
      <c r="H73">
        <v>0</v>
      </c>
      <c r="I73" t="s">
        <v>17</v>
      </c>
      <c r="K73" t="s">
        <v>242</v>
      </c>
      <c r="L73">
        <v>193</v>
      </c>
      <c r="M73" t="s">
        <v>243</v>
      </c>
    </row>
    <row r="74" spans="1:13">
      <c r="A74" t="s">
        <v>13</v>
      </c>
      <c r="B74">
        <v>70936</v>
      </c>
      <c r="C74">
        <v>72606</v>
      </c>
      <c r="E74" t="s">
        <v>14</v>
      </c>
      <c r="F74" t="s">
        <v>28</v>
      </c>
      <c r="H74">
        <v>0</v>
      </c>
      <c r="I74" t="s">
        <v>17</v>
      </c>
      <c r="K74" t="s">
        <v>244</v>
      </c>
      <c r="L74">
        <v>556</v>
      </c>
      <c r="M74" t="s">
        <v>245</v>
      </c>
    </row>
    <row r="75" spans="1:13">
      <c r="A75" t="s">
        <v>13</v>
      </c>
      <c r="B75">
        <v>72629</v>
      </c>
      <c r="C75">
        <v>73735</v>
      </c>
      <c r="E75" t="s">
        <v>35</v>
      </c>
      <c r="F75" t="s">
        <v>246</v>
      </c>
      <c r="H75">
        <v>0</v>
      </c>
      <c r="I75" t="s">
        <v>17</v>
      </c>
      <c r="K75" t="s">
        <v>247</v>
      </c>
      <c r="L75">
        <v>368</v>
      </c>
      <c r="M75" t="s">
        <v>248</v>
      </c>
    </row>
    <row r="76" spans="1:13">
      <c r="A76" t="s">
        <v>13</v>
      </c>
      <c r="B76">
        <v>73794</v>
      </c>
      <c r="C76">
        <v>74564</v>
      </c>
      <c r="E76" t="s">
        <v>14</v>
      </c>
      <c r="F76" t="s">
        <v>28</v>
      </c>
      <c r="H76">
        <v>0</v>
      </c>
      <c r="I76" t="s">
        <v>17</v>
      </c>
      <c r="K76" t="s">
        <v>249</v>
      </c>
      <c r="L76">
        <v>256</v>
      </c>
      <c r="M76" t="s">
        <v>250</v>
      </c>
    </row>
    <row r="77" spans="1:13">
      <c r="A77" t="s">
        <v>13</v>
      </c>
      <c r="B77">
        <v>74566</v>
      </c>
      <c r="C77">
        <v>76836</v>
      </c>
      <c r="E77" t="s">
        <v>35</v>
      </c>
      <c r="F77" t="s">
        <v>251</v>
      </c>
      <c r="G77" t="s">
        <v>252</v>
      </c>
      <c r="H77">
        <v>0</v>
      </c>
      <c r="I77" t="s">
        <v>17</v>
      </c>
      <c r="K77" t="s">
        <v>253</v>
      </c>
      <c r="L77">
        <v>756</v>
      </c>
      <c r="M77" t="s">
        <v>254</v>
      </c>
    </row>
    <row r="78" spans="1:13">
      <c r="A78" t="s">
        <v>13</v>
      </c>
      <c r="B78">
        <v>76837</v>
      </c>
      <c r="C78">
        <v>77502</v>
      </c>
      <c r="E78" t="s">
        <v>35</v>
      </c>
      <c r="F78" t="s">
        <v>255</v>
      </c>
      <c r="H78">
        <v>0</v>
      </c>
      <c r="I78" t="s">
        <v>17</v>
      </c>
      <c r="K78" t="s">
        <v>256</v>
      </c>
      <c r="L78">
        <v>221</v>
      </c>
      <c r="M78" t="s">
        <v>257</v>
      </c>
    </row>
    <row r="79" spans="1:13">
      <c r="A79" t="s">
        <v>13</v>
      </c>
      <c r="B79">
        <v>77542</v>
      </c>
      <c r="C79">
        <v>78225</v>
      </c>
      <c r="E79" t="s">
        <v>14</v>
      </c>
      <c r="F79" t="s">
        <v>258</v>
      </c>
      <c r="G79" t="s">
        <v>259</v>
      </c>
      <c r="H79">
        <v>0</v>
      </c>
      <c r="I79" t="s">
        <v>17</v>
      </c>
      <c r="K79" t="s">
        <v>260</v>
      </c>
      <c r="L79">
        <v>227</v>
      </c>
      <c r="M79" t="s">
        <v>261</v>
      </c>
    </row>
    <row r="80" spans="1:13">
      <c r="A80" t="s">
        <v>13</v>
      </c>
      <c r="B80">
        <v>78270</v>
      </c>
      <c r="C80">
        <v>78809</v>
      </c>
      <c r="E80" t="s">
        <v>14</v>
      </c>
      <c r="F80" t="s">
        <v>262</v>
      </c>
      <c r="G80" t="s">
        <v>263</v>
      </c>
      <c r="H80">
        <v>0</v>
      </c>
      <c r="I80" t="s">
        <v>17</v>
      </c>
      <c r="K80" t="s">
        <v>264</v>
      </c>
      <c r="L80">
        <v>179</v>
      </c>
      <c r="M80" t="s">
        <v>265</v>
      </c>
    </row>
    <row r="81" spans="1:13">
      <c r="A81" t="s">
        <v>13</v>
      </c>
      <c r="B81">
        <v>78846</v>
      </c>
      <c r="C81">
        <v>79565</v>
      </c>
      <c r="E81" t="s">
        <v>14</v>
      </c>
      <c r="F81" t="s">
        <v>266</v>
      </c>
      <c r="G81" t="s">
        <v>267</v>
      </c>
      <c r="H81">
        <v>0</v>
      </c>
      <c r="I81" t="s">
        <v>17</v>
      </c>
      <c r="K81" t="s">
        <v>268</v>
      </c>
      <c r="L81">
        <v>239</v>
      </c>
      <c r="M81" t="s">
        <v>269</v>
      </c>
    </row>
    <row r="82" spans="1:13">
      <c r="A82" t="s">
        <v>13</v>
      </c>
      <c r="B82">
        <v>79633</v>
      </c>
      <c r="C82">
        <v>81210</v>
      </c>
      <c r="E82" t="s">
        <v>35</v>
      </c>
      <c r="F82" t="s">
        <v>270</v>
      </c>
      <c r="G82" t="s">
        <v>271</v>
      </c>
      <c r="H82">
        <v>0</v>
      </c>
      <c r="I82" t="s">
        <v>17</v>
      </c>
      <c r="K82" t="s">
        <v>272</v>
      </c>
      <c r="L82">
        <v>525</v>
      </c>
      <c r="M82" t="s">
        <v>273</v>
      </c>
    </row>
    <row r="83" spans="1:13">
      <c r="A83" t="s">
        <v>13</v>
      </c>
      <c r="B83">
        <v>81256</v>
      </c>
      <c r="C83">
        <v>83496</v>
      </c>
      <c r="E83" t="s">
        <v>35</v>
      </c>
      <c r="F83" t="s">
        <v>274</v>
      </c>
      <c r="G83" t="s">
        <v>275</v>
      </c>
      <c r="H83">
        <v>0</v>
      </c>
      <c r="I83" t="s">
        <v>17</v>
      </c>
      <c r="K83" t="s">
        <v>276</v>
      </c>
      <c r="L83">
        <v>746</v>
      </c>
      <c r="M83" t="s">
        <v>277</v>
      </c>
    </row>
    <row r="84" spans="1:13">
      <c r="A84" t="s">
        <v>13</v>
      </c>
      <c r="B84">
        <v>83830</v>
      </c>
      <c r="C84">
        <v>85605</v>
      </c>
      <c r="E84" t="s">
        <v>14</v>
      </c>
      <c r="F84" t="s">
        <v>278</v>
      </c>
      <c r="G84" t="s">
        <v>279</v>
      </c>
      <c r="H84">
        <v>0</v>
      </c>
      <c r="I84" t="s">
        <v>17</v>
      </c>
      <c r="K84" t="s">
        <v>280</v>
      </c>
      <c r="L84">
        <v>591</v>
      </c>
      <c r="M84" t="s">
        <v>281</v>
      </c>
    </row>
    <row r="85" spans="1:13">
      <c r="A85" t="s">
        <v>13</v>
      </c>
      <c r="B85">
        <v>85786</v>
      </c>
      <c r="C85">
        <v>85914</v>
      </c>
      <c r="E85" t="s">
        <v>14</v>
      </c>
      <c r="F85" t="s">
        <v>28</v>
      </c>
      <c r="H85">
        <v>0</v>
      </c>
      <c r="I85" t="s">
        <v>17</v>
      </c>
      <c r="K85" t="s">
        <v>282</v>
      </c>
      <c r="L85">
        <v>42</v>
      </c>
      <c r="M85" t="s">
        <v>283</v>
      </c>
    </row>
    <row r="86" spans="1:13">
      <c r="A86" t="s">
        <v>13</v>
      </c>
      <c r="B86">
        <v>86202</v>
      </c>
      <c r="C86">
        <v>86390</v>
      </c>
      <c r="E86" t="s">
        <v>35</v>
      </c>
      <c r="F86" t="s">
        <v>28</v>
      </c>
      <c r="H86">
        <v>0</v>
      </c>
      <c r="I86" t="s">
        <v>17</v>
      </c>
      <c r="K86" t="s">
        <v>284</v>
      </c>
      <c r="L86">
        <v>62</v>
      </c>
      <c r="M86" t="s">
        <v>285</v>
      </c>
    </row>
    <row r="87" spans="1:13">
      <c r="A87" t="s">
        <v>13</v>
      </c>
      <c r="B87">
        <v>86492</v>
      </c>
      <c r="C87">
        <v>86851</v>
      </c>
      <c r="E87" t="s">
        <v>14</v>
      </c>
      <c r="F87" t="s">
        <v>286</v>
      </c>
      <c r="G87" t="s">
        <v>287</v>
      </c>
      <c r="H87">
        <v>0</v>
      </c>
      <c r="I87" t="s">
        <v>17</v>
      </c>
      <c r="K87" t="s">
        <v>288</v>
      </c>
      <c r="L87">
        <v>119</v>
      </c>
      <c r="M87" t="s">
        <v>289</v>
      </c>
    </row>
    <row r="88" spans="1:13">
      <c r="A88" t="s">
        <v>13</v>
      </c>
      <c r="B88">
        <v>86848</v>
      </c>
      <c r="C88">
        <v>88727</v>
      </c>
      <c r="E88" t="s">
        <v>14</v>
      </c>
      <c r="F88" t="s">
        <v>290</v>
      </c>
      <c r="G88" t="s">
        <v>291</v>
      </c>
      <c r="H88">
        <v>0</v>
      </c>
      <c r="I88" t="s">
        <v>292</v>
      </c>
      <c r="M88" t="s">
        <v>293</v>
      </c>
    </row>
    <row r="89" spans="1:13">
      <c r="A89" t="s">
        <v>13</v>
      </c>
      <c r="B89">
        <v>88988</v>
      </c>
      <c r="C89">
        <v>89212</v>
      </c>
      <c r="E89" t="s">
        <v>35</v>
      </c>
      <c r="F89" t="s">
        <v>28</v>
      </c>
      <c r="H89">
        <v>0</v>
      </c>
      <c r="I89" t="s">
        <v>17</v>
      </c>
      <c r="K89" t="s">
        <v>294</v>
      </c>
      <c r="L89">
        <v>74</v>
      </c>
      <c r="M89" t="s">
        <v>295</v>
      </c>
    </row>
    <row r="90" spans="1:13">
      <c r="A90" t="s">
        <v>13</v>
      </c>
      <c r="B90">
        <v>89642</v>
      </c>
      <c r="C90">
        <v>89935</v>
      </c>
      <c r="E90" t="s">
        <v>14</v>
      </c>
      <c r="F90" t="s">
        <v>28</v>
      </c>
      <c r="H90">
        <v>0</v>
      </c>
      <c r="I90" t="s">
        <v>17</v>
      </c>
      <c r="K90" t="s">
        <v>296</v>
      </c>
      <c r="L90">
        <v>97</v>
      </c>
      <c r="M90" t="s">
        <v>297</v>
      </c>
    </row>
    <row r="91" spans="1:13">
      <c r="A91" t="s">
        <v>13</v>
      </c>
      <c r="B91">
        <v>90237</v>
      </c>
      <c r="C91">
        <v>90968</v>
      </c>
      <c r="E91" t="s">
        <v>14</v>
      </c>
      <c r="F91" t="s">
        <v>298</v>
      </c>
      <c r="H91">
        <v>0</v>
      </c>
      <c r="I91" t="s">
        <v>17</v>
      </c>
      <c r="K91" t="s">
        <v>299</v>
      </c>
      <c r="L91">
        <v>243</v>
      </c>
      <c r="M91" t="s">
        <v>300</v>
      </c>
    </row>
    <row r="92" spans="1:13">
      <c r="A92" t="s">
        <v>13</v>
      </c>
      <c r="B92">
        <v>90978</v>
      </c>
      <c r="C92">
        <v>91673</v>
      </c>
      <c r="E92" t="s">
        <v>35</v>
      </c>
      <c r="F92" t="s">
        <v>298</v>
      </c>
      <c r="H92">
        <v>0</v>
      </c>
      <c r="I92" t="s">
        <v>17</v>
      </c>
      <c r="K92" t="s">
        <v>301</v>
      </c>
      <c r="L92">
        <v>231</v>
      </c>
      <c r="M92" t="s">
        <v>302</v>
      </c>
    </row>
    <row r="93" spans="1:13">
      <c r="A93" t="s">
        <v>13</v>
      </c>
      <c r="B93">
        <v>91978</v>
      </c>
      <c r="C93">
        <v>92205</v>
      </c>
      <c r="E93" t="s">
        <v>35</v>
      </c>
      <c r="F93" t="s">
        <v>28</v>
      </c>
      <c r="H93">
        <v>0</v>
      </c>
      <c r="I93" t="s">
        <v>17</v>
      </c>
      <c r="K93" t="s">
        <v>303</v>
      </c>
      <c r="L93">
        <v>75</v>
      </c>
      <c r="M93" t="s">
        <v>304</v>
      </c>
    </row>
    <row r="94" spans="1:13">
      <c r="A94" t="s">
        <v>13</v>
      </c>
      <c r="B94">
        <v>92217</v>
      </c>
      <c r="C94">
        <v>92771</v>
      </c>
      <c r="E94" t="s">
        <v>35</v>
      </c>
      <c r="F94" t="s">
        <v>178</v>
      </c>
      <c r="H94">
        <v>0</v>
      </c>
      <c r="I94" t="s">
        <v>17</v>
      </c>
      <c r="K94" t="s">
        <v>305</v>
      </c>
      <c r="L94">
        <v>184</v>
      </c>
      <c r="M94" t="s">
        <v>306</v>
      </c>
    </row>
    <row r="95" spans="1:13">
      <c r="A95" t="s">
        <v>13</v>
      </c>
      <c r="B95">
        <v>93319</v>
      </c>
      <c r="C95">
        <v>94002</v>
      </c>
      <c r="E95" t="s">
        <v>14</v>
      </c>
      <c r="F95" t="s">
        <v>307</v>
      </c>
      <c r="G95" t="s">
        <v>308</v>
      </c>
      <c r="H95">
        <v>0</v>
      </c>
      <c r="I95" t="s">
        <v>17</v>
      </c>
      <c r="K95" t="s">
        <v>309</v>
      </c>
      <c r="L95">
        <v>227</v>
      </c>
      <c r="M95" t="s">
        <v>310</v>
      </c>
    </row>
    <row r="96" spans="1:13">
      <c r="A96" t="s">
        <v>13</v>
      </c>
      <c r="B96">
        <v>94082</v>
      </c>
      <c r="C96">
        <v>94756</v>
      </c>
      <c r="E96" t="s">
        <v>14</v>
      </c>
      <c r="F96" t="s">
        <v>307</v>
      </c>
      <c r="G96" t="s">
        <v>311</v>
      </c>
      <c r="H96">
        <v>0</v>
      </c>
      <c r="I96" t="s">
        <v>17</v>
      </c>
      <c r="K96" t="s">
        <v>312</v>
      </c>
      <c r="L96">
        <v>224</v>
      </c>
      <c r="M96" t="s">
        <v>313</v>
      </c>
    </row>
    <row r="97" spans="1:13">
      <c r="A97" t="s">
        <v>13</v>
      </c>
      <c r="B97">
        <v>94766</v>
      </c>
      <c r="C97">
        <v>95095</v>
      </c>
      <c r="E97" t="s">
        <v>14</v>
      </c>
      <c r="F97" t="s">
        <v>28</v>
      </c>
      <c r="H97">
        <v>0</v>
      </c>
      <c r="I97" t="s">
        <v>17</v>
      </c>
      <c r="K97" t="s">
        <v>314</v>
      </c>
      <c r="L97">
        <v>109</v>
      </c>
      <c r="M97" t="s">
        <v>315</v>
      </c>
    </row>
    <row r="98" spans="1:13">
      <c r="A98" t="s">
        <v>13</v>
      </c>
      <c r="B98">
        <v>95153</v>
      </c>
      <c r="C98">
        <v>95437</v>
      </c>
      <c r="E98" t="s">
        <v>14</v>
      </c>
      <c r="F98" t="s">
        <v>316</v>
      </c>
      <c r="H98">
        <v>0</v>
      </c>
      <c r="I98" t="s">
        <v>17</v>
      </c>
      <c r="K98" t="s">
        <v>317</v>
      </c>
      <c r="L98">
        <v>94</v>
      </c>
      <c r="M98" t="s">
        <v>318</v>
      </c>
    </row>
    <row r="99" spans="1:13">
      <c r="A99" t="s">
        <v>13</v>
      </c>
      <c r="B99">
        <v>95438</v>
      </c>
      <c r="C99">
        <v>96265</v>
      </c>
      <c r="E99" t="s">
        <v>14</v>
      </c>
      <c r="F99" t="s">
        <v>319</v>
      </c>
      <c r="H99">
        <v>0</v>
      </c>
      <c r="I99" t="s">
        <v>17</v>
      </c>
      <c r="K99" t="s">
        <v>320</v>
      </c>
      <c r="L99">
        <v>275</v>
      </c>
      <c r="M99" t="s">
        <v>321</v>
      </c>
    </row>
    <row r="100" spans="1:13">
      <c r="A100" t="s">
        <v>13</v>
      </c>
      <c r="B100">
        <v>96286</v>
      </c>
      <c r="C100">
        <v>96615</v>
      </c>
      <c r="E100" t="s">
        <v>14</v>
      </c>
      <c r="F100" t="s">
        <v>322</v>
      </c>
      <c r="G100" t="s">
        <v>323</v>
      </c>
      <c r="H100">
        <v>0</v>
      </c>
      <c r="I100" t="s">
        <v>17</v>
      </c>
      <c r="K100" t="s">
        <v>324</v>
      </c>
      <c r="L100">
        <v>109</v>
      </c>
      <c r="M100" t="s">
        <v>325</v>
      </c>
    </row>
    <row r="101" spans="1:13">
      <c r="A101" t="s">
        <v>13</v>
      </c>
      <c r="B101">
        <v>96599</v>
      </c>
      <c r="C101">
        <v>98224</v>
      </c>
      <c r="E101" t="s">
        <v>35</v>
      </c>
      <c r="F101" t="s">
        <v>326</v>
      </c>
      <c r="G101" t="s">
        <v>327</v>
      </c>
      <c r="H101">
        <v>0</v>
      </c>
      <c r="I101" t="s">
        <v>17</v>
      </c>
      <c r="K101" t="s">
        <v>328</v>
      </c>
      <c r="L101">
        <v>541</v>
      </c>
      <c r="M101" t="s">
        <v>329</v>
      </c>
    </row>
    <row r="102" spans="1:13">
      <c r="A102" t="s">
        <v>13</v>
      </c>
      <c r="B102">
        <v>98509</v>
      </c>
      <c r="C102">
        <v>99783</v>
      </c>
      <c r="E102" t="s">
        <v>14</v>
      </c>
      <c r="F102" t="s">
        <v>330</v>
      </c>
      <c r="G102" t="s">
        <v>331</v>
      </c>
      <c r="H102">
        <v>0</v>
      </c>
      <c r="I102" t="s">
        <v>17</v>
      </c>
      <c r="K102" t="s">
        <v>332</v>
      </c>
      <c r="L102">
        <v>424</v>
      </c>
      <c r="M102" t="s">
        <v>333</v>
      </c>
    </row>
    <row r="103" spans="1:13">
      <c r="A103" t="s">
        <v>13</v>
      </c>
      <c r="B103">
        <v>99780</v>
      </c>
      <c r="C103">
        <v>101273</v>
      </c>
      <c r="E103" t="s">
        <v>35</v>
      </c>
      <c r="F103" t="s">
        <v>334</v>
      </c>
      <c r="H103">
        <v>0</v>
      </c>
      <c r="I103" t="s">
        <v>17</v>
      </c>
      <c r="K103" t="s">
        <v>335</v>
      </c>
      <c r="L103">
        <v>497</v>
      </c>
      <c r="M103" t="s">
        <v>336</v>
      </c>
    </row>
    <row r="104" spans="1:13">
      <c r="A104" t="s">
        <v>13</v>
      </c>
      <c r="B104">
        <v>101375</v>
      </c>
      <c r="C104">
        <v>102748</v>
      </c>
      <c r="E104" t="s">
        <v>14</v>
      </c>
      <c r="F104" t="s">
        <v>337</v>
      </c>
      <c r="G104" t="s">
        <v>338</v>
      </c>
      <c r="H104">
        <v>0</v>
      </c>
      <c r="I104" t="s">
        <v>17</v>
      </c>
      <c r="K104" t="s">
        <v>339</v>
      </c>
      <c r="L104">
        <v>457</v>
      </c>
      <c r="M104" t="s">
        <v>340</v>
      </c>
    </row>
    <row r="105" spans="1:13">
      <c r="A105" t="s">
        <v>13</v>
      </c>
      <c r="B105">
        <v>102777</v>
      </c>
      <c r="C105">
        <v>103829</v>
      </c>
      <c r="E105" t="s">
        <v>35</v>
      </c>
      <c r="F105" t="s">
        <v>341</v>
      </c>
      <c r="G105" t="s">
        <v>342</v>
      </c>
      <c r="H105">
        <v>0</v>
      </c>
      <c r="I105" t="s">
        <v>17</v>
      </c>
      <c r="K105" t="s">
        <v>343</v>
      </c>
      <c r="L105">
        <v>350</v>
      </c>
      <c r="M105" t="s">
        <v>344</v>
      </c>
    </row>
    <row r="106" spans="1:13">
      <c r="A106" t="s">
        <v>13</v>
      </c>
      <c r="B106">
        <v>103933</v>
      </c>
      <c r="C106">
        <v>105258</v>
      </c>
      <c r="E106" t="s">
        <v>35</v>
      </c>
      <c r="F106" t="s">
        <v>345</v>
      </c>
      <c r="G106" t="s">
        <v>346</v>
      </c>
      <c r="H106">
        <v>0</v>
      </c>
      <c r="I106" t="s">
        <v>17</v>
      </c>
      <c r="K106" t="s">
        <v>347</v>
      </c>
      <c r="L106">
        <v>441</v>
      </c>
      <c r="M106" t="s">
        <v>348</v>
      </c>
    </row>
    <row r="107" spans="1:13">
      <c r="A107" t="s">
        <v>13</v>
      </c>
      <c r="B107">
        <v>105329</v>
      </c>
      <c r="C107">
        <v>106582</v>
      </c>
      <c r="E107" t="s">
        <v>35</v>
      </c>
      <c r="F107" t="s">
        <v>349</v>
      </c>
      <c r="H107">
        <v>0</v>
      </c>
      <c r="I107" t="s">
        <v>17</v>
      </c>
      <c r="K107" t="s">
        <v>350</v>
      </c>
      <c r="L107">
        <v>417</v>
      </c>
      <c r="M107" t="s">
        <v>351</v>
      </c>
    </row>
    <row r="108" spans="1:13">
      <c r="A108" t="s">
        <v>13</v>
      </c>
      <c r="B108">
        <v>106749</v>
      </c>
      <c r="C108">
        <v>108017</v>
      </c>
      <c r="E108" t="s">
        <v>14</v>
      </c>
      <c r="F108" t="s">
        <v>28</v>
      </c>
      <c r="H108">
        <v>0</v>
      </c>
      <c r="I108" t="s">
        <v>17</v>
      </c>
      <c r="K108" t="s">
        <v>352</v>
      </c>
      <c r="L108">
        <v>422</v>
      </c>
      <c r="M108" t="s">
        <v>353</v>
      </c>
    </row>
    <row r="109" spans="1:13">
      <c r="A109" t="s">
        <v>13</v>
      </c>
      <c r="B109">
        <v>108025</v>
      </c>
      <c r="C109">
        <v>109680</v>
      </c>
      <c r="E109" t="s">
        <v>35</v>
      </c>
      <c r="F109" t="s">
        <v>354</v>
      </c>
      <c r="G109" t="s">
        <v>355</v>
      </c>
      <c r="H109">
        <v>0</v>
      </c>
      <c r="I109" t="s">
        <v>17</v>
      </c>
      <c r="K109" t="s">
        <v>356</v>
      </c>
      <c r="L109">
        <v>551</v>
      </c>
      <c r="M109" t="s">
        <v>357</v>
      </c>
    </row>
    <row r="110" spans="1:13">
      <c r="A110" t="s">
        <v>13</v>
      </c>
      <c r="B110">
        <v>109811</v>
      </c>
      <c r="C110">
        <v>110710</v>
      </c>
      <c r="E110" t="s">
        <v>14</v>
      </c>
      <c r="F110" t="s">
        <v>358</v>
      </c>
      <c r="G110" t="s">
        <v>359</v>
      </c>
      <c r="H110">
        <v>0</v>
      </c>
      <c r="I110" t="s">
        <v>17</v>
      </c>
      <c r="K110" t="s">
        <v>360</v>
      </c>
      <c r="L110">
        <v>299</v>
      </c>
      <c r="M110" t="s">
        <v>361</v>
      </c>
    </row>
    <row r="111" spans="1:13">
      <c r="A111" t="s">
        <v>13</v>
      </c>
      <c r="B111">
        <v>110982</v>
      </c>
      <c r="C111">
        <v>111860</v>
      </c>
      <c r="E111" t="s">
        <v>14</v>
      </c>
      <c r="F111" t="s">
        <v>28</v>
      </c>
      <c r="H111">
        <v>0</v>
      </c>
      <c r="I111" t="s">
        <v>17</v>
      </c>
      <c r="K111" t="s">
        <v>362</v>
      </c>
      <c r="L111">
        <v>292</v>
      </c>
      <c r="M111" t="s">
        <v>363</v>
      </c>
    </row>
    <row r="112" spans="1:13">
      <c r="A112" t="s">
        <v>13</v>
      </c>
      <c r="B112">
        <v>111879</v>
      </c>
      <c r="C112">
        <v>113210</v>
      </c>
      <c r="E112" t="s">
        <v>35</v>
      </c>
      <c r="F112" t="s">
        <v>345</v>
      </c>
      <c r="G112" t="s">
        <v>364</v>
      </c>
      <c r="H112">
        <v>0</v>
      </c>
      <c r="I112" t="s">
        <v>17</v>
      </c>
      <c r="K112" t="s">
        <v>365</v>
      </c>
      <c r="L112">
        <v>443</v>
      </c>
      <c r="M112" t="s">
        <v>366</v>
      </c>
    </row>
    <row r="113" spans="1:13">
      <c r="A113" t="s">
        <v>13</v>
      </c>
      <c r="B113">
        <v>113436</v>
      </c>
      <c r="C113">
        <v>114287</v>
      </c>
      <c r="E113" t="s">
        <v>35</v>
      </c>
      <c r="F113" t="s">
        <v>28</v>
      </c>
      <c r="H113">
        <v>0</v>
      </c>
      <c r="I113" t="s">
        <v>17</v>
      </c>
      <c r="K113" t="s">
        <v>367</v>
      </c>
      <c r="L113">
        <v>283</v>
      </c>
      <c r="M113" t="s">
        <v>368</v>
      </c>
    </row>
    <row r="114" spans="1:13">
      <c r="A114" t="s">
        <v>13</v>
      </c>
      <c r="B114">
        <v>114288</v>
      </c>
      <c r="C114">
        <v>114869</v>
      </c>
      <c r="E114" t="s">
        <v>35</v>
      </c>
      <c r="F114" t="s">
        <v>28</v>
      </c>
      <c r="H114">
        <v>0</v>
      </c>
      <c r="I114" t="s">
        <v>17</v>
      </c>
      <c r="K114" t="s">
        <v>369</v>
      </c>
      <c r="L114">
        <v>193</v>
      </c>
      <c r="M114" t="s">
        <v>370</v>
      </c>
    </row>
    <row r="115" spans="1:13">
      <c r="A115" t="s">
        <v>13</v>
      </c>
      <c r="B115">
        <v>114912</v>
      </c>
      <c r="C115">
        <v>116846</v>
      </c>
      <c r="E115" t="s">
        <v>14</v>
      </c>
      <c r="F115" t="s">
        <v>371</v>
      </c>
      <c r="G115" t="s">
        <v>372</v>
      </c>
      <c r="H115">
        <v>0</v>
      </c>
      <c r="I115" t="s">
        <v>17</v>
      </c>
      <c r="K115" t="s">
        <v>373</v>
      </c>
      <c r="L115">
        <v>644</v>
      </c>
      <c r="M115" t="s">
        <v>374</v>
      </c>
    </row>
    <row r="116" spans="1:13">
      <c r="A116" t="s">
        <v>13</v>
      </c>
      <c r="B116">
        <v>116905</v>
      </c>
      <c r="C116">
        <v>117783</v>
      </c>
      <c r="E116" t="s">
        <v>14</v>
      </c>
      <c r="F116" t="s">
        <v>375</v>
      </c>
      <c r="H116">
        <v>0</v>
      </c>
      <c r="I116" t="s">
        <v>17</v>
      </c>
      <c r="K116" t="s">
        <v>376</v>
      </c>
      <c r="L116">
        <v>292</v>
      </c>
      <c r="M116" t="s">
        <v>377</v>
      </c>
    </row>
    <row r="117" spans="1:13">
      <c r="A117" t="s">
        <v>13</v>
      </c>
      <c r="B117">
        <v>117849</v>
      </c>
      <c r="C117">
        <v>119303</v>
      </c>
      <c r="E117" t="s">
        <v>14</v>
      </c>
      <c r="F117" t="s">
        <v>28</v>
      </c>
      <c r="H117">
        <v>0</v>
      </c>
      <c r="I117" t="s">
        <v>17</v>
      </c>
      <c r="K117" t="s">
        <v>378</v>
      </c>
      <c r="L117">
        <v>484</v>
      </c>
      <c r="M117" t="s">
        <v>379</v>
      </c>
    </row>
    <row r="118" spans="1:13">
      <c r="A118" t="s">
        <v>13</v>
      </c>
      <c r="B118">
        <v>119242</v>
      </c>
      <c r="C118">
        <v>122655</v>
      </c>
      <c r="E118" t="s">
        <v>35</v>
      </c>
      <c r="F118" t="s">
        <v>380</v>
      </c>
      <c r="G118" t="s">
        <v>381</v>
      </c>
      <c r="H118">
        <v>0</v>
      </c>
      <c r="I118" t="s">
        <v>17</v>
      </c>
      <c r="K118" t="s">
        <v>382</v>
      </c>
      <c r="L118">
        <v>1137</v>
      </c>
      <c r="M118" t="s">
        <v>383</v>
      </c>
    </row>
    <row r="119" spans="1:13">
      <c r="A119" t="s">
        <v>13</v>
      </c>
      <c r="B119">
        <v>122778</v>
      </c>
      <c r="C119">
        <v>124754</v>
      </c>
      <c r="E119" t="s">
        <v>35</v>
      </c>
      <c r="F119" t="s">
        <v>384</v>
      </c>
      <c r="G119" t="s">
        <v>385</v>
      </c>
      <c r="H119">
        <v>0</v>
      </c>
      <c r="I119" t="s">
        <v>17</v>
      </c>
      <c r="K119" t="s">
        <v>386</v>
      </c>
      <c r="L119">
        <v>658</v>
      </c>
      <c r="M119" t="s">
        <v>387</v>
      </c>
    </row>
    <row r="120" spans="1:13">
      <c r="A120" t="s">
        <v>13</v>
      </c>
      <c r="B120">
        <v>124899</v>
      </c>
      <c r="C120">
        <v>125657</v>
      </c>
      <c r="E120" t="s">
        <v>35</v>
      </c>
      <c r="F120" t="s">
        <v>388</v>
      </c>
      <c r="G120" t="s">
        <v>389</v>
      </c>
      <c r="H120">
        <v>0</v>
      </c>
      <c r="I120" t="s">
        <v>17</v>
      </c>
      <c r="K120" t="s">
        <v>390</v>
      </c>
      <c r="L120">
        <v>252</v>
      </c>
      <c r="M120" t="s">
        <v>391</v>
      </c>
    </row>
    <row r="121" spans="1:13">
      <c r="A121" t="s">
        <v>13</v>
      </c>
      <c r="B121">
        <v>125701</v>
      </c>
      <c r="C121">
        <v>127116</v>
      </c>
      <c r="E121" t="s">
        <v>35</v>
      </c>
      <c r="F121" t="s">
        <v>392</v>
      </c>
      <c r="G121" t="s">
        <v>393</v>
      </c>
      <c r="H121">
        <v>0</v>
      </c>
      <c r="I121" t="s">
        <v>17</v>
      </c>
      <c r="K121" t="s">
        <v>394</v>
      </c>
      <c r="L121">
        <v>471</v>
      </c>
      <c r="M121" t="s">
        <v>395</v>
      </c>
    </row>
    <row r="122" spans="1:13">
      <c r="A122" t="s">
        <v>13</v>
      </c>
      <c r="B122">
        <v>127244</v>
      </c>
      <c r="C122">
        <v>127519</v>
      </c>
      <c r="E122" t="s">
        <v>35</v>
      </c>
      <c r="F122" t="s">
        <v>28</v>
      </c>
      <c r="H122">
        <v>0</v>
      </c>
      <c r="I122" t="s">
        <v>17</v>
      </c>
      <c r="K122" t="s">
        <v>396</v>
      </c>
      <c r="L122">
        <v>91</v>
      </c>
      <c r="M122" t="s">
        <v>397</v>
      </c>
    </row>
    <row r="123" spans="1:13">
      <c r="A123" t="s">
        <v>13</v>
      </c>
      <c r="B123">
        <v>127554</v>
      </c>
      <c r="C123">
        <v>128018</v>
      </c>
      <c r="E123" t="s">
        <v>14</v>
      </c>
      <c r="F123" t="s">
        <v>28</v>
      </c>
      <c r="H123">
        <v>0</v>
      </c>
      <c r="I123" t="s">
        <v>17</v>
      </c>
      <c r="K123" t="s">
        <v>398</v>
      </c>
      <c r="L123">
        <v>154</v>
      </c>
      <c r="M123" t="s">
        <v>399</v>
      </c>
    </row>
    <row r="124" spans="1:13">
      <c r="A124" t="s">
        <v>13</v>
      </c>
      <c r="B124">
        <v>128040</v>
      </c>
      <c r="C124">
        <v>128936</v>
      </c>
      <c r="E124" t="s">
        <v>14</v>
      </c>
      <c r="F124" t="s">
        <v>28</v>
      </c>
      <c r="H124">
        <v>0</v>
      </c>
      <c r="I124" t="s">
        <v>17</v>
      </c>
      <c r="K124" t="s">
        <v>400</v>
      </c>
      <c r="L124">
        <v>298</v>
      </c>
      <c r="M124" t="s">
        <v>401</v>
      </c>
    </row>
    <row r="125" spans="1:13">
      <c r="A125" t="s">
        <v>13</v>
      </c>
      <c r="B125">
        <v>128948</v>
      </c>
      <c r="C125">
        <v>129388</v>
      </c>
      <c r="E125" t="s">
        <v>14</v>
      </c>
      <c r="F125" t="s">
        <v>402</v>
      </c>
      <c r="H125">
        <v>0</v>
      </c>
      <c r="I125" t="s">
        <v>17</v>
      </c>
      <c r="K125" t="s">
        <v>403</v>
      </c>
      <c r="L125">
        <v>146</v>
      </c>
      <c r="M125" t="s">
        <v>404</v>
      </c>
    </row>
    <row r="126" spans="1:13">
      <c r="A126" t="s">
        <v>13</v>
      </c>
      <c r="B126">
        <v>129401</v>
      </c>
      <c r="C126">
        <v>130318</v>
      </c>
      <c r="E126" t="s">
        <v>35</v>
      </c>
      <c r="F126" t="s">
        <v>405</v>
      </c>
      <c r="G126" t="s">
        <v>406</v>
      </c>
      <c r="H126">
        <v>0</v>
      </c>
      <c r="I126" t="s">
        <v>17</v>
      </c>
      <c r="K126" t="s">
        <v>407</v>
      </c>
      <c r="L126">
        <v>305</v>
      </c>
      <c r="M126" t="s">
        <v>408</v>
      </c>
    </row>
    <row r="127" spans="1:13">
      <c r="A127" t="s">
        <v>13</v>
      </c>
      <c r="B127">
        <v>130399</v>
      </c>
      <c r="C127">
        <v>131055</v>
      </c>
      <c r="E127" t="s">
        <v>14</v>
      </c>
      <c r="F127" t="s">
        <v>409</v>
      </c>
      <c r="H127">
        <v>0</v>
      </c>
      <c r="I127" t="s">
        <v>17</v>
      </c>
      <c r="K127" t="s">
        <v>410</v>
      </c>
      <c r="L127">
        <v>218</v>
      </c>
      <c r="M127" t="s">
        <v>411</v>
      </c>
    </row>
    <row r="128" spans="1:13">
      <c r="A128" t="s">
        <v>13</v>
      </c>
      <c r="B128">
        <v>131059</v>
      </c>
      <c r="C128">
        <v>131859</v>
      </c>
      <c r="E128" t="s">
        <v>35</v>
      </c>
      <c r="F128" t="s">
        <v>412</v>
      </c>
      <c r="G128" t="s">
        <v>413</v>
      </c>
      <c r="H128">
        <v>0</v>
      </c>
      <c r="I128" t="s">
        <v>17</v>
      </c>
      <c r="K128" t="s">
        <v>414</v>
      </c>
      <c r="L128">
        <v>266</v>
      </c>
      <c r="M128" t="s">
        <v>415</v>
      </c>
    </row>
    <row r="129" spans="1:13">
      <c r="A129" t="s">
        <v>13</v>
      </c>
      <c r="B129">
        <v>131916</v>
      </c>
      <c r="C129">
        <v>132806</v>
      </c>
      <c r="E129" t="s">
        <v>35</v>
      </c>
      <c r="F129" t="s">
        <v>416</v>
      </c>
      <c r="G129" t="s">
        <v>417</v>
      </c>
      <c r="H129">
        <v>0</v>
      </c>
      <c r="I129" t="s">
        <v>17</v>
      </c>
      <c r="K129" t="s">
        <v>418</v>
      </c>
      <c r="L129">
        <v>296</v>
      </c>
      <c r="M129" t="s">
        <v>419</v>
      </c>
    </row>
    <row r="130" spans="1:13">
      <c r="A130" t="s">
        <v>13</v>
      </c>
      <c r="B130">
        <v>132982</v>
      </c>
      <c r="C130">
        <v>134235</v>
      </c>
      <c r="E130" t="s">
        <v>14</v>
      </c>
      <c r="F130" t="s">
        <v>420</v>
      </c>
      <c r="H130">
        <v>0</v>
      </c>
      <c r="I130" t="s">
        <v>17</v>
      </c>
      <c r="K130" t="s">
        <v>421</v>
      </c>
      <c r="L130">
        <v>417</v>
      </c>
      <c r="M130" t="s">
        <v>422</v>
      </c>
    </row>
    <row r="131" spans="1:13">
      <c r="A131" t="s">
        <v>13</v>
      </c>
      <c r="B131">
        <v>134264</v>
      </c>
      <c r="C131">
        <v>135220</v>
      </c>
      <c r="E131" t="s">
        <v>35</v>
      </c>
      <c r="F131" t="s">
        <v>423</v>
      </c>
      <c r="G131" t="s">
        <v>424</v>
      </c>
      <c r="H131">
        <v>0</v>
      </c>
      <c r="I131" t="s">
        <v>17</v>
      </c>
      <c r="K131" t="s">
        <v>425</v>
      </c>
      <c r="L131">
        <v>318</v>
      </c>
      <c r="M131" t="s">
        <v>426</v>
      </c>
    </row>
    <row r="132" spans="1:13">
      <c r="A132" t="s">
        <v>13</v>
      </c>
      <c r="B132">
        <v>135349</v>
      </c>
      <c r="C132">
        <v>135434</v>
      </c>
      <c r="E132" t="s">
        <v>14</v>
      </c>
      <c r="F132" t="s">
        <v>152</v>
      </c>
      <c r="H132">
        <v>0</v>
      </c>
      <c r="I132" t="s">
        <v>53</v>
      </c>
      <c r="M132" t="s">
        <v>427</v>
      </c>
    </row>
    <row r="133" spans="1:13">
      <c r="A133" t="s">
        <v>13</v>
      </c>
      <c r="B133">
        <v>135531</v>
      </c>
      <c r="C133">
        <v>135836</v>
      </c>
      <c r="E133" t="s">
        <v>35</v>
      </c>
      <c r="F133" t="s">
        <v>28</v>
      </c>
      <c r="H133">
        <v>0</v>
      </c>
      <c r="I133" t="s">
        <v>17</v>
      </c>
      <c r="K133" t="s">
        <v>428</v>
      </c>
      <c r="L133">
        <v>101</v>
      </c>
      <c r="M133" t="s">
        <v>429</v>
      </c>
    </row>
    <row r="134" spans="1:13">
      <c r="A134" t="s">
        <v>13</v>
      </c>
      <c r="B134">
        <v>136203</v>
      </c>
      <c r="C134">
        <v>137507</v>
      </c>
      <c r="E134" t="s">
        <v>14</v>
      </c>
      <c r="F134" t="s">
        <v>430</v>
      </c>
      <c r="H134">
        <v>0</v>
      </c>
      <c r="I134" t="s">
        <v>17</v>
      </c>
      <c r="K134" t="s">
        <v>431</v>
      </c>
      <c r="L134">
        <v>434</v>
      </c>
      <c r="M134" t="s">
        <v>432</v>
      </c>
    </row>
    <row r="135" spans="1:13">
      <c r="A135" t="s">
        <v>13</v>
      </c>
      <c r="B135">
        <v>137549</v>
      </c>
      <c r="C135">
        <v>138442</v>
      </c>
      <c r="E135" t="s">
        <v>14</v>
      </c>
      <c r="F135" t="s">
        <v>433</v>
      </c>
      <c r="H135">
        <v>0</v>
      </c>
      <c r="I135" t="s">
        <v>17</v>
      </c>
      <c r="K135" t="s">
        <v>434</v>
      </c>
      <c r="L135">
        <v>297</v>
      </c>
      <c r="M135" t="s">
        <v>435</v>
      </c>
    </row>
    <row r="136" spans="1:13">
      <c r="A136" t="s">
        <v>13</v>
      </c>
      <c r="B136">
        <v>138554</v>
      </c>
      <c r="C136">
        <v>142405</v>
      </c>
      <c r="E136" t="s">
        <v>14</v>
      </c>
      <c r="F136" t="s">
        <v>28</v>
      </c>
      <c r="H136">
        <v>0</v>
      </c>
      <c r="I136" t="s">
        <v>17</v>
      </c>
      <c r="K136" t="s">
        <v>436</v>
      </c>
      <c r="L136">
        <v>1283</v>
      </c>
      <c r="M136" t="s">
        <v>437</v>
      </c>
    </row>
    <row r="137" spans="1:13">
      <c r="A137" t="s">
        <v>13</v>
      </c>
      <c r="B137">
        <v>142494</v>
      </c>
      <c r="C137">
        <v>142895</v>
      </c>
      <c r="E137" t="s">
        <v>14</v>
      </c>
      <c r="F137" t="s">
        <v>28</v>
      </c>
      <c r="H137">
        <v>0</v>
      </c>
      <c r="I137" t="s">
        <v>17</v>
      </c>
      <c r="K137" t="s">
        <v>438</v>
      </c>
      <c r="L137">
        <v>133</v>
      </c>
      <c r="M137" t="s">
        <v>439</v>
      </c>
    </row>
    <row r="138" spans="1:13">
      <c r="A138" t="s">
        <v>13</v>
      </c>
      <c r="B138">
        <v>143001</v>
      </c>
      <c r="C138">
        <v>143465</v>
      </c>
      <c r="E138" t="s">
        <v>14</v>
      </c>
      <c r="F138" t="s">
        <v>28</v>
      </c>
      <c r="H138">
        <v>0</v>
      </c>
      <c r="I138" t="s">
        <v>17</v>
      </c>
      <c r="K138" t="s">
        <v>440</v>
      </c>
      <c r="L138">
        <v>154</v>
      </c>
      <c r="M138" t="s">
        <v>441</v>
      </c>
    </row>
    <row r="139" spans="1:13">
      <c r="A139" t="s">
        <v>13</v>
      </c>
      <c r="B139">
        <v>143773</v>
      </c>
      <c r="C139">
        <v>144606</v>
      </c>
      <c r="E139" t="s">
        <v>14</v>
      </c>
      <c r="F139" t="s">
        <v>28</v>
      </c>
      <c r="H139">
        <v>0</v>
      </c>
      <c r="I139" t="s">
        <v>17</v>
      </c>
      <c r="K139" t="s">
        <v>442</v>
      </c>
      <c r="L139">
        <v>277</v>
      </c>
      <c r="M139" t="s">
        <v>443</v>
      </c>
    </row>
    <row r="140" spans="1:13">
      <c r="A140" t="s">
        <v>13</v>
      </c>
      <c r="B140">
        <v>144612</v>
      </c>
      <c r="C140">
        <v>145583</v>
      </c>
      <c r="E140" t="s">
        <v>14</v>
      </c>
      <c r="F140" t="s">
        <v>28</v>
      </c>
      <c r="H140">
        <v>0</v>
      </c>
      <c r="I140" t="s">
        <v>17</v>
      </c>
      <c r="K140" t="s">
        <v>444</v>
      </c>
      <c r="L140">
        <v>323</v>
      </c>
      <c r="M140" t="s">
        <v>445</v>
      </c>
    </row>
    <row r="141" spans="1:13">
      <c r="A141" t="s">
        <v>13</v>
      </c>
      <c r="B141">
        <v>145882</v>
      </c>
      <c r="C141">
        <v>146283</v>
      </c>
      <c r="E141" t="s">
        <v>14</v>
      </c>
      <c r="F141" t="s">
        <v>28</v>
      </c>
      <c r="H141">
        <v>0</v>
      </c>
      <c r="I141" t="s">
        <v>17</v>
      </c>
      <c r="K141" t="s">
        <v>446</v>
      </c>
      <c r="L141">
        <v>133</v>
      </c>
      <c r="M141" t="s">
        <v>447</v>
      </c>
    </row>
    <row r="142" spans="1:13">
      <c r="A142" t="s">
        <v>13</v>
      </c>
      <c r="B142">
        <v>146389</v>
      </c>
      <c r="C142">
        <v>146853</v>
      </c>
      <c r="E142" t="s">
        <v>14</v>
      </c>
      <c r="F142" t="s">
        <v>28</v>
      </c>
      <c r="H142">
        <v>0</v>
      </c>
      <c r="I142" t="s">
        <v>17</v>
      </c>
      <c r="K142" t="s">
        <v>448</v>
      </c>
      <c r="L142">
        <v>154</v>
      </c>
      <c r="M142" t="s">
        <v>449</v>
      </c>
    </row>
    <row r="143" spans="1:13">
      <c r="A143" t="s">
        <v>13</v>
      </c>
      <c r="B143">
        <v>147333</v>
      </c>
      <c r="C143">
        <v>147587</v>
      </c>
      <c r="E143" t="s">
        <v>14</v>
      </c>
      <c r="F143" t="s">
        <v>28</v>
      </c>
      <c r="H143">
        <v>0</v>
      </c>
      <c r="I143" t="s">
        <v>17</v>
      </c>
      <c r="K143" t="s">
        <v>450</v>
      </c>
      <c r="L143">
        <v>84</v>
      </c>
      <c r="M143" t="s">
        <v>451</v>
      </c>
    </row>
    <row r="144" spans="1:13">
      <c r="A144" t="s">
        <v>13</v>
      </c>
      <c r="B144">
        <v>147729</v>
      </c>
      <c r="C144">
        <v>148313</v>
      </c>
      <c r="E144" t="s">
        <v>14</v>
      </c>
      <c r="F144" t="s">
        <v>178</v>
      </c>
      <c r="H144">
        <v>0</v>
      </c>
      <c r="I144" t="s">
        <v>17</v>
      </c>
      <c r="K144" t="s">
        <v>452</v>
      </c>
      <c r="L144">
        <v>194</v>
      </c>
      <c r="M144" t="s">
        <v>453</v>
      </c>
    </row>
    <row r="145" spans="1:13">
      <c r="A145" t="s">
        <v>13</v>
      </c>
      <c r="B145">
        <v>148737</v>
      </c>
      <c r="C145">
        <v>148988</v>
      </c>
      <c r="E145" t="s">
        <v>14</v>
      </c>
      <c r="F145" t="s">
        <v>28</v>
      </c>
      <c r="H145">
        <v>0</v>
      </c>
      <c r="I145" t="s">
        <v>17</v>
      </c>
      <c r="K145" t="s">
        <v>454</v>
      </c>
      <c r="L145">
        <v>83</v>
      </c>
      <c r="M145" t="s">
        <v>455</v>
      </c>
    </row>
    <row r="146" spans="1:13">
      <c r="A146" t="s">
        <v>13</v>
      </c>
      <c r="B146">
        <v>149010</v>
      </c>
      <c r="C146">
        <v>150017</v>
      </c>
      <c r="E146" t="s">
        <v>35</v>
      </c>
      <c r="F146" t="s">
        <v>456</v>
      </c>
      <c r="G146" t="s">
        <v>457</v>
      </c>
      <c r="H146">
        <v>0</v>
      </c>
      <c r="I146" t="s">
        <v>17</v>
      </c>
      <c r="K146" t="s">
        <v>458</v>
      </c>
      <c r="L146">
        <v>335</v>
      </c>
      <c r="M146" t="s">
        <v>459</v>
      </c>
    </row>
    <row r="147" spans="1:13">
      <c r="A147" t="s">
        <v>13</v>
      </c>
      <c r="B147">
        <v>150014</v>
      </c>
      <c r="C147">
        <v>150475</v>
      </c>
      <c r="E147" t="s">
        <v>35</v>
      </c>
      <c r="F147" t="s">
        <v>460</v>
      </c>
      <c r="G147" t="s">
        <v>461</v>
      </c>
      <c r="H147">
        <v>0</v>
      </c>
      <c r="I147" t="s">
        <v>17</v>
      </c>
      <c r="K147" t="s">
        <v>462</v>
      </c>
      <c r="L147">
        <v>153</v>
      </c>
      <c r="M147" t="s">
        <v>463</v>
      </c>
    </row>
    <row r="148" spans="1:13">
      <c r="A148" t="s">
        <v>13</v>
      </c>
      <c r="B148">
        <v>150465</v>
      </c>
      <c r="C148">
        <v>150944</v>
      </c>
      <c r="E148" t="s">
        <v>35</v>
      </c>
      <c r="F148" t="s">
        <v>464</v>
      </c>
      <c r="G148" t="s">
        <v>465</v>
      </c>
      <c r="H148">
        <v>0</v>
      </c>
      <c r="I148" t="s">
        <v>17</v>
      </c>
      <c r="K148" t="s">
        <v>466</v>
      </c>
      <c r="L148">
        <v>159</v>
      </c>
      <c r="M148" t="s">
        <v>467</v>
      </c>
    </row>
    <row r="149" spans="1:13">
      <c r="A149" t="s">
        <v>13</v>
      </c>
      <c r="B149">
        <v>150941</v>
      </c>
      <c r="C149">
        <v>152077</v>
      </c>
      <c r="E149" t="s">
        <v>35</v>
      </c>
      <c r="F149" t="s">
        <v>468</v>
      </c>
      <c r="G149" t="s">
        <v>469</v>
      </c>
      <c r="H149">
        <v>0</v>
      </c>
      <c r="I149" t="s">
        <v>17</v>
      </c>
      <c r="K149" t="s">
        <v>470</v>
      </c>
      <c r="L149">
        <v>378</v>
      </c>
      <c r="M149" t="s">
        <v>471</v>
      </c>
    </row>
    <row r="150" spans="1:13">
      <c r="A150" t="s">
        <v>13</v>
      </c>
      <c r="B150">
        <v>152136</v>
      </c>
      <c r="C150">
        <v>152396</v>
      </c>
      <c r="E150" t="s">
        <v>14</v>
      </c>
      <c r="F150" t="s">
        <v>472</v>
      </c>
      <c r="H150">
        <v>0</v>
      </c>
      <c r="I150" t="s">
        <v>17</v>
      </c>
      <c r="K150" t="s">
        <v>473</v>
      </c>
      <c r="L150">
        <v>86</v>
      </c>
      <c r="M150" t="s">
        <v>474</v>
      </c>
    </row>
    <row r="151" spans="1:13">
      <c r="A151" t="s">
        <v>13</v>
      </c>
      <c r="B151">
        <v>152406</v>
      </c>
      <c r="C151">
        <v>152798</v>
      </c>
      <c r="E151" t="s">
        <v>35</v>
      </c>
      <c r="F151" t="s">
        <v>475</v>
      </c>
      <c r="H151">
        <v>0</v>
      </c>
      <c r="I151" t="s">
        <v>17</v>
      </c>
      <c r="K151" t="s">
        <v>476</v>
      </c>
      <c r="L151">
        <v>130</v>
      </c>
      <c r="M151" t="s">
        <v>477</v>
      </c>
    </row>
    <row r="152" spans="1:13">
      <c r="A152" t="s">
        <v>13</v>
      </c>
      <c r="B152">
        <v>152799</v>
      </c>
      <c r="C152">
        <v>153851</v>
      </c>
      <c r="E152" t="s">
        <v>35</v>
      </c>
      <c r="F152" t="s">
        <v>341</v>
      </c>
      <c r="G152" t="s">
        <v>478</v>
      </c>
      <c r="H152">
        <v>0</v>
      </c>
      <c r="I152" t="s">
        <v>17</v>
      </c>
      <c r="K152" t="s">
        <v>479</v>
      </c>
      <c r="L152">
        <v>350</v>
      </c>
      <c r="M152" t="s">
        <v>480</v>
      </c>
    </row>
    <row r="153" spans="1:13">
      <c r="A153" t="s">
        <v>13</v>
      </c>
      <c r="B153">
        <v>153972</v>
      </c>
      <c r="C153">
        <v>154060</v>
      </c>
      <c r="E153" t="s">
        <v>14</v>
      </c>
      <c r="F153" t="s">
        <v>152</v>
      </c>
      <c r="H153">
        <v>0</v>
      </c>
      <c r="I153" t="s">
        <v>53</v>
      </c>
      <c r="M153" t="s">
        <v>481</v>
      </c>
    </row>
    <row r="154" spans="1:13">
      <c r="A154" t="s">
        <v>13</v>
      </c>
      <c r="B154">
        <v>154330</v>
      </c>
      <c r="C154">
        <v>154518</v>
      </c>
      <c r="E154" t="s">
        <v>14</v>
      </c>
      <c r="F154" t="s">
        <v>28</v>
      </c>
      <c r="H154">
        <v>0</v>
      </c>
      <c r="I154" t="s">
        <v>17</v>
      </c>
      <c r="K154" t="s">
        <v>482</v>
      </c>
      <c r="L154">
        <v>62</v>
      </c>
      <c r="M154" t="s">
        <v>483</v>
      </c>
    </row>
    <row r="155" spans="1:13">
      <c r="A155" t="s">
        <v>13</v>
      </c>
      <c r="B155">
        <v>154632</v>
      </c>
      <c r="C155">
        <v>155021</v>
      </c>
      <c r="E155" t="s">
        <v>35</v>
      </c>
      <c r="F155" t="s">
        <v>484</v>
      </c>
      <c r="G155" t="s">
        <v>485</v>
      </c>
      <c r="H155">
        <v>0</v>
      </c>
      <c r="I155" t="s">
        <v>17</v>
      </c>
      <c r="K155" t="s">
        <v>486</v>
      </c>
      <c r="L155">
        <v>129</v>
      </c>
      <c r="M155" t="s">
        <v>487</v>
      </c>
    </row>
    <row r="156" spans="1:13">
      <c r="A156" t="s">
        <v>13</v>
      </c>
      <c r="B156">
        <v>155095</v>
      </c>
      <c r="C156">
        <v>155457</v>
      </c>
      <c r="E156" t="s">
        <v>14</v>
      </c>
      <c r="F156" t="s">
        <v>488</v>
      </c>
      <c r="G156" t="s">
        <v>489</v>
      </c>
      <c r="H156">
        <v>0</v>
      </c>
      <c r="I156" t="s">
        <v>17</v>
      </c>
      <c r="K156" t="s">
        <v>490</v>
      </c>
      <c r="L156">
        <v>120</v>
      </c>
      <c r="M156" t="s">
        <v>491</v>
      </c>
    </row>
    <row r="157" spans="1:13">
      <c r="A157" t="s">
        <v>13</v>
      </c>
      <c r="B157">
        <v>155450</v>
      </c>
      <c r="C157">
        <v>155773</v>
      </c>
      <c r="E157" t="s">
        <v>14</v>
      </c>
      <c r="F157" t="s">
        <v>28</v>
      </c>
      <c r="H157">
        <v>0</v>
      </c>
      <c r="I157" t="s">
        <v>17</v>
      </c>
      <c r="K157" t="s">
        <v>492</v>
      </c>
      <c r="L157">
        <v>107</v>
      </c>
      <c r="M157" t="s">
        <v>493</v>
      </c>
    </row>
    <row r="158" spans="1:13">
      <c r="A158" t="s">
        <v>13</v>
      </c>
      <c r="B158">
        <v>155869</v>
      </c>
      <c r="C158">
        <v>157263</v>
      </c>
      <c r="E158" t="s">
        <v>14</v>
      </c>
      <c r="F158" t="s">
        <v>494</v>
      </c>
      <c r="H158">
        <v>0</v>
      </c>
      <c r="I158" t="s">
        <v>17</v>
      </c>
      <c r="K158" t="s">
        <v>495</v>
      </c>
      <c r="L158">
        <v>464</v>
      </c>
      <c r="M158" t="s">
        <v>496</v>
      </c>
    </row>
    <row r="159" spans="1:13">
      <c r="A159" t="s">
        <v>13</v>
      </c>
      <c r="B159">
        <v>157547</v>
      </c>
      <c r="C159">
        <v>159121</v>
      </c>
      <c r="E159" t="s">
        <v>14</v>
      </c>
      <c r="F159" t="s">
        <v>497</v>
      </c>
      <c r="G159" t="s">
        <v>498</v>
      </c>
      <c r="H159">
        <v>0</v>
      </c>
      <c r="I159" t="s">
        <v>17</v>
      </c>
      <c r="K159" t="s">
        <v>499</v>
      </c>
      <c r="L159">
        <v>524</v>
      </c>
      <c r="M159" t="s">
        <v>500</v>
      </c>
    </row>
    <row r="160" spans="1:13">
      <c r="A160" t="s">
        <v>13</v>
      </c>
      <c r="B160">
        <v>159185</v>
      </c>
      <c r="C160">
        <v>160252</v>
      </c>
      <c r="E160" t="s">
        <v>14</v>
      </c>
      <c r="F160" t="s">
        <v>501</v>
      </c>
      <c r="G160" t="s">
        <v>502</v>
      </c>
      <c r="H160">
        <v>0</v>
      </c>
      <c r="I160" t="s">
        <v>17</v>
      </c>
      <c r="K160" t="s">
        <v>503</v>
      </c>
      <c r="L160">
        <v>355</v>
      </c>
      <c r="M160" t="s">
        <v>504</v>
      </c>
    </row>
    <row r="161" spans="1:13">
      <c r="A161" t="s">
        <v>13</v>
      </c>
      <c r="B161">
        <v>160411</v>
      </c>
      <c r="C161">
        <v>160484</v>
      </c>
      <c r="E161" t="s">
        <v>14</v>
      </c>
      <c r="F161" t="s">
        <v>505</v>
      </c>
      <c r="H161">
        <v>0</v>
      </c>
      <c r="I161" t="s">
        <v>53</v>
      </c>
      <c r="M161" t="s">
        <v>506</v>
      </c>
    </row>
    <row r="162" spans="1:13">
      <c r="A162" t="s">
        <v>13</v>
      </c>
      <c r="B162">
        <v>160582</v>
      </c>
      <c r="C162">
        <v>161786</v>
      </c>
      <c r="E162" t="s">
        <v>35</v>
      </c>
      <c r="F162" t="s">
        <v>290</v>
      </c>
      <c r="H162">
        <v>0</v>
      </c>
      <c r="I162" t="s">
        <v>292</v>
      </c>
      <c r="M162" t="s">
        <v>507</v>
      </c>
    </row>
    <row r="163" spans="1:13">
      <c r="A163" t="s">
        <v>13</v>
      </c>
      <c r="B163">
        <v>162325</v>
      </c>
      <c r="C163">
        <v>163134</v>
      </c>
      <c r="E163" t="s">
        <v>14</v>
      </c>
      <c r="F163" t="s">
        <v>28</v>
      </c>
      <c r="H163">
        <v>0</v>
      </c>
      <c r="I163" t="s">
        <v>17</v>
      </c>
      <c r="K163" t="s">
        <v>508</v>
      </c>
      <c r="L163">
        <v>269</v>
      </c>
      <c r="M163" t="s">
        <v>509</v>
      </c>
    </row>
    <row r="164" spans="1:13">
      <c r="A164" t="s">
        <v>13</v>
      </c>
      <c r="B164">
        <v>163267</v>
      </c>
      <c r="C164">
        <v>163560</v>
      </c>
      <c r="E164" t="s">
        <v>14</v>
      </c>
      <c r="F164" t="s">
        <v>510</v>
      </c>
      <c r="G164" t="s">
        <v>511</v>
      </c>
      <c r="H164">
        <v>0</v>
      </c>
      <c r="I164" t="s">
        <v>17</v>
      </c>
      <c r="K164" t="s">
        <v>512</v>
      </c>
      <c r="L164">
        <v>97</v>
      </c>
      <c r="M164" t="s">
        <v>513</v>
      </c>
    </row>
    <row r="165" spans="1:13">
      <c r="A165" t="s">
        <v>13</v>
      </c>
      <c r="B165">
        <v>163698</v>
      </c>
      <c r="C165">
        <v>163823</v>
      </c>
      <c r="E165" t="s">
        <v>14</v>
      </c>
      <c r="F165" t="s">
        <v>28</v>
      </c>
      <c r="H165">
        <v>0</v>
      </c>
      <c r="I165" t="s">
        <v>17</v>
      </c>
      <c r="K165" t="s">
        <v>514</v>
      </c>
      <c r="L165">
        <v>41</v>
      </c>
      <c r="M165" t="s">
        <v>515</v>
      </c>
    </row>
    <row r="166" spans="1:13">
      <c r="A166" t="s">
        <v>13</v>
      </c>
      <c r="B166">
        <v>163820</v>
      </c>
      <c r="C166">
        <v>165313</v>
      </c>
      <c r="E166" t="s">
        <v>35</v>
      </c>
      <c r="F166" t="s">
        <v>178</v>
      </c>
      <c r="H166">
        <v>0</v>
      </c>
      <c r="I166" t="s">
        <v>17</v>
      </c>
      <c r="K166" t="s">
        <v>516</v>
      </c>
      <c r="L166">
        <v>497</v>
      </c>
      <c r="M166" t="s">
        <v>517</v>
      </c>
    </row>
    <row r="167" spans="1:13">
      <c r="A167" t="s">
        <v>13</v>
      </c>
      <c r="B167">
        <v>165621</v>
      </c>
      <c r="C167">
        <v>166337</v>
      </c>
      <c r="E167" t="s">
        <v>14</v>
      </c>
      <c r="F167" t="s">
        <v>518</v>
      </c>
      <c r="H167">
        <v>0</v>
      </c>
      <c r="I167" t="s">
        <v>17</v>
      </c>
      <c r="K167" t="s">
        <v>519</v>
      </c>
      <c r="L167">
        <v>238</v>
      </c>
      <c r="M167" t="s">
        <v>520</v>
      </c>
    </row>
    <row r="168" spans="1:13">
      <c r="A168" t="s">
        <v>13</v>
      </c>
      <c r="B168">
        <v>166919</v>
      </c>
      <c r="C168">
        <v>167101</v>
      </c>
      <c r="E168" t="s">
        <v>35</v>
      </c>
      <c r="F168" t="s">
        <v>28</v>
      </c>
      <c r="H168">
        <v>0</v>
      </c>
      <c r="I168" t="s">
        <v>17</v>
      </c>
      <c r="K168" t="s">
        <v>521</v>
      </c>
      <c r="L168">
        <v>60</v>
      </c>
      <c r="M168" t="s">
        <v>522</v>
      </c>
    </row>
    <row r="169" spans="1:13">
      <c r="A169" t="s">
        <v>13</v>
      </c>
      <c r="B169">
        <v>167132</v>
      </c>
      <c r="C169">
        <v>168022</v>
      </c>
      <c r="E169" t="s">
        <v>35</v>
      </c>
      <c r="F169" t="s">
        <v>523</v>
      </c>
      <c r="G169" t="s">
        <v>524</v>
      </c>
      <c r="H169">
        <v>0</v>
      </c>
      <c r="I169" t="s">
        <v>17</v>
      </c>
      <c r="K169" t="s">
        <v>525</v>
      </c>
      <c r="L169">
        <v>296</v>
      </c>
      <c r="M169" t="s">
        <v>526</v>
      </c>
    </row>
    <row r="170" spans="1:13">
      <c r="A170" t="s">
        <v>13</v>
      </c>
      <c r="B170">
        <v>168224</v>
      </c>
      <c r="C170">
        <v>169084</v>
      </c>
      <c r="E170" t="s">
        <v>35</v>
      </c>
      <c r="F170" t="s">
        <v>178</v>
      </c>
      <c r="H170">
        <v>0</v>
      </c>
      <c r="I170" t="s">
        <v>17</v>
      </c>
      <c r="K170" t="s">
        <v>527</v>
      </c>
      <c r="L170">
        <v>286</v>
      </c>
      <c r="M170" t="s">
        <v>528</v>
      </c>
    </row>
    <row r="171" spans="1:13">
      <c r="A171" t="s">
        <v>13</v>
      </c>
      <c r="B171">
        <v>169121</v>
      </c>
      <c r="C171">
        <v>169438</v>
      </c>
      <c r="E171" t="s">
        <v>35</v>
      </c>
      <c r="F171" t="s">
        <v>529</v>
      </c>
      <c r="H171">
        <v>0</v>
      </c>
      <c r="I171" t="s">
        <v>17</v>
      </c>
      <c r="K171" t="s">
        <v>530</v>
      </c>
      <c r="L171">
        <v>105</v>
      </c>
      <c r="M171" t="s">
        <v>531</v>
      </c>
    </row>
    <row r="172" spans="1:13">
      <c r="A172" t="s">
        <v>13</v>
      </c>
      <c r="B172">
        <v>169560</v>
      </c>
      <c r="C172">
        <v>170237</v>
      </c>
      <c r="E172" t="s">
        <v>35</v>
      </c>
      <c r="F172" t="s">
        <v>28</v>
      </c>
      <c r="H172">
        <v>0</v>
      </c>
      <c r="I172" t="s">
        <v>17</v>
      </c>
      <c r="K172" t="s">
        <v>532</v>
      </c>
      <c r="L172">
        <v>225</v>
      </c>
      <c r="M172" t="s">
        <v>533</v>
      </c>
    </row>
    <row r="173" spans="1:13">
      <c r="A173" t="s">
        <v>13</v>
      </c>
      <c r="B173">
        <v>170779</v>
      </c>
      <c r="C173">
        <v>172122</v>
      </c>
      <c r="E173" t="s">
        <v>14</v>
      </c>
      <c r="F173" t="s">
        <v>518</v>
      </c>
      <c r="H173">
        <v>0</v>
      </c>
      <c r="I173" t="s">
        <v>17</v>
      </c>
      <c r="K173" t="s">
        <v>534</v>
      </c>
      <c r="L173">
        <v>447</v>
      </c>
      <c r="M173" t="s">
        <v>535</v>
      </c>
    </row>
    <row r="174" spans="1:13">
      <c r="A174" t="s">
        <v>13</v>
      </c>
      <c r="B174">
        <v>172665</v>
      </c>
      <c r="C174">
        <v>173939</v>
      </c>
      <c r="E174" t="s">
        <v>14</v>
      </c>
      <c r="F174" t="s">
        <v>536</v>
      </c>
      <c r="H174">
        <v>0</v>
      </c>
      <c r="I174" t="s">
        <v>17</v>
      </c>
      <c r="K174" t="s">
        <v>537</v>
      </c>
      <c r="L174">
        <v>424</v>
      </c>
      <c r="M174" t="s">
        <v>538</v>
      </c>
    </row>
    <row r="175" spans="1:13">
      <c r="A175" t="s">
        <v>13</v>
      </c>
      <c r="B175">
        <v>174368</v>
      </c>
      <c r="C175">
        <v>175297</v>
      </c>
      <c r="E175" t="s">
        <v>14</v>
      </c>
      <c r="F175" t="s">
        <v>539</v>
      </c>
      <c r="H175">
        <v>0</v>
      </c>
      <c r="I175" t="s">
        <v>17</v>
      </c>
      <c r="K175" t="s">
        <v>540</v>
      </c>
      <c r="L175">
        <v>309</v>
      </c>
      <c r="M175" t="s">
        <v>541</v>
      </c>
    </row>
    <row r="176" spans="1:13">
      <c r="A176" t="s">
        <v>13</v>
      </c>
      <c r="B176">
        <v>175299</v>
      </c>
      <c r="C176">
        <v>176504</v>
      </c>
      <c r="E176" t="s">
        <v>14</v>
      </c>
      <c r="F176" t="s">
        <v>542</v>
      </c>
      <c r="H176">
        <v>0</v>
      </c>
      <c r="I176" t="s">
        <v>17</v>
      </c>
      <c r="K176" t="s">
        <v>543</v>
      </c>
      <c r="L176">
        <v>401</v>
      </c>
      <c r="M176" t="s">
        <v>544</v>
      </c>
    </row>
    <row r="177" spans="1:13">
      <c r="A177" t="s">
        <v>13</v>
      </c>
      <c r="B177">
        <v>176501</v>
      </c>
      <c r="C177">
        <v>177529</v>
      </c>
      <c r="E177" t="s">
        <v>35</v>
      </c>
      <c r="F177" t="s">
        <v>545</v>
      </c>
      <c r="H177">
        <v>0</v>
      </c>
      <c r="I177" t="s">
        <v>17</v>
      </c>
      <c r="K177" t="s">
        <v>546</v>
      </c>
      <c r="L177">
        <v>342</v>
      </c>
      <c r="M177" t="s">
        <v>547</v>
      </c>
    </row>
    <row r="178" spans="1:13">
      <c r="A178" t="s">
        <v>13</v>
      </c>
      <c r="B178">
        <v>177569</v>
      </c>
      <c r="C178">
        <v>178048</v>
      </c>
      <c r="E178" t="s">
        <v>14</v>
      </c>
      <c r="F178" t="s">
        <v>28</v>
      </c>
      <c r="H178">
        <v>0</v>
      </c>
      <c r="I178" t="s">
        <v>17</v>
      </c>
      <c r="K178" t="s">
        <v>548</v>
      </c>
      <c r="L178">
        <v>159</v>
      </c>
      <c r="M178" t="s">
        <v>549</v>
      </c>
    </row>
    <row r="179" spans="1:13">
      <c r="A179" t="s">
        <v>13</v>
      </c>
      <c r="B179">
        <v>178074</v>
      </c>
      <c r="C179">
        <v>178517</v>
      </c>
      <c r="E179" t="s">
        <v>14</v>
      </c>
      <c r="F179" t="s">
        <v>550</v>
      </c>
      <c r="G179" t="s">
        <v>551</v>
      </c>
      <c r="H179">
        <v>0</v>
      </c>
      <c r="I179" t="s">
        <v>17</v>
      </c>
      <c r="K179" t="s">
        <v>552</v>
      </c>
      <c r="L179">
        <v>147</v>
      </c>
      <c r="M179" t="s">
        <v>553</v>
      </c>
    </row>
    <row r="180" spans="1:13">
      <c r="A180" t="s">
        <v>13</v>
      </c>
      <c r="B180">
        <v>178559</v>
      </c>
      <c r="C180">
        <v>178759</v>
      </c>
      <c r="E180" t="s">
        <v>14</v>
      </c>
      <c r="F180" t="s">
        <v>554</v>
      </c>
      <c r="H180">
        <v>0</v>
      </c>
      <c r="I180" t="s">
        <v>17</v>
      </c>
      <c r="K180" t="s">
        <v>555</v>
      </c>
      <c r="L180">
        <v>66</v>
      </c>
      <c r="M180" t="s">
        <v>556</v>
      </c>
    </row>
    <row r="181" spans="1:13">
      <c r="A181" t="s">
        <v>13</v>
      </c>
      <c r="B181">
        <v>178853</v>
      </c>
      <c r="C181">
        <v>178941</v>
      </c>
      <c r="E181" t="s">
        <v>14</v>
      </c>
      <c r="F181" t="s">
        <v>152</v>
      </c>
      <c r="H181">
        <v>0</v>
      </c>
      <c r="I181" t="s">
        <v>53</v>
      </c>
      <c r="M181" t="s">
        <v>557</v>
      </c>
    </row>
    <row r="182" spans="1:13">
      <c r="A182" t="s">
        <v>13</v>
      </c>
      <c r="B182">
        <v>179020</v>
      </c>
      <c r="C182">
        <v>179481</v>
      </c>
      <c r="E182" t="s">
        <v>35</v>
      </c>
      <c r="F182" t="s">
        <v>28</v>
      </c>
      <c r="H182">
        <v>0</v>
      </c>
      <c r="I182" t="s">
        <v>17</v>
      </c>
      <c r="K182" t="s">
        <v>558</v>
      </c>
      <c r="L182">
        <v>153</v>
      </c>
      <c r="M182" t="s">
        <v>559</v>
      </c>
    </row>
    <row r="183" spans="1:13">
      <c r="A183" t="s">
        <v>13</v>
      </c>
      <c r="B183">
        <v>179593</v>
      </c>
      <c r="C183">
        <v>181464</v>
      </c>
      <c r="E183" t="s">
        <v>14</v>
      </c>
      <c r="F183" t="s">
        <v>560</v>
      </c>
      <c r="H183">
        <v>0</v>
      </c>
      <c r="I183" t="s">
        <v>17</v>
      </c>
      <c r="K183" t="s">
        <v>561</v>
      </c>
      <c r="L183">
        <v>623</v>
      </c>
      <c r="M183" t="s">
        <v>562</v>
      </c>
    </row>
    <row r="184" spans="1:13">
      <c r="A184" t="s">
        <v>13</v>
      </c>
      <c r="B184">
        <v>181475</v>
      </c>
      <c r="C184">
        <v>182521</v>
      </c>
      <c r="E184" t="s">
        <v>14</v>
      </c>
      <c r="F184" t="s">
        <v>563</v>
      </c>
      <c r="G184" t="s">
        <v>564</v>
      </c>
      <c r="H184">
        <v>0</v>
      </c>
      <c r="I184" t="s">
        <v>17</v>
      </c>
      <c r="K184" t="s">
        <v>565</v>
      </c>
      <c r="L184">
        <v>348</v>
      </c>
      <c r="M184" t="s">
        <v>566</v>
      </c>
    </row>
    <row r="185" spans="1:13">
      <c r="A185" t="s">
        <v>13</v>
      </c>
      <c r="B185">
        <v>182502</v>
      </c>
      <c r="C185">
        <v>183551</v>
      </c>
      <c r="E185" t="s">
        <v>14</v>
      </c>
      <c r="F185" t="s">
        <v>567</v>
      </c>
      <c r="G185" t="s">
        <v>568</v>
      </c>
      <c r="H185">
        <v>0</v>
      </c>
      <c r="I185" t="s">
        <v>17</v>
      </c>
      <c r="K185" t="s">
        <v>569</v>
      </c>
      <c r="L185">
        <v>349</v>
      </c>
      <c r="M185" t="s">
        <v>570</v>
      </c>
    </row>
    <row r="186" spans="1:13">
      <c r="A186" t="s">
        <v>13</v>
      </c>
      <c r="B186">
        <v>183551</v>
      </c>
      <c r="C186">
        <v>184345</v>
      </c>
      <c r="E186" t="s">
        <v>14</v>
      </c>
      <c r="F186" t="s">
        <v>571</v>
      </c>
      <c r="G186" t="s">
        <v>572</v>
      </c>
      <c r="H186">
        <v>0</v>
      </c>
      <c r="I186" t="s">
        <v>17</v>
      </c>
      <c r="K186" t="s">
        <v>573</v>
      </c>
      <c r="L186">
        <v>264</v>
      </c>
      <c r="M186" t="s">
        <v>574</v>
      </c>
    </row>
    <row r="187" spans="1:13">
      <c r="A187" t="s">
        <v>13</v>
      </c>
      <c r="B187">
        <v>184338</v>
      </c>
      <c r="C187">
        <v>185525</v>
      </c>
      <c r="E187" t="s">
        <v>14</v>
      </c>
      <c r="F187" t="s">
        <v>575</v>
      </c>
      <c r="H187">
        <v>0</v>
      </c>
      <c r="I187" t="s">
        <v>17</v>
      </c>
      <c r="K187" t="s">
        <v>576</v>
      </c>
      <c r="L187">
        <v>395</v>
      </c>
      <c r="M187" t="s">
        <v>577</v>
      </c>
    </row>
    <row r="188" spans="1:13">
      <c r="A188" t="s">
        <v>13</v>
      </c>
      <c r="B188">
        <v>185744</v>
      </c>
      <c r="C188">
        <v>186385</v>
      </c>
      <c r="E188" t="s">
        <v>14</v>
      </c>
      <c r="F188" t="s">
        <v>578</v>
      </c>
      <c r="G188" t="s">
        <v>579</v>
      </c>
      <c r="H188">
        <v>0</v>
      </c>
      <c r="I188" t="s">
        <v>17</v>
      </c>
      <c r="K188" t="s">
        <v>580</v>
      </c>
      <c r="L188">
        <v>213</v>
      </c>
      <c r="M188" t="s">
        <v>581</v>
      </c>
    </row>
    <row r="189" spans="1:13">
      <c r="A189" t="s">
        <v>13</v>
      </c>
      <c r="B189">
        <v>186473</v>
      </c>
      <c r="C189">
        <v>187342</v>
      </c>
      <c r="E189" t="s">
        <v>14</v>
      </c>
      <c r="F189" t="s">
        <v>560</v>
      </c>
      <c r="H189">
        <v>0</v>
      </c>
      <c r="I189" t="s">
        <v>17</v>
      </c>
      <c r="K189" t="s">
        <v>582</v>
      </c>
      <c r="L189">
        <v>289</v>
      </c>
      <c r="M189" t="s">
        <v>583</v>
      </c>
    </row>
    <row r="190" spans="1:13">
      <c r="A190" t="s">
        <v>13</v>
      </c>
      <c r="B190">
        <v>187581</v>
      </c>
      <c r="C190">
        <v>190235</v>
      </c>
      <c r="E190" t="s">
        <v>14</v>
      </c>
      <c r="F190" t="s">
        <v>584</v>
      </c>
      <c r="G190" t="s">
        <v>585</v>
      </c>
      <c r="H190">
        <v>0</v>
      </c>
      <c r="I190" t="s">
        <v>17</v>
      </c>
      <c r="K190" t="s">
        <v>586</v>
      </c>
      <c r="L190">
        <v>884</v>
      </c>
      <c r="M190" t="s">
        <v>587</v>
      </c>
    </row>
    <row r="191" spans="1:13">
      <c r="A191" t="s">
        <v>13</v>
      </c>
      <c r="B191">
        <v>190232</v>
      </c>
      <c r="C191">
        <v>191488</v>
      </c>
      <c r="E191" t="s">
        <v>14</v>
      </c>
      <c r="F191" t="s">
        <v>588</v>
      </c>
      <c r="G191" t="s">
        <v>589</v>
      </c>
      <c r="H191">
        <v>0</v>
      </c>
      <c r="I191" t="s">
        <v>17</v>
      </c>
      <c r="K191" t="s">
        <v>590</v>
      </c>
      <c r="L191">
        <v>418</v>
      </c>
      <c r="M191" t="s">
        <v>591</v>
      </c>
    </row>
    <row r="192" spans="1:13">
      <c r="A192" t="s">
        <v>13</v>
      </c>
      <c r="B192">
        <v>191464</v>
      </c>
      <c r="C192">
        <v>192147</v>
      </c>
      <c r="E192" t="s">
        <v>35</v>
      </c>
      <c r="F192" t="s">
        <v>28</v>
      </c>
      <c r="H192">
        <v>0</v>
      </c>
      <c r="I192" t="s">
        <v>17</v>
      </c>
      <c r="K192" t="s">
        <v>592</v>
      </c>
      <c r="L192">
        <v>227</v>
      </c>
      <c r="M192" t="s">
        <v>593</v>
      </c>
    </row>
    <row r="193" spans="1:13">
      <c r="A193" t="s">
        <v>13</v>
      </c>
      <c r="B193">
        <v>192181</v>
      </c>
      <c r="C193">
        <v>193074</v>
      </c>
      <c r="E193" t="s">
        <v>14</v>
      </c>
      <c r="F193" t="s">
        <v>594</v>
      </c>
      <c r="G193" t="s">
        <v>595</v>
      </c>
      <c r="H193">
        <v>0</v>
      </c>
      <c r="I193" t="s">
        <v>17</v>
      </c>
      <c r="K193" t="s">
        <v>596</v>
      </c>
      <c r="L193">
        <v>297</v>
      </c>
      <c r="M193" t="s">
        <v>597</v>
      </c>
    </row>
    <row r="194" spans="1:13">
      <c r="A194" t="s">
        <v>13</v>
      </c>
      <c r="B194">
        <v>193088</v>
      </c>
      <c r="C194">
        <v>194680</v>
      </c>
      <c r="E194" t="s">
        <v>14</v>
      </c>
      <c r="F194" t="s">
        <v>598</v>
      </c>
      <c r="G194" t="s">
        <v>599</v>
      </c>
      <c r="H194">
        <v>0</v>
      </c>
      <c r="I194" t="s">
        <v>17</v>
      </c>
      <c r="K194" t="s">
        <v>600</v>
      </c>
      <c r="L194">
        <v>530</v>
      </c>
      <c r="M194" t="s">
        <v>601</v>
      </c>
    </row>
    <row r="195" spans="1:13">
      <c r="A195" t="s">
        <v>13</v>
      </c>
      <c r="B195">
        <v>194684</v>
      </c>
      <c r="C195">
        <v>195019</v>
      </c>
      <c r="E195" t="s">
        <v>14</v>
      </c>
      <c r="F195" t="s">
        <v>28</v>
      </c>
      <c r="H195">
        <v>0</v>
      </c>
      <c r="I195" t="s">
        <v>17</v>
      </c>
      <c r="K195" t="s">
        <v>602</v>
      </c>
      <c r="L195">
        <v>111</v>
      </c>
      <c r="M195" t="s">
        <v>603</v>
      </c>
    </row>
    <row r="196" spans="1:13">
      <c r="A196" t="s">
        <v>13</v>
      </c>
      <c r="B196">
        <v>195016</v>
      </c>
      <c r="C196">
        <v>195264</v>
      </c>
      <c r="E196" t="s">
        <v>35</v>
      </c>
      <c r="F196" t="s">
        <v>28</v>
      </c>
      <c r="H196">
        <v>0</v>
      </c>
      <c r="I196" t="s">
        <v>17</v>
      </c>
      <c r="K196" t="s">
        <v>604</v>
      </c>
      <c r="L196">
        <v>82</v>
      </c>
      <c r="M196" t="s">
        <v>605</v>
      </c>
    </row>
    <row r="197" spans="1:13">
      <c r="A197" t="s">
        <v>13</v>
      </c>
      <c r="B197">
        <v>195290</v>
      </c>
      <c r="C197">
        <v>196831</v>
      </c>
      <c r="E197" t="s">
        <v>35</v>
      </c>
      <c r="F197" t="s">
        <v>606</v>
      </c>
      <c r="H197">
        <v>0</v>
      </c>
      <c r="I197" t="s">
        <v>17</v>
      </c>
      <c r="K197" t="s">
        <v>607</v>
      </c>
      <c r="L197">
        <v>513</v>
      </c>
      <c r="M197" t="s">
        <v>608</v>
      </c>
    </row>
    <row r="198" spans="1:13">
      <c r="A198" t="s">
        <v>13</v>
      </c>
      <c r="B198">
        <v>196961</v>
      </c>
      <c r="C198">
        <v>197049</v>
      </c>
      <c r="E198" t="s">
        <v>35</v>
      </c>
      <c r="F198" t="s">
        <v>152</v>
      </c>
      <c r="H198">
        <v>0</v>
      </c>
      <c r="I198" t="s">
        <v>53</v>
      </c>
      <c r="M198" t="s">
        <v>609</v>
      </c>
    </row>
    <row r="199" spans="1:13">
      <c r="A199" t="s">
        <v>13</v>
      </c>
      <c r="B199">
        <v>197259</v>
      </c>
      <c r="C199">
        <v>197355</v>
      </c>
      <c r="E199" t="s">
        <v>14</v>
      </c>
      <c r="F199" t="s">
        <v>610</v>
      </c>
      <c r="G199" t="s">
        <v>611</v>
      </c>
      <c r="H199">
        <v>0</v>
      </c>
      <c r="I199" t="s">
        <v>612</v>
      </c>
      <c r="M199" t="s">
        <v>613</v>
      </c>
    </row>
    <row r="200" spans="1:13">
      <c r="A200" t="s">
        <v>13</v>
      </c>
      <c r="B200">
        <v>197421</v>
      </c>
      <c r="C200">
        <v>198692</v>
      </c>
      <c r="E200" t="s">
        <v>14</v>
      </c>
      <c r="F200" t="s">
        <v>614</v>
      </c>
      <c r="H200">
        <v>0</v>
      </c>
      <c r="I200" t="s">
        <v>17</v>
      </c>
      <c r="K200" t="s">
        <v>615</v>
      </c>
      <c r="L200">
        <v>423</v>
      </c>
      <c r="M200" t="s">
        <v>616</v>
      </c>
    </row>
    <row r="201" spans="1:13">
      <c r="A201" t="s">
        <v>13</v>
      </c>
      <c r="B201">
        <v>198715</v>
      </c>
      <c r="C201">
        <v>199239</v>
      </c>
      <c r="E201" t="s">
        <v>14</v>
      </c>
      <c r="F201" t="s">
        <v>617</v>
      </c>
      <c r="H201">
        <v>0</v>
      </c>
      <c r="I201" t="s">
        <v>17</v>
      </c>
      <c r="K201" t="s">
        <v>618</v>
      </c>
      <c r="L201">
        <v>174</v>
      </c>
      <c r="M201" t="s">
        <v>619</v>
      </c>
    </row>
    <row r="202" spans="1:13">
      <c r="A202" t="s">
        <v>13</v>
      </c>
      <c r="B202">
        <v>199303</v>
      </c>
      <c r="C202">
        <v>202017</v>
      </c>
      <c r="E202" t="s">
        <v>14</v>
      </c>
      <c r="F202" t="s">
        <v>620</v>
      </c>
      <c r="G202" t="s">
        <v>621</v>
      </c>
      <c r="H202">
        <v>0</v>
      </c>
      <c r="I202" t="s">
        <v>17</v>
      </c>
      <c r="K202" t="s">
        <v>622</v>
      </c>
      <c r="L202">
        <v>904</v>
      </c>
      <c r="M202" t="s">
        <v>623</v>
      </c>
    </row>
    <row r="203" spans="1:13">
      <c r="A203" t="s">
        <v>13</v>
      </c>
      <c r="B203">
        <v>202074</v>
      </c>
      <c r="C203">
        <v>202442</v>
      </c>
      <c r="E203" t="s">
        <v>14</v>
      </c>
      <c r="F203" t="s">
        <v>624</v>
      </c>
      <c r="H203">
        <v>0</v>
      </c>
      <c r="I203" t="s">
        <v>17</v>
      </c>
      <c r="K203" t="s">
        <v>625</v>
      </c>
      <c r="L203">
        <v>122</v>
      </c>
      <c r="M203" t="s">
        <v>626</v>
      </c>
    </row>
    <row r="204" spans="1:13">
      <c r="A204" t="s">
        <v>13</v>
      </c>
      <c r="B204">
        <v>202515</v>
      </c>
      <c r="C204">
        <v>203171</v>
      </c>
      <c r="E204" t="s">
        <v>14</v>
      </c>
      <c r="F204" t="s">
        <v>627</v>
      </c>
      <c r="G204" t="s">
        <v>628</v>
      </c>
      <c r="H204">
        <v>0</v>
      </c>
      <c r="I204" t="s">
        <v>17</v>
      </c>
      <c r="K204" t="s">
        <v>629</v>
      </c>
      <c r="L204">
        <v>218</v>
      </c>
      <c r="M204" t="s">
        <v>630</v>
      </c>
    </row>
    <row r="205" spans="1:13">
      <c r="A205" t="s">
        <v>13</v>
      </c>
      <c r="B205">
        <v>203235</v>
      </c>
      <c r="C205">
        <v>204335</v>
      </c>
      <c r="E205" t="s">
        <v>35</v>
      </c>
      <c r="F205" t="s">
        <v>28</v>
      </c>
      <c r="H205">
        <v>0</v>
      </c>
      <c r="I205" t="s">
        <v>17</v>
      </c>
      <c r="K205" t="s">
        <v>631</v>
      </c>
      <c r="L205">
        <v>366</v>
      </c>
      <c r="M205" t="s">
        <v>632</v>
      </c>
    </row>
    <row r="206" spans="1:13">
      <c r="A206" t="s">
        <v>13</v>
      </c>
      <c r="B206">
        <v>204460</v>
      </c>
      <c r="C206">
        <v>205233</v>
      </c>
      <c r="E206" t="s">
        <v>35</v>
      </c>
      <c r="F206" t="s">
        <v>633</v>
      </c>
      <c r="H206">
        <v>0</v>
      </c>
      <c r="I206" t="s">
        <v>17</v>
      </c>
      <c r="K206" t="s">
        <v>634</v>
      </c>
      <c r="L206">
        <v>257</v>
      </c>
      <c r="M206" t="s">
        <v>635</v>
      </c>
    </row>
    <row r="207" spans="1:13">
      <c r="A207" t="s">
        <v>13</v>
      </c>
      <c r="B207">
        <v>205226</v>
      </c>
      <c r="C207">
        <v>206503</v>
      </c>
      <c r="E207" t="s">
        <v>35</v>
      </c>
      <c r="F207" t="s">
        <v>636</v>
      </c>
      <c r="H207">
        <v>0</v>
      </c>
      <c r="I207" t="s">
        <v>17</v>
      </c>
      <c r="K207" t="s">
        <v>637</v>
      </c>
      <c r="L207">
        <v>425</v>
      </c>
      <c r="M207" t="s">
        <v>638</v>
      </c>
    </row>
    <row r="208" spans="1:13">
      <c r="A208" t="s">
        <v>13</v>
      </c>
      <c r="B208">
        <v>206531</v>
      </c>
      <c r="C208">
        <v>207970</v>
      </c>
      <c r="E208" t="s">
        <v>35</v>
      </c>
      <c r="F208" t="s">
        <v>639</v>
      </c>
      <c r="H208">
        <v>0</v>
      </c>
      <c r="I208" t="s">
        <v>17</v>
      </c>
      <c r="K208" t="s">
        <v>640</v>
      </c>
      <c r="L208">
        <v>479</v>
      </c>
      <c r="M208" t="s">
        <v>641</v>
      </c>
    </row>
    <row r="209" spans="1:13">
      <c r="A209" t="s">
        <v>13</v>
      </c>
      <c r="B209">
        <v>208055</v>
      </c>
      <c r="C209">
        <v>208837</v>
      </c>
      <c r="E209" t="s">
        <v>35</v>
      </c>
      <c r="F209" t="s">
        <v>28</v>
      </c>
      <c r="H209">
        <v>0</v>
      </c>
      <c r="I209" t="s">
        <v>17</v>
      </c>
      <c r="K209" t="s">
        <v>642</v>
      </c>
      <c r="L209">
        <v>260</v>
      </c>
      <c r="M209" t="s">
        <v>643</v>
      </c>
    </row>
    <row r="210" spans="1:13">
      <c r="A210" t="s">
        <v>13</v>
      </c>
      <c r="B210">
        <v>208872</v>
      </c>
      <c r="C210">
        <v>210689</v>
      </c>
      <c r="E210" t="s">
        <v>35</v>
      </c>
      <c r="F210" t="s">
        <v>644</v>
      </c>
      <c r="G210" t="s">
        <v>645</v>
      </c>
      <c r="H210">
        <v>0</v>
      </c>
      <c r="I210" t="s">
        <v>17</v>
      </c>
      <c r="K210" t="s">
        <v>646</v>
      </c>
      <c r="L210">
        <v>605</v>
      </c>
      <c r="M210" t="s">
        <v>647</v>
      </c>
    </row>
    <row r="211" spans="1:13">
      <c r="A211" t="s">
        <v>13</v>
      </c>
      <c r="B211">
        <v>210906</v>
      </c>
      <c r="C211">
        <v>212015</v>
      </c>
      <c r="E211" t="s">
        <v>14</v>
      </c>
      <c r="F211" t="s">
        <v>648</v>
      </c>
      <c r="H211">
        <v>0</v>
      </c>
      <c r="I211" t="s">
        <v>17</v>
      </c>
      <c r="K211" t="s">
        <v>649</v>
      </c>
      <c r="L211">
        <v>369</v>
      </c>
      <c r="M211" t="s">
        <v>650</v>
      </c>
    </row>
    <row r="212" spans="1:13">
      <c r="A212" t="s">
        <v>13</v>
      </c>
      <c r="B212">
        <v>212012</v>
      </c>
      <c r="C212">
        <v>212890</v>
      </c>
      <c r="E212" t="s">
        <v>35</v>
      </c>
      <c r="F212" t="s">
        <v>28</v>
      </c>
      <c r="H212">
        <v>0</v>
      </c>
      <c r="I212" t="s">
        <v>17</v>
      </c>
      <c r="K212" t="s">
        <v>651</v>
      </c>
      <c r="L212">
        <v>292</v>
      </c>
      <c r="M212" t="s">
        <v>652</v>
      </c>
    </row>
    <row r="213" spans="1:13">
      <c r="A213" t="s">
        <v>13</v>
      </c>
      <c r="B213">
        <v>213095</v>
      </c>
      <c r="C213">
        <v>214360</v>
      </c>
      <c r="E213" t="s">
        <v>14</v>
      </c>
      <c r="F213" t="s">
        <v>653</v>
      </c>
      <c r="G213" t="s">
        <v>654</v>
      </c>
      <c r="H213">
        <v>0</v>
      </c>
      <c r="I213" t="s">
        <v>17</v>
      </c>
      <c r="K213" t="s">
        <v>655</v>
      </c>
      <c r="L213">
        <v>421</v>
      </c>
      <c r="M213" t="s">
        <v>656</v>
      </c>
    </row>
    <row r="214" spans="1:13">
      <c r="A214" t="s">
        <v>13</v>
      </c>
      <c r="B214">
        <v>214395</v>
      </c>
      <c r="C214">
        <v>215426</v>
      </c>
      <c r="E214" t="s">
        <v>14</v>
      </c>
      <c r="F214" t="s">
        <v>657</v>
      </c>
      <c r="G214" t="s">
        <v>658</v>
      </c>
      <c r="H214">
        <v>0</v>
      </c>
      <c r="I214" t="s">
        <v>17</v>
      </c>
      <c r="K214" t="s">
        <v>659</v>
      </c>
      <c r="L214">
        <v>343</v>
      </c>
      <c r="M214" t="s">
        <v>660</v>
      </c>
    </row>
    <row r="215" spans="1:13">
      <c r="A215" t="s">
        <v>13</v>
      </c>
      <c r="B215">
        <v>215554</v>
      </c>
      <c r="C215">
        <v>216885</v>
      </c>
      <c r="E215" t="s">
        <v>35</v>
      </c>
      <c r="F215" t="s">
        <v>28</v>
      </c>
      <c r="H215">
        <v>0</v>
      </c>
      <c r="I215" t="s">
        <v>17</v>
      </c>
      <c r="K215" t="s">
        <v>661</v>
      </c>
      <c r="L215">
        <v>443</v>
      </c>
      <c r="M215" t="s">
        <v>662</v>
      </c>
    </row>
    <row r="216" spans="1:13">
      <c r="A216" t="s">
        <v>13</v>
      </c>
      <c r="B216">
        <v>217173</v>
      </c>
      <c r="C216">
        <v>217715</v>
      </c>
      <c r="E216" t="s">
        <v>35</v>
      </c>
      <c r="F216" t="s">
        <v>663</v>
      </c>
      <c r="G216" t="s">
        <v>664</v>
      </c>
      <c r="H216">
        <v>0</v>
      </c>
      <c r="I216" t="s">
        <v>17</v>
      </c>
      <c r="K216" t="s">
        <v>665</v>
      </c>
      <c r="L216">
        <v>180</v>
      </c>
      <c r="M216" t="s">
        <v>666</v>
      </c>
    </row>
    <row r="217" spans="1:13">
      <c r="A217" t="s">
        <v>13</v>
      </c>
      <c r="B217">
        <v>217899</v>
      </c>
      <c r="C217">
        <v>219449</v>
      </c>
      <c r="E217" t="s">
        <v>14</v>
      </c>
      <c r="F217" t="s">
        <v>667</v>
      </c>
      <c r="G217" t="s">
        <v>668</v>
      </c>
      <c r="H217">
        <v>0</v>
      </c>
      <c r="I217" t="s">
        <v>17</v>
      </c>
      <c r="K217" t="s">
        <v>669</v>
      </c>
      <c r="L217">
        <v>516</v>
      </c>
      <c r="M217" t="s">
        <v>670</v>
      </c>
    </row>
    <row r="218" spans="1:13">
      <c r="A218" t="s">
        <v>13</v>
      </c>
      <c r="B218">
        <v>219567</v>
      </c>
      <c r="C218">
        <v>220124</v>
      </c>
      <c r="E218" t="s">
        <v>35</v>
      </c>
      <c r="F218" t="s">
        <v>28</v>
      </c>
      <c r="H218">
        <v>0</v>
      </c>
      <c r="I218" t="s">
        <v>17</v>
      </c>
      <c r="K218" t="s">
        <v>671</v>
      </c>
      <c r="L218">
        <v>185</v>
      </c>
      <c r="M218" t="s">
        <v>672</v>
      </c>
    </row>
    <row r="219" spans="1:13">
      <c r="A219" t="s">
        <v>13</v>
      </c>
      <c r="B219">
        <v>220209</v>
      </c>
      <c r="C219">
        <v>221672</v>
      </c>
      <c r="E219" t="s">
        <v>14</v>
      </c>
      <c r="F219" t="s">
        <v>28</v>
      </c>
      <c r="H219">
        <v>0</v>
      </c>
      <c r="I219" t="s">
        <v>17</v>
      </c>
      <c r="K219" t="s">
        <v>673</v>
      </c>
      <c r="L219">
        <v>487</v>
      </c>
      <c r="M219" t="s">
        <v>674</v>
      </c>
    </row>
    <row r="220" spans="1:13">
      <c r="A220" t="s">
        <v>13</v>
      </c>
      <c r="B220">
        <v>222026</v>
      </c>
      <c r="C220">
        <v>223390</v>
      </c>
      <c r="E220" t="s">
        <v>14</v>
      </c>
      <c r="F220" t="s">
        <v>675</v>
      </c>
      <c r="G220" t="s">
        <v>676</v>
      </c>
      <c r="H220">
        <v>0</v>
      </c>
      <c r="I220" t="s">
        <v>17</v>
      </c>
      <c r="K220" t="s">
        <v>677</v>
      </c>
      <c r="L220">
        <v>454</v>
      </c>
      <c r="M220" t="s">
        <v>678</v>
      </c>
    </row>
    <row r="221" spans="1:13">
      <c r="A221" t="s">
        <v>13</v>
      </c>
      <c r="B221">
        <v>223458</v>
      </c>
      <c r="C221">
        <v>223532</v>
      </c>
      <c r="E221" t="s">
        <v>35</v>
      </c>
      <c r="F221" t="s">
        <v>679</v>
      </c>
      <c r="H221">
        <v>0</v>
      </c>
      <c r="I221" t="s">
        <v>53</v>
      </c>
      <c r="M221" t="s">
        <v>680</v>
      </c>
    </row>
    <row r="222" spans="1:13">
      <c r="A222" t="s">
        <v>13</v>
      </c>
      <c r="B222">
        <v>223600</v>
      </c>
      <c r="C222">
        <v>224487</v>
      </c>
      <c r="E222" t="s">
        <v>35</v>
      </c>
      <c r="F222" t="s">
        <v>681</v>
      </c>
      <c r="H222">
        <v>0</v>
      </c>
      <c r="I222" t="s">
        <v>17</v>
      </c>
      <c r="K222" t="s">
        <v>682</v>
      </c>
      <c r="L222">
        <v>295</v>
      </c>
      <c r="M222" t="s">
        <v>683</v>
      </c>
    </row>
    <row r="223" spans="1:13">
      <c r="A223" t="s">
        <v>13</v>
      </c>
      <c r="B223">
        <v>224531</v>
      </c>
      <c r="C223">
        <v>224995</v>
      </c>
      <c r="E223" t="s">
        <v>14</v>
      </c>
      <c r="F223" t="s">
        <v>684</v>
      </c>
      <c r="H223">
        <v>0</v>
      </c>
      <c r="I223" t="s">
        <v>17</v>
      </c>
      <c r="K223" t="s">
        <v>685</v>
      </c>
      <c r="L223">
        <v>154</v>
      </c>
      <c r="M223" t="s">
        <v>686</v>
      </c>
    </row>
    <row r="224" spans="1:13">
      <c r="A224" t="s">
        <v>13</v>
      </c>
      <c r="B224">
        <v>224999</v>
      </c>
      <c r="C224">
        <v>227470</v>
      </c>
      <c r="E224" t="s">
        <v>35</v>
      </c>
      <c r="F224" t="s">
        <v>687</v>
      </c>
      <c r="G224" t="s">
        <v>688</v>
      </c>
      <c r="H224">
        <v>0</v>
      </c>
      <c r="I224" t="s">
        <v>17</v>
      </c>
      <c r="K224" t="s">
        <v>689</v>
      </c>
      <c r="L224">
        <v>823</v>
      </c>
      <c r="M224" t="s">
        <v>690</v>
      </c>
    </row>
    <row r="225" spans="1:13">
      <c r="A225" t="s">
        <v>13</v>
      </c>
      <c r="B225">
        <v>227616</v>
      </c>
      <c r="C225">
        <v>227939</v>
      </c>
      <c r="E225" t="s">
        <v>14</v>
      </c>
      <c r="F225" t="s">
        <v>691</v>
      </c>
      <c r="G225" t="s">
        <v>692</v>
      </c>
      <c r="H225">
        <v>0</v>
      </c>
      <c r="I225" t="s">
        <v>17</v>
      </c>
      <c r="K225" t="s">
        <v>693</v>
      </c>
      <c r="L225">
        <v>107</v>
      </c>
      <c r="M225" t="s">
        <v>694</v>
      </c>
    </row>
    <row r="226" spans="1:13">
      <c r="A226" t="s">
        <v>13</v>
      </c>
      <c r="B226">
        <v>228021</v>
      </c>
      <c r="C226">
        <v>228188</v>
      </c>
      <c r="E226" t="s">
        <v>14</v>
      </c>
      <c r="F226" t="s">
        <v>28</v>
      </c>
      <c r="H226">
        <v>0</v>
      </c>
      <c r="I226" t="s">
        <v>17</v>
      </c>
      <c r="K226" t="s">
        <v>695</v>
      </c>
      <c r="L226">
        <v>55</v>
      </c>
      <c r="M226" t="s">
        <v>696</v>
      </c>
    </row>
    <row r="227" spans="1:13">
      <c r="A227" t="s">
        <v>13</v>
      </c>
      <c r="B227">
        <v>228189</v>
      </c>
      <c r="C227">
        <v>228647</v>
      </c>
      <c r="E227" t="s">
        <v>14</v>
      </c>
      <c r="F227" t="s">
        <v>697</v>
      </c>
      <c r="G227" t="s">
        <v>698</v>
      </c>
      <c r="H227">
        <v>0</v>
      </c>
      <c r="I227" t="s">
        <v>17</v>
      </c>
      <c r="K227" t="s">
        <v>699</v>
      </c>
      <c r="L227">
        <v>152</v>
      </c>
      <c r="M227" t="s">
        <v>700</v>
      </c>
    </row>
    <row r="228" spans="1:13">
      <c r="A228" t="s">
        <v>13</v>
      </c>
      <c r="B228">
        <v>228666</v>
      </c>
      <c r="C228">
        <v>229499</v>
      </c>
      <c r="E228" t="s">
        <v>14</v>
      </c>
      <c r="F228" t="s">
        <v>701</v>
      </c>
      <c r="G228" t="s">
        <v>702</v>
      </c>
      <c r="H228">
        <v>0</v>
      </c>
      <c r="I228" t="s">
        <v>17</v>
      </c>
      <c r="K228" t="s">
        <v>703</v>
      </c>
      <c r="L228">
        <v>277</v>
      </c>
      <c r="M228" t="s">
        <v>704</v>
      </c>
    </row>
    <row r="229" spans="1:13">
      <c r="A229" t="s">
        <v>13</v>
      </c>
      <c r="B229">
        <v>229581</v>
      </c>
      <c r="C229">
        <v>230264</v>
      </c>
      <c r="E229" t="s">
        <v>35</v>
      </c>
      <c r="F229" t="s">
        <v>705</v>
      </c>
      <c r="G229" t="s">
        <v>706</v>
      </c>
      <c r="H229">
        <v>0</v>
      </c>
      <c r="I229" t="s">
        <v>17</v>
      </c>
      <c r="K229" t="s">
        <v>707</v>
      </c>
      <c r="L229">
        <v>227</v>
      </c>
      <c r="M229" t="s">
        <v>708</v>
      </c>
    </row>
    <row r="230" spans="1:13">
      <c r="A230" t="s">
        <v>13</v>
      </c>
      <c r="B230">
        <v>230348</v>
      </c>
      <c r="C230">
        <v>230572</v>
      </c>
      <c r="E230" t="s">
        <v>14</v>
      </c>
      <c r="F230" t="s">
        <v>28</v>
      </c>
      <c r="H230">
        <v>0</v>
      </c>
      <c r="I230" t="s">
        <v>17</v>
      </c>
      <c r="K230" t="s">
        <v>709</v>
      </c>
      <c r="L230">
        <v>74</v>
      </c>
      <c r="M230" t="s">
        <v>710</v>
      </c>
    </row>
    <row r="231" spans="1:13">
      <c r="A231" t="s">
        <v>13</v>
      </c>
      <c r="B231">
        <v>230544</v>
      </c>
      <c r="C231">
        <v>231260</v>
      </c>
      <c r="E231" t="s">
        <v>14</v>
      </c>
      <c r="F231" t="s">
        <v>711</v>
      </c>
      <c r="G231" t="s">
        <v>712</v>
      </c>
      <c r="H231">
        <v>0</v>
      </c>
      <c r="I231" t="s">
        <v>17</v>
      </c>
      <c r="K231" t="s">
        <v>713</v>
      </c>
      <c r="L231">
        <v>238</v>
      </c>
      <c r="M231" t="s">
        <v>714</v>
      </c>
    </row>
    <row r="232" spans="1:13">
      <c r="A232" t="s">
        <v>13</v>
      </c>
      <c r="B232">
        <v>231265</v>
      </c>
      <c r="C232">
        <v>231855</v>
      </c>
      <c r="E232" t="s">
        <v>14</v>
      </c>
      <c r="F232" t="s">
        <v>715</v>
      </c>
      <c r="G232" t="s">
        <v>716</v>
      </c>
      <c r="H232">
        <v>0</v>
      </c>
      <c r="I232" t="s">
        <v>17</v>
      </c>
      <c r="K232" t="s">
        <v>717</v>
      </c>
      <c r="L232">
        <v>196</v>
      </c>
      <c r="M232" t="s">
        <v>718</v>
      </c>
    </row>
    <row r="233" spans="1:13">
      <c r="A233" t="s">
        <v>13</v>
      </c>
      <c r="B233">
        <v>231852</v>
      </c>
      <c r="C233">
        <v>232553</v>
      </c>
      <c r="E233" t="s">
        <v>14</v>
      </c>
      <c r="F233" t="s">
        <v>719</v>
      </c>
      <c r="H233">
        <v>0</v>
      </c>
      <c r="I233" t="s">
        <v>17</v>
      </c>
      <c r="K233" t="s">
        <v>720</v>
      </c>
      <c r="L233">
        <v>233</v>
      </c>
      <c r="M233" t="s">
        <v>721</v>
      </c>
    </row>
    <row r="234" spans="1:13">
      <c r="A234" t="s">
        <v>13</v>
      </c>
      <c r="B234">
        <v>232616</v>
      </c>
      <c r="C234">
        <v>233812</v>
      </c>
      <c r="E234" t="s">
        <v>14</v>
      </c>
      <c r="F234" t="s">
        <v>722</v>
      </c>
      <c r="H234">
        <v>0</v>
      </c>
      <c r="I234" t="s">
        <v>17</v>
      </c>
      <c r="K234" t="s">
        <v>723</v>
      </c>
      <c r="L234">
        <v>398</v>
      </c>
      <c r="M234" t="s">
        <v>724</v>
      </c>
    </row>
    <row r="235" spans="1:13">
      <c r="A235" t="s">
        <v>13</v>
      </c>
      <c r="B235">
        <v>233855</v>
      </c>
      <c r="C235">
        <v>234763</v>
      </c>
      <c r="E235" t="s">
        <v>35</v>
      </c>
      <c r="F235" t="s">
        <v>725</v>
      </c>
      <c r="H235">
        <v>0</v>
      </c>
      <c r="I235" t="s">
        <v>17</v>
      </c>
      <c r="K235" t="s">
        <v>726</v>
      </c>
      <c r="L235">
        <v>302</v>
      </c>
      <c r="M235" t="s">
        <v>727</v>
      </c>
    </row>
    <row r="236" spans="1:13">
      <c r="A236" t="s">
        <v>13</v>
      </c>
      <c r="B236">
        <v>234842</v>
      </c>
      <c r="C236">
        <v>235345</v>
      </c>
      <c r="E236" t="s">
        <v>35</v>
      </c>
      <c r="F236" t="s">
        <v>28</v>
      </c>
      <c r="H236">
        <v>0</v>
      </c>
      <c r="I236" t="s">
        <v>17</v>
      </c>
      <c r="K236" t="s">
        <v>728</v>
      </c>
      <c r="L236">
        <v>167</v>
      </c>
      <c r="M236" t="s">
        <v>729</v>
      </c>
    </row>
    <row r="237" spans="1:13">
      <c r="A237" t="s">
        <v>13</v>
      </c>
      <c r="B237">
        <v>235472</v>
      </c>
      <c r="C237">
        <v>236188</v>
      </c>
      <c r="E237" t="s">
        <v>14</v>
      </c>
      <c r="F237" t="s">
        <v>28</v>
      </c>
      <c r="H237">
        <v>0</v>
      </c>
      <c r="I237" t="s">
        <v>17</v>
      </c>
      <c r="K237" t="s">
        <v>730</v>
      </c>
      <c r="L237">
        <v>238</v>
      </c>
      <c r="M237" t="s">
        <v>731</v>
      </c>
    </row>
    <row r="238" spans="1:13">
      <c r="A238" t="s">
        <v>13</v>
      </c>
      <c r="B238">
        <v>236538</v>
      </c>
      <c r="C238">
        <v>237608</v>
      </c>
      <c r="E238" t="s">
        <v>14</v>
      </c>
      <c r="F238" t="s">
        <v>28</v>
      </c>
      <c r="H238">
        <v>0</v>
      </c>
      <c r="I238" t="s">
        <v>17</v>
      </c>
      <c r="K238" t="s">
        <v>732</v>
      </c>
      <c r="L238">
        <v>356</v>
      </c>
      <c r="M238" t="s">
        <v>733</v>
      </c>
    </row>
    <row r="239" spans="1:13">
      <c r="A239" t="s">
        <v>13</v>
      </c>
      <c r="B239">
        <v>237605</v>
      </c>
      <c r="C239">
        <v>238807</v>
      </c>
      <c r="E239" t="s">
        <v>14</v>
      </c>
      <c r="F239" t="s">
        <v>734</v>
      </c>
      <c r="H239">
        <v>0</v>
      </c>
      <c r="I239" t="s">
        <v>17</v>
      </c>
      <c r="K239" t="s">
        <v>735</v>
      </c>
      <c r="L239">
        <v>400</v>
      </c>
      <c r="M239" t="s">
        <v>736</v>
      </c>
    </row>
    <row r="240" spans="1:13">
      <c r="A240" t="s">
        <v>13</v>
      </c>
      <c r="B240">
        <v>238800</v>
      </c>
      <c r="C240">
        <v>239579</v>
      </c>
      <c r="E240" t="s">
        <v>14</v>
      </c>
      <c r="F240" t="s">
        <v>28</v>
      </c>
      <c r="H240">
        <v>0</v>
      </c>
      <c r="I240" t="s">
        <v>17</v>
      </c>
      <c r="K240" t="s">
        <v>737</v>
      </c>
      <c r="L240">
        <v>259</v>
      </c>
      <c r="M240" t="s">
        <v>738</v>
      </c>
    </row>
    <row r="241" spans="1:13">
      <c r="A241" t="s">
        <v>13</v>
      </c>
      <c r="B241">
        <v>239576</v>
      </c>
      <c r="C241">
        <v>240199</v>
      </c>
      <c r="E241" t="s">
        <v>14</v>
      </c>
      <c r="F241" t="s">
        <v>739</v>
      </c>
      <c r="H241">
        <v>0</v>
      </c>
      <c r="I241" t="s">
        <v>17</v>
      </c>
      <c r="K241" t="s">
        <v>740</v>
      </c>
      <c r="L241">
        <v>207</v>
      </c>
      <c r="M241" t="s">
        <v>741</v>
      </c>
    </row>
    <row r="242" spans="1:13">
      <c r="A242" t="s">
        <v>13</v>
      </c>
      <c r="B242">
        <v>240258</v>
      </c>
      <c r="C242">
        <v>240461</v>
      </c>
      <c r="E242" t="s">
        <v>14</v>
      </c>
      <c r="F242" t="s">
        <v>28</v>
      </c>
      <c r="H242">
        <v>0</v>
      </c>
      <c r="I242" t="s">
        <v>17</v>
      </c>
      <c r="K242" t="s">
        <v>742</v>
      </c>
      <c r="L242">
        <v>67</v>
      </c>
      <c r="M242" t="s">
        <v>743</v>
      </c>
    </row>
    <row r="243" spans="1:13">
      <c r="A243" t="s">
        <v>13</v>
      </c>
      <c r="B243">
        <v>240495</v>
      </c>
      <c r="C243">
        <v>240809</v>
      </c>
      <c r="E243" t="s">
        <v>14</v>
      </c>
      <c r="F243" t="s">
        <v>28</v>
      </c>
      <c r="H243">
        <v>0</v>
      </c>
      <c r="I243" t="s">
        <v>17</v>
      </c>
      <c r="K243" t="s">
        <v>744</v>
      </c>
      <c r="L243">
        <v>104</v>
      </c>
      <c r="M243" t="s">
        <v>745</v>
      </c>
    </row>
    <row r="244" spans="1:13">
      <c r="A244" t="s">
        <v>13</v>
      </c>
      <c r="B244">
        <v>240802</v>
      </c>
      <c r="C244">
        <v>241125</v>
      </c>
      <c r="E244" t="s">
        <v>14</v>
      </c>
      <c r="F244" t="s">
        <v>28</v>
      </c>
      <c r="H244">
        <v>0</v>
      </c>
      <c r="I244" t="s">
        <v>17</v>
      </c>
      <c r="K244" t="s">
        <v>746</v>
      </c>
      <c r="L244">
        <v>107</v>
      </c>
      <c r="M244" t="s">
        <v>747</v>
      </c>
    </row>
    <row r="245" spans="1:13">
      <c r="A245" t="s">
        <v>13</v>
      </c>
      <c r="B245">
        <v>241122</v>
      </c>
      <c r="C245">
        <v>243494</v>
      </c>
      <c r="E245" t="s">
        <v>35</v>
      </c>
      <c r="F245" t="s">
        <v>748</v>
      </c>
      <c r="H245">
        <v>0</v>
      </c>
      <c r="I245" t="s">
        <v>17</v>
      </c>
      <c r="K245" t="s">
        <v>749</v>
      </c>
      <c r="L245">
        <v>790</v>
      </c>
      <c r="M245" t="s">
        <v>750</v>
      </c>
    </row>
    <row r="246" spans="1:13">
      <c r="A246" t="s">
        <v>13</v>
      </c>
      <c r="B246">
        <v>243675</v>
      </c>
      <c r="C246">
        <v>243878</v>
      </c>
      <c r="E246" t="s">
        <v>14</v>
      </c>
      <c r="F246" t="s">
        <v>751</v>
      </c>
      <c r="G246" t="s">
        <v>752</v>
      </c>
      <c r="H246">
        <v>0</v>
      </c>
      <c r="I246" t="s">
        <v>17</v>
      </c>
      <c r="K246" t="s">
        <v>753</v>
      </c>
      <c r="L246">
        <v>67</v>
      </c>
      <c r="M246" t="s">
        <v>754</v>
      </c>
    </row>
    <row r="247" spans="1:13">
      <c r="A247" t="s">
        <v>13</v>
      </c>
      <c r="B247">
        <v>243915</v>
      </c>
      <c r="C247">
        <v>244544</v>
      </c>
      <c r="E247" t="s">
        <v>35</v>
      </c>
      <c r="F247" t="s">
        <v>755</v>
      </c>
      <c r="G247" t="s">
        <v>756</v>
      </c>
      <c r="H247">
        <v>0</v>
      </c>
      <c r="I247" t="s">
        <v>17</v>
      </c>
      <c r="K247" t="s">
        <v>757</v>
      </c>
      <c r="L247">
        <v>209</v>
      </c>
      <c r="M247" t="s">
        <v>758</v>
      </c>
    </row>
    <row r="248" spans="1:13">
      <c r="A248" t="s">
        <v>13</v>
      </c>
      <c r="B248">
        <v>244791</v>
      </c>
      <c r="C248">
        <v>247784</v>
      </c>
      <c r="E248" t="s">
        <v>14</v>
      </c>
      <c r="F248" t="s">
        <v>759</v>
      </c>
      <c r="G248" t="s">
        <v>760</v>
      </c>
      <c r="H248">
        <v>0</v>
      </c>
      <c r="I248" t="s">
        <v>17</v>
      </c>
      <c r="K248" t="s">
        <v>761</v>
      </c>
      <c r="L248">
        <v>997</v>
      </c>
      <c r="M248" t="s">
        <v>762</v>
      </c>
    </row>
    <row r="249" spans="1:13">
      <c r="A249" t="s">
        <v>13</v>
      </c>
      <c r="B249">
        <v>247811</v>
      </c>
      <c r="C249">
        <v>248569</v>
      </c>
      <c r="E249" t="s">
        <v>14</v>
      </c>
      <c r="F249" t="s">
        <v>28</v>
      </c>
      <c r="H249">
        <v>0</v>
      </c>
      <c r="I249" t="s">
        <v>17</v>
      </c>
      <c r="K249" t="s">
        <v>763</v>
      </c>
      <c r="L249">
        <v>252</v>
      </c>
      <c r="M249" t="s">
        <v>764</v>
      </c>
    </row>
    <row r="250" spans="1:13">
      <c r="A250" t="s">
        <v>13</v>
      </c>
      <c r="B250">
        <v>248718</v>
      </c>
      <c r="C250">
        <v>250211</v>
      </c>
      <c r="E250" t="s">
        <v>14</v>
      </c>
      <c r="F250" t="s">
        <v>178</v>
      </c>
      <c r="H250">
        <v>0</v>
      </c>
      <c r="I250" t="s">
        <v>17</v>
      </c>
      <c r="K250" t="s">
        <v>765</v>
      </c>
      <c r="L250">
        <v>497</v>
      </c>
      <c r="M250" t="s">
        <v>766</v>
      </c>
    </row>
    <row r="251" spans="1:13">
      <c r="A251" t="s">
        <v>13</v>
      </c>
      <c r="B251">
        <v>250208</v>
      </c>
      <c r="C251">
        <v>250333</v>
      </c>
      <c r="E251" t="s">
        <v>35</v>
      </c>
      <c r="F251" t="s">
        <v>28</v>
      </c>
      <c r="H251">
        <v>0</v>
      </c>
      <c r="I251" t="s">
        <v>17</v>
      </c>
      <c r="K251" t="s">
        <v>767</v>
      </c>
      <c r="L251">
        <v>41</v>
      </c>
      <c r="M251" t="s">
        <v>768</v>
      </c>
    </row>
    <row r="252" spans="1:13">
      <c r="A252" t="s">
        <v>13</v>
      </c>
      <c r="B252">
        <v>250357</v>
      </c>
      <c r="C252">
        <v>251565</v>
      </c>
      <c r="E252" t="s">
        <v>35</v>
      </c>
      <c r="F252" t="s">
        <v>28</v>
      </c>
      <c r="H252">
        <v>0</v>
      </c>
      <c r="I252" t="s">
        <v>17</v>
      </c>
      <c r="K252" t="s">
        <v>769</v>
      </c>
      <c r="L252">
        <v>402</v>
      </c>
      <c r="M252" t="s">
        <v>770</v>
      </c>
    </row>
    <row r="253" spans="1:13">
      <c r="A253" t="s">
        <v>13</v>
      </c>
      <c r="B253">
        <v>251565</v>
      </c>
      <c r="C253">
        <v>253064</v>
      </c>
      <c r="E253" t="s">
        <v>35</v>
      </c>
      <c r="F253" t="s">
        <v>771</v>
      </c>
      <c r="G253" t="s">
        <v>772</v>
      </c>
      <c r="H253">
        <v>0</v>
      </c>
      <c r="I253" t="s">
        <v>17</v>
      </c>
      <c r="K253" t="s">
        <v>773</v>
      </c>
      <c r="L253">
        <v>499</v>
      </c>
      <c r="M253" t="s">
        <v>774</v>
      </c>
    </row>
    <row r="254" spans="1:13">
      <c r="A254" t="s">
        <v>13</v>
      </c>
      <c r="B254">
        <v>253135</v>
      </c>
      <c r="C254">
        <v>254334</v>
      </c>
      <c r="E254" t="s">
        <v>14</v>
      </c>
      <c r="F254" t="s">
        <v>620</v>
      </c>
      <c r="G254" t="s">
        <v>775</v>
      </c>
      <c r="H254">
        <v>0</v>
      </c>
      <c r="I254" t="s">
        <v>17</v>
      </c>
      <c r="K254" t="s">
        <v>776</v>
      </c>
      <c r="L254">
        <v>399</v>
      </c>
      <c r="M254" t="s">
        <v>777</v>
      </c>
    </row>
    <row r="255" spans="1:13">
      <c r="A255" t="s">
        <v>13</v>
      </c>
      <c r="B255">
        <v>254517</v>
      </c>
      <c r="C255">
        <v>256010</v>
      </c>
      <c r="E255" t="s">
        <v>14</v>
      </c>
      <c r="F255" t="s">
        <v>178</v>
      </c>
      <c r="H255">
        <v>0</v>
      </c>
      <c r="I255" t="s">
        <v>17</v>
      </c>
      <c r="K255" t="s">
        <v>778</v>
      </c>
      <c r="L255">
        <v>497</v>
      </c>
      <c r="M255" t="s">
        <v>779</v>
      </c>
    </row>
    <row r="256" spans="1:13">
      <c r="A256" t="s">
        <v>13</v>
      </c>
      <c r="B256">
        <v>256007</v>
      </c>
      <c r="C256">
        <v>256132</v>
      </c>
      <c r="E256" t="s">
        <v>35</v>
      </c>
      <c r="F256" t="s">
        <v>28</v>
      </c>
      <c r="H256">
        <v>0</v>
      </c>
      <c r="I256" t="s">
        <v>17</v>
      </c>
      <c r="K256" t="s">
        <v>780</v>
      </c>
      <c r="L256">
        <v>41</v>
      </c>
      <c r="M256" t="s">
        <v>781</v>
      </c>
    </row>
    <row r="257" spans="1:13">
      <c r="A257" t="s">
        <v>13</v>
      </c>
      <c r="B257">
        <v>256256</v>
      </c>
      <c r="C257">
        <v>256331</v>
      </c>
      <c r="E257" t="s">
        <v>14</v>
      </c>
      <c r="F257" t="s">
        <v>782</v>
      </c>
      <c r="H257">
        <v>0</v>
      </c>
      <c r="I257" t="s">
        <v>53</v>
      </c>
      <c r="M257" t="s">
        <v>783</v>
      </c>
    </row>
    <row r="258" spans="1:13">
      <c r="A258" t="s">
        <v>13</v>
      </c>
      <c r="B258">
        <v>256606</v>
      </c>
      <c r="C258">
        <v>256896</v>
      </c>
      <c r="E258" t="s">
        <v>14</v>
      </c>
      <c r="F258" t="s">
        <v>28</v>
      </c>
      <c r="H258">
        <v>0</v>
      </c>
      <c r="I258" t="s">
        <v>17</v>
      </c>
      <c r="K258" t="s">
        <v>784</v>
      </c>
      <c r="L258">
        <v>96</v>
      </c>
      <c r="M258" t="s">
        <v>785</v>
      </c>
    </row>
    <row r="259" spans="1:13">
      <c r="A259" t="s">
        <v>13</v>
      </c>
      <c r="B259">
        <v>256880</v>
      </c>
      <c r="C259">
        <v>258502</v>
      </c>
      <c r="E259" t="s">
        <v>35</v>
      </c>
      <c r="F259" t="s">
        <v>786</v>
      </c>
      <c r="G259" t="s">
        <v>787</v>
      </c>
      <c r="H259">
        <v>0</v>
      </c>
      <c r="I259" t="s">
        <v>17</v>
      </c>
      <c r="K259" t="s">
        <v>788</v>
      </c>
      <c r="L259">
        <v>540</v>
      </c>
      <c r="M259" t="s">
        <v>789</v>
      </c>
    </row>
    <row r="260" spans="1:13">
      <c r="A260" t="s">
        <v>13</v>
      </c>
      <c r="B260">
        <v>258655</v>
      </c>
      <c r="C260">
        <v>259473</v>
      </c>
      <c r="E260" t="s">
        <v>14</v>
      </c>
      <c r="F260" t="s">
        <v>28</v>
      </c>
      <c r="H260">
        <v>0</v>
      </c>
      <c r="I260" t="s">
        <v>17</v>
      </c>
      <c r="K260" t="s">
        <v>790</v>
      </c>
      <c r="L260">
        <v>272</v>
      </c>
      <c r="M260" t="s">
        <v>791</v>
      </c>
    </row>
    <row r="261" spans="1:13">
      <c r="A261" t="s">
        <v>13</v>
      </c>
      <c r="B261">
        <v>259526</v>
      </c>
      <c r="C261">
        <v>260626</v>
      </c>
      <c r="E261" t="s">
        <v>14</v>
      </c>
      <c r="F261" t="s">
        <v>792</v>
      </c>
      <c r="H261">
        <v>0</v>
      </c>
      <c r="I261" t="s">
        <v>17</v>
      </c>
      <c r="K261" t="s">
        <v>793</v>
      </c>
      <c r="L261">
        <v>366</v>
      </c>
      <c r="M261" t="s">
        <v>794</v>
      </c>
    </row>
    <row r="262" spans="1:13">
      <c r="A262" t="s">
        <v>13</v>
      </c>
      <c r="B262">
        <v>260626</v>
      </c>
      <c r="C262">
        <v>261240</v>
      </c>
      <c r="E262" t="s">
        <v>14</v>
      </c>
      <c r="F262" t="s">
        <v>701</v>
      </c>
      <c r="G262" t="s">
        <v>795</v>
      </c>
      <c r="H262">
        <v>0</v>
      </c>
      <c r="I262" t="s">
        <v>17</v>
      </c>
      <c r="K262" t="s">
        <v>796</v>
      </c>
      <c r="L262">
        <v>204</v>
      </c>
      <c r="M262" t="s">
        <v>797</v>
      </c>
    </row>
    <row r="263" spans="1:13">
      <c r="A263" t="s">
        <v>13</v>
      </c>
      <c r="B263">
        <v>261237</v>
      </c>
      <c r="C263">
        <v>262085</v>
      </c>
      <c r="E263" t="s">
        <v>35</v>
      </c>
      <c r="F263" t="s">
        <v>798</v>
      </c>
      <c r="G263" t="s">
        <v>799</v>
      </c>
      <c r="H263">
        <v>0</v>
      </c>
      <c r="I263" t="s">
        <v>17</v>
      </c>
      <c r="K263" t="s">
        <v>800</v>
      </c>
      <c r="L263">
        <v>282</v>
      </c>
      <c r="M263" t="s">
        <v>801</v>
      </c>
    </row>
    <row r="264" spans="1:13">
      <c r="A264" t="s">
        <v>13</v>
      </c>
      <c r="B264">
        <v>262088</v>
      </c>
      <c r="C264">
        <v>263473</v>
      </c>
      <c r="E264" t="s">
        <v>35</v>
      </c>
      <c r="F264" t="s">
        <v>802</v>
      </c>
      <c r="G264" t="s">
        <v>803</v>
      </c>
      <c r="H264">
        <v>0</v>
      </c>
      <c r="I264" t="s">
        <v>17</v>
      </c>
      <c r="K264" t="s">
        <v>804</v>
      </c>
      <c r="L264">
        <v>461</v>
      </c>
      <c r="M264" t="s">
        <v>805</v>
      </c>
    </row>
    <row r="265" spans="1:13">
      <c r="A265" t="s">
        <v>13</v>
      </c>
      <c r="B265">
        <v>263476</v>
      </c>
      <c r="C265">
        <v>264480</v>
      </c>
      <c r="E265" t="s">
        <v>35</v>
      </c>
      <c r="F265" t="s">
        <v>806</v>
      </c>
      <c r="G265" t="s">
        <v>807</v>
      </c>
      <c r="H265">
        <v>0</v>
      </c>
      <c r="I265" t="s">
        <v>17</v>
      </c>
      <c r="K265" t="s">
        <v>808</v>
      </c>
      <c r="L265">
        <v>334</v>
      </c>
      <c r="M265" t="s">
        <v>809</v>
      </c>
    </row>
    <row r="266" spans="1:13">
      <c r="A266" t="s">
        <v>13</v>
      </c>
      <c r="B266">
        <v>264615</v>
      </c>
      <c r="C266">
        <v>266171</v>
      </c>
      <c r="E266" t="s">
        <v>35</v>
      </c>
      <c r="F266" t="s">
        <v>28</v>
      </c>
      <c r="H266">
        <v>0</v>
      </c>
      <c r="I266" t="s">
        <v>17</v>
      </c>
      <c r="K266" t="s">
        <v>810</v>
      </c>
      <c r="L266">
        <v>518</v>
      </c>
      <c r="M266" t="s">
        <v>811</v>
      </c>
    </row>
    <row r="267" spans="1:13">
      <c r="A267" t="s">
        <v>13</v>
      </c>
      <c r="B267">
        <v>266337</v>
      </c>
      <c r="C267">
        <v>267662</v>
      </c>
      <c r="E267" t="s">
        <v>35</v>
      </c>
      <c r="F267" t="s">
        <v>812</v>
      </c>
      <c r="G267" t="s">
        <v>813</v>
      </c>
      <c r="H267">
        <v>0</v>
      </c>
      <c r="I267" t="s">
        <v>17</v>
      </c>
      <c r="K267" t="s">
        <v>814</v>
      </c>
      <c r="L267">
        <v>441</v>
      </c>
      <c r="M267" t="s">
        <v>815</v>
      </c>
    </row>
    <row r="268" spans="1:13">
      <c r="A268" t="s">
        <v>13</v>
      </c>
      <c r="B268">
        <v>267699</v>
      </c>
      <c r="C268">
        <v>268778</v>
      </c>
      <c r="E268" t="s">
        <v>35</v>
      </c>
      <c r="F268" t="s">
        <v>816</v>
      </c>
      <c r="G268" t="s">
        <v>817</v>
      </c>
      <c r="H268">
        <v>0</v>
      </c>
      <c r="I268" t="s">
        <v>17</v>
      </c>
      <c r="K268" t="s">
        <v>818</v>
      </c>
      <c r="L268">
        <v>359</v>
      </c>
      <c r="M268" t="s">
        <v>819</v>
      </c>
    </row>
    <row r="269" spans="1:13">
      <c r="A269" t="s">
        <v>13</v>
      </c>
      <c r="B269">
        <v>269142</v>
      </c>
      <c r="C269">
        <v>269252</v>
      </c>
      <c r="E269" t="s">
        <v>14</v>
      </c>
      <c r="F269" t="s">
        <v>28</v>
      </c>
      <c r="H269">
        <v>0</v>
      </c>
      <c r="I269" t="s">
        <v>17</v>
      </c>
      <c r="K269" t="s">
        <v>820</v>
      </c>
      <c r="L269">
        <v>36</v>
      </c>
      <c r="M269" t="s">
        <v>821</v>
      </c>
    </row>
    <row r="270" spans="1:13">
      <c r="A270" t="s">
        <v>13</v>
      </c>
      <c r="B270">
        <v>269413</v>
      </c>
      <c r="C270">
        <v>270825</v>
      </c>
      <c r="E270" t="s">
        <v>14</v>
      </c>
      <c r="F270" t="s">
        <v>822</v>
      </c>
      <c r="G270" t="s">
        <v>823</v>
      </c>
      <c r="H270">
        <v>0</v>
      </c>
      <c r="I270" t="s">
        <v>17</v>
      </c>
      <c r="K270" t="s">
        <v>824</v>
      </c>
      <c r="L270">
        <v>470</v>
      </c>
      <c r="M270" t="s">
        <v>825</v>
      </c>
    </row>
    <row r="271" spans="1:13">
      <c r="A271" t="s">
        <v>13</v>
      </c>
      <c r="B271">
        <v>270919</v>
      </c>
      <c r="C271">
        <v>272328</v>
      </c>
      <c r="E271" t="s">
        <v>35</v>
      </c>
      <c r="F271" t="s">
        <v>826</v>
      </c>
      <c r="H271">
        <v>0</v>
      </c>
      <c r="I271" t="s">
        <v>17</v>
      </c>
      <c r="K271" t="s">
        <v>827</v>
      </c>
      <c r="L271">
        <v>469</v>
      </c>
      <c r="M271" t="s">
        <v>828</v>
      </c>
    </row>
    <row r="272" spans="1:13">
      <c r="A272" t="s">
        <v>13</v>
      </c>
      <c r="B272">
        <v>272701</v>
      </c>
      <c r="C272">
        <v>273456</v>
      </c>
      <c r="E272" t="s">
        <v>14</v>
      </c>
      <c r="F272" t="s">
        <v>829</v>
      </c>
      <c r="H272">
        <v>0</v>
      </c>
      <c r="I272" t="s">
        <v>17</v>
      </c>
      <c r="K272" t="s">
        <v>830</v>
      </c>
      <c r="L272">
        <v>251</v>
      </c>
      <c r="M272" t="s">
        <v>831</v>
      </c>
    </row>
    <row r="273" spans="1:13">
      <c r="A273" t="s">
        <v>13</v>
      </c>
      <c r="B273">
        <v>273472</v>
      </c>
      <c r="C273">
        <v>275487</v>
      </c>
      <c r="E273" t="s">
        <v>14</v>
      </c>
      <c r="F273" t="s">
        <v>832</v>
      </c>
      <c r="G273" t="s">
        <v>833</v>
      </c>
      <c r="H273">
        <v>0</v>
      </c>
      <c r="I273" t="s">
        <v>17</v>
      </c>
      <c r="K273" t="s">
        <v>834</v>
      </c>
      <c r="L273">
        <v>671</v>
      </c>
      <c r="M273" t="s">
        <v>835</v>
      </c>
    </row>
    <row r="274" spans="1:13">
      <c r="A274" t="s">
        <v>13</v>
      </c>
      <c r="B274">
        <v>275487</v>
      </c>
      <c r="C274">
        <v>276236</v>
      </c>
      <c r="E274" t="s">
        <v>14</v>
      </c>
      <c r="F274" t="s">
        <v>836</v>
      </c>
      <c r="G274" t="s">
        <v>837</v>
      </c>
      <c r="H274">
        <v>0</v>
      </c>
      <c r="I274" t="s">
        <v>17</v>
      </c>
      <c r="K274" t="s">
        <v>838</v>
      </c>
      <c r="L274">
        <v>249</v>
      </c>
      <c r="M274" t="s">
        <v>839</v>
      </c>
    </row>
    <row r="275" spans="1:13">
      <c r="A275" t="s">
        <v>13</v>
      </c>
      <c r="B275">
        <v>276293</v>
      </c>
      <c r="C275">
        <v>276667</v>
      </c>
      <c r="E275" t="s">
        <v>14</v>
      </c>
      <c r="F275" t="s">
        <v>28</v>
      </c>
      <c r="H275">
        <v>0</v>
      </c>
      <c r="I275" t="s">
        <v>17</v>
      </c>
      <c r="K275" t="s">
        <v>840</v>
      </c>
      <c r="L275">
        <v>124</v>
      </c>
      <c r="M275" t="s">
        <v>841</v>
      </c>
    </row>
    <row r="276" spans="1:13">
      <c r="A276" t="s">
        <v>13</v>
      </c>
      <c r="B276">
        <v>277232</v>
      </c>
      <c r="C276">
        <v>277447</v>
      </c>
      <c r="E276" t="s">
        <v>14</v>
      </c>
      <c r="F276" t="s">
        <v>28</v>
      </c>
      <c r="H276">
        <v>0</v>
      </c>
      <c r="I276" t="s">
        <v>17</v>
      </c>
      <c r="K276" t="s">
        <v>842</v>
      </c>
      <c r="L276">
        <v>71</v>
      </c>
      <c r="M276" t="s">
        <v>843</v>
      </c>
    </row>
    <row r="277" spans="1:13">
      <c r="A277" t="s">
        <v>13</v>
      </c>
      <c r="B277">
        <v>277558</v>
      </c>
      <c r="C277">
        <v>277716</v>
      </c>
      <c r="E277" t="s">
        <v>14</v>
      </c>
      <c r="F277" t="s">
        <v>28</v>
      </c>
      <c r="H277">
        <v>0</v>
      </c>
      <c r="I277" t="s">
        <v>17</v>
      </c>
      <c r="K277" t="s">
        <v>844</v>
      </c>
      <c r="L277">
        <v>52</v>
      </c>
      <c r="M277" t="s">
        <v>845</v>
      </c>
    </row>
    <row r="278" spans="1:13">
      <c r="A278" t="s">
        <v>13</v>
      </c>
      <c r="B278">
        <v>277773</v>
      </c>
      <c r="C278">
        <v>278210</v>
      </c>
      <c r="E278" t="s">
        <v>14</v>
      </c>
      <c r="F278" t="s">
        <v>28</v>
      </c>
      <c r="H278">
        <v>0</v>
      </c>
      <c r="I278" t="s">
        <v>17</v>
      </c>
      <c r="K278" t="s">
        <v>846</v>
      </c>
      <c r="L278">
        <v>145</v>
      </c>
      <c r="M278" t="s">
        <v>847</v>
      </c>
    </row>
    <row r="279" spans="1:13">
      <c r="A279" t="s">
        <v>13</v>
      </c>
      <c r="B279">
        <v>278391</v>
      </c>
      <c r="C279">
        <v>278537</v>
      </c>
      <c r="E279" t="s">
        <v>14</v>
      </c>
      <c r="F279" t="s">
        <v>28</v>
      </c>
      <c r="H279">
        <v>0</v>
      </c>
      <c r="I279" t="s">
        <v>17</v>
      </c>
      <c r="K279" t="s">
        <v>848</v>
      </c>
      <c r="L279">
        <v>48</v>
      </c>
      <c r="M279" t="s">
        <v>849</v>
      </c>
    </row>
    <row r="280" spans="1:13">
      <c r="A280" t="s">
        <v>13</v>
      </c>
      <c r="B280">
        <v>278537</v>
      </c>
      <c r="C280">
        <v>278989</v>
      </c>
      <c r="E280" t="s">
        <v>14</v>
      </c>
      <c r="F280" t="s">
        <v>178</v>
      </c>
      <c r="H280">
        <v>0</v>
      </c>
      <c r="I280" t="s">
        <v>17</v>
      </c>
      <c r="K280" t="s">
        <v>850</v>
      </c>
      <c r="L280">
        <v>150</v>
      </c>
      <c r="M280" t="s">
        <v>851</v>
      </c>
    </row>
    <row r="281" spans="1:13">
      <c r="A281" t="s">
        <v>13</v>
      </c>
      <c r="B281">
        <v>279060</v>
      </c>
      <c r="C281">
        <v>279527</v>
      </c>
      <c r="E281" t="s">
        <v>35</v>
      </c>
      <c r="F281" t="s">
        <v>28</v>
      </c>
      <c r="H281">
        <v>0</v>
      </c>
      <c r="I281" t="s">
        <v>17</v>
      </c>
      <c r="K281" t="s">
        <v>852</v>
      </c>
      <c r="L281">
        <v>155</v>
      </c>
      <c r="M281" t="s">
        <v>853</v>
      </c>
    </row>
    <row r="282" spans="1:13">
      <c r="A282" t="s">
        <v>13</v>
      </c>
      <c r="B282">
        <v>279754</v>
      </c>
      <c r="C282">
        <v>280131</v>
      </c>
      <c r="E282" t="s">
        <v>14</v>
      </c>
      <c r="F282" t="s">
        <v>28</v>
      </c>
      <c r="H282">
        <v>0</v>
      </c>
      <c r="I282" t="s">
        <v>17</v>
      </c>
      <c r="K282" t="s">
        <v>854</v>
      </c>
      <c r="L282">
        <v>125</v>
      </c>
      <c r="M282" t="s">
        <v>855</v>
      </c>
    </row>
    <row r="283" spans="1:13">
      <c r="A283" t="s">
        <v>13</v>
      </c>
      <c r="B283">
        <v>281341</v>
      </c>
      <c r="C283">
        <v>281613</v>
      </c>
      <c r="E283" t="s">
        <v>35</v>
      </c>
      <c r="F283" t="s">
        <v>28</v>
      </c>
      <c r="H283">
        <v>0</v>
      </c>
      <c r="I283" t="s">
        <v>17</v>
      </c>
      <c r="K283" t="s">
        <v>856</v>
      </c>
      <c r="L283">
        <v>90</v>
      </c>
      <c r="M283" t="s">
        <v>857</v>
      </c>
    </row>
    <row r="284" spans="1:13">
      <c r="A284" t="s">
        <v>13</v>
      </c>
      <c r="B284">
        <v>281623</v>
      </c>
      <c r="C284">
        <v>281787</v>
      </c>
      <c r="E284" t="s">
        <v>35</v>
      </c>
      <c r="F284" t="s">
        <v>28</v>
      </c>
      <c r="H284">
        <v>0</v>
      </c>
      <c r="I284" t="s">
        <v>17</v>
      </c>
      <c r="K284" t="s">
        <v>858</v>
      </c>
      <c r="L284">
        <v>54</v>
      </c>
      <c r="M284" t="s">
        <v>859</v>
      </c>
    </row>
    <row r="285" spans="1:13">
      <c r="A285" t="s">
        <v>13</v>
      </c>
      <c r="B285">
        <v>281730</v>
      </c>
      <c r="C285">
        <v>281861</v>
      </c>
      <c r="E285" t="s">
        <v>35</v>
      </c>
      <c r="F285" t="s">
        <v>28</v>
      </c>
      <c r="H285">
        <v>0</v>
      </c>
      <c r="I285" t="s">
        <v>17</v>
      </c>
      <c r="K285" t="s">
        <v>860</v>
      </c>
      <c r="L285">
        <v>43</v>
      </c>
      <c r="M285" t="s">
        <v>861</v>
      </c>
    </row>
    <row r="286" spans="1:13">
      <c r="A286" t="s">
        <v>13</v>
      </c>
      <c r="B286">
        <v>282304</v>
      </c>
      <c r="C286">
        <v>283161</v>
      </c>
      <c r="E286" t="s">
        <v>35</v>
      </c>
      <c r="F286" t="s">
        <v>28</v>
      </c>
      <c r="H286">
        <v>0</v>
      </c>
      <c r="I286" t="s">
        <v>17</v>
      </c>
      <c r="K286" t="s">
        <v>862</v>
      </c>
      <c r="L286">
        <v>285</v>
      </c>
      <c r="M286" t="s">
        <v>863</v>
      </c>
    </row>
    <row r="287" spans="1:13">
      <c r="A287" t="s">
        <v>13</v>
      </c>
      <c r="B287">
        <v>283209</v>
      </c>
      <c r="C287">
        <v>283301</v>
      </c>
      <c r="E287" t="s">
        <v>35</v>
      </c>
      <c r="F287" t="s">
        <v>28</v>
      </c>
      <c r="H287">
        <v>0</v>
      </c>
      <c r="I287" t="s">
        <v>17</v>
      </c>
      <c r="K287" t="s">
        <v>864</v>
      </c>
      <c r="L287">
        <v>30</v>
      </c>
      <c r="M287" t="s">
        <v>865</v>
      </c>
    </row>
    <row r="288" spans="1:13">
      <c r="A288" t="s">
        <v>13</v>
      </c>
      <c r="B288">
        <v>283378</v>
      </c>
      <c r="C288">
        <v>284173</v>
      </c>
      <c r="E288" t="s">
        <v>35</v>
      </c>
      <c r="F288" t="s">
        <v>290</v>
      </c>
      <c r="H288">
        <v>0</v>
      </c>
      <c r="I288" t="s">
        <v>292</v>
      </c>
      <c r="M288" t="s">
        <v>866</v>
      </c>
    </row>
    <row r="289" spans="1:13">
      <c r="A289" t="s">
        <v>13</v>
      </c>
      <c r="B289">
        <v>285010</v>
      </c>
      <c r="C289">
        <v>285270</v>
      </c>
      <c r="E289" t="s">
        <v>35</v>
      </c>
      <c r="F289" t="s">
        <v>28</v>
      </c>
      <c r="H289">
        <v>0</v>
      </c>
      <c r="I289" t="s">
        <v>17</v>
      </c>
      <c r="K289" t="s">
        <v>867</v>
      </c>
      <c r="L289">
        <v>86</v>
      </c>
      <c r="M289" t="s">
        <v>868</v>
      </c>
    </row>
    <row r="290" spans="1:13">
      <c r="A290" t="s">
        <v>13</v>
      </c>
      <c r="B290">
        <v>285293</v>
      </c>
      <c r="C290">
        <v>286267</v>
      </c>
      <c r="E290" t="s">
        <v>14</v>
      </c>
      <c r="F290" t="s">
        <v>822</v>
      </c>
      <c r="G290" t="s">
        <v>869</v>
      </c>
      <c r="H290">
        <v>0</v>
      </c>
      <c r="I290" t="s">
        <v>17</v>
      </c>
      <c r="K290" t="s">
        <v>870</v>
      </c>
      <c r="L290">
        <v>324</v>
      </c>
      <c r="M290" t="s">
        <v>871</v>
      </c>
    </row>
    <row r="291" spans="1:13">
      <c r="A291" t="s">
        <v>13</v>
      </c>
      <c r="B291">
        <v>286228</v>
      </c>
      <c r="C291">
        <v>286347</v>
      </c>
      <c r="E291" t="s">
        <v>14</v>
      </c>
      <c r="F291" t="s">
        <v>822</v>
      </c>
      <c r="G291" t="s">
        <v>872</v>
      </c>
      <c r="H291">
        <v>0</v>
      </c>
      <c r="I291" t="s">
        <v>17</v>
      </c>
      <c r="K291" t="s">
        <v>873</v>
      </c>
      <c r="L291">
        <v>39</v>
      </c>
      <c r="M291" t="s">
        <v>874</v>
      </c>
    </row>
    <row r="292" spans="1:13">
      <c r="A292" t="s">
        <v>13</v>
      </c>
      <c r="B292">
        <v>286475</v>
      </c>
      <c r="C292">
        <v>287863</v>
      </c>
      <c r="E292" t="s">
        <v>35</v>
      </c>
      <c r="F292" t="s">
        <v>290</v>
      </c>
      <c r="H292">
        <v>0</v>
      </c>
      <c r="I292" t="s">
        <v>292</v>
      </c>
      <c r="M292" t="s">
        <v>875</v>
      </c>
    </row>
    <row r="293" spans="1:13">
      <c r="A293" t="s">
        <v>13</v>
      </c>
      <c r="B293">
        <v>288236</v>
      </c>
      <c r="C293">
        <v>288613</v>
      </c>
      <c r="E293" t="s">
        <v>14</v>
      </c>
      <c r="F293" t="s">
        <v>28</v>
      </c>
      <c r="H293">
        <v>0</v>
      </c>
      <c r="I293" t="s">
        <v>17</v>
      </c>
      <c r="K293" t="s">
        <v>876</v>
      </c>
      <c r="L293">
        <v>125</v>
      </c>
      <c r="M293" t="s">
        <v>877</v>
      </c>
    </row>
    <row r="294" spans="1:13">
      <c r="A294" t="s">
        <v>13</v>
      </c>
      <c r="B294">
        <v>288757</v>
      </c>
      <c r="C294">
        <v>288984</v>
      </c>
      <c r="E294" t="s">
        <v>14</v>
      </c>
      <c r="F294" t="s">
        <v>28</v>
      </c>
      <c r="H294">
        <v>0</v>
      </c>
      <c r="I294" t="s">
        <v>17</v>
      </c>
      <c r="K294" t="s">
        <v>878</v>
      </c>
      <c r="L294">
        <v>75</v>
      </c>
      <c r="M294" t="s">
        <v>879</v>
      </c>
    </row>
    <row r="295" spans="1:13">
      <c r="A295" t="s">
        <v>13</v>
      </c>
      <c r="B295">
        <v>289257</v>
      </c>
      <c r="C295">
        <v>289730</v>
      </c>
      <c r="E295" t="s">
        <v>35</v>
      </c>
      <c r="F295" t="s">
        <v>28</v>
      </c>
      <c r="H295">
        <v>0</v>
      </c>
      <c r="I295" t="s">
        <v>17</v>
      </c>
      <c r="K295" t="s">
        <v>880</v>
      </c>
      <c r="L295">
        <v>157</v>
      </c>
      <c r="M295" t="s">
        <v>881</v>
      </c>
    </row>
    <row r="296" spans="1:13">
      <c r="A296" t="s">
        <v>13</v>
      </c>
      <c r="B296">
        <v>289810</v>
      </c>
      <c r="C296">
        <v>290556</v>
      </c>
      <c r="E296" t="s">
        <v>14</v>
      </c>
      <c r="F296" t="s">
        <v>832</v>
      </c>
      <c r="G296" t="s">
        <v>882</v>
      </c>
      <c r="H296">
        <v>0</v>
      </c>
      <c r="I296" t="s">
        <v>17</v>
      </c>
      <c r="K296" t="s">
        <v>883</v>
      </c>
      <c r="L296">
        <v>248</v>
      </c>
      <c r="M296" t="s">
        <v>884</v>
      </c>
    </row>
    <row r="297" spans="1:13">
      <c r="A297" t="s">
        <v>13</v>
      </c>
      <c r="B297">
        <v>290516</v>
      </c>
      <c r="C297">
        <v>290950</v>
      </c>
      <c r="E297" t="s">
        <v>14</v>
      </c>
      <c r="F297" t="s">
        <v>832</v>
      </c>
      <c r="G297" t="s">
        <v>885</v>
      </c>
      <c r="H297">
        <v>0</v>
      </c>
      <c r="I297" t="s">
        <v>17</v>
      </c>
      <c r="K297" t="s">
        <v>886</v>
      </c>
      <c r="L297">
        <v>144</v>
      </c>
      <c r="M297" t="s">
        <v>887</v>
      </c>
    </row>
    <row r="298" spans="1:13">
      <c r="A298" t="s">
        <v>13</v>
      </c>
      <c r="B298">
        <v>290950</v>
      </c>
      <c r="C298">
        <v>291690</v>
      </c>
      <c r="E298" t="s">
        <v>14</v>
      </c>
      <c r="F298" t="s">
        <v>836</v>
      </c>
      <c r="G298" t="s">
        <v>888</v>
      </c>
      <c r="H298">
        <v>0</v>
      </c>
      <c r="I298" t="s">
        <v>17</v>
      </c>
      <c r="K298" t="s">
        <v>889</v>
      </c>
      <c r="L298">
        <v>246</v>
      </c>
      <c r="M298" t="s">
        <v>890</v>
      </c>
    </row>
    <row r="299" spans="1:13">
      <c r="A299" t="s">
        <v>13</v>
      </c>
      <c r="B299">
        <v>291747</v>
      </c>
      <c r="C299">
        <v>292121</v>
      </c>
      <c r="E299" t="s">
        <v>14</v>
      </c>
      <c r="F299" t="s">
        <v>28</v>
      </c>
      <c r="H299">
        <v>0</v>
      </c>
      <c r="I299" t="s">
        <v>17</v>
      </c>
      <c r="K299" t="s">
        <v>891</v>
      </c>
      <c r="L299">
        <v>124</v>
      </c>
      <c r="M299" t="s">
        <v>892</v>
      </c>
    </row>
    <row r="300" spans="1:13">
      <c r="A300" t="s">
        <v>13</v>
      </c>
      <c r="B300">
        <v>292682</v>
      </c>
      <c r="C300">
        <v>292897</v>
      </c>
      <c r="E300" t="s">
        <v>14</v>
      </c>
      <c r="F300" t="s">
        <v>28</v>
      </c>
      <c r="H300">
        <v>0</v>
      </c>
      <c r="I300" t="s">
        <v>17</v>
      </c>
      <c r="K300" t="s">
        <v>893</v>
      </c>
      <c r="L300">
        <v>71</v>
      </c>
      <c r="M300" t="s">
        <v>894</v>
      </c>
    </row>
    <row r="301" spans="1:13">
      <c r="A301" t="s">
        <v>13</v>
      </c>
      <c r="B301">
        <v>293008</v>
      </c>
      <c r="C301">
        <v>293166</v>
      </c>
      <c r="E301" t="s">
        <v>14</v>
      </c>
      <c r="F301" t="s">
        <v>28</v>
      </c>
      <c r="H301">
        <v>0</v>
      </c>
      <c r="I301" t="s">
        <v>17</v>
      </c>
      <c r="K301" t="s">
        <v>895</v>
      </c>
      <c r="L301">
        <v>52</v>
      </c>
      <c r="M301" t="s">
        <v>896</v>
      </c>
    </row>
    <row r="302" spans="1:13">
      <c r="A302" t="s">
        <v>13</v>
      </c>
      <c r="B302">
        <v>293223</v>
      </c>
      <c r="C302">
        <v>293411</v>
      </c>
      <c r="E302" t="s">
        <v>14</v>
      </c>
      <c r="F302" t="s">
        <v>28</v>
      </c>
      <c r="H302">
        <v>0</v>
      </c>
      <c r="I302" t="s">
        <v>17</v>
      </c>
      <c r="K302" t="s">
        <v>897</v>
      </c>
      <c r="L302">
        <v>62</v>
      </c>
      <c r="M302" t="s">
        <v>898</v>
      </c>
    </row>
    <row r="303" spans="1:13">
      <c r="A303" t="s">
        <v>13</v>
      </c>
      <c r="B303">
        <v>293841</v>
      </c>
      <c r="C303">
        <v>293987</v>
      </c>
      <c r="E303" t="s">
        <v>14</v>
      </c>
      <c r="F303" t="s">
        <v>28</v>
      </c>
      <c r="H303">
        <v>0</v>
      </c>
      <c r="I303" t="s">
        <v>17</v>
      </c>
      <c r="K303" t="s">
        <v>899</v>
      </c>
      <c r="L303">
        <v>48</v>
      </c>
      <c r="M303" t="s">
        <v>900</v>
      </c>
    </row>
    <row r="304" spans="1:13">
      <c r="A304" t="s">
        <v>13</v>
      </c>
      <c r="B304">
        <v>293987</v>
      </c>
      <c r="C304">
        <v>294439</v>
      </c>
      <c r="E304" t="s">
        <v>14</v>
      </c>
      <c r="F304" t="s">
        <v>178</v>
      </c>
      <c r="H304">
        <v>0</v>
      </c>
      <c r="I304" t="s">
        <v>17</v>
      </c>
      <c r="K304" t="s">
        <v>901</v>
      </c>
      <c r="L304">
        <v>150</v>
      </c>
      <c r="M304" t="s">
        <v>902</v>
      </c>
    </row>
    <row r="305" spans="1:13">
      <c r="A305" t="s">
        <v>13</v>
      </c>
      <c r="B305">
        <v>294510</v>
      </c>
      <c r="C305">
        <v>294977</v>
      </c>
      <c r="E305" t="s">
        <v>35</v>
      </c>
      <c r="F305" t="s">
        <v>28</v>
      </c>
      <c r="H305">
        <v>0</v>
      </c>
      <c r="I305" t="s">
        <v>17</v>
      </c>
      <c r="K305" t="s">
        <v>903</v>
      </c>
      <c r="L305">
        <v>155</v>
      </c>
      <c r="M305" t="s">
        <v>904</v>
      </c>
    </row>
    <row r="306" spans="1:13">
      <c r="A306" t="s">
        <v>13</v>
      </c>
      <c r="B306">
        <v>295813</v>
      </c>
      <c r="C306">
        <v>297306</v>
      </c>
      <c r="E306" t="s">
        <v>14</v>
      </c>
      <c r="F306" t="s">
        <v>178</v>
      </c>
      <c r="H306">
        <v>0</v>
      </c>
      <c r="I306" t="s">
        <v>17</v>
      </c>
      <c r="K306" t="s">
        <v>905</v>
      </c>
      <c r="L306">
        <v>497</v>
      </c>
      <c r="M306" t="s">
        <v>906</v>
      </c>
    </row>
    <row r="307" spans="1:13">
      <c r="A307" t="s">
        <v>13</v>
      </c>
      <c r="B307">
        <v>297303</v>
      </c>
      <c r="C307">
        <v>297428</v>
      </c>
      <c r="E307" t="s">
        <v>35</v>
      </c>
      <c r="F307" t="s">
        <v>28</v>
      </c>
      <c r="H307">
        <v>0</v>
      </c>
      <c r="I307" t="s">
        <v>17</v>
      </c>
      <c r="K307" t="s">
        <v>907</v>
      </c>
      <c r="L307">
        <v>41</v>
      </c>
      <c r="M307" t="s">
        <v>908</v>
      </c>
    </row>
    <row r="308" spans="1:13">
      <c r="A308" t="s">
        <v>13</v>
      </c>
      <c r="B308">
        <v>297580</v>
      </c>
      <c r="C308">
        <v>298062</v>
      </c>
      <c r="E308" t="s">
        <v>14</v>
      </c>
      <c r="F308" t="s">
        <v>28</v>
      </c>
      <c r="H308">
        <v>0</v>
      </c>
      <c r="I308" t="s">
        <v>17</v>
      </c>
      <c r="K308" t="s">
        <v>909</v>
      </c>
      <c r="L308">
        <v>160</v>
      </c>
      <c r="M308" t="s">
        <v>910</v>
      </c>
    </row>
    <row r="309" spans="1:13">
      <c r="A309" t="s">
        <v>13</v>
      </c>
      <c r="B309">
        <v>298205</v>
      </c>
      <c r="C309">
        <v>298474</v>
      </c>
      <c r="E309" t="s">
        <v>14</v>
      </c>
      <c r="F309" t="s">
        <v>28</v>
      </c>
      <c r="H309">
        <v>0</v>
      </c>
      <c r="I309" t="s">
        <v>17</v>
      </c>
      <c r="K309" t="s">
        <v>911</v>
      </c>
      <c r="L309">
        <v>89</v>
      </c>
      <c r="M309" t="s">
        <v>912</v>
      </c>
    </row>
    <row r="310" spans="1:13">
      <c r="A310" t="s">
        <v>13</v>
      </c>
      <c r="B310">
        <v>299199</v>
      </c>
      <c r="C310">
        <v>299498</v>
      </c>
      <c r="E310" t="s">
        <v>14</v>
      </c>
      <c r="F310" t="s">
        <v>529</v>
      </c>
      <c r="H310">
        <v>0</v>
      </c>
      <c r="I310" t="s">
        <v>17</v>
      </c>
      <c r="K310" t="s">
        <v>913</v>
      </c>
      <c r="L310">
        <v>99</v>
      </c>
      <c r="M310" t="s">
        <v>914</v>
      </c>
    </row>
    <row r="311" spans="1:13">
      <c r="A311" t="s">
        <v>13</v>
      </c>
      <c r="B311">
        <v>299495</v>
      </c>
      <c r="C311">
        <v>300391</v>
      </c>
      <c r="E311" t="s">
        <v>14</v>
      </c>
      <c r="F311" t="s">
        <v>915</v>
      </c>
      <c r="H311">
        <v>0</v>
      </c>
      <c r="I311" t="s">
        <v>17</v>
      </c>
      <c r="K311" t="s">
        <v>916</v>
      </c>
      <c r="L311">
        <v>298</v>
      </c>
      <c r="M311" t="s">
        <v>917</v>
      </c>
    </row>
    <row r="312" spans="1:13">
      <c r="A312" t="s">
        <v>13</v>
      </c>
      <c r="B312">
        <v>300667</v>
      </c>
      <c r="C312">
        <v>301458</v>
      </c>
      <c r="E312" t="s">
        <v>35</v>
      </c>
      <c r="F312" t="s">
        <v>28</v>
      </c>
      <c r="H312">
        <v>0</v>
      </c>
      <c r="I312" t="s">
        <v>17</v>
      </c>
      <c r="K312" t="s">
        <v>918</v>
      </c>
      <c r="L312">
        <v>263</v>
      </c>
      <c r="M312" t="s">
        <v>919</v>
      </c>
    </row>
    <row r="313" spans="1:13">
      <c r="A313" t="s">
        <v>13</v>
      </c>
      <c r="B313">
        <v>302207</v>
      </c>
      <c r="C313">
        <v>302413</v>
      </c>
      <c r="E313" t="s">
        <v>14</v>
      </c>
      <c r="F313" t="s">
        <v>28</v>
      </c>
      <c r="H313">
        <v>0</v>
      </c>
      <c r="I313" t="s">
        <v>17</v>
      </c>
      <c r="K313" t="s">
        <v>920</v>
      </c>
      <c r="L313">
        <v>68</v>
      </c>
      <c r="M313" t="s">
        <v>921</v>
      </c>
    </row>
    <row r="314" spans="1:13">
      <c r="A314" t="s">
        <v>13</v>
      </c>
      <c r="B314">
        <v>302414</v>
      </c>
      <c r="C314">
        <v>302983</v>
      </c>
      <c r="E314" t="s">
        <v>14</v>
      </c>
      <c r="F314" t="s">
        <v>178</v>
      </c>
      <c r="H314">
        <v>0</v>
      </c>
      <c r="I314" t="s">
        <v>17</v>
      </c>
      <c r="K314" t="s">
        <v>922</v>
      </c>
      <c r="L314">
        <v>189</v>
      </c>
      <c r="M314" t="s">
        <v>923</v>
      </c>
    </row>
    <row r="315" spans="1:13">
      <c r="A315" t="s">
        <v>13</v>
      </c>
      <c r="B315">
        <v>303120</v>
      </c>
      <c r="C315">
        <v>303914</v>
      </c>
      <c r="E315" t="s">
        <v>35</v>
      </c>
      <c r="F315" t="s">
        <v>924</v>
      </c>
      <c r="H315">
        <v>0</v>
      </c>
      <c r="I315" t="s">
        <v>17</v>
      </c>
      <c r="K315" t="s">
        <v>925</v>
      </c>
      <c r="L315">
        <v>264</v>
      </c>
      <c r="M315" t="s">
        <v>926</v>
      </c>
    </row>
    <row r="316" spans="1:13">
      <c r="A316" t="s">
        <v>13</v>
      </c>
      <c r="B316">
        <v>303944</v>
      </c>
      <c r="C316">
        <v>304822</v>
      </c>
      <c r="E316" t="s">
        <v>14</v>
      </c>
      <c r="F316" t="s">
        <v>927</v>
      </c>
      <c r="G316" t="s">
        <v>928</v>
      </c>
      <c r="H316">
        <v>0</v>
      </c>
      <c r="I316" t="s">
        <v>17</v>
      </c>
      <c r="K316" t="s">
        <v>929</v>
      </c>
      <c r="L316">
        <v>292</v>
      </c>
      <c r="M316" t="s">
        <v>930</v>
      </c>
    </row>
    <row r="317" spans="1:13">
      <c r="A317" t="s">
        <v>13</v>
      </c>
      <c r="B317">
        <v>304810</v>
      </c>
      <c r="C317">
        <v>305481</v>
      </c>
      <c r="E317" t="s">
        <v>14</v>
      </c>
      <c r="F317" t="s">
        <v>931</v>
      </c>
      <c r="G317" t="s">
        <v>932</v>
      </c>
      <c r="H317">
        <v>0</v>
      </c>
      <c r="I317" t="s">
        <v>17</v>
      </c>
      <c r="K317" t="s">
        <v>933</v>
      </c>
      <c r="L317">
        <v>223</v>
      </c>
      <c r="M317" t="s">
        <v>934</v>
      </c>
    </row>
    <row r="318" spans="1:13">
      <c r="A318" t="s">
        <v>13</v>
      </c>
      <c r="B318">
        <v>305478</v>
      </c>
      <c r="C318">
        <v>306842</v>
      </c>
      <c r="E318" t="s">
        <v>14</v>
      </c>
      <c r="F318" t="s">
        <v>36</v>
      </c>
      <c r="G318" t="s">
        <v>935</v>
      </c>
      <c r="H318">
        <v>0</v>
      </c>
      <c r="I318" t="s">
        <v>17</v>
      </c>
      <c r="K318" t="s">
        <v>936</v>
      </c>
      <c r="L318">
        <v>454</v>
      </c>
      <c r="M318" t="s">
        <v>937</v>
      </c>
    </row>
    <row r="319" spans="1:13">
      <c r="A319" t="s">
        <v>13</v>
      </c>
      <c r="B319">
        <v>307481</v>
      </c>
      <c r="C319">
        <v>307714</v>
      </c>
      <c r="E319" t="s">
        <v>35</v>
      </c>
      <c r="F319" t="s">
        <v>28</v>
      </c>
      <c r="H319">
        <v>0</v>
      </c>
      <c r="I319" t="s">
        <v>17</v>
      </c>
      <c r="K319" t="s">
        <v>938</v>
      </c>
      <c r="L319">
        <v>77</v>
      </c>
      <c r="M319" t="s">
        <v>939</v>
      </c>
    </row>
    <row r="320" spans="1:13">
      <c r="A320" t="s">
        <v>13</v>
      </c>
      <c r="B320">
        <v>307674</v>
      </c>
      <c r="C320">
        <v>308126</v>
      </c>
      <c r="E320" t="s">
        <v>35</v>
      </c>
      <c r="F320" t="s">
        <v>178</v>
      </c>
      <c r="H320">
        <v>0</v>
      </c>
      <c r="I320" t="s">
        <v>17</v>
      </c>
      <c r="K320" t="s">
        <v>940</v>
      </c>
      <c r="L320">
        <v>150</v>
      </c>
      <c r="M320" t="s">
        <v>941</v>
      </c>
    </row>
    <row r="321" spans="1:13">
      <c r="A321" t="s">
        <v>13</v>
      </c>
      <c r="B321">
        <v>308126</v>
      </c>
      <c r="C321">
        <v>308272</v>
      </c>
      <c r="E321" t="s">
        <v>35</v>
      </c>
      <c r="F321" t="s">
        <v>28</v>
      </c>
      <c r="H321">
        <v>0</v>
      </c>
      <c r="I321" t="s">
        <v>17</v>
      </c>
      <c r="K321" t="s">
        <v>942</v>
      </c>
      <c r="L321">
        <v>48</v>
      </c>
      <c r="M321" t="s">
        <v>943</v>
      </c>
    </row>
    <row r="322" spans="1:13">
      <c r="A322" t="s">
        <v>13</v>
      </c>
      <c r="B322">
        <v>309308</v>
      </c>
      <c r="C322">
        <v>309634</v>
      </c>
      <c r="E322" t="s">
        <v>35</v>
      </c>
      <c r="F322" t="s">
        <v>28</v>
      </c>
      <c r="H322">
        <v>0</v>
      </c>
      <c r="I322" t="s">
        <v>17</v>
      </c>
      <c r="K322" t="s">
        <v>944</v>
      </c>
      <c r="L322">
        <v>108</v>
      </c>
      <c r="M322" t="s">
        <v>945</v>
      </c>
    </row>
    <row r="323" spans="1:13">
      <c r="A323" t="s">
        <v>13</v>
      </c>
      <c r="B323">
        <v>309637</v>
      </c>
      <c r="C323">
        <v>310149</v>
      </c>
      <c r="E323" t="s">
        <v>35</v>
      </c>
      <c r="F323" t="s">
        <v>28</v>
      </c>
      <c r="H323">
        <v>0</v>
      </c>
      <c r="I323" t="s">
        <v>17</v>
      </c>
      <c r="K323" t="s">
        <v>946</v>
      </c>
      <c r="L323">
        <v>170</v>
      </c>
      <c r="M323" t="s">
        <v>947</v>
      </c>
    </row>
    <row r="324" spans="1:13">
      <c r="A324" t="s">
        <v>13</v>
      </c>
      <c r="B324">
        <v>310881</v>
      </c>
      <c r="C324">
        <v>311027</v>
      </c>
      <c r="E324" t="s">
        <v>14</v>
      </c>
      <c r="F324" t="s">
        <v>28</v>
      </c>
      <c r="H324">
        <v>0</v>
      </c>
      <c r="I324" t="s">
        <v>17</v>
      </c>
      <c r="K324" t="s">
        <v>948</v>
      </c>
      <c r="L324">
        <v>48</v>
      </c>
      <c r="M324" t="s">
        <v>949</v>
      </c>
    </row>
    <row r="325" spans="1:13">
      <c r="A325" t="s">
        <v>13</v>
      </c>
      <c r="B325">
        <v>311027</v>
      </c>
      <c r="C325">
        <v>311479</v>
      </c>
      <c r="E325" t="s">
        <v>14</v>
      </c>
      <c r="F325" t="s">
        <v>178</v>
      </c>
      <c r="H325">
        <v>0</v>
      </c>
      <c r="I325" t="s">
        <v>17</v>
      </c>
      <c r="K325" t="s">
        <v>950</v>
      </c>
      <c r="L325">
        <v>150</v>
      </c>
      <c r="M325" t="s">
        <v>951</v>
      </c>
    </row>
    <row r="326" spans="1:13">
      <c r="A326" t="s">
        <v>13</v>
      </c>
      <c r="B326">
        <v>311439</v>
      </c>
      <c r="C326">
        <v>311672</v>
      </c>
      <c r="E326" t="s">
        <v>14</v>
      </c>
      <c r="F326" t="s">
        <v>28</v>
      </c>
      <c r="H326">
        <v>0</v>
      </c>
      <c r="I326" t="s">
        <v>17</v>
      </c>
      <c r="K326" t="s">
        <v>952</v>
      </c>
      <c r="L326">
        <v>77</v>
      </c>
      <c r="M326" t="s">
        <v>953</v>
      </c>
    </row>
    <row r="327" spans="1:13">
      <c r="A327" t="s">
        <v>13</v>
      </c>
      <c r="B327">
        <v>311910</v>
      </c>
      <c r="C327">
        <v>312242</v>
      </c>
      <c r="E327" t="s">
        <v>14</v>
      </c>
      <c r="F327" t="s">
        <v>28</v>
      </c>
      <c r="H327">
        <v>0</v>
      </c>
      <c r="I327" t="s">
        <v>17</v>
      </c>
      <c r="K327" t="s">
        <v>954</v>
      </c>
      <c r="L327">
        <v>110</v>
      </c>
      <c r="M327" t="s">
        <v>955</v>
      </c>
    </row>
    <row r="328" spans="1:13">
      <c r="A328" t="s">
        <v>13</v>
      </c>
      <c r="B328">
        <v>312422</v>
      </c>
      <c r="C328">
        <v>313753</v>
      </c>
      <c r="E328" t="s">
        <v>14</v>
      </c>
      <c r="F328" t="s">
        <v>28</v>
      </c>
      <c r="H328">
        <v>0</v>
      </c>
      <c r="I328" t="s">
        <v>17</v>
      </c>
      <c r="K328" t="s">
        <v>956</v>
      </c>
      <c r="L328">
        <v>443</v>
      </c>
      <c r="M328" t="s">
        <v>957</v>
      </c>
    </row>
    <row r="329" spans="1:13">
      <c r="A329" t="s">
        <v>13</v>
      </c>
      <c r="B329">
        <v>313787</v>
      </c>
      <c r="C329">
        <v>314221</v>
      </c>
      <c r="E329" t="s">
        <v>14</v>
      </c>
      <c r="F329" t="s">
        <v>28</v>
      </c>
      <c r="H329">
        <v>0</v>
      </c>
      <c r="I329" t="s">
        <v>17</v>
      </c>
      <c r="K329" t="s">
        <v>958</v>
      </c>
      <c r="L329">
        <v>144</v>
      </c>
      <c r="M329" t="s">
        <v>959</v>
      </c>
    </row>
    <row r="330" spans="1:13">
      <c r="A330" t="s">
        <v>13</v>
      </c>
      <c r="B330">
        <v>314227</v>
      </c>
      <c r="C330">
        <v>314517</v>
      </c>
      <c r="E330" t="s">
        <v>14</v>
      </c>
      <c r="F330" t="s">
        <v>28</v>
      </c>
      <c r="H330">
        <v>0</v>
      </c>
      <c r="I330" t="s">
        <v>17</v>
      </c>
      <c r="K330" t="s">
        <v>960</v>
      </c>
      <c r="L330">
        <v>96</v>
      </c>
      <c r="M330" t="s">
        <v>961</v>
      </c>
    </row>
    <row r="331" spans="1:13">
      <c r="A331" t="s">
        <v>13</v>
      </c>
      <c r="B331">
        <v>314520</v>
      </c>
      <c r="C331">
        <v>314963</v>
      </c>
      <c r="E331" t="s">
        <v>14</v>
      </c>
      <c r="F331" t="s">
        <v>962</v>
      </c>
      <c r="H331">
        <v>0</v>
      </c>
      <c r="I331" t="s">
        <v>17</v>
      </c>
      <c r="K331" t="s">
        <v>963</v>
      </c>
      <c r="L331">
        <v>147</v>
      </c>
      <c r="M331" t="s">
        <v>964</v>
      </c>
    </row>
    <row r="332" spans="1:13">
      <c r="A332" t="s">
        <v>13</v>
      </c>
      <c r="B332">
        <v>315001</v>
      </c>
      <c r="C332">
        <v>315804</v>
      </c>
      <c r="E332" t="s">
        <v>35</v>
      </c>
      <c r="F332" t="s">
        <v>28</v>
      </c>
      <c r="H332">
        <v>0</v>
      </c>
      <c r="I332" t="s">
        <v>17</v>
      </c>
      <c r="K332" t="s">
        <v>965</v>
      </c>
      <c r="L332">
        <v>267</v>
      </c>
      <c r="M332" t="s">
        <v>966</v>
      </c>
    </row>
    <row r="333" spans="1:13">
      <c r="A333" t="s">
        <v>13</v>
      </c>
      <c r="B333">
        <v>315854</v>
      </c>
      <c r="C333">
        <v>316663</v>
      </c>
      <c r="E333" t="s">
        <v>35</v>
      </c>
      <c r="F333" t="s">
        <v>28</v>
      </c>
      <c r="H333">
        <v>0</v>
      </c>
      <c r="I333" t="s">
        <v>17</v>
      </c>
      <c r="K333" t="s">
        <v>967</v>
      </c>
      <c r="L333">
        <v>269</v>
      </c>
      <c r="M333" t="s">
        <v>968</v>
      </c>
    </row>
    <row r="334" spans="1:13">
      <c r="A334" t="s">
        <v>13</v>
      </c>
      <c r="B334">
        <v>316696</v>
      </c>
      <c r="C334">
        <v>317187</v>
      </c>
      <c r="E334" t="s">
        <v>35</v>
      </c>
      <c r="F334" t="s">
        <v>28</v>
      </c>
      <c r="H334">
        <v>0</v>
      </c>
      <c r="I334" t="s">
        <v>17</v>
      </c>
      <c r="K334" t="s">
        <v>969</v>
      </c>
      <c r="L334">
        <v>163</v>
      </c>
      <c r="M334" t="s">
        <v>970</v>
      </c>
    </row>
    <row r="335" spans="1:13">
      <c r="A335" t="s">
        <v>13</v>
      </c>
      <c r="B335">
        <v>317212</v>
      </c>
      <c r="C335">
        <v>318336</v>
      </c>
      <c r="E335" t="s">
        <v>14</v>
      </c>
      <c r="F335" t="s">
        <v>971</v>
      </c>
      <c r="G335" t="s">
        <v>972</v>
      </c>
      <c r="H335">
        <v>0</v>
      </c>
      <c r="I335" t="s">
        <v>17</v>
      </c>
      <c r="K335" t="s">
        <v>973</v>
      </c>
      <c r="L335">
        <v>374</v>
      </c>
      <c r="M335" t="s">
        <v>974</v>
      </c>
    </row>
    <row r="336" spans="1:13">
      <c r="A336" t="s">
        <v>13</v>
      </c>
      <c r="B336">
        <v>318564</v>
      </c>
      <c r="C336">
        <v>319040</v>
      </c>
      <c r="E336" t="s">
        <v>35</v>
      </c>
      <c r="F336" t="s">
        <v>975</v>
      </c>
      <c r="G336" t="s">
        <v>976</v>
      </c>
      <c r="H336">
        <v>0</v>
      </c>
      <c r="I336" t="s">
        <v>17</v>
      </c>
      <c r="K336" t="s">
        <v>977</v>
      </c>
      <c r="L336">
        <v>158</v>
      </c>
      <c r="M336" t="s">
        <v>978</v>
      </c>
    </row>
    <row r="337" spans="1:13">
      <c r="A337" t="s">
        <v>13</v>
      </c>
      <c r="B337">
        <v>319111</v>
      </c>
      <c r="C337">
        <v>320280</v>
      </c>
      <c r="E337" t="s">
        <v>14</v>
      </c>
      <c r="F337" t="s">
        <v>28</v>
      </c>
      <c r="H337">
        <v>0</v>
      </c>
      <c r="I337" t="s">
        <v>17</v>
      </c>
      <c r="K337" t="s">
        <v>979</v>
      </c>
      <c r="L337">
        <v>389</v>
      </c>
      <c r="M337" t="s">
        <v>980</v>
      </c>
    </row>
    <row r="338" spans="1:13">
      <c r="A338" t="s">
        <v>13</v>
      </c>
      <c r="B338">
        <v>320329</v>
      </c>
      <c r="C338">
        <v>321846</v>
      </c>
      <c r="E338" t="s">
        <v>35</v>
      </c>
      <c r="F338" t="s">
        <v>786</v>
      </c>
      <c r="G338" t="s">
        <v>981</v>
      </c>
      <c r="H338">
        <v>0</v>
      </c>
      <c r="I338" t="s">
        <v>17</v>
      </c>
      <c r="K338" t="s">
        <v>982</v>
      </c>
      <c r="L338">
        <v>505</v>
      </c>
      <c r="M338" t="s">
        <v>983</v>
      </c>
    </row>
    <row r="339" spans="1:13">
      <c r="A339" t="s">
        <v>13</v>
      </c>
      <c r="B339">
        <v>321858</v>
      </c>
      <c r="C339">
        <v>323567</v>
      </c>
      <c r="E339" t="s">
        <v>35</v>
      </c>
      <c r="F339" t="s">
        <v>786</v>
      </c>
      <c r="G339" t="s">
        <v>984</v>
      </c>
      <c r="H339">
        <v>0</v>
      </c>
      <c r="I339" t="s">
        <v>17</v>
      </c>
      <c r="K339" t="s">
        <v>985</v>
      </c>
      <c r="L339">
        <v>569</v>
      </c>
      <c r="M339" t="s">
        <v>986</v>
      </c>
    </row>
    <row r="340" spans="1:13">
      <c r="A340" t="s">
        <v>13</v>
      </c>
      <c r="B340">
        <v>323638</v>
      </c>
      <c r="C340">
        <v>324186</v>
      </c>
      <c r="E340" t="s">
        <v>35</v>
      </c>
      <c r="F340" t="s">
        <v>987</v>
      </c>
      <c r="G340" t="s">
        <v>988</v>
      </c>
      <c r="H340">
        <v>0</v>
      </c>
      <c r="I340" t="s">
        <v>17</v>
      </c>
      <c r="K340" t="s">
        <v>989</v>
      </c>
      <c r="L340">
        <v>182</v>
      </c>
      <c r="M340" t="s">
        <v>990</v>
      </c>
    </row>
    <row r="341" spans="1:13">
      <c r="A341" t="s">
        <v>13</v>
      </c>
      <c r="B341">
        <v>324210</v>
      </c>
      <c r="C341">
        <v>325928</v>
      </c>
      <c r="E341" t="s">
        <v>35</v>
      </c>
      <c r="F341" t="s">
        <v>786</v>
      </c>
      <c r="G341" t="s">
        <v>991</v>
      </c>
      <c r="H341">
        <v>0</v>
      </c>
      <c r="I341" t="s">
        <v>17</v>
      </c>
      <c r="K341" t="s">
        <v>992</v>
      </c>
      <c r="L341">
        <v>572</v>
      </c>
      <c r="M341" t="s">
        <v>993</v>
      </c>
    </row>
    <row r="342" spans="1:13">
      <c r="A342" t="s">
        <v>13</v>
      </c>
      <c r="B342">
        <v>325995</v>
      </c>
      <c r="C342">
        <v>327260</v>
      </c>
      <c r="E342" t="s">
        <v>14</v>
      </c>
      <c r="F342" t="s">
        <v>994</v>
      </c>
      <c r="G342" t="s">
        <v>995</v>
      </c>
      <c r="H342">
        <v>0</v>
      </c>
      <c r="I342" t="s">
        <v>17</v>
      </c>
      <c r="K342" t="s">
        <v>996</v>
      </c>
      <c r="L342">
        <v>421</v>
      </c>
      <c r="M342" t="s">
        <v>997</v>
      </c>
    </row>
    <row r="343" spans="1:13">
      <c r="A343" t="s">
        <v>13</v>
      </c>
      <c r="B343">
        <v>327302</v>
      </c>
      <c r="C343">
        <v>328048</v>
      </c>
      <c r="E343" t="s">
        <v>14</v>
      </c>
      <c r="F343" t="s">
        <v>998</v>
      </c>
      <c r="G343" t="s">
        <v>999</v>
      </c>
      <c r="H343">
        <v>0</v>
      </c>
      <c r="I343" t="s">
        <v>17</v>
      </c>
      <c r="K343" t="s">
        <v>1000</v>
      </c>
      <c r="L343">
        <v>248</v>
      </c>
      <c r="M343" t="s">
        <v>1001</v>
      </c>
    </row>
    <row r="344" spans="1:13">
      <c r="A344" t="s">
        <v>13</v>
      </c>
      <c r="B344">
        <v>328099</v>
      </c>
      <c r="C344">
        <v>329379</v>
      </c>
      <c r="E344" t="s">
        <v>14</v>
      </c>
      <c r="F344" t="s">
        <v>1002</v>
      </c>
      <c r="G344" t="s">
        <v>1003</v>
      </c>
      <c r="H344">
        <v>0</v>
      </c>
      <c r="I344" t="s">
        <v>17</v>
      </c>
      <c r="K344" t="s">
        <v>1004</v>
      </c>
      <c r="L344">
        <v>426</v>
      </c>
      <c r="M344" t="s">
        <v>1005</v>
      </c>
    </row>
    <row r="345" spans="1:13">
      <c r="A345" t="s">
        <v>13</v>
      </c>
      <c r="B345">
        <v>329376</v>
      </c>
      <c r="C345">
        <v>330086</v>
      </c>
      <c r="E345" t="s">
        <v>14</v>
      </c>
      <c r="F345" t="s">
        <v>1006</v>
      </c>
      <c r="G345" t="s">
        <v>1007</v>
      </c>
      <c r="H345">
        <v>0</v>
      </c>
      <c r="I345" t="s">
        <v>17</v>
      </c>
      <c r="K345" t="s">
        <v>1008</v>
      </c>
      <c r="L345">
        <v>236</v>
      </c>
      <c r="M345" t="s">
        <v>1009</v>
      </c>
    </row>
    <row r="346" spans="1:13">
      <c r="A346" t="s">
        <v>13</v>
      </c>
      <c r="B346">
        <v>330083</v>
      </c>
      <c r="C346">
        <v>330982</v>
      </c>
      <c r="E346" t="s">
        <v>35</v>
      </c>
      <c r="F346" t="s">
        <v>28</v>
      </c>
      <c r="H346">
        <v>0</v>
      </c>
      <c r="I346" t="s">
        <v>17</v>
      </c>
      <c r="K346" t="s">
        <v>1010</v>
      </c>
      <c r="L346">
        <v>299</v>
      </c>
      <c r="M346" t="s">
        <v>1011</v>
      </c>
    </row>
    <row r="347" spans="1:13">
      <c r="A347" t="s">
        <v>13</v>
      </c>
      <c r="B347">
        <v>331100</v>
      </c>
      <c r="C347">
        <v>331945</v>
      </c>
      <c r="E347" t="s">
        <v>14</v>
      </c>
      <c r="F347" t="s">
        <v>1012</v>
      </c>
      <c r="G347" t="s">
        <v>1013</v>
      </c>
      <c r="H347">
        <v>0</v>
      </c>
      <c r="I347" t="s">
        <v>17</v>
      </c>
      <c r="K347" t="s">
        <v>1014</v>
      </c>
      <c r="L347">
        <v>281</v>
      </c>
      <c r="M347" t="s">
        <v>1015</v>
      </c>
    </row>
    <row r="348" spans="1:13">
      <c r="A348" t="s">
        <v>13</v>
      </c>
      <c r="B348">
        <v>331955</v>
      </c>
      <c r="C348">
        <v>333196</v>
      </c>
      <c r="E348" t="s">
        <v>14</v>
      </c>
      <c r="F348" t="s">
        <v>28</v>
      </c>
      <c r="H348">
        <v>0</v>
      </c>
      <c r="I348" t="s">
        <v>17</v>
      </c>
      <c r="K348" t="s">
        <v>1016</v>
      </c>
      <c r="L348">
        <v>413</v>
      </c>
      <c r="M348" t="s">
        <v>1017</v>
      </c>
    </row>
    <row r="349" spans="1:13">
      <c r="A349" t="s">
        <v>13</v>
      </c>
      <c r="B349">
        <v>333278</v>
      </c>
      <c r="C349">
        <v>334069</v>
      </c>
      <c r="E349" t="s">
        <v>14</v>
      </c>
      <c r="F349" t="s">
        <v>1018</v>
      </c>
      <c r="G349" t="s">
        <v>1019</v>
      </c>
      <c r="H349">
        <v>0</v>
      </c>
      <c r="I349" t="s">
        <v>17</v>
      </c>
      <c r="K349" t="s">
        <v>1020</v>
      </c>
      <c r="L349">
        <v>263</v>
      </c>
      <c r="M349" t="s">
        <v>1021</v>
      </c>
    </row>
    <row r="350" spans="1:13">
      <c r="A350" t="s">
        <v>13</v>
      </c>
      <c r="B350">
        <v>334321</v>
      </c>
      <c r="C350">
        <v>334509</v>
      </c>
      <c r="E350" t="s">
        <v>14</v>
      </c>
      <c r="F350" t="s">
        <v>924</v>
      </c>
      <c r="H350">
        <v>0</v>
      </c>
      <c r="I350" t="s">
        <v>17</v>
      </c>
      <c r="K350" t="s">
        <v>1022</v>
      </c>
      <c r="L350">
        <v>62</v>
      </c>
      <c r="M350" t="s">
        <v>1023</v>
      </c>
    </row>
    <row r="351" spans="1:13">
      <c r="A351" t="s">
        <v>13</v>
      </c>
      <c r="B351">
        <v>334785</v>
      </c>
      <c r="C351">
        <v>334886</v>
      </c>
      <c r="E351" t="s">
        <v>14</v>
      </c>
      <c r="F351" t="s">
        <v>28</v>
      </c>
      <c r="H351">
        <v>0</v>
      </c>
      <c r="I351" t="s">
        <v>17</v>
      </c>
      <c r="K351" t="s">
        <v>1024</v>
      </c>
      <c r="L351">
        <v>33</v>
      </c>
      <c r="M351" t="s">
        <v>1025</v>
      </c>
    </row>
    <row r="352" spans="1:13">
      <c r="A352" t="s">
        <v>13</v>
      </c>
      <c r="B352">
        <v>335098</v>
      </c>
      <c r="C352">
        <v>335463</v>
      </c>
      <c r="E352" t="s">
        <v>14</v>
      </c>
      <c r="F352" t="s">
        <v>28</v>
      </c>
      <c r="H352">
        <v>0</v>
      </c>
      <c r="I352" t="s">
        <v>17</v>
      </c>
      <c r="K352" t="s">
        <v>1026</v>
      </c>
      <c r="L352">
        <v>121</v>
      </c>
      <c r="M352" t="s">
        <v>1027</v>
      </c>
    </row>
    <row r="353" spans="1:13">
      <c r="A353" t="s">
        <v>13</v>
      </c>
      <c r="B353">
        <v>335538</v>
      </c>
      <c r="C353">
        <v>336575</v>
      </c>
      <c r="E353" t="s">
        <v>35</v>
      </c>
      <c r="F353" t="s">
        <v>1028</v>
      </c>
      <c r="G353" t="s">
        <v>1029</v>
      </c>
      <c r="H353">
        <v>0</v>
      </c>
      <c r="I353" t="s">
        <v>17</v>
      </c>
      <c r="K353" t="s">
        <v>1030</v>
      </c>
      <c r="L353">
        <v>345</v>
      </c>
      <c r="M353" t="s">
        <v>1031</v>
      </c>
    </row>
    <row r="354" spans="1:13">
      <c r="A354" t="s">
        <v>13</v>
      </c>
      <c r="B354">
        <v>336673</v>
      </c>
      <c r="C354">
        <v>336912</v>
      </c>
      <c r="E354" t="s">
        <v>14</v>
      </c>
      <c r="F354" t="s">
        <v>1032</v>
      </c>
      <c r="H354">
        <v>0</v>
      </c>
      <c r="I354" t="s">
        <v>17</v>
      </c>
      <c r="K354" t="s">
        <v>1033</v>
      </c>
      <c r="L354">
        <v>79</v>
      </c>
      <c r="M354" t="s">
        <v>1034</v>
      </c>
    </row>
    <row r="355" spans="1:13">
      <c r="A355" t="s">
        <v>13</v>
      </c>
      <c r="B355">
        <v>336989</v>
      </c>
      <c r="C355">
        <v>338323</v>
      </c>
      <c r="E355" t="s">
        <v>14</v>
      </c>
      <c r="F355" t="s">
        <v>1035</v>
      </c>
      <c r="G355" t="s">
        <v>1036</v>
      </c>
      <c r="H355">
        <v>0</v>
      </c>
      <c r="I355" t="s">
        <v>17</v>
      </c>
      <c r="K355" t="s">
        <v>1037</v>
      </c>
      <c r="L355">
        <v>444</v>
      </c>
      <c r="M355" t="s">
        <v>1038</v>
      </c>
    </row>
    <row r="356" spans="1:13">
      <c r="A356" t="s">
        <v>13</v>
      </c>
      <c r="B356">
        <v>338324</v>
      </c>
      <c r="C356">
        <v>339211</v>
      </c>
      <c r="E356" t="s">
        <v>14</v>
      </c>
      <c r="F356" t="s">
        <v>1039</v>
      </c>
      <c r="G356" t="s">
        <v>1040</v>
      </c>
      <c r="H356">
        <v>0</v>
      </c>
      <c r="I356" t="s">
        <v>17</v>
      </c>
      <c r="K356" t="s">
        <v>1041</v>
      </c>
      <c r="L356">
        <v>295</v>
      </c>
      <c r="M356" t="s">
        <v>1042</v>
      </c>
    </row>
    <row r="357" spans="1:13">
      <c r="A357" t="s">
        <v>13</v>
      </c>
      <c r="B357">
        <v>339376</v>
      </c>
      <c r="C357">
        <v>341097</v>
      </c>
      <c r="E357" t="s">
        <v>14</v>
      </c>
      <c r="F357" t="s">
        <v>1043</v>
      </c>
      <c r="G357" t="s">
        <v>1044</v>
      </c>
      <c r="H357">
        <v>0</v>
      </c>
      <c r="I357" t="s">
        <v>17</v>
      </c>
      <c r="K357" t="s">
        <v>1045</v>
      </c>
      <c r="L357">
        <v>573</v>
      </c>
      <c r="M357" t="s">
        <v>1046</v>
      </c>
    </row>
    <row r="358" spans="1:13">
      <c r="A358" t="s">
        <v>13</v>
      </c>
      <c r="B358">
        <v>341127</v>
      </c>
      <c r="C358">
        <v>342110</v>
      </c>
      <c r="E358" t="s">
        <v>14</v>
      </c>
      <c r="F358" t="s">
        <v>1047</v>
      </c>
      <c r="G358" t="s">
        <v>1048</v>
      </c>
      <c r="H358">
        <v>0</v>
      </c>
      <c r="I358" t="s">
        <v>17</v>
      </c>
      <c r="K358" t="s">
        <v>1049</v>
      </c>
      <c r="L358">
        <v>327</v>
      </c>
      <c r="M358" t="s">
        <v>1050</v>
      </c>
    </row>
    <row r="359" spans="1:13">
      <c r="A359" t="s">
        <v>13</v>
      </c>
      <c r="B359">
        <v>342120</v>
      </c>
      <c r="C359">
        <v>343196</v>
      </c>
      <c r="E359" t="s">
        <v>14</v>
      </c>
      <c r="F359" t="s">
        <v>28</v>
      </c>
      <c r="H359">
        <v>0</v>
      </c>
      <c r="I359" t="s">
        <v>17</v>
      </c>
      <c r="K359" t="s">
        <v>1051</v>
      </c>
      <c r="L359">
        <v>358</v>
      </c>
      <c r="M359" t="s">
        <v>1052</v>
      </c>
    </row>
    <row r="360" spans="1:13">
      <c r="A360" t="s">
        <v>13</v>
      </c>
      <c r="B360">
        <v>343193</v>
      </c>
      <c r="C360">
        <v>343747</v>
      </c>
      <c r="E360" t="s">
        <v>14</v>
      </c>
      <c r="F360" t="s">
        <v>28</v>
      </c>
      <c r="H360">
        <v>0</v>
      </c>
      <c r="I360" t="s">
        <v>17</v>
      </c>
      <c r="K360" t="s">
        <v>1053</v>
      </c>
      <c r="L360">
        <v>184</v>
      </c>
      <c r="M360" t="s">
        <v>1054</v>
      </c>
    </row>
    <row r="361" spans="1:13">
      <c r="A361" t="s">
        <v>13</v>
      </c>
      <c r="B361">
        <v>343865</v>
      </c>
      <c r="C361">
        <v>344899</v>
      </c>
      <c r="E361" t="s">
        <v>14</v>
      </c>
      <c r="F361" t="s">
        <v>1055</v>
      </c>
      <c r="G361" t="s">
        <v>1056</v>
      </c>
      <c r="H361">
        <v>0</v>
      </c>
      <c r="I361" t="s">
        <v>17</v>
      </c>
      <c r="K361" t="s">
        <v>1057</v>
      </c>
      <c r="L361">
        <v>344</v>
      </c>
      <c r="M361" t="s">
        <v>1058</v>
      </c>
    </row>
    <row r="362" spans="1:13">
      <c r="A362" t="s">
        <v>13</v>
      </c>
      <c r="B362">
        <v>344900</v>
      </c>
      <c r="C362">
        <v>346282</v>
      </c>
      <c r="E362" t="s">
        <v>14</v>
      </c>
      <c r="F362" t="s">
        <v>1059</v>
      </c>
      <c r="G362" t="s">
        <v>1060</v>
      </c>
      <c r="H362">
        <v>0</v>
      </c>
      <c r="I362" t="s">
        <v>17</v>
      </c>
      <c r="K362" t="s">
        <v>1061</v>
      </c>
      <c r="L362">
        <v>460</v>
      </c>
      <c r="M362" t="s">
        <v>1062</v>
      </c>
    </row>
    <row r="363" spans="1:13">
      <c r="A363" t="s">
        <v>13</v>
      </c>
      <c r="B363">
        <v>346719</v>
      </c>
      <c r="C363">
        <v>347759</v>
      </c>
      <c r="E363" t="s">
        <v>35</v>
      </c>
      <c r="F363" t="s">
        <v>28</v>
      </c>
      <c r="H363">
        <v>0</v>
      </c>
      <c r="I363" t="s">
        <v>17</v>
      </c>
      <c r="K363" t="s">
        <v>1063</v>
      </c>
      <c r="L363">
        <v>346</v>
      </c>
      <c r="M363" t="s">
        <v>1064</v>
      </c>
    </row>
    <row r="364" spans="1:13">
      <c r="A364" t="s">
        <v>13</v>
      </c>
      <c r="B364">
        <v>347875</v>
      </c>
      <c r="C364">
        <v>348684</v>
      </c>
      <c r="E364" t="s">
        <v>35</v>
      </c>
      <c r="F364" t="s">
        <v>1065</v>
      </c>
      <c r="G364" t="s">
        <v>1066</v>
      </c>
      <c r="H364">
        <v>0</v>
      </c>
      <c r="I364" t="s">
        <v>17</v>
      </c>
      <c r="K364" t="s">
        <v>1067</v>
      </c>
      <c r="L364">
        <v>269</v>
      </c>
      <c r="M364" t="s">
        <v>1068</v>
      </c>
    </row>
    <row r="365" spans="1:13">
      <c r="A365" t="s">
        <v>13</v>
      </c>
      <c r="B365">
        <v>348851</v>
      </c>
      <c r="C365">
        <v>350161</v>
      </c>
      <c r="E365" t="s">
        <v>14</v>
      </c>
      <c r="F365" t="s">
        <v>1069</v>
      </c>
      <c r="G365" t="s">
        <v>1070</v>
      </c>
      <c r="H365">
        <v>0</v>
      </c>
      <c r="I365" t="s">
        <v>17</v>
      </c>
      <c r="K365" t="s">
        <v>1071</v>
      </c>
      <c r="L365">
        <v>436</v>
      </c>
      <c r="M365" t="s">
        <v>1072</v>
      </c>
    </row>
    <row r="366" spans="1:13">
      <c r="A366" t="s">
        <v>13</v>
      </c>
      <c r="B366">
        <v>350198</v>
      </c>
      <c r="C366">
        <v>350806</v>
      </c>
      <c r="E366" t="s">
        <v>14</v>
      </c>
      <c r="F366" t="s">
        <v>1073</v>
      </c>
      <c r="H366">
        <v>0</v>
      </c>
      <c r="I366" t="s">
        <v>17</v>
      </c>
      <c r="K366" t="s">
        <v>1074</v>
      </c>
      <c r="L366">
        <v>202</v>
      </c>
      <c r="M366" t="s">
        <v>1075</v>
      </c>
    </row>
    <row r="367" spans="1:13">
      <c r="A367" t="s">
        <v>13</v>
      </c>
      <c r="B367">
        <v>350806</v>
      </c>
      <c r="C367">
        <v>351423</v>
      </c>
      <c r="E367" t="s">
        <v>14</v>
      </c>
      <c r="F367" t="s">
        <v>715</v>
      </c>
      <c r="G367" t="s">
        <v>1076</v>
      </c>
      <c r="H367">
        <v>0</v>
      </c>
      <c r="I367" t="s">
        <v>17</v>
      </c>
      <c r="K367" t="s">
        <v>1077</v>
      </c>
      <c r="L367">
        <v>205</v>
      </c>
      <c r="M367" t="s">
        <v>1078</v>
      </c>
    </row>
    <row r="368" spans="1:13">
      <c r="A368" t="s">
        <v>13</v>
      </c>
      <c r="B368">
        <v>351424</v>
      </c>
      <c r="C368">
        <v>352227</v>
      </c>
      <c r="E368" t="s">
        <v>14</v>
      </c>
      <c r="F368" t="s">
        <v>1079</v>
      </c>
      <c r="H368">
        <v>0</v>
      </c>
      <c r="I368" t="s">
        <v>17</v>
      </c>
      <c r="K368" t="s">
        <v>1080</v>
      </c>
      <c r="L368">
        <v>267</v>
      </c>
      <c r="M368" t="s">
        <v>1081</v>
      </c>
    </row>
    <row r="369" spans="1:13">
      <c r="A369" t="s">
        <v>13</v>
      </c>
      <c r="B369">
        <v>352235</v>
      </c>
      <c r="C369">
        <v>353866</v>
      </c>
      <c r="E369" t="s">
        <v>14</v>
      </c>
      <c r="F369" t="s">
        <v>1082</v>
      </c>
      <c r="G369" t="s">
        <v>1083</v>
      </c>
      <c r="H369">
        <v>0</v>
      </c>
      <c r="I369" t="s">
        <v>17</v>
      </c>
      <c r="K369" t="s">
        <v>1084</v>
      </c>
      <c r="L369">
        <v>543</v>
      </c>
      <c r="M369" t="s">
        <v>1085</v>
      </c>
    </row>
    <row r="370" spans="1:13">
      <c r="A370" t="s">
        <v>13</v>
      </c>
      <c r="B370">
        <v>353949</v>
      </c>
      <c r="C370">
        <v>355037</v>
      </c>
      <c r="E370" t="s">
        <v>14</v>
      </c>
      <c r="F370" t="s">
        <v>1086</v>
      </c>
      <c r="G370" t="s">
        <v>1087</v>
      </c>
      <c r="H370">
        <v>0</v>
      </c>
      <c r="I370" t="s">
        <v>17</v>
      </c>
      <c r="K370" t="s">
        <v>1088</v>
      </c>
      <c r="L370">
        <v>362</v>
      </c>
      <c r="M370" t="s">
        <v>1089</v>
      </c>
    </row>
    <row r="371" spans="1:13">
      <c r="A371" t="s">
        <v>13</v>
      </c>
      <c r="B371">
        <v>355038</v>
      </c>
      <c r="C371">
        <v>355295</v>
      </c>
      <c r="E371" t="s">
        <v>14</v>
      </c>
      <c r="F371" t="s">
        <v>1090</v>
      </c>
      <c r="H371">
        <v>0</v>
      </c>
      <c r="I371" t="s">
        <v>17</v>
      </c>
      <c r="K371" t="s">
        <v>1091</v>
      </c>
      <c r="L371">
        <v>85</v>
      </c>
      <c r="M371" t="s">
        <v>1092</v>
      </c>
    </row>
    <row r="372" spans="1:13">
      <c r="A372" t="s">
        <v>13</v>
      </c>
      <c r="B372">
        <v>355292</v>
      </c>
      <c r="C372">
        <v>355567</v>
      </c>
      <c r="E372" t="s">
        <v>35</v>
      </c>
      <c r="F372" t="s">
        <v>28</v>
      </c>
      <c r="H372">
        <v>0</v>
      </c>
      <c r="I372" t="s">
        <v>17</v>
      </c>
      <c r="K372" t="s">
        <v>1093</v>
      </c>
      <c r="L372">
        <v>91</v>
      </c>
      <c r="M372" t="s">
        <v>1094</v>
      </c>
    </row>
    <row r="373" spans="1:13">
      <c r="A373" t="s">
        <v>13</v>
      </c>
      <c r="B373">
        <v>355606</v>
      </c>
      <c r="C373">
        <v>355929</v>
      </c>
      <c r="E373" t="s">
        <v>14</v>
      </c>
      <c r="F373" t="s">
        <v>28</v>
      </c>
      <c r="H373">
        <v>0</v>
      </c>
      <c r="I373" t="s">
        <v>17</v>
      </c>
      <c r="K373" t="s">
        <v>1095</v>
      </c>
      <c r="L373">
        <v>107</v>
      </c>
      <c r="M373" t="s">
        <v>1096</v>
      </c>
    </row>
    <row r="374" spans="1:13">
      <c r="A374" t="s">
        <v>13</v>
      </c>
      <c r="B374">
        <v>355951</v>
      </c>
      <c r="C374">
        <v>356856</v>
      </c>
      <c r="E374" t="s">
        <v>35</v>
      </c>
      <c r="F374" t="s">
        <v>1097</v>
      </c>
      <c r="G374" t="s">
        <v>1098</v>
      </c>
      <c r="H374">
        <v>0</v>
      </c>
      <c r="I374" t="s">
        <v>17</v>
      </c>
      <c r="K374" t="s">
        <v>1099</v>
      </c>
      <c r="L374">
        <v>301</v>
      </c>
      <c r="M374" t="s">
        <v>1100</v>
      </c>
    </row>
    <row r="375" spans="1:13">
      <c r="A375" t="s">
        <v>13</v>
      </c>
      <c r="B375">
        <v>356935</v>
      </c>
      <c r="C375">
        <v>358092</v>
      </c>
      <c r="E375" t="s">
        <v>35</v>
      </c>
      <c r="F375" t="s">
        <v>1101</v>
      </c>
      <c r="G375" t="s">
        <v>1102</v>
      </c>
      <c r="H375">
        <v>0</v>
      </c>
      <c r="I375" t="s">
        <v>17</v>
      </c>
      <c r="K375" t="s">
        <v>1103</v>
      </c>
      <c r="L375">
        <v>385</v>
      </c>
      <c r="M375" t="s">
        <v>1104</v>
      </c>
    </row>
    <row r="376" spans="1:13">
      <c r="A376" t="s">
        <v>13</v>
      </c>
      <c r="B376">
        <v>358138</v>
      </c>
      <c r="C376">
        <v>358278</v>
      </c>
      <c r="E376" t="s">
        <v>35</v>
      </c>
      <c r="F376" t="s">
        <v>28</v>
      </c>
      <c r="H376">
        <v>0</v>
      </c>
      <c r="I376" t="s">
        <v>17</v>
      </c>
      <c r="K376" t="s">
        <v>1105</v>
      </c>
      <c r="L376">
        <v>46</v>
      </c>
      <c r="M376" t="s">
        <v>1106</v>
      </c>
    </row>
    <row r="377" spans="1:13">
      <c r="A377" t="s">
        <v>13</v>
      </c>
      <c r="B377">
        <v>358294</v>
      </c>
      <c r="C377">
        <v>359274</v>
      </c>
      <c r="E377" t="s">
        <v>35</v>
      </c>
      <c r="F377" t="s">
        <v>1107</v>
      </c>
      <c r="G377" t="s">
        <v>1108</v>
      </c>
      <c r="H377">
        <v>0</v>
      </c>
      <c r="I377" t="s">
        <v>17</v>
      </c>
      <c r="K377" t="s">
        <v>1109</v>
      </c>
      <c r="L377">
        <v>326</v>
      </c>
      <c r="M377" t="s">
        <v>1110</v>
      </c>
    </row>
    <row r="378" spans="1:13">
      <c r="A378" t="s">
        <v>13</v>
      </c>
      <c r="B378">
        <v>359564</v>
      </c>
      <c r="C378">
        <v>360025</v>
      </c>
      <c r="E378" t="s">
        <v>35</v>
      </c>
      <c r="F378" t="s">
        <v>28</v>
      </c>
      <c r="H378">
        <v>0</v>
      </c>
      <c r="I378" t="s">
        <v>17</v>
      </c>
      <c r="K378" t="s">
        <v>1111</v>
      </c>
      <c r="L378">
        <v>153</v>
      </c>
      <c r="M378" t="s">
        <v>1112</v>
      </c>
    </row>
    <row r="379" spans="1:13">
      <c r="A379" t="s">
        <v>13</v>
      </c>
      <c r="B379">
        <v>360800</v>
      </c>
      <c r="C379">
        <v>361105</v>
      </c>
      <c r="E379" t="s">
        <v>35</v>
      </c>
      <c r="F379" t="s">
        <v>1113</v>
      </c>
      <c r="G379" t="s">
        <v>1114</v>
      </c>
      <c r="H379">
        <v>0</v>
      </c>
      <c r="I379" t="s">
        <v>17</v>
      </c>
      <c r="K379" t="s">
        <v>1115</v>
      </c>
      <c r="L379">
        <v>101</v>
      </c>
      <c r="M379" t="s">
        <v>1116</v>
      </c>
    </row>
    <row r="380" spans="1:13">
      <c r="A380" t="s">
        <v>13</v>
      </c>
      <c r="B380">
        <v>361113</v>
      </c>
      <c r="C380">
        <v>362027</v>
      </c>
      <c r="E380" t="s">
        <v>35</v>
      </c>
      <c r="F380" t="s">
        <v>1117</v>
      </c>
      <c r="G380" t="s">
        <v>1118</v>
      </c>
      <c r="H380">
        <v>0</v>
      </c>
      <c r="I380" t="s">
        <v>17</v>
      </c>
      <c r="K380" t="s">
        <v>1119</v>
      </c>
      <c r="L380">
        <v>304</v>
      </c>
      <c r="M380" t="s">
        <v>1120</v>
      </c>
    </row>
    <row r="381" spans="1:13">
      <c r="A381" t="s">
        <v>13</v>
      </c>
      <c r="B381">
        <v>362032</v>
      </c>
      <c r="C381">
        <v>365331</v>
      </c>
      <c r="E381" t="s">
        <v>35</v>
      </c>
      <c r="F381" t="s">
        <v>1121</v>
      </c>
      <c r="G381" t="s">
        <v>1122</v>
      </c>
      <c r="H381">
        <v>0</v>
      </c>
      <c r="I381" t="s">
        <v>17</v>
      </c>
      <c r="K381" t="s">
        <v>1123</v>
      </c>
      <c r="L381">
        <v>1099</v>
      </c>
      <c r="M381" t="s">
        <v>1124</v>
      </c>
    </row>
    <row r="382" spans="1:13">
      <c r="A382" t="s">
        <v>13</v>
      </c>
      <c r="B382">
        <v>365587</v>
      </c>
      <c r="C382">
        <v>366597</v>
      </c>
      <c r="E382" t="s">
        <v>14</v>
      </c>
      <c r="F382" t="s">
        <v>1125</v>
      </c>
      <c r="G382" t="s">
        <v>1126</v>
      </c>
      <c r="H382">
        <v>0</v>
      </c>
      <c r="I382" t="s">
        <v>17</v>
      </c>
      <c r="K382" t="s">
        <v>1127</v>
      </c>
      <c r="L382">
        <v>336</v>
      </c>
      <c r="M382" t="s">
        <v>1128</v>
      </c>
    </row>
    <row r="383" spans="1:13">
      <c r="A383" t="s">
        <v>13</v>
      </c>
      <c r="B383">
        <v>366659</v>
      </c>
      <c r="C383">
        <v>367204</v>
      </c>
      <c r="E383" t="s">
        <v>35</v>
      </c>
      <c r="F383" t="s">
        <v>1129</v>
      </c>
      <c r="H383">
        <v>0</v>
      </c>
      <c r="I383" t="s">
        <v>17</v>
      </c>
      <c r="K383" t="s">
        <v>1130</v>
      </c>
      <c r="L383">
        <v>181</v>
      </c>
      <c r="M383" t="s">
        <v>1131</v>
      </c>
    </row>
    <row r="384" spans="1:13">
      <c r="A384" t="s">
        <v>13</v>
      </c>
      <c r="B384">
        <v>367432</v>
      </c>
      <c r="C384">
        <v>368601</v>
      </c>
      <c r="E384" t="s">
        <v>14</v>
      </c>
      <c r="F384" t="s">
        <v>1132</v>
      </c>
      <c r="G384" t="s">
        <v>1133</v>
      </c>
      <c r="H384">
        <v>0</v>
      </c>
      <c r="I384" t="s">
        <v>17</v>
      </c>
      <c r="K384" t="s">
        <v>1134</v>
      </c>
      <c r="L384">
        <v>389</v>
      </c>
      <c r="M384" t="s">
        <v>1135</v>
      </c>
    </row>
    <row r="385" spans="1:13">
      <c r="A385" t="s">
        <v>13</v>
      </c>
      <c r="B385">
        <v>368616</v>
      </c>
      <c r="C385">
        <v>369497</v>
      </c>
      <c r="E385" t="s">
        <v>14</v>
      </c>
      <c r="F385" t="s">
        <v>1136</v>
      </c>
      <c r="G385" t="s">
        <v>1137</v>
      </c>
      <c r="H385">
        <v>0</v>
      </c>
      <c r="I385" t="s">
        <v>17</v>
      </c>
      <c r="K385" t="s">
        <v>1138</v>
      </c>
      <c r="L385">
        <v>293</v>
      </c>
      <c r="M385" t="s">
        <v>1139</v>
      </c>
    </row>
    <row r="386" spans="1:13">
      <c r="A386" t="s">
        <v>13</v>
      </c>
      <c r="B386">
        <v>369490</v>
      </c>
      <c r="C386">
        <v>370254</v>
      </c>
      <c r="E386" t="s">
        <v>14</v>
      </c>
      <c r="F386" t="s">
        <v>1140</v>
      </c>
      <c r="G386" t="s">
        <v>1141</v>
      </c>
      <c r="H386">
        <v>0</v>
      </c>
      <c r="I386" t="s">
        <v>17</v>
      </c>
      <c r="K386" t="s">
        <v>1142</v>
      </c>
      <c r="L386">
        <v>254</v>
      </c>
      <c r="M386" t="s">
        <v>1143</v>
      </c>
    </row>
    <row r="387" spans="1:13">
      <c r="A387" t="s">
        <v>13</v>
      </c>
      <c r="B387">
        <v>370486</v>
      </c>
      <c r="C387">
        <v>371094</v>
      </c>
      <c r="E387" t="s">
        <v>14</v>
      </c>
      <c r="F387" t="s">
        <v>28</v>
      </c>
      <c r="H387">
        <v>0</v>
      </c>
      <c r="I387" t="s">
        <v>17</v>
      </c>
      <c r="K387" t="s">
        <v>1144</v>
      </c>
      <c r="L387">
        <v>202</v>
      </c>
      <c r="M387" t="s">
        <v>1145</v>
      </c>
    </row>
    <row r="388" spans="1:13">
      <c r="A388" t="s">
        <v>13</v>
      </c>
      <c r="B388">
        <v>371211</v>
      </c>
      <c r="C388">
        <v>372122</v>
      </c>
      <c r="E388" t="s">
        <v>14</v>
      </c>
      <c r="F388" t="s">
        <v>28</v>
      </c>
      <c r="H388">
        <v>0</v>
      </c>
      <c r="I388" t="s">
        <v>17</v>
      </c>
      <c r="K388" t="s">
        <v>1146</v>
      </c>
      <c r="L388">
        <v>303</v>
      </c>
      <c r="M388" t="s">
        <v>1147</v>
      </c>
    </row>
    <row r="389" spans="1:13">
      <c r="A389" t="s">
        <v>13</v>
      </c>
      <c r="B389">
        <v>372511</v>
      </c>
      <c r="C389">
        <v>372975</v>
      </c>
      <c r="E389" t="s">
        <v>35</v>
      </c>
      <c r="F389" t="s">
        <v>178</v>
      </c>
      <c r="H389">
        <v>0</v>
      </c>
      <c r="I389" t="s">
        <v>17</v>
      </c>
      <c r="K389" t="s">
        <v>1148</v>
      </c>
      <c r="L389">
        <v>154</v>
      </c>
      <c r="M389" t="s">
        <v>1149</v>
      </c>
    </row>
    <row r="390" spans="1:13">
      <c r="A390" t="s">
        <v>13</v>
      </c>
      <c r="B390">
        <v>373275</v>
      </c>
      <c r="C390">
        <v>373568</v>
      </c>
      <c r="E390" t="s">
        <v>35</v>
      </c>
      <c r="F390" t="s">
        <v>28</v>
      </c>
      <c r="H390">
        <v>0</v>
      </c>
      <c r="I390" t="s">
        <v>17</v>
      </c>
      <c r="K390" t="s">
        <v>1150</v>
      </c>
      <c r="L390">
        <v>97</v>
      </c>
      <c r="M390" t="s">
        <v>1151</v>
      </c>
    </row>
    <row r="391" spans="1:13">
      <c r="A391" t="s">
        <v>13</v>
      </c>
      <c r="B391">
        <v>373552</v>
      </c>
      <c r="C391">
        <v>373791</v>
      </c>
      <c r="E391" t="s">
        <v>35</v>
      </c>
      <c r="F391" t="s">
        <v>28</v>
      </c>
      <c r="H391">
        <v>0</v>
      </c>
      <c r="I391" t="s">
        <v>17</v>
      </c>
      <c r="K391" t="s">
        <v>1152</v>
      </c>
      <c r="L391">
        <v>79</v>
      </c>
      <c r="M391" t="s">
        <v>1153</v>
      </c>
    </row>
    <row r="392" spans="1:13">
      <c r="A392" t="s">
        <v>13</v>
      </c>
      <c r="B392">
        <v>374279</v>
      </c>
      <c r="C392">
        <v>376258</v>
      </c>
      <c r="E392" t="s">
        <v>35</v>
      </c>
      <c r="F392" t="s">
        <v>28</v>
      </c>
      <c r="H392">
        <v>0</v>
      </c>
      <c r="I392" t="s">
        <v>17</v>
      </c>
      <c r="K392" t="s">
        <v>1154</v>
      </c>
      <c r="L392">
        <v>659</v>
      </c>
      <c r="M392" t="s">
        <v>1155</v>
      </c>
    </row>
    <row r="393" spans="1:13">
      <c r="A393" t="s">
        <v>13</v>
      </c>
      <c r="B393">
        <v>376522</v>
      </c>
      <c r="C393">
        <v>378936</v>
      </c>
      <c r="E393" t="s">
        <v>14</v>
      </c>
      <c r="F393" t="s">
        <v>1156</v>
      </c>
      <c r="G393" t="s">
        <v>1157</v>
      </c>
      <c r="H393">
        <v>0</v>
      </c>
      <c r="I393" t="s">
        <v>17</v>
      </c>
      <c r="K393" t="s">
        <v>1158</v>
      </c>
      <c r="L393">
        <v>804</v>
      </c>
      <c r="M393" t="s">
        <v>1159</v>
      </c>
    </row>
    <row r="394" spans="1:13">
      <c r="A394" t="s">
        <v>13</v>
      </c>
      <c r="B394">
        <v>379012</v>
      </c>
      <c r="C394">
        <v>379764</v>
      </c>
      <c r="E394" t="s">
        <v>14</v>
      </c>
      <c r="F394" t="s">
        <v>28</v>
      </c>
      <c r="H394">
        <v>0</v>
      </c>
      <c r="I394" t="s">
        <v>17</v>
      </c>
      <c r="K394" t="s">
        <v>1160</v>
      </c>
      <c r="L394">
        <v>250</v>
      </c>
      <c r="M394" t="s">
        <v>1161</v>
      </c>
    </row>
    <row r="395" spans="1:13">
      <c r="A395" t="s">
        <v>13</v>
      </c>
      <c r="B395">
        <v>379874</v>
      </c>
      <c r="C395">
        <v>381496</v>
      </c>
      <c r="E395" t="s">
        <v>14</v>
      </c>
      <c r="F395" t="s">
        <v>1162</v>
      </c>
      <c r="G395" t="s">
        <v>1163</v>
      </c>
      <c r="H395">
        <v>0</v>
      </c>
      <c r="I395" t="s">
        <v>17</v>
      </c>
      <c r="K395" t="s">
        <v>1164</v>
      </c>
      <c r="L395">
        <v>540</v>
      </c>
      <c r="M395" t="s">
        <v>1165</v>
      </c>
    </row>
    <row r="396" spans="1:13">
      <c r="A396" t="s">
        <v>13</v>
      </c>
      <c r="B396">
        <v>381497</v>
      </c>
      <c r="C396">
        <v>381958</v>
      </c>
      <c r="E396" t="s">
        <v>14</v>
      </c>
      <c r="F396" t="s">
        <v>28</v>
      </c>
      <c r="H396">
        <v>0</v>
      </c>
      <c r="I396" t="s">
        <v>17</v>
      </c>
      <c r="K396" t="s">
        <v>1166</v>
      </c>
      <c r="L396">
        <v>153</v>
      </c>
      <c r="M396" t="s">
        <v>1167</v>
      </c>
    </row>
    <row r="397" spans="1:13">
      <c r="A397" t="s">
        <v>13</v>
      </c>
      <c r="B397">
        <v>382019</v>
      </c>
      <c r="C397">
        <v>383218</v>
      </c>
      <c r="E397" t="s">
        <v>14</v>
      </c>
      <c r="F397" t="s">
        <v>1168</v>
      </c>
      <c r="G397" t="s">
        <v>1169</v>
      </c>
      <c r="H397">
        <v>0</v>
      </c>
      <c r="I397" t="s">
        <v>17</v>
      </c>
      <c r="K397" t="s">
        <v>1170</v>
      </c>
      <c r="L397">
        <v>399</v>
      </c>
      <c r="M397" t="s">
        <v>1171</v>
      </c>
    </row>
    <row r="398" spans="1:13">
      <c r="A398" t="s">
        <v>13</v>
      </c>
      <c r="B398">
        <v>383230</v>
      </c>
      <c r="C398">
        <v>383934</v>
      </c>
      <c r="E398" t="s">
        <v>14</v>
      </c>
      <c r="F398" t="s">
        <v>1172</v>
      </c>
      <c r="G398" t="s">
        <v>1173</v>
      </c>
      <c r="H398">
        <v>0</v>
      </c>
      <c r="I398" t="s">
        <v>17</v>
      </c>
      <c r="K398" t="s">
        <v>1174</v>
      </c>
      <c r="L398">
        <v>234</v>
      </c>
      <c r="M398" t="s">
        <v>1175</v>
      </c>
    </row>
    <row r="399" spans="1:13">
      <c r="A399" t="s">
        <v>13</v>
      </c>
      <c r="B399">
        <v>383948</v>
      </c>
      <c r="C399">
        <v>385216</v>
      </c>
      <c r="E399" t="s">
        <v>35</v>
      </c>
      <c r="F399" t="s">
        <v>1176</v>
      </c>
      <c r="H399">
        <v>0</v>
      </c>
      <c r="I399" t="s">
        <v>17</v>
      </c>
      <c r="K399" t="s">
        <v>1177</v>
      </c>
      <c r="L399">
        <v>422</v>
      </c>
      <c r="M399" t="s">
        <v>1178</v>
      </c>
    </row>
    <row r="400" spans="1:13">
      <c r="A400" t="s">
        <v>13</v>
      </c>
      <c r="B400">
        <v>385315</v>
      </c>
      <c r="C400">
        <v>386319</v>
      </c>
      <c r="E400" t="s">
        <v>14</v>
      </c>
      <c r="F400" t="s">
        <v>1179</v>
      </c>
      <c r="G400" t="s">
        <v>1180</v>
      </c>
      <c r="H400">
        <v>0</v>
      </c>
      <c r="I400" t="s">
        <v>17</v>
      </c>
      <c r="K400" t="s">
        <v>1181</v>
      </c>
      <c r="L400">
        <v>334</v>
      </c>
      <c r="M400" t="s">
        <v>1182</v>
      </c>
    </row>
    <row r="401" spans="1:13">
      <c r="A401" t="s">
        <v>13</v>
      </c>
      <c r="B401">
        <v>386430</v>
      </c>
      <c r="C401">
        <v>386512</v>
      </c>
      <c r="E401" t="s">
        <v>14</v>
      </c>
      <c r="F401" t="s">
        <v>1183</v>
      </c>
      <c r="H401">
        <v>0</v>
      </c>
      <c r="I401" t="s">
        <v>53</v>
      </c>
      <c r="M401" t="s">
        <v>1184</v>
      </c>
    </row>
    <row r="402" spans="1:13">
      <c r="A402" t="s">
        <v>13</v>
      </c>
      <c r="B402">
        <v>386666</v>
      </c>
      <c r="C402">
        <v>386833</v>
      </c>
      <c r="E402" t="s">
        <v>14</v>
      </c>
      <c r="F402" t="s">
        <v>28</v>
      </c>
      <c r="H402">
        <v>0</v>
      </c>
      <c r="I402" t="s">
        <v>17</v>
      </c>
      <c r="K402" t="s">
        <v>1185</v>
      </c>
      <c r="L402">
        <v>55</v>
      </c>
      <c r="M402" t="s">
        <v>1186</v>
      </c>
    </row>
    <row r="403" spans="1:13">
      <c r="A403" t="s">
        <v>13</v>
      </c>
      <c r="B403">
        <v>386968</v>
      </c>
      <c r="C403">
        <v>387297</v>
      </c>
      <c r="E403" t="s">
        <v>35</v>
      </c>
      <c r="F403" t="s">
        <v>924</v>
      </c>
      <c r="H403">
        <v>0</v>
      </c>
      <c r="I403" t="s">
        <v>17</v>
      </c>
      <c r="K403" t="s">
        <v>1187</v>
      </c>
      <c r="L403">
        <v>109</v>
      </c>
      <c r="M403" t="s">
        <v>1188</v>
      </c>
    </row>
    <row r="404" spans="1:13">
      <c r="A404" t="s">
        <v>13</v>
      </c>
      <c r="B404">
        <v>387290</v>
      </c>
      <c r="C404">
        <v>387694</v>
      </c>
      <c r="E404" t="s">
        <v>35</v>
      </c>
      <c r="F404" t="s">
        <v>28</v>
      </c>
      <c r="H404">
        <v>0</v>
      </c>
      <c r="I404" t="s">
        <v>17</v>
      </c>
      <c r="K404" t="s">
        <v>1189</v>
      </c>
      <c r="L404">
        <v>134</v>
      </c>
      <c r="M404" t="s">
        <v>1190</v>
      </c>
    </row>
    <row r="405" spans="1:13">
      <c r="A405" t="s">
        <v>13</v>
      </c>
      <c r="B405">
        <v>388362</v>
      </c>
      <c r="C405">
        <v>388499</v>
      </c>
      <c r="E405" t="s">
        <v>35</v>
      </c>
      <c r="F405" t="s">
        <v>28</v>
      </c>
      <c r="H405">
        <v>0</v>
      </c>
      <c r="I405" t="s">
        <v>17</v>
      </c>
      <c r="K405" t="s">
        <v>1191</v>
      </c>
      <c r="L405">
        <v>45</v>
      </c>
      <c r="M405" t="s">
        <v>1192</v>
      </c>
    </row>
    <row r="406" spans="1:13">
      <c r="A406" t="s">
        <v>13</v>
      </c>
      <c r="B406">
        <v>388908</v>
      </c>
      <c r="C406">
        <v>389108</v>
      </c>
      <c r="E406" t="s">
        <v>14</v>
      </c>
      <c r="F406" t="s">
        <v>28</v>
      </c>
      <c r="H406">
        <v>0</v>
      </c>
      <c r="I406" t="s">
        <v>17</v>
      </c>
      <c r="K406" t="s">
        <v>1193</v>
      </c>
      <c r="L406">
        <v>66</v>
      </c>
      <c r="M406" t="s">
        <v>1194</v>
      </c>
    </row>
    <row r="407" spans="1:13">
      <c r="A407" t="s">
        <v>13</v>
      </c>
      <c r="B407">
        <v>389332</v>
      </c>
      <c r="C407">
        <v>390135</v>
      </c>
      <c r="E407" t="s">
        <v>35</v>
      </c>
      <c r="F407" t="s">
        <v>1195</v>
      </c>
      <c r="G407" t="s">
        <v>1196</v>
      </c>
      <c r="H407">
        <v>0</v>
      </c>
      <c r="I407" t="s">
        <v>17</v>
      </c>
      <c r="K407" t="s">
        <v>1197</v>
      </c>
      <c r="L407">
        <v>267</v>
      </c>
      <c r="M407" t="s">
        <v>1198</v>
      </c>
    </row>
    <row r="408" spans="1:13">
      <c r="A408" t="s">
        <v>13</v>
      </c>
      <c r="B408">
        <v>390158</v>
      </c>
      <c r="C408">
        <v>391213</v>
      </c>
      <c r="E408" t="s">
        <v>35</v>
      </c>
      <c r="F408" t="s">
        <v>1199</v>
      </c>
      <c r="G408" t="s">
        <v>1200</v>
      </c>
      <c r="H408">
        <v>0</v>
      </c>
      <c r="I408" t="s">
        <v>17</v>
      </c>
      <c r="K408" t="s">
        <v>1201</v>
      </c>
      <c r="L408">
        <v>351</v>
      </c>
      <c r="M408" t="s">
        <v>1202</v>
      </c>
    </row>
    <row r="409" spans="1:13">
      <c r="A409" t="s">
        <v>13</v>
      </c>
      <c r="B409">
        <v>391210</v>
      </c>
      <c r="C409">
        <v>392226</v>
      </c>
      <c r="E409" t="s">
        <v>35</v>
      </c>
      <c r="F409" t="s">
        <v>1203</v>
      </c>
      <c r="G409" t="s">
        <v>1204</v>
      </c>
      <c r="H409">
        <v>0</v>
      </c>
      <c r="I409" t="s">
        <v>17</v>
      </c>
      <c r="K409" t="s">
        <v>1205</v>
      </c>
      <c r="L409">
        <v>338</v>
      </c>
      <c r="M409" t="s">
        <v>1206</v>
      </c>
    </row>
    <row r="410" spans="1:13">
      <c r="A410" t="s">
        <v>13</v>
      </c>
      <c r="B410">
        <v>392299</v>
      </c>
      <c r="C410">
        <v>393336</v>
      </c>
      <c r="E410" t="s">
        <v>14</v>
      </c>
      <c r="F410" t="s">
        <v>1207</v>
      </c>
      <c r="G410" t="s">
        <v>1208</v>
      </c>
      <c r="H410">
        <v>0</v>
      </c>
      <c r="I410" t="s">
        <v>17</v>
      </c>
      <c r="K410" t="s">
        <v>1209</v>
      </c>
      <c r="L410">
        <v>345</v>
      </c>
      <c r="M410" t="s">
        <v>1210</v>
      </c>
    </row>
    <row r="411" spans="1:13">
      <c r="A411" t="s">
        <v>13</v>
      </c>
      <c r="B411">
        <v>393502</v>
      </c>
      <c r="C411">
        <v>395079</v>
      </c>
      <c r="E411" t="s">
        <v>35</v>
      </c>
      <c r="F411" t="s">
        <v>1211</v>
      </c>
      <c r="H411">
        <v>0</v>
      </c>
      <c r="I411" t="s">
        <v>17</v>
      </c>
      <c r="K411" t="s">
        <v>1212</v>
      </c>
      <c r="L411">
        <v>525</v>
      </c>
      <c r="M411" t="s">
        <v>1213</v>
      </c>
    </row>
    <row r="412" spans="1:13">
      <c r="A412" t="s">
        <v>13</v>
      </c>
      <c r="B412">
        <v>395083</v>
      </c>
      <c r="C412">
        <v>395730</v>
      </c>
      <c r="E412" t="s">
        <v>35</v>
      </c>
      <c r="F412" t="s">
        <v>1214</v>
      </c>
      <c r="G412" t="s">
        <v>1215</v>
      </c>
      <c r="H412">
        <v>0</v>
      </c>
      <c r="I412" t="s">
        <v>17</v>
      </c>
      <c r="K412" t="s">
        <v>1216</v>
      </c>
      <c r="L412">
        <v>215</v>
      </c>
      <c r="M412" t="s">
        <v>1217</v>
      </c>
    </row>
    <row r="413" spans="1:13">
      <c r="A413" t="s">
        <v>13</v>
      </c>
      <c r="B413">
        <v>395742</v>
      </c>
      <c r="C413">
        <v>397097</v>
      </c>
      <c r="E413" t="s">
        <v>35</v>
      </c>
      <c r="F413" t="s">
        <v>1218</v>
      </c>
      <c r="H413">
        <v>0</v>
      </c>
      <c r="I413" t="s">
        <v>17</v>
      </c>
      <c r="K413" t="s">
        <v>1219</v>
      </c>
      <c r="L413">
        <v>451</v>
      </c>
      <c r="M413" t="s">
        <v>1220</v>
      </c>
    </row>
    <row r="414" spans="1:13">
      <c r="A414" t="s">
        <v>13</v>
      </c>
      <c r="B414">
        <v>397113</v>
      </c>
      <c r="C414">
        <v>397838</v>
      </c>
      <c r="E414" t="s">
        <v>35</v>
      </c>
      <c r="F414" t="s">
        <v>1221</v>
      </c>
      <c r="G414" t="s">
        <v>1222</v>
      </c>
      <c r="H414">
        <v>0</v>
      </c>
      <c r="I414" t="s">
        <v>17</v>
      </c>
      <c r="K414" t="s">
        <v>1223</v>
      </c>
      <c r="L414">
        <v>241</v>
      </c>
      <c r="M414" t="s">
        <v>1224</v>
      </c>
    </row>
    <row r="415" spans="1:13">
      <c r="A415" t="s">
        <v>13</v>
      </c>
      <c r="B415">
        <v>397952</v>
      </c>
      <c r="C415">
        <v>398896</v>
      </c>
      <c r="E415" t="s">
        <v>35</v>
      </c>
      <c r="F415" t="s">
        <v>1225</v>
      </c>
      <c r="G415" t="s">
        <v>1226</v>
      </c>
      <c r="H415">
        <v>0</v>
      </c>
      <c r="I415" t="s">
        <v>17</v>
      </c>
      <c r="K415" t="s">
        <v>1227</v>
      </c>
      <c r="L415">
        <v>314</v>
      </c>
      <c r="M415" t="s">
        <v>1228</v>
      </c>
    </row>
    <row r="416" spans="1:13">
      <c r="A416" t="s">
        <v>13</v>
      </c>
      <c r="B416">
        <v>399062</v>
      </c>
      <c r="C416">
        <v>399137</v>
      </c>
      <c r="E416" t="s">
        <v>14</v>
      </c>
      <c r="F416" t="s">
        <v>782</v>
      </c>
      <c r="H416">
        <v>0</v>
      </c>
      <c r="I416" t="s">
        <v>53</v>
      </c>
      <c r="M416" t="s">
        <v>1229</v>
      </c>
    </row>
    <row r="417" spans="1:13">
      <c r="A417" t="s">
        <v>13</v>
      </c>
      <c r="B417">
        <v>399186</v>
      </c>
      <c r="C417">
        <v>399259</v>
      </c>
      <c r="E417" t="s">
        <v>14</v>
      </c>
      <c r="F417" t="s">
        <v>1230</v>
      </c>
      <c r="H417">
        <v>0</v>
      </c>
      <c r="I417" t="s">
        <v>53</v>
      </c>
      <c r="M417" t="s">
        <v>1231</v>
      </c>
    </row>
    <row r="418" spans="1:13">
      <c r="A418" t="s">
        <v>13</v>
      </c>
      <c r="B418">
        <v>399395</v>
      </c>
      <c r="C418">
        <v>399468</v>
      </c>
      <c r="E418" t="s">
        <v>14</v>
      </c>
      <c r="F418" t="s">
        <v>1232</v>
      </c>
      <c r="H418">
        <v>0</v>
      </c>
      <c r="I418" t="s">
        <v>53</v>
      </c>
      <c r="M418" t="s">
        <v>1233</v>
      </c>
    </row>
    <row r="419" spans="1:13">
      <c r="A419" t="s">
        <v>13</v>
      </c>
      <c r="B419">
        <v>399640</v>
      </c>
      <c r="C419">
        <v>399972</v>
      </c>
      <c r="E419" t="s">
        <v>14</v>
      </c>
      <c r="F419" t="s">
        <v>1234</v>
      </c>
      <c r="H419">
        <v>0</v>
      </c>
      <c r="I419" t="s">
        <v>17</v>
      </c>
      <c r="K419" t="s">
        <v>1235</v>
      </c>
      <c r="L419">
        <v>110</v>
      </c>
      <c r="M419" t="s">
        <v>1236</v>
      </c>
    </row>
    <row r="420" spans="1:13">
      <c r="A420" t="s">
        <v>13</v>
      </c>
      <c r="B420">
        <v>400102</v>
      </c>
      <c r="C420">
        <v>401007</v>
      </c>
      <c r="E420" t="s">
        <v>14</v>
      </c>
      <c r="F420" t="s">
        <v>28</v>
      </c>
      <c r="H420">
        <v>0</v>
      </c>
      <c r="I420" t="s">
        <v>17</v>
      </c>
      <c r="K420" t="s">
        <v>1237</v>
      </c>
      <c r="L420">
        <v>301</v>
      </c>
      <c r="M420" t="s">
        <v>1238</v>
      </c>
    </row>
    <row r="421" spans="1:13">
      <c r="A421" t="s">
        <v>13</v>
      </c>
      <c r="B421">
        <v>401178</v>
      </c>
      <c r="C421">
        <v>401621</v>
      </c>
      <c r="E421" t="s">
        <v>14</v>
      </c>
      <c r="F421" t="s">
        <v>1239</v>
      </c>
      <c r="G421" t="s">
        <v>1240</v>
      </c>
      <c r="H421">
        <v>0</v>
      </c>
      <c r="I421" t="s">
        <v>17</v>
      </c>
      <c r="K421" t="s">
        <v>1241</v>
      </c>
      <c r="L421">
        <v>147</v>
      </c>
      <c r="M421" t="s">
        <v>1242</v>
      </c>
    </row>
    <row r="422" spans="1:13">
      <c r="A422" t="s">
        <v>13</v>
      </c>
      <c r="B422">
        <v>401690</v>
      </c>
      <c r="C422">
        <v>402394</v>
      </c>
      <c r="E422" t="s">
        <v>14</v>
      </c>
      <c r="F422" t="s">
        <v>1243</v>
      </c>
      <c r="G422" t="s">
        <v>1244</v>
      </c>
      <c r="H422">
        <v>0</v>
      </c>
      <c r="I422" t="s">
        <v>17</v>
      </c>
      <c r="K422" t="s">
        <v>1245</v>
      </c>
      <c r="L422">
        <v>234</v>
      </c>
      <c r="M422" t="s">
        <v>1246</v>
      </c>
    </row>
    <row r="423" spans="1:13">
      <c r="A423" t="s">
        <v>13</v>
      </c>
      <c r="B423">
        <v>402506</v>
      </c>
      <c r="C423">
        <v>403843</v>
      </c>
      <c r="E423" t="s">
        <v>35</v>
      </c>
      <c r="F423" t="s">
        <v>1247</v>
      </c>
      <c r="G423" t="s">
        <v>1248</v>
      </c>
      <c r="H423">
        <v>0</v>
      </c>
      <c r="I423" t="s">
        <v>17</v>
      </c>
      <c r="K423" t="s">
        <v>1249</v>
      </c>
      <c r="L423">
        <v>445</v>
      </c>
      <c r="M423" t="s">
        <v>1250</v>
      </c>
    </row>
    <row r="424" spans="1:13">
      <c r="A424" t="s">
        <v>13</v>
      </c>
      <c r="B424">
        <v>404130</v>
      </c>
      <c r="C424">
        <v>404651</v>
      </c>
      <c r="E424" t="s">
        <v>14</v>
      </c>
      <c r="F424" t="s">
        <v>1251</v>
      </c>
      <c r="G424" t="s">
        <v>1252</v>
      </c>
      <c r="H424">
        <v>0</v>
      </c>
      <c r="I424" t="s">
        <v>17</v>
      </c>
      <c r="K424" t="s">
        <v>1253</v>
      </c>
      <c r="L424">
        <v>173</v>
      </c>
      <c r="M424" t="s">
        <v>1254</v>
      </c>
    </row>
    <row r="425" spans="1:13">
      <c r="A425" t="s">
        <v>13</v>
      </c>
      <c r="B425">
        <v>404740</v>
      </c>
      <c r="C425">
        <v>405129</v>
      </c>
      <c r="E425" t="s">
        <v>14</v>
      </c>
      <c r="F425" t="s">
        <v>1255</v>
      </c>
      <c r="G425" t="s">
        <v>1256</v>
      </c>
      <c r="H425">
        <v>0</v>
      </c>
      <c r="I425" t="s">
        <v>17</v>
      </c>
      <c r="K425" t="s">
        <v>1257</v>
      </c>
      <c r="L425">
        <v>129</v>
      </c>
      <c r="M425" t="s">
        <v>1258</v>
      </c>
    </row>
    <row r="426" spans="1:13">
      <c r="A426" t="s">
        <v>13</v>
      </c>
      <c r="B426">
        <v>405513</v>
      </c>
      <c r="C426">
        <v>406754</v>
      </c>
      <c r="E426" t="s">
        <v>35</v>
      </c>
      <c r="F426" t="s">
        <v>290</v>
      </c>
      <c r="H426">
        <v>0</v>
      </c>
      <c r="I426" t="s">
        <v>292</v>
      </c>
      <c r="M426" t="s">
        <v>1259</v>
      </c>
    </row>
    <row r="427" spans="1:13">
      <c r="A427" t="s">
        <v>13</v>
      </c>
      <c r="B427">
        <v>407520</v>
      </c>
      <c r="C427">
        <v>408770</v>
      </c>
      <c r="E427" t="s">
        <v>35</v>
      </c>
      <c r="F427" t="s">
        <v>536</v>
      </c>
      <c r="H427">
        <v>0</v>
      </c>
      <c r="I427" t="s">
        <v>17</v>
      </c>
      <c r="K427" t="s">
        <v>1260</v>
      </c>
      <c r="L427">
        <v>416</v>
      </c>
      <c r="M427" t="s">
        <v>1261</v>
      </c>
    </row>
    <row r="428" spans="1:13">
      <c r="A428" t="s">
        <v>13</v>
      </c>
      <c r="B428">
        <v>408795</v>
      </c>
      <c r="C428">
        <v>409856</v>
      </c>
      <c r="E428" t="s">
        <v>35</v>
      </c>
      <c r="F428" t="s">
        <v>28</v>
      </c>
      <c r="H428">
        <v>0</v>
      </c>
      <c r="I428" t="s">
        <v>17</v>
      </c>
      <c r="K428" t="s">
        <v>1262</v>
      </c>
      <c r="L428">
        <v>353</v>
      </c>
      <c r="M428" t="s">
        <v>1263</v>
      </c>
    </row>
    <row r="429" spans="1:13">
      <c r="A429" t="s">
        <v>13</v>
      </c>
      <c r="B429">
        <v>409849</v>
      </c>
      <c r="C429">
        <v>410844</v>
      </c>
      <c r="E429" t="s">
        <v>35</v>
      </c>
      <c r="F429" t="s">
        <v>1264</v>
      </c>
      <c r="H429">
        <v>0</v>
      </c>
      <c r="I429" t="s">
        <v>17</v>
      </c>
      <c r="K429" t="s">
        <v>1265</v>
      </c>
      <c r="L429">
        <v>331</v>
      </c>
      <c r="M429" t="s">
        <v>1266</v>
      </c>
    </row>
    <row r="430" spans="1:13">
      <c r="A430" t="s">
        <v>13</v>
      </c>
      <c r="B430">
        <v>411211</v>
      </c>
      <c r="C430">
        <v>412224</v>
      </c>
      <c r="E430" t="s">
        <v>14</v>
      </c>
      <c r="F430" t="s">
        <v>28</v>
      </c>
      <c r="H430">
        <v>0</v>
      </c>
      <c r="I430" t="s">
        <v>17</v>
      </c>
      <c r="K430" t="s">
        <v>1267</v>
      </c>
      <c r="L430">
        <v>337</v>
      </c>
      <c r="M430" t="s">
        <v>1268</v>
      </c>
    </row>
    <row r="431" spans="1:13">
      <c r="A431" t="s">
        <v>13</v>
      </c>
      <c r="B431">
        <v>412599</v>
      </c>
      <c r="C431">
        <v>416093</v>
      </c>
      <c r="E431" t="s">
        <v>14</v>
      </c>
      <c r="F431" t="s">
        <v>1269</v>
      </c>
      <c r="G431" t="s">
        <v>1270</v>
      </c>
      <c r="H431">
        <v>0</v>
      </c>
      <c r="I431" t="s">
        <v>17</v>
      </c>
      <c r="K431" t="s">
        <v>1271</v>
      </c>
      <c r="L431">
        <v>1164</v>
      </c>
      <c r="M431" t="s">
        <v>1272</v>
      </c>
    </row>
    <row r="432" spans="1:13">
      <c r="A432" t="s">
        <v>13</v>
      </c>
      <c r="B432">
        <v>416226</v>
      </c>
      <c r="C432">
        <v>420221</v>
      </c>
      <c r="E432" t="s">
        <v>14</v>
      </c>
      <c r="F432" t="s">
        <v>1273</v>
      </c>
      <c r="G432" t="s">
        <v>1274</v>
      </c>
      <c r="H432">
        <v>0</v>
      </c>
      <c r="I432" t="s">
        <v>17</v>
      </c>
      <c r="K432" t="s">
        <v>1275</v>
      </c>
      <c r="L432">
        <v>1331</v>
      </c>
      <c r="M432" t="s">
        <v>1276</v>
      </c>
    </row>
    <row r="433" spans="1:13">
      <c r="A433" t="s">
        <v>13</v>
      </c>
      <c r="B433">
        <v>420399</v>
      </c>
      <c r="C433">
        <v>421193</v>
      </c>
      <c r="E433" t="s">
        <v>35</v>
      </c>
      <c r="F433" t="s">
        <v>1277</v>
      </c>
      <c r="H433">
        <v>0</v>
      </c>
      <c r="I433" t="s">
        <v>17</v>
      </c>
      <c r="K433" t="s">
        <v>1278</v>
      </c>
      <c r="L433">
        <v>264</v>
      </c>
      <c r="M433" t="s">
        <v>1279</v>
      </c>
    </row>
    <row r="434" spans="1:13">
      <c r="A434" t="s">
        <v>13</v>
      </c>
      <c r="B434">
        <v>421669</v>
      </c>
      <c r="C434">
        <v>422283</v>
      </c>
      <c r="E434" t="s">
        <v>14</v>
      </c>
      <c r="F434" t="s">
        <v>1280</v>
      </c>
      <c r="G434" t="s">
        <v>1281</v>
      </c>
      <c r="H434">
        <v>0</v>
      </c>
      <c r="I434" t="s">
        <v>17</v>
      </c>
      <c r="K434" t="s">
        <v>1282</v>
      </c>
      <c r="L434">
        <v>204</v>
      </c>
      <c r="M434" t="s">
        <v>1283</v>
      </c>
    </row>
    <row r="435" spans="1:13">
      <c r="A435" t="s">
        <v>13</v>
      </c>
      <c r="B435">
        <v>422297</v>
      </c>
      <c r="C435">
        <v>423724</v>
      </c>
      <c r="E435" t="s">
        <v>14</v>
      </c>
      <c r="F435" t="s">
        <v>1284</v>
      </c>
      <c r="G435" t="s">
        <v>1285</v>
      </c>
      <c r="H435">
        <v>0</v>
      </c>
      <c r="I435" t="s">
        <v>17</v>
      </c>
      <c r="K435" t="s">
        <v>1286</v>
      </c>
      <c r="L435">
        <v>475</v>
      </c>
      <c r="M435" t="s">
        <v>1287</v>
      </c>
    </row>
    <row r="436" spans="1:13">
      <c r="A436" t="s">
        <v>13</v>
      </c>
      <c r="B436">
        <v>423717</v>
      </c>
      <c r="C436">
        <v>424487</v>
      </c>
      <c r="E436" t="s">
        <v>14</v>
      </c>
      <c r="F436" t="s">
        <v>1288</v>
      </c>
      <c r="G436" t="s">
        <v>1289</v>
      </c>
      <c r="H436">
        <v>0</v>
      </c>
      <c r="I436" t="s">
        <v>17</v>
      </c>
      <c r="K436" t="s">
        <v>1290</v>
      </c>
      <c r="L436">
        <v>256</v>
      </c>
      <c r="M436" t="s">
        <v>1291</v>
      </c>
    </row>
    <row r="437" spans="1:13">
      <c r="A437" t="s">
        <v>13</v>
      </c>
      <c r="B437">
        <v>424514</v>
      </c>
      <c r="C437">
        <v>425065</v>
      </c>
      <c r="E437" t="s">
        <v>14</v>
      </c>
      <c r="F437" t="s">
        <v>28</v>
      </c>
      <c r="H437">
        <v>0</v>
      </c>
      <c r="I437" t="s">
        <v>17</v>
      </c>
      <c r="K437" t="s">
        <v>1292</v>
      </c>
      <c r="L437">
        <v>183</v>
      </c>
      <c r="M437" t="s">
        <v>1293</v>
      </c>
    </row>
    <row r="438" spans="1:13">
      <c r="A438" t="s">
        <v>13</v>
      </c>
      <c r="B438">
        <v>425329</v>
      </c>
      <c r="C438">
        <v>425700</v>
      </c>
      <c r="E438" t="s">
        <v>14</v>
      </c>
      <c r="F438" t="s">
        <v>1294</v>
      </c>
      <c r="G438" t="s">
        <v>1295</v>
      </c>
      <c r="H438">
        <v>0</v>
      </c>
      <c r="I438" t="s">
        <v>17</v>
      </c>
      <c r="K438" t="s">
        <v>1296</v>
      </c>
      <c r="L438">
        <v>123</v>
      </c>
      <c r="M438" t="s">
        <v>1297</v>
      </c>
    </row>
    <row r="439" spans="1:13">
      <c r="A439" t="s">
        <v>13</v>
      </c>
      <c r="B439">
        <v>425707</v>
      </c>
      <c r="C439">
        <v>426174</v>
      </c>
      <c r="E439" t="s">
        <v>14</v>
      </c>
      <c r="F439" t="s">
        <v>1298</v>
      </c>
      <c r="G439" t="s">
        <v>1299</v>
      </c>
      <c r="H439">
        <v>0</v>
      </c>
      <c r="I439" t="s">
        <v>17</v>
      </c>
      <c r="K439" t="s">
        <v>1300</v>
      </c>
      <c r="L439">
        <v>155</v>
      </c>
      <c r="M439" t="s">
        <v>1301</v>
      </c>
    </row>
    <row r="440" spans="1:13">
      <c r="A440" t="s">
        <v>13</v>
      </c>
      <c r="B440">
        <v>426494</v>
      </c>
      <c r="C440">
        <v>428623</v>
      </c>
      <c r="E440" t="s">
        <v>14</v>
      </c>
      <c r="F440" t="s">
        <v>1302</v>
      </c>
      <c r="G440" t="s">
        <v>1303</v>
      </c>
      <c r="H440">
        <v>0</v>
      </c>
      <c r="I440" t="s">
        <v>17</v>
      </c>
      <c r="K440" t="s">
        <v>1304</v>
      </c>
      <c r="L440">
        <v>709</v>
      </c>
      <c r="M440" t="s">
        <v>1305</v>
      </c>
    </row>
    <row r="441" spans="1:13">
      <c r="A441" t="s">
        <v>13</v>
      </c>
      <c r="B441">
        <v>429014</v>
      </c>
      <c r="C441">
        <v>430204</v>
      </c>
      <c r="E441" t="s">
        <v>14</v>
      </c>
      <c r="F441" t="s">
        <v>1306</v>
      </c>
      <c r="G441" t="s">
        <v>1307</v>
      </c>
      <c r="H441">
        <v>0</v>
      </c>
      <c r="I441" t="s">
        <v>17</v>
      </c>
      <c r="K441" t="s">
        <v>1308</v>
      </c>
      <c r="L441">
        <v>396</v>
      </c>
      <c r="M441" t="s">
        <v>1309</v>
      </c>
    </row>
    <row r="442" spans="1:13">
      <c r="A442" t="s">
        <v>13</v>
      </c>
      <c r="B442">
        <v>430640</v>
      </c>
      <c r="C442">
        <v>432133</v>
      </c>
      <c r="E442" t="s">
        <v>14</v>
      </c>
      <c r="F442" t="s">
        <v>178</v>
      </c>
      <c r="H442">
        <v>0</v>
      </c>
      <c r="I442" t="s">
        <v>17</v>
      </c>
      <c r="K442" t="s">
        <v>1310</v>
      </c>
      <c r="L442">
        <v>497</v>
      </c>
      <c r="M442" t="s">
        <v>1311</v>
      </c>
    </row>
    <row r="443" spans="1:13">
      <c r="A443" t="s">
        <v>13</v>
      </c>
      <c r="B443">
        <v>432130</v>
      </c>
      <c r="C443">
        <v>432249</v>
      </c>
      <c r="E443" t="s">
        <v>35</v>
      </c>
      <c r="F443" t="s">
        <v>28</v>
      </c>
      <c r="H443">
        <v>0</v>
      </c>
      <c r="I443" t="s">
        <v>17</v>
      </c>
      <c r="K443" t="s">
        <v>1312</v>
      </c>
      <c r="L443">
        <v>39</v>
      </c>
      <c r="M443" t="s">
        <v>1313</v>
      </c>
    </row>
    <row r="444" spans="1:13">
      <c r="A444" t="s">
        <v>13</v>
      </c>
      <c r="B444">
        <v>432524</v>
      </c>
      <c r="C444">
        <v>434230</v>
      </c>
      <c r="E444" t="s">
        <v>35</v>
      </c>
      <c r="F444" t="s">
        <v>1314</v>
      </c>
      <c r="H444">
        <v>0</v>
      </c>
      <c r="I444" t="s">
        <v>17</v>
      </c>
      <c r="K444" t="s">
        <v>1315</v>
      </c>
      <c r="L444">
        <v>568</v>
      </c>
      <c r="M444" t="s">
        <v>1316</v>
      </c>
    </row>
    <row r="445" spans="1:13">
      <c r="A445" t="s">
        <v>13</v>
      </c>
      <c r="B445">
        <v>434378</v>
      </c>
      <c r="C445">
        <v>436261</v>
      </c>
      <c r="E445" t="s">
        <v>35</v>
      </c>
      <c r="F445" t="s">
        <v>1317</v>
      </c>
      <c r="G445" t="s">
        <v>1318</v>
      </c>
      <c r="H445">
        <v>0</v>
      </c>
      <c r="I445" t="s">
        <v>17</v>
      </c>
      <c r="K445" t="s">
        <v>1319</v>
      </c>
      <c r="L445">
        <v>627</v>
      </c>
      <c r="M445" t="s">
        <v>1320</v>
      </c>
    </row>
    <row r="446" spans="1:13">
      <c r="A446" t="s">
        <v>13</v>
      </c>
      <c r="B446">
        <v>436258</v>
      </c>
      <c r="C446">
        <v>437250</v>
      </c>
      <c r="E446" t="s">
        <v>35</v>
      </c>
      <c r="F446" t="s">
        <v>1321</v>
      </c>
      <c r="G446" t="s">
        <v>1322</v>
      </c>
      <c r="H446">
        <v>0</v>
      </c>
      <c r="I446" t="s">
        <v>17</v>
      </c>
      <c r="K446" t="s">
        <v>1323</v>
      </c>
      <c r="L446">
        <v>330</v>
      </c>
      <c r="M446" t="s">
        <v>1324</v>
      </c>
    </row>
    <row r="447" spans="1:13">
      <c r="A447" t="s">
        <v>13</v>
      </c>
      <c r="B447">
        <v>437251</v>
      </c>
      <c r="C447">
        <v>438234</v>
      </c>
      <c r="E447" t="s">
        <v>35</v>
      </c>
      <c r="F447" t="s">
        <v>1325</v>
      </c>
      <c r="G447" t="s">
        <v>1326</v>
      </c>
      <c r="H447">
        <v>0</v>
      </c>
      <c r="I447" t="s">
        <v>17</v>
      </c>
      <c r="K447" t="s">
        <v>1327</v>
      </c>
      <c r="L447">
        <v>327</v>
      </c>
      <c r="M447" t="s">
        <v>1328</v>
      </c>
    </row>
    <row r="448" spans="1:13">
      <c r="A448" t="s">
        <v>13</v>
      </c>
      <c r="B448">
        <v>438582</v>
      </c>
      <c r="C448">
        <v>439280</v>
      </c>
      <c r="E448" t="s">
        <v>14</v>
      </c>
      <c r="F448" t="s">
        <v>28</v>
      </c>
      <c r="H448">
        <v>0</v>
      </c>
      <c r="I448" t="s">
        <v>17</v>
      </c>
      <c r="K448" t="s">
        <v>1329</v>
      </c>
      <c r="L448">
        <v>232</v>
      </c>
      <c r="M448" t="s">
        <v>1330</v>
      </c>
    </row>
    <row r="449" spans="1:13">
      <c r="A449" t="s">
        <v>13</v>
      </c>
      <c r="B449">
        <v>439269</v>
      </c>
      <c r="C449">
        <v>439844</v>
      </c>
      <c r="E449" t="s">
        <v>35</v>
      </c>
      <c r="F449" t="s">
        <v>28</v>
      </c>
      <c r="H449">
        <v>0</v>
      </c>
      <c r="I449" t="s">
        <v>17</v>
      </c>
      <c r="K449" t="s">
        <v>1331</v>
      </c>
      <c r="L449">
        <v>191</v>
      </c>
      <c r="M449" t="s">
        <v>1332</v>
      </c>
    </row>
    <row r="450" spans="1:13">
      <c r="A450" t="s">
        <v>13</v>
      </c>
      <c r="B450">
        <v>439837</v>
      </c>
      <c r="C450">
        <v>440403</v>
      </c>
      <c r="E450" t="s">
        <v>35</v>
      </c>
      <c r="F450" t="s">
        <v>28</v>
      </c>
      <c r="H450">
        <v>0</v>
      </c>
      <c r="I450" t="s">
        <v>17</v>
      </c>
      <c r="K450" t="s">
        <v>1333</v>
      </c>
      <c r="L450">
        <v>188</v>
      </c>
      <c r="M450" t="s">
        <v>1334</v>
      </c>
    </row>
    <row r="451" spans="1:13">
      <c r="A451" t="s">
        <v>13</v>
      </c>
      <c r="B451">
        <v>440396</v>
      </c>
      <c r="C451">
        <v>441559</v>
      </c>
      <c r="E451" t="s">
        <v>35</v>
      </c>
      <c r="F451" t="s">
        <v>28</v>
      </c>
      <c r="H451">
        <v>0</v>
      </c>
      <c r="I451" t="s">
        <v>17</v>
      </c>
      <c r="K451" t="s">
        <v>1335</v>
      </c>
      <c r="L451">
        <v>387</v>
      </c>
      <c r="M451" t="s">
        <v>1336</v>
      </c>
    </row>
    <row r="452" spans="1:13">
      <c r="A452" t="s">
        <v>13</v>
      </c>
      <c r="B452">
        <v>441559</v>
      </c>
      <c r="C452">
        <v>441753</v>
      </c>
      <c r="E452" t="s">
        <v>35</v>
      </c>
      <c r="F452" t="s">
        <v>28</v>
      </c>
      <c r="H452">
        <v>0</v>
      </c>
      <c r="I452" t="s">
        <v>17</v>
      </c>
      <c r="K452" t="s">
        <v>1337</v>
      </c>
      <c r="L452">
        <v>64</v>
      </c>
      <c r="M452" t="s">
        <v>1338</v>
      </c>
    </row>
    <row r="453" spans="1:13">
      <c r="A453" t="s">
        <v>13</v>
      </c>
      <c r="B453">
        <v>441756</v>
      </c>
      <c r="C453">
        <v>442103</v>
      </c>
      <c r="E453" t="s">
        <v>35</v>
      </c>
      <c r="F453" t="s">
        <v>28</v>
      </c>
      <c r="H453">
        <v>0</v>
      </c>
      <c r="I453" t="s">
        <v>17</v>
      </c>
      <c r="K453" t="s">
        <v>1339</v>
      </c>
      <c r="L453">
        <v>115</v>
      </c>
      <c r="M453" t="s">
        <v>1340</v>
      </c>
    </row>
    <row r="454" spans="1:13">
      <c r="A454" t="s">
        <v>13</v>
      </c>
      <c r="B454">
        <v>442109</v>
      </c>
      <c r="C454">
        <v>442588</v>
      </c>
      <c r="E454" t="s">
        <v>35</v>
      </c>
      <c r="F454" t="s">
        <v>1341</v>
      </c>
      <c r="H454">
        <v>0</v>
      </c>
      <c r="I454" t="s">
        <v>17</v>
      </c>
      <c r="K454" t="s">
        <v>1342</v>
      </c>
      <c r="L454">
        <v>159</v>
      </c>
      <c r="M454" t="s">
        <v>1343</v>
      </c>
    </row>
    <row r="455" spans="1:13">
      <c r="A455" t="s">
        <v>13</v>
      </c>
      <c r="B455">
        <v>443300</v>
      </c>
      <c r="C455">
        <v>443605</v>
      </c>
      <c r="E455" t="s">
        <v>14</v>
      </c>
      <c r="F455" t="s">
        <v>1344</v>
      </c>
      <c r="G455" t="s">
        <v>1345</v>
      </c>
      <c r="H455">
        <v>0</v>
      </c>
      <c r="I455" t="s">
        <v>17</v>
      </c>
      <c r="K455" t="s">
        <v>1346</v>
      </c>
      <c r="L455">
        <v>101</v>
      </c>
      <c r="M455" t="s">
        <v>1347</v>
      </c>
    </row>
    <row r="456" spans="1:13">
      <c r="A456" t="s">
        <v>13</v>
      </c>
      <c r="B456">
        <v>443629</v>
      </c>
      <c r="C456">
        <v>444285</v>
      </c>
      <c r="E456" t="s">
        <v>14</v>
      </c>
      <c r="F456" t="s">
        <v>1348</v>
      </c>
      <c r="G456" t="s">
        <v>1349</v>
      </c>
      <c r="H456">
        <v>0</v>
      </c>
      <c r="I456" t="s">
        <v>17</v>
      </c>
      <c r="K456" t="s">
        <v>1350</v>
      </c>
      <c r="L456">
        <v>218</v>
      </c>
      <c r="M456" t="s">
        <v>1351</v>
      </c>
    </row>
    <row r="457" spans="1:13">
      <c r="A457" t="s">
        <v>13</v>
      </c>
      <c r="B457">
        <v>444282</v>
      </c>
      <c r="C457">
        <v>444935</v>
      </c>
      <c r="E457" t="s">
        <v>14</v>
      </c>
      <c r="F457" t="s">
        <v>1352</v>
      </c>
      <c r="G457" t="s">
        <v>1353</v>
      </c>
      <c r="H457">
        <v>0</v>
      </c>
      <c r="I457" t="s">
        <v>17</v>
      </c>
      <c r="K457" t="s">
        <v>1354</v>
      </c>
      <c r="L457">
        <v>217</v>
      </c>
      <c r="M457" t="s">
        <v>1355</v>
      </c>
    </row>
    <row r="458" spans="1:13">
      <c r="A458" t="s">
        <v>13</v>
      </c>
      <c r="B458">
        <v>444935</v>
      </c>
      <c r="C458">
        <v>445237</v>
      </c>
      <c r="E458" t="s">
        <v>14</v>
      </c>
      <c r="F458" t="s">
        <v>1356</v>
      </c>
      <c r="G458" t="s">
        <v>1357</v>
      </c>
      <c r="H458">
        <v>0</v>
      </c>
      <c r="I458" t="s">
        <v>17</v>
      </c>
      <c r="K458" t="s">
        <v>1358</v>
      </c>
      <c r="L458">
        <v>100</v>
      </c>
      <c r="M458" t="s">
        <v>1359</v>
      </c>
    </row>
    <row r="459" spans="1:13">
      <c r="A459" t="s">
        <v>13</v>
      </c>
      <c r="B459">
        <v>445273</v>
      </c>
      <c r="C459">
        <v>446109</v>
      </c>
      <c r="E459" t="s">
        <v>14</v>
      </c>
      <c r="F459" t="s">
        <v>1360</v>
      </c>
      <c r="G459" t="s">
        <v>1361</v>
      </c>
      <c r="H459">
        <v>0</v>
      </c>
      <c r="I459" t="s">
        <v>17</v>
      </c>
      <c r="K459" t="s">
        <v>1362</v>
      </c>
      <c r="L459">
        <v>278</v>
      </c>
      <c r="M459" t="s">
        <v>1363</v>
      </c>
    </row>
    <row r="460" spans="1:13">
      <c r="A460" t="s">
        <v>13</v>
      </c>
      <c r="B460">
        <v>446123</v>
      </c>
      <c r="C460">
        <v>446401</v>
      </c>
      <c r="E460" t="s">
        <v>14</v>
      </c>
      <c r="F460" t="s">
        <v>1364</v>
      </c>
      <c r="G460" t="s">
        <v>1365</v>
      </c>
      <c r="H460">
        <v>0</v>
      </c>
      <c r="I460" t="s">
        <v>17</v>
      </c>
      <c r="K460" t="s">
        <v>1366</v>
      </c>
      <c r="L460">
        <v>92</v>
      </c>
      <c r="M460" t="s">
        <v>1367</v>
      </c>
    </row>
    <row r="461" spans="1:13">
      <c r="A461" t="s">
        <v>13</v>
      </c>
      <c r="B461">
        <v>446405</v>
      </c>
      <c r="C461">
        <v>446767</v>
      </c>
      <c r="E461" t="s">
        <v>14</v>
      </c>
      <c r="F461" t="s">
        <v>1368</v>
      </c>
      <c r="G461" t="s">
        <v>1369</v>
      </c>
      <c r="H461">
        <v>0</v>
      </c>
      <c r="I461" t="s">
        <v>17</v>
      </c>
      <c r="K461" t="s">
        <v>1370</v>
      </c>
      <c r="L461">
        <v>120</v>
      </c>
      <c r="M461" t="s">
        <v>1371</v>
      </c>
    </row>
    <row r="462" spans="1:13">
      <c r="A462" t="s">
        <v>13</v>
      </c>
      <c r="B462">
        <v>446767</v>
      </c>
      <c r="C462">
        <v>447513</v>
      </c>
      <c r="E462" t="s">
        <v>14</v>
      </c>
      <c r="F462" t="s">
        <v>1372</v>
      </c>
      <c r="G462" t="s">
        <v>1373</v>
      </c>
      <c r="H462">
        <v>0</v>
      </c>
      <c r="I462" t="s">
        <v>17</v>
      </c>
      <c r="K462" t="s">
        <v>1374</v>
      </c>
      <c r="L462">
        <v>248</v>
      </c>
      <c r="M462" t="s">
        <v>1375</v>
      </c>
    </row>
    <row r="463" spans="1:13">
      <c r="A463" t="s">
        <v>13</v>
      </c>
      <c r="B463">
        <v>447517</v>
      </c>
      <c r="C463">
        <v>447933</v>
      </c>
      <c r="E463" t="s">
        <v>14</v>
      </c>
      <c r="F463" t="s">
        <v>1376</v>
      </c>
      <c r="G463" t="s">
        <v>1377</v>
      </c>
      <c r="H463">
        <v>0</v>
      </c>
      <c r="I463" t="s">
        <v>17</v>
      </c>
      <c r="K463" t="s">
        <v>1378</v>
      </c>
      <c r="L463">
        <v>138</v>
      </c>
      <c r="M463" t="s">
        <v>1379</v>
      </c>
    </row>
    <row r="464" spans="1:13">
      <c r="A464" t="s">
        <v>13</v>
      </c>
      <c r="B464">
        <v>447933</v>
      </c>
      <c r="C464">
        <v>448163</v>
      </c>
      <c r="E464" t="s">
        <v>14</v>
      </c>
      <c r="F464" t="s">
        <v>1380</v>
      </c>
      <c r="G464" t="s">
        <v>1381</v>
      </c>
      <c r="H464">
        <v>0</v>
      </c>
      <c r="I464" t="s">
        <v>17</v>
      </c>
      <c r="K464" t="s">
        <v>1382</v>
      </c>
      <c r="L464">
        <v>76</v>
      </c>
      <c r="M464" t="s">
        <v>1383</v>
      </c>
    </row>
    <row r="465" spans="1:13">
      <c r="A465" t="s">
        <v>13</v>
      </c>
      <c r="B465">
        <v>448166</v>
      </c>
      <c r="C465">
        <v>448474</v>
      </c>
      <c r="E465" t="s">
        <v>14</v>
      </c>
      <c r="F465" t="s">
        <v>1384</v>
      </c>
      <c r="G465" t="s">
        <v>1385</v>
      </c>
      <c r="H465">
        <v>0</v>
      </c>
      <c r="I465" t="s">
        <v>17</v>
      </c>
      <c r="K465" t="s">
        <v>1386</v>
      </c>
      <c r="L465">
        <v>102</v>
      </c>
      <c r="M465" t="s">
        <v>1387</v>
      </c>
    </row>
    <row r="466" spans="1:13">
      <c r="A466" t="s">
        <v>13</v>
      </c>
      <c r="B466">
        <v>448546</v>
      </c>
      <c r="C466">
        <v>449433</v>
      </c>
      <c r="E466" t="s">
        <v>35</v>
      </c>
      <c r="F466" t="s">
        <v>1388</v>
      </c>
      <c r="G466" t="s">
        <v>1389</v>
      </c>
      <c r="H466">
        <v>0</v>
      </c>
      <c r="I466" t="s">
        <v>17</v>
      </c>
      <c r="K466" t="s">
        <v>1390</v>
      </c>
      <c r="L466">
        <v>295</v>
      </c>
      <c r="M466" t="s">
        <v>1391</v>
      </c>
    </row>
    <row r="467" spans="1:13">
      <c r="A467" t="s">
        <v>13</v>
      </c>
      <c r="B467">
        <v>449468</v>
      </c>
      <c r="C467">
        <v>450418</v>
      </c>
      <c r="E467" t="s">
        <v>14</v>
      </c>
      <c r="F467" t="s">
        <v>1392</v>
      </c>
      <c r="G467" t="s">
        <v>1393</v>
      </c>
      <c r="H467">
        <v>0</v>
      </c>
      <c r="I467" t="s">
        <v>17</v>
      </c>
      <c r="K467" t="s">
        <v>1394</v>
      </c>
      <c r="L467">
        <v>316</v>
      </c>
      <c r="M467" t="s">
        <v>1395</v>
      </c>
    </row>
    <row r="468" spans="1:13">
      <c r="A468" t="s">
        <v>13</v>
      </c>
      <c r="B468">
        <v>450419</v>
      </c>
      <c r="C468">
        <v>451498</v>
      </c>
      <c r="E468" t="s">
        <v>14</v>
      </c>
      <c r="F468" t="s">
        <v>1203</v>
      </c>
      <c r="G468" t="s">
        <v>1396</v>
      </c>
      <c r="H468">
        <v>0</v>
      </c>
      <c r="I468" t="s">
        <v>17</v>
      </c>
      <c r="K468" t="s">
        <v>1397</v>
      </c>
      <c r="L468">
        <v>359</v>
      </c>
      <c r="M468" t="s">
        <v>1398</v>
      </c>
    </row>
    <row r="469" spans="1:13">
      <c r="A469" t="s">
        <v>13</v>
      </c>
      <c r="B469">
        <v>451495</v>
      </c>
      <c r="C469">
        <v>452529</v>
      </c>
      <c r="E469" t="s">
        <v>14</v>
      </c>
      <c r="F469" t="s">
        <v>1399</v>
      </c>
      <c r="G469" t="s">
        <v>1400</v>
      </c>
      <c r="H469">
        <v>0</v>
      </c>
      <c r="I469" t="s">
        <v>17</v>
      </c>
      <c r="K469" t="s">
        <v>1401</v>
      </c>
      <c r="L469">
        <v>344</v>
      </c>
      <c r="M469" t="s">
        <v>1402</v>
      </c>
    </row>
    <row r="470" spans="1:13">
      <c r="A470" t="s">
        <v>13</v>
      </c>
      <c r="B470">
        <v>452611</v>
      </c>
      <c r="C470">
        <v>453438</v>
      </c>
      <c r="E470" t="s">
        <v>14</v>
      </c>
      <c r="F470" t="s">
        <v>1195</v>
      </c>
      <c r="G470" t="s">
        <v>1403</v>
      </c>
      <c r="H470">
        <v>0</v>
      </c>
      <c r="I470" t="s">
        <v>17</v>
      </c>
      <c r="K470" t="s">
        <v>1404</v>
      </c>
      <c r="L470">
        <v>275</v>
      </c>
      <c r="M470" t="s">
        <v>1405</v>
      </c>
    </row>
    <row r="471" spans="1:13">
      <c r="A471" t="s">
        <v>13</v>
      </c>
      <c r="B471">
        <v>453482</v>
      </c>
      <c r="C471">
        <v>453880</v>
      </c>
      <c r="E471" t="s">
        <v>35</v>
      </c>
      <c r="F471" t="s">
        <v>28</v>
      </c>
      <c r="H471">
        <v>0</v>
      </c>
      <c r="I471" t="s">
        <v>17</v>
      </c>
      <c r="K471" t="s">
        <v>1406</v>
      </c>
      <c r="L471">
        <v>132</v>
      </c>
      <c r="M471" t="s">
        <v>1407</v>
      </c>
    </row>
    <row r="472" spans="1:13">
      <c r="A472" t="s">
        <v>13</v>
      </c>
      <c r="B472">
        <v>454122</v>
      </c>
      <c r="C472">
        <v>454610</v>
      </c>
      <c r="E472" t="s">
        <v>35</v>
      </c>
      <c r="F472" t="s">
        <v>28</v>
      </c>
      <c r="H472">
        <v>0</v>
      </c>
      <c r="I472" t="s">
        <v>17</v>
      </c>
      <c r="K472" t="s">
        <v>1408</v>
      </c>
      <c r="L472">
        <v>162</v>
      </c>
      <c r="M472" t="s">
        <v>1409</v>
      </c>
    </row>
    <row r="473" spans="1:13">
      <c r="A473" t="s">
        <v>13</v>
      </c>
      <c r="B473">
        <v>455207</v>
      </c>
      <c r="C473">
        <v>455575</v>
      </c>
      <c r="E473" t="s">
        <v>14</v>
      </c>
      <c r="F473" t="s">
        <v>1410</v>
      </c>
      <c r="G473" t="s">
        <v>1411</v>
      </c>
      <c r="H473">
        <v>0</v>
      </c>
      <c r="I473" t="s">
        <v>17</v>
      </c>
      <c r="K473" t="s">
        <v>1412</v>
      </c>
      <c r="L473">
        <v>122</v>
      </c>
      <c r="M473" t="s">
        <v>1413</v>
      </c>
    </row>
    <row r="474" spans="1:13">
      <c r="A474" t="s">
        <v>13</v>
      </c>
      <c r="B474">
        <v>455580</v>
      </c>
      <c r="C474">
        <v>455894</v>
      </c>
      <c r="E474" t="s">
        <v>14</v>
      </c>
      <c r="F474" t="s">
        <v>1414</v>
      </c>
      <c r="G474" t="s">
        <v>1415</v>
      </c>
      <c r="H474">
        <v>0</v>
      </c>
      <c r="I474" t="s">
        <v>17</v>
      </c>
      <c r="K474" t="s">
        <v>1416</v>
      </c>
      <c r="L474">
        <v>104</v>
      </c>
      <c r="M474" t="s">
        <v>1417</v>
      </c>
    </row>
    <row r="475" spans="1:13">
      <c r="A475" t="s">
        <v>13</v>
      </c>
      <c r="B475">
        <v>455897</v>
      </c>
      <c r="C475">
        <v>456448</v>
      </c>
      <c r="E475" t="s">
        <v>14</v>
      </c>
      <c r="F475" t="s">
        <v>1418</v>
      </c>
      <c r="G475" t="s">
        <v>1419</v>
      </c>
      <c r="H475">
        <v>0</v>
      </c>
      <c r="I475" t="s">
        <v>17</v>
      </c>
      <c r="K475" t="s">
        <v>1420</v>
      </c>
      <c r="L475">
        <v>183</v>
      </c>
      <c r="M475" t="s">
        <v>1421</v>
      </c>
    </row>
    <row r="476" spans="1:13">
      <c r="A476" t="s">
        <v>13</v>
      </c>
      <c r="B476">
        <v>456594</v>
      </c>
      <c r="C476">
        <v>460031</v>
      </c>
      <c r="E476" t="s">
        <v>35</v>
      </c>
      <c r="F476" t="s">
        <v>28</v>
      </c>
      <c r="H476">
        <v>0</v>
      </c>
      <c r="I476" t="s">
        <v>17</v>
      </c>
      <c r="K476" t="s">
        <v>1422</v>
      </c>
      <c r="L476">
        <v>1145</v>
      </c>
      <c r="M476" t="s">
        <v>1423</v>
      </c>
    </row>
    <row r="477" spans="1:13">
      <c r="A477" t="s">
        <v>13</v>
      </c>
      <c r="B477">
        <v>460242</v>
      </c>
      <c r="C477">
        <v>461252</v>
      </c>
      <c r="E477" t="s">
        <v>35</v>
      </c>
      <c r="F477" t="s">
        <v>28</v>
      </c>
      <c r="H477">
        <v>0</v>
      </c>
      <c r="I477" t="s">
        <v>17</v>
      </c>
      <c r="K477" t="s">
        <v>1424</v>
      </c>
      <c r="L477">
        <v>336</v>
      </c>
      <c r="M477" t="s">
        <v>1425</v>
      </c>
    </row>
    <row r="478" spans="1:13">
      <c r="A478" t="s">
        <v>13</v>
      </c>
      <c r="B478">
        <v>461398</v>
      </c>
      <c r="C478">
        <v>462183</v>
      </c>
      <c r="E478" t="s">
        <v>14</v>
      </c>
      <c r="F478" t="s">
        <v>1426</v>
      </c>
      <c r="G478" t="s">
        <v>1427</v>
      </c>
      <c r="H478">
        <v>0</v>
      </c>
      <c r="I478" t="s">
        <v>17</v>
      </c>
      <c r="K478" t="s">
        <v>1428</v>
      </c>
      <c r="L478">
        <v>261</v>
      </c>
      <c r="M478" t="s">
        <v>1429</v>
      </c>
    </row>
    <row r="479" spans="1:13">
      <c r="A479" t="s">
        <v>13</v>
      </c>
      <c r="B479">
        <v>462373</v>
      </c>
      <c r="C479">
        <v>463275</v>
      </c>
      <c r="E479" t="s">
        <v>35</v>
      </c>
      <c r="F479" t="s">
        <v>1430</v>
      </c>
      <c r="G479" t="s">
        <v>1431</v>
      </c>
      <c r="H479">
        <v>0</v>
      </c>
      <c r="I479" t="s">
        <v>17</v>
      </c>
      <c r="K479" t="s">
        <v>1432</v>
      </c>
      <c r="L479">
        <v>300</v>
      </c>
      <c r="M479" t="s">
        <v>1433</v>
      </c>
    </row>
    <row r="480" spans="1:13">
      <c r="A480" t="s">
        <v>13</v>
      </c>
      <c r="B480">
        <v>463310</v>
      </c>
      <c r="C480">
        <v>464200</v>
      </c>
      <c r="E480" t="s">
        <v>35</v>
      </c>
      <c r="F480" t="s">
        <v>1434</v>
      </c>
      <c r="G480" t="s">
        <v>1435</v>
      </c>
      <c r="H480">
        <v>0</v>
      </c>
      <c r="I480" t="s">
        <v>17</v>
      </c>
      <c r="K480" t="s">
        <v>1436</v>
      </c>
      <c r="L480">
        <v>296</v>
      </c>
      <c r="M480" t="s">
        <v>1437</v>
      </c>
    </row>
    <row r="481" spans="1:13">
      <c r="A481" t="s">
        <v>13</v>
      </c>
      <c r="B481">
        <v>464201</v>
      </c>
      <c r="C481">
        <v>465394</v>
      </c>
      <c r="E481" t="s">
        <v>35</v>
      </c>
      <c r="F481" t="s">
        <v>1438</v>
      </c>
      <c r="G481" t="s">
        <v>1439</v>
      </c>
      <c r="H481">
        <v>0</v>
      </c>
      <c r="I481" t="s">
        <v>17</v>
      </c>
      <c r="K481" t="s">
        <v>1440</v>
      </c>
      <c r="L481">
        <v>397</v>
      </c>
      <c r="M481" t="s">
        <v>1441</v>
      </c>
    </row>
    <row r="482" spans="1:13">
      <c r="A482" t="s">
        <v>13</v>
      </c>
      <c r="B482">
        <v>465593</v>
      </c>
      <c r="C482">
        <v>466414</v>
      </c>
      <c r="E482" t="s">
        <v>35</v>
      </c>
      <c r="F482" t="s">
        <v>1442</v>
      </c>
      <c r="H482">
        <v>0</v>
      </c>
      <c r="I482" t="s">
        <v>17</v>
      </c>
      <c r="K482" t="s">
        <v>1443</v>
      </c>
      <c r="L482">
        <v>273</v>
      </c>
      <c r="M482" t="s">
        <v>1444</v>
      </c>
    </row>
    <row r="483" spans="1:13">
      <c r="A483" t="s">
        <v>13</v>
      </c>
      <c r="B483">
        <v>466414</v>
      </c>
      <c r="C483">
        <v>466662</v>
      </c>
      <c r="E483" t="s">
        <v>35</v>
      </c>
      <c r="F483" t="s">
        <v>28</v>
      </c>
      <c r="H483">
        <v>0</v>
      </c>
      <c r="I483" t="s">
        <v>17</v>
      </c>
      <c r="K483" t="s">
        <v>1445</v>
      </c>
      <c r="L483">
        <v>82</v>
      </c>
      <c r="M483" t="s">
        <v>1446</v>
      </c>
    </row>
    <row r="484" spans="1:13">
      <c r="A484" t="s">
        <v>13</v>
      </c>
      <c r="B484">
        <v>467017</v>
      </c>
      <c r="C484">
        <v>467400</v>
      </c>
      <c r="E484" t="s">
        <v>14</v>
      </c>
      <c r="F484" t="s">
        <v>1447</v>
      </c>
      <c r="G484" t="s">
        <v>1448</v>
      </c>
      <c r="H484">
        <v>0</v>
      </c>
      <c r="I484" t="s">
        <v>17</v>
      </c>
      <c r="K484" t="s">
        <v>1449</v>
      </c>
      <c r="L484">
        <v>127</v>
      </c>
      <c r="M484" t="s">
        <v>1450</v>
      </c>
    </row>
    <row r="485" spans="1:13">
      <c r="A485" t="s">
        <v>13</v>
      </c>
      <c r="B485">
        <v>467416</v>
      </c>
      <c r="C485">
        <v>467952</v>
      </c>
      <c r="E485" t="s">
        <v>14</v>
      </c>
      <c r="F485" t="s">
        <v>1451</v>
      </c>
      <c r="G485" t="s">
        <v>1452</v>
      </c>
      <c r="H485">
        <v>0</v>
      </c>
      <c r="I485" t="s">
        <v>17</v>
      </c>
      <c r="K485" t="s">
        <v>1453</v>
      </c>
      <c r="L485">
        <v>178</v>
      </c>
      <c r="M485" t="s">
        <v>1454</v>
      </c>
    </row>
    <row r="486" spans="1:13">
      <c r="A486" t="s">
        <v>13</v>
      </c>
      <c r="B486">
        <v>467956</v>
      </c>
      <c r="C486">
        <v>468357</v>
      </c>
      <c r="E486" t="s">
        <v>14</v>
      </c>
      <c r="F486" t="s">
        <v>1455</v>
      </c>
      <c r="G486" t="s">
        <v>1456</v>
      </c>
      <c r="H486">
        <v>0</v>
      </c>
      <c r="I486" t="s">
        <v>17</v>
      </c>
      <c r="K486" t="s">
        <v>1457</v>
      </c>
      <c r="L486">
        <v>133</v>
      </c>
      <c r="M486" t="s">
        <v>1458</v>
      </c>
    </row>
    <row r="487" spans="1:13">
      <c r="A487" t="s">
        <v>13</v>
      </c>
      <c r="B487">
        <v>468398</v>
      </c>
      <c r="C487">
        <v>469021</v>
      </c>
      <c r="E487" t="s">
        <v>14</v>
      </c>
      <c r="F487" t="s">
        <v>1459</v>
      </c>
      <c r="G487" t="s">
        <v>1460</v>
      </c>
      <c r="H487">
        <v>0</v>
      </c>
      <c r="I487" t="s">
        <v>17</v>
      </c>
      <c r="K487" t="s">
        <v>1461</v>
      </c>
      <c r="L487">
        <v>207</v>
      </c>
      <c r="M487" t="s">
        <v>1462</v>
      </c>
    </row>
    <row r="488" spans="1:13">
      <c r="A488" t="s">
        <v>13</v>
      </c>
      <c r="B488">
        <v>469025</v>
      </c>
      <c r="C488">
        <v>469210</v>
      </c>
      <c r="E488" t="s">
        <v>14</v>
      </c>
      <c r="F488" t="s">
        <v>1463</v>
      </c>
      <c r="G488" t="s">
        <v>1464</v>
      </c>
      <c r="H488">
        <v>0</v>
      </c>
      <c r="I488" t="s">
        <v>17</v>
      </c>
      <c r="K488" t="s">
        <v>1465</v>
      </c>
      <c r="L488">
        <v>61</v>
      </c>
      <c r="M488" t="s">
        <v>1466</v>
      </c>
    </row>
    <row r="489" spans="1:13">
      <c r="A489" t="s">
        <v>13</v>
      </c>
      <c r="B489">
        <v>469214</v>
      </c>
      <c r="C489">
        <v>469660</v>
      </c>
      <c r="E489" t="s">
        <v>14</v>
      </c>
      <c r="F489" t="s">
        <v>1467</v>
      </c>
      <c r="G489" t="s">
        <v>1468</v>
      </c>
      <c r="H489">
        <v>0</v>
      </c>
      <c r="I489" t="s">
        <v>17</v>
      </c>
      <c r="K489" t="s">
        <v>1469</v>
      </c>
      <c r="L489">
        <v>148</v>
      </c>
      <c r="M489" t="s">
        <v>1470</v>
      </c>
    </row>
    <row r="490" spans="1:13">
      <c r="A490" t="s">
        <v>13</v>
      </c>
      <c r="B490">
        <v>469803</v>
      </c>
      <c r="C490">
        <v>469943</v>
      </c>
      <c r="E490" t="s">
        <v>14</v>
      </c>
      <c r="F490" t="s">
        <v>28</v>
      </c>
      <c r="H490">
        <v>0</v>
      </c>
      <c r="I490" t="s">
        <v>17</v>
      </c>
      <c r="K490" t="s">
        <v>1471</v>
      </c>
      <c r="L490">
        <v>46</v>
      </c>
      <c r="M490" t="s">
        <v>1472</v>
      </c>
    </row>
    <row r="491" spans="1:13">
      <c r="A491" t="s">
        <v>13</v>
      </c>
      <c r="B491">
        <v>470051</v>
      </c>
      <c r="C491">
        <v>471553</v>
      </c>
      <c r="E491" t="s">
        <v>35</v>
      </c>
      <c r="F491" t="s">
        <v>1473</v>
      </c>
      <c r="H491">
        <v>0</v>
      </c>
      <c r="I491" t="s">
        <v>17</v>
      </c>
      <c r="K491" t="s">
        <v>1474</v>
      </c>
      <c r="L491">
        <v>500</v>
      </c>
      <c r="M491" t="s">
        <v>1475</v>
      </c>
    </row>
    <row r="492" spans="1:13">
      <c r="A492" t="s">
        <v>13</v>
      </c>
      <c r="B492">
        <v>471565</v>
      </c>
      <c r="C492">
        <v>472872</v>
      </c>
      <c r="E492" t="s">
        <v>35</v>
      </c>
      <c r="F492" t="s">
        <v>1476</v>
      </c>
      <c r="G492" t="s">
        <v>1477</v>
      </c>
      <c r="H492">
        <v>0</v>
      </c>
      <c r="I492" t="s">
        <v>17</v>
      </c>
      <c r="K492" t="s">
        <v>1478</v>
      </c>
      <c r="L492">
        <v>435</v>
      </c>
      <c r="M492" t="s">
        <v>1479</v>
      </c>
    </row>
    <row r="493" spans="1:13">
      <c r="A493" t="s">
        <v>13</v>
      </c>
      <c r="B493">
        <v>473250</v>
      </c>
      <c r="C493">
        <v>474575</v>
      </c>
      <c r="E493" t="s">
        <v>14</v>
      </c>
      <c r="F493" t="s">
        <v>1480</v>
      </c>
      <c r="H493">
        <v>0</v>
      </c>
      <c r="I493" t="s">
        <v>17</v>
      </c>
      <c r="K493" t="s">
        <v>1481</v>
      </c>
      <c r="L493">
        <v>441</v>
      </c>
      <c r="M493" t="s">
        <v>1482</v>
      </c>
    </row>
    <row r="494" spans="1:13">
      <c r="A494" t="s">
        <v>13</v>
      </c>
      <c r="B494">
        <v>474575</v>
      </c>
      <c r="C494">
        <v>475120</v>
      </c>
      <c r="E494" t="s">
        <v>14</v>
      </c>
      <c r="F494" t="s">
        <v>1483</v>
      </c>
      <c r="G494" t="s">
        <v>1484</v>
      </c>
      <c r="H494">
        <v>0</v>
      </c>
      <c r="I494" t="s">
        <v>17</v>
      </c>
      <c r="K494" t="s">
        <v>1485</v>
      </c>
      <c r="L494">
        <v>181</v>
      </c>
      <c r="M494" t="s">
        <v>1486</v>
      </c>
    </row>
    <row r="495" spans="1:13">
      <c r="A495" t="s">
        <v>13</v>
      </c>
      <c r="B495">
        <v>475120</v>
      </c>
      <c r="C495">
        <v>475914</v>
      </c>
      <c r="E495" t="s">
        <v>14</v>
      </c>
      <c r="F495" t="s">
        <v>1487</v>
      </c>
      <c r="G495" t="s">
        <v>1488</v>
      </c>
      <c r="H495">
        <v>0</v>
      </c>
      <c r="I495" t="s">
        <v>17</v>
      </c>
      <c r="K495" t="s">
        <v>1489</v>
      </c>
      <c r="L495">
        <v>264</v>
      </c>
      <c r="M495" t="s">
        <v>1490</v>
      </c>
    </row>
    <row r="496" spans="1:13">
      <c r="A496" t="s">
        <v>13</v>
      </c>
      <c r="B496">
        <v>475994</v>
      </c>
      <c r="C496">
        <v>476785</v>
      </c>
      <c r="E496" t="s">
        <v>14</v>
      </c>
      <c r="F496" t="s">
        <v>28</v>
      </c>
      <c r="H496">
        <v>0</v>
      </c>
      <c r="I496" t="s">
        <v>17</v>
      </c>
      <c r="K496" t="s">
        <v>1491</v>
      </c>
      <c r="L496">
        <v>263</v>
      </c>
      <c r="M496" t="s">
        <v>1492</v>
      </c>
    </row>
    <row r="497" spans="1:13">
      <c r="A497" t="s">
        <v>13</v>
      </c>
      <c r="B497">
        <v>477018</v>
      </c>
      <c r="C497">
        <v>477263</v>
      </c>
      <c r="E497" t="s">
        <v>14</v>
      </c>
      <c r="F497" t="s">
        <v>1493</v>
      </c>
      <c r="G497" t="s">
        <v>1494</v>
      </c>
      <c r="H497">
        <v>0</v>
      </c>
      <c r="I497" t="s">
        <v>17</v>
      </c>
      <c r="K497" t="s">
        <v>1495</v>
      </c>
      <c r="L497">
        <v>81</v>
      </c>
      <c r="M497" t="s">
        <v>1496</v>
      </c>
    </row>
    <row r="498" spans="1:13">
      <c r="A498" t="s">
        <v>13</v>
      </c>
      <c r="B498">
        <v>477446</v>
      </c>
      <c r="C498">
        <v>477814</v>
      </c>
      <c r="E498" t="s">
        <v>14</v>
      </c>
      <c r="F498" t="s">
        <v>1497</v>
      </c>
      <c r="G498" t="s">
        <v>1498</v>
      </c>
      <c r="H498">
        <v>0</v>
      </c>
      <c r="I498" t="s">
        <v>17</v>
      </c>
      <c r="K498" t="s">
        <v>1499</v>
      </c>
      <c r="L498">
        <v>122</v>
      </c>
      <c r="M498" t="s">
        <v>1500</v>
      </c>
    </row>
    <row r="499" spans="1:13">
      <c r="A499" t="s">
        <v>13</v>
      </c>
      <c r="B499">
        <v>477818</v>
      </c>
      <c r="C499">
        <v>478222</v>
      </c>
      <c r="E499" t="s">
        <v>14</v>
      </c>
      <c r="F499" t="s">
        <v>1501</v>
      </c>
      <c r="G499" t="s">
        <v>1502</v>
      </c>
      <c r="H499">
        <v>0</v>
      </c>
      <c r="I499" t="s">
        <v>17</v>
      </c>
      <c r="K499" t="s">
        <v>1503</v>
      </c>
      <c r="L499">
        <v>134</v>
      </c>
      <c r="M499" t="s">
        <v>1504</v>
      </c>
    </row>
    <row r="500" spans="1:13">
      <c r="A500" t="s">
        <v>13</v>
      </c>
      <c r="B500">
        <v>478244</v>
      </c>
      <c r="C500">
        <v>478849</v>
      </c>
      <c r="E500" t="s">
        <v>14</v>
      </c>
      <c r="F500" t="s">
        <v>1505</v>
      </c>
      <c r="G500" t="s">
        <v>1506</v>
      </c>
      <c r="H500">
        <v>0</v>
      </c>
      <c r="I500" t="s">
        <v>17</v>
      </c>
      <c r="K500" t="s">
        <v>1507</v>
      </c>
      <c r="L500">
        <v>201</v>
      </c>
      <c r="M500" t="s">
        <v>1508</v>
      </c>
    </row>
    <row r="501" spans="1:13">
      <c r="A501" t="s">
        <v>13</v>
      </c>
      <c r="B501">
        <v>478964</v>
      </c>
      <c r="C501">
        <v>479974</v>
      </c>
      <c r="E501" t="s">
        <v>14</v>
      </c>
      <c r="F501" t="s">
        <v>1509</v>
      </c>
      <c r="G501" t="s">
        <v>1510</v>
      </c>
      <c r="H501">
        <v>0</v>
      </c>
      <c r="I501" t="s">
        <v>17</v>
      </c>
      <c r="K501" t="s">
        <v>1511</v>
      </c>
      <c r="L501">
        <v>336</v>
      </c>
      <c r="M501" t="s">
        <v>1512</v>
      </c>
    </row>
    <row r="502" spans="1:13">
      <c r="A502" t="s">
        <v>13</v>
      </c>
      <c r="B502">
        <v>480042</v>
      </c>
      <c r="C502">
        <v>480554</v>
      </c>
      <c r="E502" t="s">
        <v>14</v>
      </c>
      <c r="F502" t="s">
        <v>1513</v>
      </c>
      <c r="G502" t="s">
        <v>1514</v>
      </c>
      <c r="H502">
        <v>0</v>
      </c>
      <c r="I502" t="s">
        <v>17</v>
      </c>
      <c r="K502" t="s">
        <v>1515</v>
      </c>
      <c r="L502">
        <v>170</v>
      </c>
      <c r="M502" t="s">
        <v>1516</v>
      </c>
    </row>
    <row r="503" spans="1:13">
      <c r="A503" t="s">
        <v>13</v>
      </c>
      <c r="B503">
        <v>480960</v>
      </c>
      <c r="C503">
        <v>481841</v>
      </c>
      <c r="E503" t="s">
        <v>14</v>
      </c>
      <c r="F503" t="s">
        <v>1517</v>
      </c>
      <c r="G503" t="s">
        <v>1518</v>
      </c>
      <c r="H503">
        <v>0</v>
      </c>
      <c r="I503" t="s">
        <v>17</v>
      </c>
      <c r="K503" t="s">
        <v>1519</v>
      </c>
      <c r="L503">
        <v>293</v>
      </c>
      <c r="M503" t="s">
        <v>1520</v>
      </c>
    </row>
    <row r="504" spans="1:13">
      <c r="A504" t="s">
        <v>13</v>
      </c>
      <c r="B504">
        <v>481935</v>
      </c>
      <c r="C504">
        <v>483218</v>
      </c>
      <c r="E504" t="s">
        <v>14</v>
      </c>
      <c r="F504" t="s">
        <v>1521</v>
      </c>
      <c r="G504" t="s">
        <v>1522</v>
      </c>
      <c r="H504">
        <v>0</v>
      </c>
      <c r="I504" t="s">
        <v>17</v>
      </c>
      <c r="K504" t="s">
        <v>1523</v>
      </c>
      <c r="L504">
        <v>427</v>
      </c>
      <c r="M504" t="s">
        <v>1524</v>
      </c>
    </row>
    <row r="505" spans="1:13">
      <c r="A505" t="s">
        <v>13</v>
      </c>
      <c r="B505">
        <v>483215</v>
      </c>
      <c r="C505">
        <v>484465</v>
      </c>
      <c r="E505" t="s">
        <v>35</v>
      </c>
      <c r="F505" t="s">
        <v>1525</v>
      </c>
      <c r="H505">
        <v>0</v>
      </c>
      <c r="I505" t="s">
        <v>17</v>
      </c>
      <c r="K505" t="s">
        <v>1526</v>
      </c>
      <c r="L505">
        <v>416</v>
      </c>
      <c r="M505" t="s">
        <v>1527</v>
      </c>
    </row>
    <row r="506" spans="1:13">
      <c r="A506" t="s">
        <v>13</v>
      </c>
      <c r="B506">
        <v>484465</v>
      </c>
      <c r="C506">
        <v>485934</v>
      </c>
      <c r="E506" t="s">
        <v>35</v>
      </c>
      <c r="F506" t="s">
        <v>28</v>
      </c>
      <c r="H506">
        <v>0</v>
      </c>
      <c r="I506" t="s">
        <v>17</v>
      </c>
      <c r="K506" t="s">
        <v>1528</v>
      </c>
      <c r="L506">
        <v>489</v>
      </c>
      <c r="M506" t="s">
        <v>1529</v>
      </c>
    </row>
    <row r="507" spans="1:13">
      <c r="A507" t="s">
        <v>13</v>
      </c>
      <c r="B507">
        <v>486066</v>
      </c>
      <c r="C507">
        <v>489755</v>
      </c>
      <c r="E507" t="s">
        <v>14</v>
      </c>
      <c r="F507" t="s">
        <v>1530</v>
      </c>
      <c r="G507" t="s">
        <v>1531</v>
      </c>
      <c r="H507">
        <v>0</v>
      </c>
      <c r="I507" t="s">
        <v>17</v>
      </c>
      <c r="K507" t="s">
        <v>1532</v>
      </c>
      <c r="L507">
        <v>1229</v>
      </c>
      <c r="M507" t="s">
        <v>1533</v>
      </c>
    </row>
    <row r="508" spans="1:13">
      <c r="A508" t="s">
        <v>13</v>
      </c>
      <c r="B508">
        <v>489756</v>
      </c>
      <c r="C508">
        <v>490934</v>
      </c>
      <c r="E508" t="s">
        <v>14</v>
      </c>
      <c r="F508" t="s">
        <v>28</v>
      </c>
      <c r="H508">
        <v>0</v>
      </c>
      <c r="I508" t="s">
        <v>17</v>
      </c>
      <c r="K508" t="s">
        <v>1534</v>
      </c>
      <c r="L508">
        <v>392</v>
      </c>
      <c r="M508" t="s">
        <v>1535</v>
      </c>
    </row>
    <row r="509" spans="1:13">
      <c r="A509" t="s">
        <v>13</v>
      </c>
      <c r="B509">
        <v>491068</v>
      </c>
      <c r="C509">
        <v>491382</v>
      </c>
      <c r="E509" t="s">
        <v>14</v>
      </c>
      <c r="F509" t="s">
        <v>1536</v>
      </c>
      <c r="H509">
        <v>0</v>
      </c>
      <c r="I509" t="s">
        <v>17</v>
      </c>
      <c r="K509" t="s">
        <v>1537</v>
      </c>
      <c r="L509">
        <v>104</v>
      </c>
      <c r="M509" t="s">
        <v>1538</v>
      </c>
    </row>
    <row r="510" spans="1:13">
      <c r="A510" t="s">
        <v>13</v>
      </c>
      <c r="B510">
        <v>491427</v>
      </c>
      <c r="C510">
        <v>491714</v>
      </c>
      <c r="E510" t="s">
        <v>14</v>
      </c>
      <c r="F510" t="s">
        <v>1539</v>
      </c>
      <c r="G510" t="s">
        <v>1540</v>
      </c>
      <c r="H510">
        <v>0</v>
      </c>
      <c r="I510" t="s">
        <v>17</v>
      </c>
      <c r="K510" t="s">
        <v>1541</v>
      </c>
      <c r="L510">
        <v>95</v>
      </c>
      <c r="M510" t="s">
        <v>1542</v>
      </c>
    </row>
    <row r="511" spans="1:13">
      <c r="A511" t="s">
        <v>13</v>
      </c>
      <c r="B511">
        <v>491775</v>
      </c>
      <c r="C511">
        <v>491936</v>
      </c>
      <c r="E511" t="s">
        <v>14</v>
      </c>
      <c r="F511" t="s">
        <v>28</v>
      </c>
      <c r="H511">
        <v>0</v>
      </c>
      <c r="I511" t="s">
        <v>17</v>
      </c>
      <c r="K511" t="s">
        <v>1543</v>
      </c>
      <c r="L511">
        <v>53</v>
      </c>
      <c r="M511" t="s">
        <v>1544</v>
      </c>
    </row>
    <row r="512" spans="1:13">
      <c r="A512" t="s">
        <v>13</v>
      </c>
      <c r="B512">
        <v>491949</v>
      </c>
      <c r="C512">
        <v>492518</v>
      </c>
      <c r="E512" t="s">
        <v>14</v>
      </c>
      <c r="F512" t="s">
        <v>1545</v>
      </c>
      <c r="G512" t="s">
        <v>1546</v>
      </c>
      <c r="H512">
        <v>0</v>
      </c>
      <c r="I512" t="s">
        <v>17</v>
      </c>
      <c r="K512" t="s">
        <v>1547</v>
      </c>
      <c r="L512">
        <v>189</v>
      </c>
      <c r="M512" t="s">
        <v>1548</v>
      </c>
    </row>
    <row r="513" spans="1:13">
      <c r="A513" t="s">
        <v>13</v>
      </c>
      <c r="B513">
        <v>492518</v>
      </c>
      <c r="C513">
        <v>493060</v>
      </c>
      <c r="E513" t="s">
        <v>14</v>
      </c>
      <c r="F513" t="s">
        <v>1549</v>
      </c>
      <c r="G513" t="s">
        <v>1550</v>
      </c>
      <c r="H513">
        <v>0</v>
      </c>
      <c r="I513" t="s">
        <v>17</v>
      </c>
      <c r="K513" t="s">
        <v>1551</v>
      </c>
      <c r="L513">
        <v>180</v>
      </c>
      <c r="M513" t="s">
        <v>1552</v>
      </c>
    </row>
    <row r="514" spans="1:13">
      <c r="A514" t="s">
        <v>13</v>
      </c>
      <c r="B514">
        <v>493387</v>
      </c>
      <c r="C514">
        <v>495312</v>
      </c>
      <c r="E514" t="s">
        <v>35</v>
      </c>
      <c r="F514" t="s">
        <v>1553</v>
      </c>
      <c r="G514" t="s">
        <v>1554</v>
      </c>
      <c r="H514">
        <v>0</v>
      </c>
      <c r="I514" t="s">
        <v>17</v>
      </c>
      <c r="K514" t="s">
        <v>1555</v>
      </c>
      <c r="L514">
        <v>641</v>
      </c>
      <c r="M514" t="s">
        <v>1556</v>
      </c>
    </row>
    <row r="515" spans="1:13">
      <c r="A515" t="s">
        <v>13</v>
      </c>
      <c r="B515">
        <v>495508</v>
      </c>
      <c r="C515">
        <v>496851</v>
      </c>
      <c r="E515" t="s">
        <v>14</v>
      </c>
      <c r="F515" t="s">
        <v>1557</v>
      </c>
      <c r="G515" t="s">
        <v>1558</v>
      </c>
      <c r="H515">
        <v>0</v>
      </c>
      <c r="I515" t="s">
        <v>17</v>
      </c>
      <c r="K515" t="s">
        <v>1559</v>
      </c>
      <c r="L515">
        <v>447</v>
      </c>
      <c r="M515" t="s">
        <v>1560</v>
      </c>
    </row>
    <row r="516" spans="1:13">
      <c r="A516" t="s">
        <v>13</v>
      </c>
      <c r="B516">
        <v>496947</v>
      </c>
      <c r="C516">
        <v>497261</v>
      </c>
      <c r="E516" t="s">
        <v>14</v>
      </c>
      <c r="F516" t="s">
        <v>28</v>
      </c>
      <c r="H516">
        <v>0</v>
      </c>
      <c r="I516" t="s">
        <v>17</v>
      </c>
      <c r="K516" t="s">
        <v>1561</v>
      </c>
      <c r="L516">
        <v>104</v>
      </c>
      <c r="M516" t="s">
        <v>1562</v>
      </c>
    </row>
    <row r="517" spans="1:13">
      <c r="A517" t="s">
        <v>13</v>
      </c>
      <c r="B517">
        <v>497261</v>
      </c>
      <c r="C517">
        <v>499045</v>
      </c>
      <c r="E517" t="s">
        <v>14</v>
      </c>
      <c r="F517" t="s">
        <v>28</v>
      </c>
      <c r="H517">
        <v>0</v>
      </c>
      <c r="I517" t="s">
        <v>17</v>
      </c>
      <c r="K517" t="s">
        <v>1563</v>
      </c>
      <c r="L517">
        <v>594</v>
      </c>
      <c r="M517" t="s">
        <v>1564</v>
      </c>
    </row>
    <row r="518" spans="1:13">
      <c r="A518" t="s">
        <v>13</v>
      </c>
      <c r="B518">
        <v>499045</v>
      </c>
      <c r="C518">
        <v>499323</v>
      </c>
      <c r="E518" t="s">
        <v>14</v>
      </c>
      <c r="F518" t="s">
        <v>28</v>
      </c>
      <c r="H518">
        <v>0</v>
      </c>
      <c r="I518" t="s">
        <v>17</v>
      </c>
      <c r="K518" t="s">
        <v>1565</v>
      </c>
      <c r="L518">
        <v>92</v>
      </c>
      <c r="M518" t="s">
        <v>1566</v>
      </c>
    </row>
    <row r="519" spans="1:13">
      <c r="A519" t="s">
        <v>13</v>
      </c>
      <c r="B519">
        <v>499346</v>
      </c>
      <c r="C519">
        <v>500179</v>
      </c>
      <c r="E519" t="s">
        <v>35</v>
      </c>
      <c r="F519" t="s">
        <v>1567</v>
      </c>
      <c r="H519">
        <v>0</v>
      </c>
      <c r="I519" t="s">
        <v>17</v>
      </c>
      <c r="K519" t="s">
        <v>1568</v>
      </c>
      <c r="L519">
        <v>277</v>
      </c>
      <c r="M519" t="s">
        <v>1569</v>
      </c>
    </row>
    <row r="520" spans="1:13">
      <c r="A520" t="s">
        <v>13</v>
      </c>
      <c r="B520">
        <v>500382</v>
      </c>
      <c r="C520">
        <v>503186</v>
      </c>
      <c r="E520" t="s">
        <v>14</v>
      </c>
      <c r="F520" t="s">
        <v>1570</v>
      </c>
      <c r="H520">
        <v>0</v>
      </c>
      <c r="I520" t="s">
        <v>17</v>
      </c>
      <c r="K520" t="s">
        <v>1571</v>
      </c>
      <c r="L520">
        <v>934</v>
      </c>
      <c r="M520" t="s">
        <v>1572</v>
      </c>
    </row>
    <row r="521" spans="1:13">
      <c r="A521" t="s">
        <v>13</v>
      </c>
      <c r="B521">
        <v>503411</v>
      </c>
      <c r="C521">
        <v>505282</v>
      </c>
      <c r="E521" t="s">
        <v>14</v>
      </c>
      <c r="F521" t="s">
        <v>1573</v>
      </c>
      <c r="G521" t="s">
        <v>1574</v>
      </c>
      <c r="H521">
        <v>0</v>
      </c>
      <c r="I521" t="s">
        <v>17</v>
      </c>
      <c r="K521" t="s">
        <v>1575</v>
      </c>
      <c r="L521">
        <v>623</v>
      </c>
      <c r="M521" t="s">
        <v>1576</v>
      </c>
    </row>
    <row r="522" spans="1:13">
      <c r="A522" t="s">
        <v>13</v>
      </c>
      <c r="B522">
        <v>505395</v>
      </c>
      <c r="C522">
        <v>506492</v>
      </c>
      <c r="E522" t="s">
        <v>14</v>
      </c>
      <c r="F522" t="s">
        <v>1577</v>
      </c>
      <c r="G522" t="s">
        <v>1578</v>
      </c>
      <c r="H522">
        <v>0</v>
      </c>
      <c r="I522" t="s">
        <v>17</v>
      </c>
      <c r="K522" t="s">
        <v>1579</v>
      </c>
      <c r="L522">
        <v>365</v>
      </c>
      <c r="M522" t="s">
        <v>1580</v>
      </c>
    </row>
    <row r="523" spans="1:13">
      <c r="A523" t="s">
        <v>13</v>
      </c>
      <c r="B523">
        <v>506482</v>
      </c>
      <c r="C523">
        <v>506982</v>
      </c>
      <c r="E523" t="s">
        <v>14</v>
      </c>
      <c r="F523" t="s">
        <v>1581</v>
      </c>
      <c r="G523" t="s">
        <v>1582</v>
      </c>
      <c r="H523">
        <v>0</v>
      </c>
      <c r="I523" t="s">
        <v>17</v>
      </c>
      <c r="K523" t="s">
        <v>1583</v>
      </c>
      <c r="L523">
        <v>166</v>
      </c>
      <c r="M523" t="s">
        <v>1584</v>
      </c>
    </row>
    <row r="524" spans="1:13">
      <c r="A524" t="s">
        <v>13</v>
      </c>
      <c r="B524">
        <v>507071</v>
      </c>
      <c r="C524">
        <v>508660</v>
      </c>
      <c r="E524" t="s">
        <v>14</v>
      </c>
      <c r="F524" t="s">
        <v>1585</v>
      </c>
      <c r="G524" t="s">
        <v>1586</v>
      </c>
      <c r="H524">
        <v>0</v>
      </c>
      <c r="I524" t="s">
        <v>17</v>
      </c>
      <c r="K524" t="s">
        <v>1587</v>
      </c>
      <c r="L524">
        <v>529</v>
      </c>
      <c r="M524" t="s">
        <v>1588</v>
      </c>
    </row>
    <row r="525" spans="1:13">
      <c r="A525" t="s">
        <v>13</v>
      </c>
      <c r="B525">
        <v>508835</v>
      </c>
      <c r="C525">
        <v>509344</v>
      </c>
      <c r="E525" t="s">
        <v>14</v>
      </c>
      <c r="F525" t="s">
        <v>28</v>
      </c>
      <c r="H525">
        <v>0</v>
      </c>
      <c r="I525" t="s">
        <v>17</v>
      </c>
      <c r="K525" t="s">
        <v>1589</v>
      </c>
      <c r="L525">
        <v>169</v>
      </c>
      <c r="M525" t="s">
        <v>1590</v>
      </c>
    </row>
    <row r="526" spans="1:13">
      <c r="A526" t="s">
        <v>13</v>
      </c>
      <c r="B526">
        <v>509344</v>
      </c>
      <c r="C526">
        <v>510036</v>
      </c>
      <c r="E526" t="s">
        <v>14</v>
      </c>
      <c r="F526" t="s">
        <v>1591</v>
      </c>
      <c r="G526" t="s">
        <v>1592</v>
      </c>
      <c r="H526">
        <v>0</v>
      </c>
      <c r="I526" t="s">
        <v>17</v>
      </c>
      <c r="K526" t="s">
        <v>1593</v>
      </c>
      <c r="L526">
        <v>230</v>
      </c>
      <c r="M526" t="s">
        <v>1594</v>
      </c>
    </row>
    <row r="527" spans="1:13">
      <c r="A527" t="s">
        <v>13</v>
      </c>
      <c r="B527">
        <v>510033</v>
      </c>
      <c r="C527">
        <v>510554</v>
      </c>
      <c r="E527" t="s">
        <v>14</v>
      </c>
      <c r="F527" t="s">
        <v>1595</v>
      </c>
      <c r="H527">
        <v>0</v>
      </c>
      <c r="I527" t="s">
        <v>17</v>
      </c>
      <c r="K527" t="s">
        <v>1596</v>
      </c>
      <c r="L527">
        <v>173</v>
      </c>
      <c r="M527" t="s">
        <v>1597</v>
      </c>
    </row>
    <row r="528" spans="1:13">
      <c r="A528" t="s">
        <v>13</v>
      </c>
      <c r="B528">
        <v>510554</v>
      </c>
      <c r="C528">
        <v>511597</v>
      </c>
      <c r="E528" t="s">
        <v>14</v>
      </c>
      <c r="F528" t="s">
        <v>1598</v>
      </c>
      <c r="G528" t="s">
        <v>1599</v>
      </c>
      <c r="H528">
        <v>0</v>
      </c>
      <c r="I528" t="s">
        <v>17</v>
      </c>
      <c r="K528" t="s">
        <v>1600</v>
      </c>
      <c r="L528">
        <v>347</v>
      </c>
      <c r="M528" t="s">
        <v>1601</v>
      </c>
    </row>
    <row r="529" spans="1:13">
      <c r="A529" t="s">
        <v>13</v>
      </c>
      <c r="B529">
        <v>511687</v>
      </c>
      <c r="C529">
        <v>512115</v>
      </c>
      <c r="E529" t="s">
        <v>14</v>
      </c>
      <c r="F529" t="s">
        <v>28</v>
      </c>
      <c r="H529">
        <v>0</v>
      </c>
      <c r="I529" t="s">
        <v>17</v>
      </c>
      <c r="K529" t="s">
        <v>1602</v>
      </c>
      <c r="L529">
        <v>142</v>
      </c>
      <c r="M529" t="s">
        <v>1603</v>
      </c>
    </row>
    <row r="530" spans="1:13">
      <c r="A530" t="s">
        <v>13</v>
      </c>
      <c r="B530">
        <v>512127</v>
      </c>
      <c r="C530">
        <v>512762</v>
      </c>
      <c r="E530" t="s">
        <v>35</v>
      </c>
      <c r="F530" t="s">
        <v>1604</v>
      </c>
      <c r="G530" t="s">
        <v>1605</v>
      </c>
      <c r="H530">
        <v>0</v>
      </c>
      <c r="I530" t="s">
        <v>17</v>
      </c>
      <c r="K530" t="s">
        <v>1606</v>
      </c>
      <c r="L530">
        <v>211</v>
      </c>
      <c r="M530" t="s">
        <v>1607</v>
      </c>
    </row>
    <row r="531" spans="1:13">
      <c r="A531" t="s">
        <v>13</v>
      </c>
      <c r="B531">
        <v>512759</v>
      </c>
      <c r="C531">
        <v>513979</v>
      </c>
      <c r="E531" t="s">
        <v>35</v>
      </c>
      <c r="F531" t="s">
        <v>1608</v>
      </c>
      <c r="G531" t="s">
        <v>1609</v>
      </c>
      <c r="H531">
        <v>0</v>
      </c>
      <c r="I531" t="s">
        <v>17</v>
      </c>
      <c r="K531" t="s">
        <v>1610</v>
      </c>
      <c r="L531">
        <v>406</v>
      </c>
      <c r="M531" t="s">
        <v>1611</v>
      </c>
    </row>
    <row r="532" spans="1:13">
      <c r="A532" t="s">
        <v>13</v>
      </c>
      <c r="B532">
        <v>514092</v>
      </c>
      <c r="C532">
        <v>514697</v>
      </c>
      <c r="E532" t="s">
        <v>14</v>
      </c>
      <c r="F532" t="s">
        <v>1612</v>
      </c>
      <c r="G532" t="s">
        <v>1613</v>
      </c>
      <c r="H532">
        <v>0</v>
      </c>
      <c r="I532" t="s">
        <v>17</v>
      </c>
      <c r="K532" t="s">
        <v>1614</v>
      </c>
      <c r="L532">
        <v>201</v>
      </c>
      <c r="M532" t="s">
        <v>1615</v>
      </c>
    </row>
    <row r="533" spans="1:13">
      <c r="A533" t="s">
        <v>13</v>
      </c>
      <c r="B533">
        <v>514681</v>
      </c>
      <c r="C533">
        <v>515940</v>
      </c>
      <c r="E533" t="s">
        <v>14</v>
      </c>
      <c r="F533" t="s">
        <v>1616</v>
      </c>
      <c r="H533">
        <v>0</v>
      </c>
      <c r="I533" t="s">
        <v>17</v>
      </c>
      <c r="K533" t="s">
        <v>1617</v>
      </c>
      <c r="L533">
        <v>419</v>
      </c>
      <c r="M533" t="s">
        <v>1618</v>
      </c>
    </row>
    <row r="534" spans="1:13">
      <c r="A534" t="s">
        <v>13</v>
      </c>
      <c r="B534">
        <v>516047</v>
      </c>
      <c r="C534">
        <v>517288</v>
      </c>
      <c r="E534" t="s">
        <v>14</v>
      </c>
      <c r="F534" t="s">
        <v>28</v>
      </c>
      <c r="H534">
        <v>0</v>
      </c>
      <c r="I534" t="s">
        <v>17</v>
      </c>
      <c r="K534" t="s">
        <v>1619</v>
      </c>
      <c r="L534">
        <v>413</v>
      </c>
      <c r="M534" t="s">
        <v>1620</v>
      </c>
    </row>
    <row r="535" spans="1:13">
      <c r="A535" t="s">
        <v>13</v>
      </c>
      <c r="B535">
        <v>517465</v>
      </c>
      <c r="C535">
        <v>517758</v>
      </c>
      <c r="E535" t="s">
        <v>14</v>
      </c>
      <c r="F535" t="s">
        <v>1621</v>
      </c>
      <c r="G535" t="s">
        <v>1622</v>
      </c>
      <c r="H535">
        <v>0</v>
      </c>
      <c r="I535" t="s">
        <v>17</v>
      </c>
      <c r="K535" t="s">
        <v>1623</v>
      </c>
      <c r="L535">
        <v>97</v>
      </c>
      <c r="M535" t="s">
        <v>1624</v>
      </c>
    </row>
    <row r="536" spans="1:13">
      <c r="A536" t="s">
        <v>13</v>
      </c>
      <c r="B536">
        <v>517768</v>
      </c>
      <c r="C536">
        <v>519393</v>
      </c>
      <c r="E536" t="s">
        <v>14</v>
      </c>
      <c r="F536" t="s">
        <v>1625</v>
      </c>
      <c r="G536" t="s">
        <v>1626</v>
      </c>
      <c r="H536">
        <v>0</v>
      </c>
      <c r="I536" t="s">
        <v>17</v>
      </c>
      <c r="K536" t="s">
        <v>1627</v>
      </c>
      <c r="L536">
        <v>541</v>
      </c>
      <c r="M536" t="s">
        <v>1628</v>
      </c>
    </row>
    <row r="537" spans="1:13">
      <c r="A537" t="s">
        <v>13</v>
      </c>
      <c r="B537">
        <v>519762</v>
      </c>
      <c r="C537">
        <v>520058</v>
      </c>
      <c r="E537" t="s">
        <v>35</v>
      </c>
      <c r="F537" t="s">
        <v>1629</v>
      </c>
      <c r="G537" t="s">
        <v>1630</v>
      </c>
      <c r="H537">
        <v>0</v>
      </c>
      <c r="I537" t="s">
        <v>17</v>
      </c>
      <c r="K537" t="s">
        <v>1631</v>
      </c>
      <c r="L537">
        <v>98</v>
      </c>
      <c r="M537" t="s">
        <v>1632</v>
      </c>
    </row>
    <row r="538" spans="1:13">
      <c r="A538" t="s">
        <v>13</v>
      </c>
      <c r="B538">
        <v>520478</v>
      </c>
      <c r="C538">
        <v>521050</v>
      </c>
      <c r="E538" t="s">
        <v>14</v>
      </c>
      <c r="F538" t="s">
        <v>1633</v>
      </c>
      <c r="G538" t="s">
        <v>1634</v>
      </c>
      <c r="H538">
        <v>0</v>
      </c>
      <c r="I538" t="s">
        <v>17</v>
      </c>
      <c r="K538" t="s">
        <v>1635</v>
      </c>
      <c r="L538">
        <v>190</v>
      </c>
      <c r="M538" t="s">
        <v>1636</v>
      </c>
    </row>
    <row r="539" spans="1:13">
      <c r="A539" t="s">
        <v>13</v>
      </c>
      <c r="B539">
        <v>521116</v>
      </c>
      <c r="C539">
        <v>521874</v>
      </c>
      <c r="E539" t="s">
        <v>14</v>
      </c>
      <c r="F539" t="s">
        <v>28</v>
      </c>
      <c r="H539">
        <v>0</v>
      </c>
      <c r="I539" t="s">
        <v>17</v>
      </c>
      <c r="K539" t="s">
        <v>1637</v>
      </c>
      <c r="L539">
        <v>252</v>
      </c>
      <c r="M539" t="s">
        <v>1638</v>
      </c>
    </row>
    <row r="540" spans="1:13">
      <c r="A540" t="s">
        <v>13</v>
      </c>
      <c r="B540">
        <v>521894</v>
      </c>
      <c r="C540">
        <v>522265</v>
      </c>
      <c r="E540" t="s">
        <v>35</v>
      </c>
      <c r="F540" t="s">
        <v>28</v>
      </c>
      <c r="H540">
        <v>0</v>
      </c>
      <c r="I540" t="s">
        <v>17</v>
      </c>
      <c r="K540" t="s">
        <v>1639</v>
      </c>
      <c r="L540">
        <v>123</v>
      </c>
      <c r="M540" t="s">
        <v>1640</v>
      </c>
    </row>
    <row r="541" spans="1:13">
      <c r="A541" t="s">
        <v>13</v>
      </c>
      <c r="B541">
        <v>522386</v>
      </c>
      <c r="C541">
        <v>523906</v>
      </c>
      <c r="E541" t="s">
        <v>14</v>
      </c>
      <c r="F541" t="s">
        <v>1641</v>
      </c>
      <c r="G541" t="s">
        <v>1642</v>
      </c>
      <c r="H541">
        <v>0</v>
      </c>
      <c r="I541" t="s">
        <v>17</v>
      </c>
      <c r="K541" t="s">
        <v>1643</v>
      </c>
      <c r="L541">
        <v>506</v>
      </c>
      <c r="M541" t="s">
        <v>1644</v>
      </c>
    </row>
    <row r="542" spans="1:13">
      <c r="A542" t="s">
        <v>13</v>
      </c>
      <c r="B542">
        <v>523914</v>
      </c>
      <c r="C542">
        <v>525065</v>
      </c>
      <c r="E542" t="s">
        <v>14</v>
      </c>
      <c r="F542" t="s">
        <v>1645</v>
      </c>
      <c r="H542">
        <v>0</v>
      </c>
      <c r="I542" t="s">
        <v>17</v>
      </c>
      <c r="K542" t="s">
        <v>1646</v>
      </c>
      <c r="L542">
        <v>383</v>
      </c>
      <c r="M542" t="s">
        <v>1647</v>
      </c>
    </row>
    <row r="543" spans="1:13">
      <c r="A543" t="s">
        <v>13</v>
      </c>
      <c r="B543">
        <v>525320</v>
      </c>
      <c r="C543">
        <v>526894</v>
      </c>
      <c r="E543" t="s">
        <v>14</v>
      </c>
      <c r="F543" t="s">
        <v>1648</v>
      </c>
      <c r="G543" t="s">
        <v>1649</v>
      </c>
      <c r="H543">
        <v>0</v>
      </c>
      <c r="I543" t="s">
        <v>17</v>
      </c>
      <c r="K543" t="s">
        <v>1650</v>
      </c>
      <c r="L543">
        <v>524</v>
      </c>
      <c r="M543" t="s">
        <v>1651</v>
      </c>
    </row>
    <row r="544" spans="1:13">
      <c r="A544" t="s">
        <v>13</v>
      </c>
      <c r="B544">
        <v>526958</v>
      </c>
      <c r="C544">
        <v>528052</v>
      </c>
      <c r="E544" t="s">
        <v>35</v>
      </c>
      <c r="F544" t="s">
        <v>28</v>
      </c>
      <c r="H544">
        <v>0</v>
      </c>
      <c r="I544" t="s">
        <v>17</v>
      </c>
      <c r="K544" t="s">
        <v>1652</v>
      </c>
      <c r="L544">
        <v>364</v>
      </c>
      <c r="M544" t="s">
        <v>1653</v>
      </c>
    </row>
    <row r="545" spans="1:13">
      <c r="A545" t="s">
        <v>13</v>
      </c>
      <c r="B545">
        <v>528160</v>
      </c>
      <c r="C545">
        <v>528579</v>
      </c>
      <c r="E545" t="s">
        <v>35</v>
      </c>
      <c r="F545" t="s">
        <v>28</v>
      </c>
      <c r="H545">
        <v>0</v>
      </c>
      <c r="I545" t="s">
        <v>17</v>
      </c>
      <c r="K545" t="s">
        <v>1654</v>
      </c>
      <c r="L545">
        <v>139</v>
      </c>
      <c r="M545" t="s">
        <v>1655</v>
      </c>
    </row>
    <row r="546" spans="1:13">
      <c r="A546" t="s">
        <v>13</v>
      </c>
      <c r="B546">
        <v>528644</v>
      </c>
      <c r="C546">
        <v>529306</v>
      </c>
      <c r="E546" t="s">
        <v>14</v>
      </c>
      <c r="F546" t="s">
        <v>28</v>
      </c>
      <c r="H546">
        <v>0</v>
      </c>
      <c r="I546" t="s">
        <v>17</v>
      </c>
      <c r="K546" t="s">
        <v>1656</v>
      </c>
      <c r="L546">
        <v>220</v>
      </c>
      <c r="M546" t="s">
        <v>1657</v>
      </c>
    </row>
    <row r="547" spans="1:13">
      <c r="A547" t="s">
        <v>13</v>
      </c>
      <c r="B547">
        <v>529303</v>
      </c>
      <c r="C547">
        <v>530835</v>
      </c>
      <c r="E547" t="s">
        <v>14</v>
      </c>
      <c r="F547" t="s">
        <v>1658</v>
      </c>
      <c r="H547">
        <v>0</v>
      </c>
      <c r="I547" t="s">
        <v>17</v>
      </c>
      <c r="K547" t="s">
        <v>1659</v>
      </c>
      <c r="L547">
        <v>510</v>
      </c>
      <c r="M547" t="s">
        <v>1660</v>
      </c>
    </row>
    <row r="548" spans="1:13">
      <c r="A548" t="s">
        <v>13</v>
      </c>
      <c r="B548">
        <v>530832</v>
      </c>
      <c r="C548">
        <v>531389</v>
      </c>
      <c r="E548" t="s">
        <v>35</v>
      </c>
      <c r="F548" t="s">
        <v>28</v>
      </c>
      <c r="H548">
        <v>0</v>
      </c>
      <c r="I548" t="s">
        <v>17</v>
      </c>
      <c r="K548" t="s">
        <v>1661</v>
      </c>
      <c r="L548">
        <v>185</v>
      </c>
      <c r="M548" t="s">
        <v>1662</v>
      </c>
    </row>
    <row r="549" spans="1:13">
      <c r="A549" t="s">
        <v>13</v>
      </c>
      <c r="B549">
        <v>531500</v>
      </c>
      <c r="C549">
        <v>532372</v>
      </c>
      <c r="E549" t="s">
        <v>14</v>
      </c>
      <c r="F549" t="s">
        <v>1663</v>
      </c>
      <c r="H549">
        <v>0</v>
      </c>
      <c r="I549" t="s">
        <v>17</v>
      </c>
      <c r="K549" t="s">
        <v>1664</v>
      </c>
      <c r="L549">
        <v>290</v>
      </c>
      <c r="M549" t="s">
        <v>1665</v>
      </c>
    </row>
    <row r="550" spans="1:13">
      <c r="A550" t="s">
        <v>13</v>
      </c>
      <c r="B550">
        <v>532359</v>
      </c>
      <c r="C550">
        <v>533039</v>
      </c>
      <c r="E550" t="s">
        <v>35</v>
      </c>
      <c r="F550" t="s">
        <v>1666</v>
      </c>
      <c r="G550" t="s">
        <v>1667</v>
      </c>
      <c r="H550">
        <v>0</v>
      </c>
      <c r="I550" t="s">
        <v>17</v>
      </c>
      <c r="K550" t="s">
        <v>1668</v>
      </c>
      <c r="L550">
        <v>226</v>
      </c>
      <c r="M550" t="s">
        <v>1669</v>
      </c>
    </row>
    <row r="551" spans="1:13">
      <c r="A551" t="s">
        <v>13</v>
      </c>
      <c r="B551">
        <v>533036</v>
      </c>
      <c r="C551">
        <v>534073</v>
      </c>
      <c r="E551" t="s">
        <v>35</v>
      </c>
      <c r="F551" t="s">
        <v>1670</v>
      </c>
      <c r="G551" t="s">
        <v>1671</v>
      </c>
      <c r="H551">
        <v>0</v>
      </c>
      <c r="I551" t="s">
        <v>17</v>
      </c>
      <c r="K551" t="s">
        <v>1672</v>
      </c>
      <c r="L551">
        <v>345</v>
      </c>
      <c r="M551" t="s">
        <v>1673</v>
      </c>
    </row>
    <row r="552" spans="1:13">
      <c r="A552" t="s">
        <v>13</v>
      </c>
      <c r="B552">
        <v>534146</v>
      </c>
      <c r="C552">
        <v>535009</v>
      </c>
      <c r="E552" t="s">
        <v>35</v>
      </c>
      <c r="F552" t="s">
        <v>1674</v>
      </c>
      <c r="G552" t="s">
        <v>1675</v>
      </c>
      <c r="H552">
        <v>0</v>
      </c>
      <c r="I552" t="s">
        <v>17</v>
      </c>
      <c r="K552" t="s">
        <v>1676</v>
      </c>
      <c r="L552">
        <v>287</v>
      </c>
      <c r="M552" t="s">
        <v>1677</v>
      </c>
    </row>
    <row r="553" spans="1:13">
      <c r="A553" t="s">
        <v>13</v>
      </c>
      <c r="B553">
        <v>535146</v>
      </c>
      <c r="C553">
        <v>538265</v>
      </c>
      <c r="E553" t="s">
        <v>14</v>
      </c>
      <c r="F553" t="s">
        <v>1678</v>
      </c>
      <c r="G553" t="s">
        <v>1679</v>
      </c>
      <c r="H553">
        <v>0</v>
      </c>
      <c r="I553" t="s">
        <v>17</v>
      </c>
      <c r="K553" t="s">
        <v>1680</v>
      </c>
      <c r="L553">
        <v>1039</v>
      </c>
      <c r="M553" t="s">
        <v>1681</v>
      </c>
    </row>
    <row r="554" spans="1:13">
      <c r="A554" t="s">
        <v>13</v>
      </c>
      <c r="B554">
        <v>538430</v>
      </c>
      <c r="C554">
        <v>538648</v>
      </c>
      <c r="E554" t="s">
        <v>35</v>
      </c>
      <c r="F554" t="s">
        <v>28</v>
      </c>
      <c r="H554">
        <v>0</v>
      </c>
      <c r="I554" t="s">
        <v>17</v>
      </c>
      <c r="K554" t="s">
        <v>1682</v>
      </c>
      <c r="L554">
        <v>72</v>
      </c>
      <c r="M554" t="s">
        <v>1683</v>
      </c>
    </row>
    <row r="555" spans="1:13">
      <c r="A555" t="s">
        <v>13</v>
      </c>
      <c r="B555">
        <v>538641</v>
      </c>
      <c r="C555">
        <v>539189</v>
      </c>
      <c r="E555" t="s">
        <v>35</v>
      </c>
      <c r="F555" t="s">
        <v>28</v>
      </c>
      <c r="H555">
        <v>0</v>
      </c>
      <c r="I555" t="s">
        <v>17</v>
      </c>
      <c r="K555" t="s">
        <v>1684</v>
      </c>
      <c r="L555">
        <v>182</v>
      </c>
      <c r="M555" t="s">
        <v>1685</v>
      </c>
    </row>
    <row r="556" spans="1:13">
      <c r="A556" t="s">
        <v>13</v>
      </c>
      <c r="B556">
        <v>539314</v>
      </c>
      <c r="C556">
        <v>539763</v>
      </c>
      <c r="E556" t="s">
        <v>14</v>
      </c>
      <c r="F556" t="s">
        <v>1686</v>
      </c>
      <c r="H556">
        <v>0</v>
      </c>
      <c r="I556" t="s">
        <v>17</v>
      </c>
      <c r="K556" t="s">
        <v>1687</v>
      </c>
      <c r="L556">
        <v>149</v>
      </c>
      <c r="M556" t="s">
        <v>1688</v>
      </c>
    </row>
    <row r="557" spans="1:13">
      <c r="A557" t="s">
        <v>13</v>
      </c>
      <c r="B557">
        <v>539760</v>
      </c>
      <c r="C557">
        <v>541064</v>
      </c>
      <c r="E557" t="s">
        <v>14</v>
      </c>
      <c r="F557" t="s">
        <v>1686</v>
      </c>
      <c r="H557">
        <v>0</v>
      </c>
      <c r="I557" t="s">
        <v>17</v>
      </c>
      <c r="K557" t="s">
        <v>1689</v>
      </c>
      <c r="L557">
        <v>434</v>
      </c>
      <c r="M557" t="s">
        <v>1690</v>
      </c>
    </row>
    <row r="558" spans="1:13">
      <c r="A558" t="s">
        <v>13</v>
      </c>
      <c r="B558">
        <v>541048</v>
      </c>
      <c r="C558">
        <v>541518</v>
      </c>
      <c r="E558" t="s">
        <v>35</v>
      </c>
      <c r="F558" t="s">
        <v>1691</v>
      </c>
      <c r="G558" t="s">
        <v>1692</v>
      </c>
      <c r="H558">
        <v>0</v>
      </c>
      <c r="I558" t="s">
        <v>17</v>
      </c>
      <c r="K558" t="s">
        <v>1693</v>
      </c>
      <c r="L558">
        <v>156</v>
      </c>
      <c r="M558" t="s">
        <v>1694</v>
      </c>
    </row>
    <row r="559" spans="1:13">
      <c r="A559" t="s">
        <v>13</v>
      </c>
      <c r="B559">
        <v>541542</v>
      </c>
      <c r="C559">
        <v>542390</v>
      </c>
      <c r="E559" t="s">
        <v>14</v>
      </c>
      <c r="F559" t="s">
        <v>1695</v>
      </c>
      <c r="G559" t="s">
        <v>1696</v>
      </c>
      <c r="H559">
        <v>0</v>
      </c>
      <c r="I559" t="s">
        <v>17</v>
      </c>
      <c r="K559" t="s">
        <v>1697</v>
      </c>
      <c r="L559">
        <v>282</v>
      </c>
      <c r="M559" t="s">
        <v>1698</v>
      </c>
    </row>
    <row r="560" spans="1:13">
      <c r="A560" t="s">
        <v>13</v>
      </c>
      <c r="B560">
        <v>542387</v>
      </c>
      <c r="C560">
        <v>542701</v>
      </c>
      <c r="E560" t="s">
        <v>14</v>
      </c>
      <c r="F560" t="s">
        <v>28</v>
      </c>
      <c r="H560">
        <v>0</v>
      </c>
      <c r="I560" t="s">
        <v>17</v>
      </c>
      <c r="K560" t="s">
        <v>1699</v>
      </c>
      <c r="L560">
        <v>104</v>
      </c>
      <c r="M560" t="s">
        <v>1700</v>
      </c>
    </row>
    <row r="561" spans="1:13">
      <c r="A561" t="s">
        <v>13</v>
      </c>
      <c r="B561">
        <v>542817</v>
      </c>
      <c r="C561">
        <v>543785</v>
      </c>
      <c r="E561" t="s">
        <v>14</v>
      </c>
      <c r="F561" t="s">
        <v>28</v>
      </c>
      <c r="H561">
        <v>0</v>
      </c>
      <c r="I561" t="s">
        <v>17</v>
      </c>
      <c r="K561" t="s">
        <v>1701</v>
      </c>
      <c r="L561">
        <v>322</v>
      </c>
      <c r="M561" t="s">
        <v>1702</v>
      </c>
    </row>
    <row r="562" spans="1:13">
      <c r="A562" t="s">
        <v>13</v>
      </c>
      <c r="B562">
        <v>544013</v>
      </c>
      <c r="C562">
        <v>545119</v>
      </c>
      <c r="E562" t="s">
        <v>35</v>
      </c>
      <c r="F562" t="s">
        <v>1703</v>
      </c>
      <c r="G562" t="s">
        <v>1704</v>
      </c>
      <c r="H562">
        <v>0</v>
      </c>
      <c r="I562" t="s">
        <v>17</v>
      </c>
      <c r="K562" t="s">
        <v>1705</v>
      </c>
      <c r="L562">
        <v>368</v>
      </c>
      <c r="M562" t="s">
        <v>1706</v>
      </c>
    </row>
    <row r="563" spans="1:13">
      <c r="A563" t="s">
        <v>13</v>
      </c>
      <c r="B563">
        <v>545116</v>
      </c>
      <c r="C563">
        <v>546432</v>
      </c>
      <c r="E563" t="s">
        <v>35</v>
      </c>
      <c r="F563" t="s">
        <v>1707</v>
      </c>
      <c r="G563" t="s">
        <v>1708</v>
      </c>
      <c r="H563">
        <v>0</v>
      </c>
      <c r="I563" t="s">
        <v>17</v>
      </c>
      <c r="K563" t="s">
        <v>1709</v>
      </c>
      <c r="L563">
        <v>438</v>
      </c>
      <c r="M563" t="s">
        <v>1710</v>
      </c>
    </row>
    <row r="564" spans="1:13">
      <c r="A564" t="s">
        <v>13</v>
      </c>
      <c r="B564">
        <v>546515</v>
      </c>
      <c r="C564">
        <v>547096</v>
      </c>
      <c r="E564" t="s">
        <v>35</v>
      </c>
      <c r="F564" t="s">
        <v>1711</v>
      </c>
      <c r="H564">
        <v>0</v>
      </c>
      <c r="I564" t="s">
        <v>17</v>
      </c>
      <c r="K564" t="s">
        <v>1712</v>
      </c>
      <c r="L564">
        <v>193</v>
      </c>
      <c r="M564" t="s">
        <v>1713</v>
      </c>
    </row>
    <row r="565" spans="1:13">
      <c r="A565" t="s">
        <v>13</v>
      </c>
      <c r="B565">
        <v>547107</v>
      </c>
      <c r="C565">
        <v>548675</v>
      </c>
      <c r="E565" t="s">
        <v>35</v>
      </c>
      <c r="F565" t="s">
        <v>1714</v>
      </c>
      <c r="G565" t="s">
        <v>1715</v>
      </c>
      <c r="H565">
        <v>0</v>
      </c>
      <c r="I565" t="s">
        <v>17</v>
      </c>
      <c r="K565" t="s">
        <v>1716</v>
      </c>
      <c r="L565">
        <v>522</v>
      </c>
      <c r="M565" t="s">
        <v>1717</v>
      </c>
    </row>
    <row r="566" spans="1:13">
      <c r="A566" t="s">
        <v>13</v>
      </c>
      <c r="B566">
        <v>548838</v>
      </c>
      <c r="C566">
        <v>549047</v>
      </c>
      <c r="E566" t="s">
        <v>14</v>
      </c>
      <c r="F566" t="s">
        <v>28</v>
      </c>
      <c r="H566">
        <v>0</v>
      </c>
      <c r="I566" t="s">
        <v>17</v>
      </c>
      <c r="K566" t="s">
        <v>1718</v>
      </c>
      <c r="L566">
        <v>69</v>
      </c>
      <c r="M566" t="s">
        <v>1719</v>
      </c>
    </row>
    <row r="567" spans="1:13">
      <c r="A567" t="s">
        <v>13</v>
      </c>
      <c r="B567">
        <v>549093</v>
      </c>
      <c r="C567">
        <v>549665</v>
      </c>
      <c r="E567" t="s">
        <v>14</v>
      </c>
      <c r="F567" t="s">
        <v>1720</v>
      </c>
      <c r="G567" t="s">
        <v>1721</v>
      </c>
      <c r="H567">
        <v>0</v>
      </c>
      <c r="I567" t="s">
        <v>17</v>
      </c>
      <c r="K567" t="s">
        <v>1722</v>
      </c>
      <c r="L567">
        <v>190</v>
      </c>
      <c r="M567" t="s">
        <v>1723</v>
      </c>
    </row>
    <row r="568" spans="1:13">
      <c r="A568" t="s">
        <v>13</v>
      </c>
      <c r="B568">
        <v>549662</v>
      </c>
      <c r="C568">
        <v>550273</v>
      </c>
      <c r="E568" t="s">
        <v>14</v>
      </c>
      <c r="F568" t="s">
        <v>1724</v>
      </c>
      <c r="H568">
        <v>0</v>
      </c>
      <c r="I568" t="s">
        <v>17</v>
      </c>
      <c r="K568" t="s">
        <v>1725</v>
      </c>
      <c r="L568">
        <v>203</v>
      </c>
      <c r="M568" t="s">
        <v>1726</v>
      </c>
    </row>
    <row r="569" spans="1:13">
      <c r="A569" t="s">
        <v>13</v>
      </c>
      <c r="B569">
        <v>550270</v>
      </c>
      <c r="C569">
        <v>550494</v>
      </c>
      <c r="E569" t="s">
        <v>35</v>
      </c>
      <c r="F569" t="s">
        <v>28</v>
      </c>
      <c r="H569">
        <v>0</v>
      </c>
      <c r="I569" t="s">
        <v>17</v>
      </c>
      <c r="K569" t="s">
        <v>1727</v>
      </c>
      <c r="L569">
        <v>74</v>
      </c>
      <c r="M569" t="s">
        <v>1728</v>
      </c>
    </row>
    <row r="570" spans="1:13">
      <c r="A570" t="s">
        <v>13</v>
      </c>
      <c r="B570">
        <v>550716</v>
      </c>
      <c r="C570">
        <v>553280</v>
      </c>
      <c r="E570" t="s">
        <v>14</v>
      </c>
      <c r="F570" t="s">
        <v>1729</v>
      </c>
      <c r="G570" t="s">
        <v>1730</v>
      </c>
      <c r="H570">
        <v>0</v>
      </c>
      <c r="I570" t="s">
        <v>17</v>
      </c>
      <c r="K570" t="s">
        <v>1731</v>
      </c>
      <c r="L570">
        <v>854</v>
      </c>
      <c r="M570" t="s">
        <v>1732</v>
      </c>
    </row>
    <row r="571" spans="1:13">
      <c r="A571" t="s">
        <v>13</v>
      </c>
      <c r="B571">
        <v>553280</v>
      </c>
      <c r="C571">
        <v>553924</v>
      </c>
      <c r="E571" t="s">
        <v>14</v>
      </c>
      <c r="F571" t="s">
        <v>28</v>
      </c>
      <c r="H571">
        <v>0</v>
      </c>
      <c r="I571" t="s">
        <v>17</v>
      </c>
      <c r="K571" t="s">
        <v>1733</v>
      </c>
      <c r="L571">
        <v>214</v>
      </c>
      <c r="M571" t="s">
        <v>1734</v>
      </c>
    </row>
    <row r="572" spans="1:13">
      <c r="A572" t="s">
        <v>13</v>
      </c>
      <c r="B572">
        <v>553925</v>
      </c>
      <c r="C572">
        <v>554761</v>
      </c>
      <c r="E572" t="s">
        <v>14</v>
      </c>
      <c r="F572" t="s">
        <v>1735</v>
      </c>
      <c r="G572" t="s">
        <v>1736</v>
      </c>
      <c r="H572">
        <v>0</v>
      </c>
      <c r="I572" t="s">
        <v>17</v>
      </c>
      <c r="K572" t="s">
        <v>1737</v>
      </c>
      <c r="L572">
        <v>278</v>
      </c>
      <c r="M572" t="s">
        <v>1738</v>
      </c>
    </row>
    <row r="573" spans="1:13">
      <c r="A573" t="s">
        <v>13</v>
      </c>
      <c r="B573">
        <v>554766</v>
      </c>
      <c r="C573">
        <v>554963</v>
      </c>
      <c r="E573" t="s">
        <v>35</v>
      </c>
      <c r="F573" t="s">
        <v>28</v>
      </c>
      <c r="H573">
        <v>0</v>
      </c>
      <c r="I573" t="s">
        <v>17</v>
      </c>
      <c r="K573" t="s">
        <v>1739</v>
      </c>
      <c r="L573">
        <v>65</v>
      </c>
      <c r="M573" t="s">
        <v>1740</v>
      </c>
    </row>
    <row r="574" spans="1:13">
      <c r="A574" t="s">
        <v>13</v>
      </c>
      <c r="B574">
        <v>555001</v>
      </c>
      <c r="C574">
        <v>556317</v>
      </c>
      <c r="E574" t="s">
        <v>35</v>
      </c>
      <c r="F574" t="s">
        <v>1741</v>
      </c>
      <c r="G574" t="s">
        <v>1742</v>
      </c>
      <c r="H574">
        <v>0</v>
      </c>
      <c r="I574" t="s">
        <v>17</v>
      </c>
      <c r="K574" t="s">
        <v>1743</v>
      </c>
      <c r="L574">
        <v>438</v>
      </c>
      <c r="M574" t="s">
        <v>1744</v>
      </c>
    </row>
    <row r="575" spans="1:13">
      <c r="A575" t="s">
        <v>13</v>
      </c>
      <c r="B575">
        <v>556399</v>
      </c>
      <c r="C575">
        <v>557286</v>
      </c>
      <c r="E575" t="s">
        <v>14</v>
      </c>
      <c r="F575" t="s">
        <v>1745</v>
      </c>
      <c r="G575" t="s">
        <v>1746</v>
      </c>
      <c r="H575">
        <v>0</v>
      </c>
      <c r="I575" t="s">
        <v>17</v>
      </c>
      <c r="K575" t="s">
        <v>1747</v>
      </c>
      <c r="L575">
        <v>295</v>
      </c>
      <c r="M575" t="s">
        <v>1748</v>
      </c>
    </row>
    <row r="576" spans="1:13">
      <c r="A576" t="s">
        <v>13</v>
      </c>
      <c r="B576">
        <v>557237</v>
      </c>
      <c r="C576">
        <v>557905</v>
      </c>
      <c r="E576" t="s">
        <v>14</v>
      </c>
      <c r="F576" t="s">
        <v>1749</v>
      </c>
      <c r="G576" t="s">
        <v>1750</v>
      </c>
      <c r="H576">
        <v>0</v>
      </c>
      <c r="I576" t="s">
        <v>17</v>
      </c>
      <c r="K576" t="s">
        <v>1751</v>
      </c>
      <c r="L576">
        <v>222</v>
      </c>
      <c r="M576" t="s">
        <v>1752</v>
      </c>
    </row>
    <row r="577" spans="1:13">
      <c r="A577" t="s">
        <v>13</v>
      </c>
      <c r="B577">
        <v>557902</v>
      </c>
      <c r="C577">
        <v>558540</v>
      </c>
      <c r="E577" t="s">
        <v>35</v>
      </c>
      <c r="F577" t="s">
        <v>1753</v>
      </c>
      <c r="G577" t="s">
        <v>1754</v>
      </c>
      <c r="H577">
        <v>0</v>
      </c>
      <c r="I577" t="s">
        <v>17</v>
      </c>
      <c r="K577" t="s">
        <v>1755</v>
      </c>
      <c r="L577">
        <v>212</v>
      </c>
      <c r="M577" t="s">
        <v>1756</v>
      </c>
    </row>
    <row r="578" spans="1:13">
      <c r="A578" t="s">
        <v>13</v>
      </c>
      <c r="B578">
        <v>558585</v>
      </c>
      <c r="C578">
        <v>559970</v>
      </c>
      <c r="E578" t="s">
        <v>35</v>
      </c>
      <c r="F578" t="s">
        <v>1753</v>
      </c>
      <c r="G578" t="s">
        <v>1757</v>
      </c>
      <c r="H578">
        <v>0</v>
      </c>
      <c r="I578" t="s">
        <v>17</v>
      </c>
      <c r="K578" t="s">
        <v>1758</v>
      </c>
      <c r="L578">
        <v>461</v>
      </c>
      <c r="M578" t="s">
        <v>1759</v>
      </c>
    </row>
    <row r="579" spans="1:13">
      <c r="A579" t="s">
        <v>13</v>
      </c>
      <c r="B579">
        <v>560026</v>
      </c>
      <c r="C579">
        <v>561447</v>
      </c>
      <c r="E579" t="s">
        <v>35</v>
      </c>
      <c r="F579" t="s">
        <v>28</v>
      </c>
      <c r="H579">
        <v>0</v>
      </c>
      <c r="I579" t="s">
        <v>17</v>
      </c>
      <c r="K579" t="s">
        <v>1760</v>
      </c>
      <c r="L579">
        <v>473</v>
      </c>
      <c r="M579" t="s">
        <v>1761</v>
      </c>
    </row>
    <row r="580" spans="1:13">
      <c r="A580" t="s">
        <v>13</v>
      </c>
      <c r="B580">
        <v>562046</v>
      </c>
      <c r="C580">
        <v>564259</v>
      </c>
      <c r="E580" t="s">
        <v>35</v>
      </c>
      <c r="F580" t="s">
        <v>1762</v>
      </c>
      <c r="G580" t="s">
        <v>1763</v>
      </c>
      <c r="H580">
        <v>0</v>
      </c>
      <c r="I580" t="s">
        <v>17</v>
      </c>
      <c r="K580" t="s">
        <v>1764</v>
      </c>
      <c r="L580">
        <v>737</v>
      </c>
      <c r="M580" t="s">
        <v>1765</v>
      </c>
    </row>
    <row r="581" spans="1:13">
      <c r="A581" t="s">
        <v>13</v>
      </c>
      <c r="B581">
        <v>564421</v>
      </c>
      <c r="C581">
        <v>565704</v>
      </c>
      <c r="E581" t="s">
        <v>14</v>
      </c>
      <c r="F581" t="s">
        <v>1766</v>
      </c>
      <c r="G581" t="s">
        <v>1767</v>
      </c>
      <c r="H581">
        <v>0</v>
      </c>
      <c r="I581" t="s">
        <v>17</v>
      </c>
      <c r="K581" t="s">
        <v>1768</v>
      </c>
      <c r="L581">
        <v>427</v>
      </c>
      <c r="M581" t="s">
        <v>1769</v>
      </c>
    </row>
    <row r="582" spans="1:13">
      <c r="A582" t="s">
        <v>13</v>
      </c>
      <c r="B582">
        <v>565740</v>
      </c>
      <c r="C582">
        <v>566633</v>
      </c>
      <c r="E582" t="s">
        <v>14</v>
      </c>
      <c r="F582" t="s">
        <v>1770</v>
      </c>
      <c r="G582" t="s">
        <v>1771</v>
      </c>
      <c r="H582">
        <v>0</v>
      </c>
      <c r="I582" t="s">
        <v>17</v>
      </c>
      <c r="K582" t="s">
        <v>1772</v>
      </c>
      <c r="L582">
        <v>297</v>
      </c>
      <c r="M582" t="s">
        <v>1773</v>
      </c>
    </row>
    <row r="583" spans="1:13">
      <c r="A583" t="s">
        <v>13</v>
      </c>
      <c r="B583">
        <v>566633</v>
      </c>
      <c r="C583">
        <v>567580</v>
      </c>
      <c r="E583" t="s">
        <v>14</v>
      </c>
      <c r="F583" t="s">
        <v>28</v>
      </c>
      <c r="H583">
        <v>0</v>
      </c>
      <c r="I583" t="s">
        <v>17</v>
      </c>
      <c r="K583" t="s">
        <v>1774</v>
      </c>
      <c r="L583">
        <v>315</v>
      </c>
      <c r="M583" t="s">
        <v>1775</v>
      </c>
    </row>
    <row r="584" spans="1:13">
      <c r="A584" t="s">
        <v>13</v>
      </c>
      <c r="B584">
        <v>567631</v>
      </c>
      <c r="C584">
        <v>567822</v>
      </c>
      <c r="E584" t="s">
        <v>14</v>
      </c>
      <c r="F584" t="s">
        <v>28</v>
      </c>
      <c r="H584">
        <v>0</v>
      </c>
      <c r="I584" t="s">
        <v>17</v>
      </c>
      <c r="K584" t="s">
        <v>1776</v>
      </c>
      <c r="L584">
        <v>63</v>
      </c>
      <c r="M584" t="s">
        <v>1777</v>
      </c>
    </row>
    <row r="585" spans="1:13">
      <c r="A585" t="s">
        <v>13</v>
      </c>
      <c r="B585">
        <v>567838</v>
      </c>
      <c r="C585">
        <v>568317</v>
      </c>
      <c r="E585" t="s">
        <v>14</v>
      </c>
      <c r="F585" t="s">
        <v>1778</v>
      </c>
      <c r="H585">
        <v>0</v>
      </c>
      <c r="I585" t="s">
        <v>17</v>
      </c>
      <c r="K585" t="s">
        <v>1779</v>
      </c>
      <c r="L585">
        <v>159</v>
      </c>
      <c r="M585" t="s">
        <v>1780</v>
      </c>
    </row>
    <row r="586" spans="1:13">
      <c r="A586" t="s">
        <v>13</v>
      </c>
      <c r="B586">
        <v>568329</v>
      </c>
      <c r="C586">
        <v>569360</v>
      </c>
      <c r="E586" t="s">
        <v>14</v>
      </c>
      <c r="F586" t="s">
        <v>1781</v>
      </c>
      <c r="G586" t="s">
        <v>1782</v>
      </c>
      <c r="H586">
        <v>0</v>
      </c>
      <c r="I586" t="s">
        <v>17</v>
      </c>
      <c r="K586" t="s">
        <v>1783</v>
      </c>
      <c r="L586">
        <v>343</v>
      </c>
      <c r="M586" t="s">
        <v>1784</v>
      </c>
    </row>
    <row r="587" spans="1:13">
      <c r="A587" t="s">
        <v>13</v>
      </c>
      <c r="B587">
        <v>569456</v>
      </c>
      <c r="C587">
        <v>570532</v>
      </c>
      <c r="E587" t="s">
        <v>14</v>
      </c>
      <c r="F587" t="s">
        <v>1785</v>
      </c>
      <c r="G587" t="s">
        <v>1786</v>
      </c>
      <c r="H587">
        <v>0</v>
      </c>
      <c r="I587" t="s">
        <v>17</v>
      </c>
      <c r="K587" t="s">
        <v>1787</v>
      </c>
      <c r="L587">
        <v>358</v>
      </c>
      <c r="M587" t="s">
        <v>1788</v>
      </c>
    </row>
    <row r="588" spans="1:13">
      <c r="A588" t="s">
        <v>13</v>
      </c>
      <c r="B588">
        <v>570588</v>
      </c>
      <c r="C588">
        <v>571481</v>
      </c>
      <c r="E588" t="s">
        <v>14</v>
      </c>
      <c r="F588" t="s">
        <v>1789</v>
      </c>
      <c r="H588">
        <v>0</v>
      </c>
      <c r="I588" t="s">
        <v>17</v>
      </c>
      <c r="K588" t="s">
        <v>1790</v>
      </c>
      <c r="L588">
        <v>297</v>
      </c>
      <c r="M588" t="s">
        <v>1791</v>
      </c>
    </row>
    <row r="589" spans="1:13">
      <c r="A589" t="s">
        <v>13</v>
      </c>
      <c r="B589">
        <v>571519</v>
      </c>
      <c r="C589">
        <v>572439</v>
      </c>
      <c r="E589" t="s">
        <v>14</v>
      </c>
      <c r="F589" t="s">
        <v>1792</v>
      </c>
      <c r="H589">
        <v>0</v>
      </c>
      <c r="I589" t="s">
        <v>17</v>
      </c>
      <c r="K589" t="s">
        <v>1793</v>
      </c>
      <c r="L589">
        <v>306</v>
      </c>
      <c r="M589" t="s">
        <v>1794</v>
      </c>
    </row>
    <row r="590" spans="1:13">
      <c r="A590" t="s">
        <v>13</v>
      </c>
      <c r="B590">
        <v>572471</v>
      </c>
      <c r="C590">
        <v>573148</v>
      </c>
      <c r="E590" t="s">
        <v>14</v>
      </c>
      <c r="F590" t="s">
        <v>1795</v>
      </c>
      <c r="G590" t="s">
        <v>1796</v>
      </c>
      <c r="H590">
        <v>0</v>
      </c>
      <c r="I590" t="s">
        <v>17</v>
      </c>
      <c r="K590" t="s">
        <v>1797</v>
      </c>
      <c r="L590">
        <v>225</v>
      </c>
      <c r="M590" t="s">
        <v>1798</v>
      </c>
    </row>
    <row r="591" spans="1:13">
      <c r="A591" t="s">
        <v>13</v>
      </c>
      <c r="B591">
        <v>573148</v>
      </c>
      <c r="C591">
        <v>574152</v>
      </c>
      <c r="E591" t="s">
        <v>14</v>
      </c>
      <c r="F591" t="s">
        <v>1799</v>
      </c>
      <c r="G591" t="s">
        <v>1800</v>
      </c>
      <c r="H591">
        <v>0</v>
      </c>
      <c r="I591" t="s">
        <v>17</v>
      </c>
      <c r="K591" t="s">
        <v>1801</v>
      </c>
      <c r="L591">
        <v>334</v>
      </c>
      <c r="M591" t="s">
        <v>1802</v>
      </c>
    </row>
    <row r="592" spans="1:13">
      <c r="A592" t="s">
        <v>13</v>
      </c>
      <c r="B592">
        <v>574312</v>
      </c>
      <c r="C592">
        <v>575550</v>
      </c>
      <c r="E592" t="s">
        <v>35</v>
      </c>
      <c r="F592" t="s">
        <v>28</v>
      </c>
      <c r="H592">
        <v>0</v>
      </c>
      <c r="I592" t="s">
        <v>17</v>
      </c>
      <c r="K592" t="s">
        <v>1803</v>
      </c>
      <c r="L592">
        <v>412</v>
      </c>
      <c r="M592" t="s">
        <v>1804</v>
      </c>
    </row>
    <row r="593" spans="1:13">
      <c r="A593" t="s">
        <v>13</v>
      </c>
      <c r="B593">
        <v>575605</v>
      </c>
      <c r="C593">
        <v>576513</v>
      </c>
      <c r="E593" t="s">
        <v>35</v>
      </c>
      <c r="F593" t="s">
        <v>1805</v>
      </c>
      <c r="H593">
        <v>0</v>
      </c>
      <c r="I593" t="s">
        <v>17</v>
      </c>
      <c r="K593" t="s">
        <v>1806</v>
      </c>
      <c r="L593">
        <v>302</v>
      </c>
      <c r="M593" t="s">
        <v>1807</v>
      </c>
    </row>
    <row r="594" spans="1:13">
      <c r="A594" t="s">
        <v>13</v>
      </c>
      <c r="B594">
        <v>576514</v>
      </c>
      <c r="C594">
        <v>576792</v>
      </c>
      <c r="E594" t="s">
        <v>35</v>
      </c>
      <c r="F594" t="s">
        <v>28</v>
      </c>
      <c r="H594">
        <v>0</v>
      </c>
      <c r="I594" t="s">
        <v>17</v>
      </c>
      <c r="K594" t="s">
        <v>1808</v>
      </c>
      <c r="L594">
        <v>92</v>
      </c>
      <c r="M594" t="s">
        <v>1809</v>
      </c>
    </row>
    <row r="595" spans="1:13">
      <c r="A595" t="s">
        <v>13</v>
      </c>
      <c r="B595">
        <v>576811</v>
      </c>
      <c r="C595">
        <v>577485</v>
      </c>
      <c r="E595" t="s">
        <v>14</v>
      </c>
      <c r="F595" t="s">
        <v>1810</v>
      </c>
      <c r="G595" t="s">
        <v>1811</v>
      </c>
      <c r="H595">
        <v>0</v>
      </c>
      <c r="I595" t="s">
        <v>17</v>
      </c>
      <c r="K595" t="s">
        <v>1812</v>
      </c>
      <c r="L595">
        <v>224</v>
      </c>
      <c r="M595" t="s">
        <v>1813</v>
      </c>
    </row>
    <row r="596" spans="1:13">
      <c r="A596" t="s">
        <v>13</v>
      </c>
      <c r="B596">
        <v>577442</v>
      </c>
      <c r="C596">
        <v>577903</v>
      </c>
      <c r="E596" t="s">
        <v>14</v>
      </c>
      <c r="F596" t="s">
        <v>1814</v>
      </c>
      <c r="G596" t="s">
        <v>1815</v>
      </c>
      <c r="H596">
        <v>0</v>
      </c>
      <c r="I596" t="s">
        <v>17</v>
      </c>
      <c r="K596" t="s">
        <v>1816</v>
      </c>
      <c r="L596">
        <v>153</v>
      </c>
      <c r="M596" t="s">
        <v>1817</v>
      </c>
    </row>
    <row r="597" spans="1:13">
      <c r="A597" t="s">
        <v>13</v>
      </c>
      <c r="B597">
        <v>577982</v>
      </c>
      <c r="C597">
        <v>579172</v>
      </c>
      <c r="E597" t="s">
        <v>14</v>
      </c>
      <c r="F597" t="s">
        <v>1818</v>
      </c>
      <c r="G597" t="s">
        <v>1819</v>
      </c>
      <c r="H597">
        <v>0</v>
      </c>
      <c r="I597" t="s">
        <v>17</v>
      </c>
      <c r="K597" t="s">
        <v>1820</v>
      </c>
      <c r="L597">
        <v>396</v>
      </c>
      <c r="M597" t="s">
        <v>1821</v>
      </c>
    </row>
    <row r="598" spans="1:13">
      <c r="A598" t="s">
        <v>13</v>
      </c>
      <c r="B598">
        <v>579243</v>
      </c>
      <c r="C598">
        <v>580670</v>
      </c>
      <c r="E598" t="s">
        <v>14</v>
      </c>
      <c r="F598" t="s">
        <v>1822</v>
      </c>
      <c r="G598" t="s">
        <v>1823</v>
      </c>
      <c r="H598">
        <v>0</v>
      </c>
      <c r="I598" t="s">
        <v>17</v>
      </c>
      <c r="K598" t="s">
        <v>1824</v>
      </c>
      <c r="L598">
        <v>475</v>
      </c>
      <c r="M598" t="s">
        <v>1825</v>
      </c>
    </row>
    <row r="599" spans="1:13">
      <c r="A599" t="s">
        <v>13</v>
      </c>
      <c r="B599">
        <v>580680</v>
      </c>
      <c r="C599">
        <v>581993</v>
      </c>
      <c r="E599" t="s">
        <v>35</v>
      </c>
      <c r="F599" t="s">
        <v>1090</v>
      </c>
      <c r="H599">
        <v>0</v>
      </c>
      <c r="I599" t="s">
        <v>17</v>
      </c>
      <c r="K599" t="s">
        <v>1826</v>
      </c>
      <c r="L599">
        <v>437</v>
      </c>
      <c r="M599" t="s">
        <v>1827</v>
      </c>
    </row>
    <row r="600" spans="1:13">
      <c r="A600" t="s">
        <v>13</v>
      </c>
      <c r="B600">
        <v>582159</v>
      </c>
      <c r="C600">
        <v>583670</v>
      </c>
      <c r="E600" t="s">
        <v>14</v>
      </c>
      <c r="F600" t="s">
        <v>1828</v>
      </c>
      <c r="G600" t="s">
        <v>1829</v>
      </c>
      <c r="H600">
        <v>0</v>
      </c>
      <c r="I600" t="s">
        <v>17</v>
      </c>
      <c r="K600" t="s">
        <v>1830</v>
      </c>
      <c r="L600">
        <v>503</v>
      </c>
      <c r="M600" t="s">
        <v>1831</v>
      </c>
    </row>
    <row r="601" spans="1:13">
      <c r="A601" t="s">
        <v>13</v>
      </c>
      <c r="B601">
        <v>583670</v>
      </c>
      <c r="C601">
        <v>584602</v>
      </c>
      <c r="E601" t="s">
        <v>14</v>
      </c>
      <c r="F601" t="s">
        <v>1832</v>
      </c>
      <c r="G601" t="s">
        <v>1833</v>
      </c>
      <c r="H601">
        <v>0</v>
      </c>
      <c r="I601" t="s">
        <v>17</v>
      </c>
      <c r="K601" t="s">
        <v>1834</v>
      </c>
      <c r="L601">
        <v>310</v>
      </c>
      <c r="M601" t="s">
        <v>1835</v>
      </c>
    </row>
    <row r="602" spans="1:13">
      <c r="A602" t="s">
        <v>13</v>
      </c>
      <c r="B602">
        <v>584616</v>
      </c>
      <c r="C602">
        <v>585776</v>
      </c>
      <c r="E602" t="s">
        <v>14</v>
      </c>
      <c r="F602" t="s">
        <v>1836</v>
      </c>
      <c r="G602" t="s">
        <v>1837</v>
      </c>
      <c r="H602">
        <v>0</v>
      </c>
      <c r="I602" t="s">
        <v>17</v>
      </c>
      <c r="K602" t="s">
        <v>1838</v>
      </c>
      <c r="L602">
        <v>386</v>
      </c>
      <c r="M602" t="s">
        <v>1839</v>
      </c>
    </row>
    <row r="603" spans="1:13">
      <c r="A603" t="s">
        <v>13</v>
      </c>
      <c r="B603">
        <v>586245</v>
      </c>
      <c r="C603">
        <v>589724</v>
      </c>
      <c r="E603" t="s">
        <v>14</v>
      </c>
      <c r="F603" t="s">
        <v>1840</v>
      </c>
      <c r="G603" t="s">
        <v>1841</v>
      </c>
      <c r="H603">
        <v>0</v>
      </c>
      <c r="I603" t="s">
        <v>17</v>
      </c>
      <c r="K603" t="s">
        <v>1842</v>
      </c>
      <c r="L603">
        <v>1159</v>
      </c>
      <c r="M603" t="s">
        <v>1843</v>
      </c>
    </row>
    <row r="604" spans="1:13">
      <c r="A604" t="s">
        <v>13</v>
      </c>
      <c r="B604">
        <v>589820</v>
      </c>
      <c r="C604">
        <v>591040</v>
      </c>
      <c r="E604" t="s">
        <v>35</v>
      </c>
      <c r="F604" t="s">
        <v>1844</v>
      </c>
      <c r="G604" t="s">
        <v>1845</v>
      </c>
      <c r="H604">
        <v>0</v>
      </c>
      <c r="I604" t="s">
        <v>17</v>
      </c>
      <c r="K604" t="s">
        <v>1846</v>
      </c>
      <c r="L604">
        <v>406</v>
      </c>
      <c r="M604" t="s">
        <v>1847</v>
      </c>
    </row>
    <row r="605" spans="1:13">
      <c r="A605" t="s">
        <v>13</v>
      </c>
      <c r="B605">
        <v>591074</v>
      </c>
      <c r="C605">
        <v>591514</v>
      </c>
      <c r="E605" t="s">
        <v>35</v>
      </c>
      <c r="F605" t="s">
        <v>1848</v>
      </c>
      <c r="G605" t="s">
        <v>1849</v>
      </c>
      <c r="H605">
        <v>0</v>
      </c>
      <c r="I605" t="s">
        <v>17</v>
      </c>
      <c r="K605" t="s">
        <v>1850</v>
      </c>
      <c r="L605">
        <v>146</v>
      </c>
      <c r="M605" t="s">
        <v>1851</v>
      </c>
    </row>
    <row r="606" spans="1:13">
      <c r="A606" t="s">
        <v>13</v>
      </c>
      <c r="B606">
        <v>591718</v>
      </c>
      <c r="C606">
        <v>593004</v>
      </c>
      <c r="E606" t="s">
        <v>14</v>
      </c>
      <c r="F606" t="s">
        <v>1852</v>
      </c>
      <c r="G606" t="s">
        <v>1853</v>
      </c>
      <c r="H606">
        <v>0</v>
      </c>
      <c r="I606" t="s">
        <v>17</v>
      </c>
      <c r="K606" t="s">
        <v>1854</v>
      </c>
      <c r="L606">
        <v>428</v>
      </c>
      <c r="M606" t="s">
        <v>1855</v>
      </c>
    </row>
    <row r="607" spans="1:13">
      <c r="A607" t="s">
        <v>13</v>
      </c>
      <c r="B607">
        <v>593001</v>
      </c>
      <c r="C607">
        <v>594125</v>
      </c>
      <c r="E607" t="s">
        <v>35</v>
      </c>
      <c r="F607" t="s">
        <v>28</v>
      </c>
      <c r="H607">
        <v>0</v>
      </c>
      <c r="I607" t="s">
        <v>17</v>
      </c>
      <c r="K607" t="s">
        <v>1856</v>
      </c>
      <c r="L607">
        <v>374</v>
      </c>
      <c r="M607" t="s">
        <v>1857</v>
      </c>
    </row>
    <row r="608" spans="1:13">
      <c r="A608" t="s">
        <v>13</v>
      </c>
      <c r="B608">
        <v>594122</v>
      </c>
      <c r="C608">
        <v>594490</v>
      </c>
      <c r="E608" t="s">
        <v>35</v>
      </c>
      <c r="F608" t="s">
        <v>1858</v>
      </c>
      <c r="G608" t="s">
        <v>1859</v>
      </c>
      <c r="H608">
        <v>0</v>
      </c>
      <c r="I608" t="s">
        <v>17</v>
      </c>
      <c r="K608" t="s">
        <v>1860</v>
      </c>
      <c r="L608">
        <v>122</v>
      </c>
      <c r="M608" t="s">
        <v>1861</v>
      </c>
    </row>
    <row r="609" spans="1:13">
      <c r="A609" t="s">
        <v>13</v>
      </c>
      <c r="B609">
        <v>594576</v>
      </c>
      <c r="C609">
        <v>596081</v>
      </c>
      <c r="E609" t="s">
        <v>35</v>
      </c>
      <c r="F609" t="s">
        <v>1862</v>
      </c>
      <c r="G609" t="s">
        <v>1863</v>
      </c>
      <c r="H609">
        <v>0</v>
      </c>
      <c r="I609" t="s">
        <v>17</v>
      </c>
      <c r="K609" t="s">
        <v>1864</v>
      </c>
      <c r="L609">
        <v>501</v>
      </c>
      <c r="M609" t="s">
        <v>1865</v>
      </c>
    </row>
    <row r="610" spans="1:13">
      <c r="A610" t="s">
        <v>13</v>
      </c>
      <c r="B610">
        <v>596240</v>
      </c>
      <c r="C610">
        <v>596698</v>
      </c>
      <c r="E610" t="s">
        <v>35</v>
      </c>
      <c r="F610" t="s">
        <v>28</v>
      </c>
      <c r="H610">
        <v>0</v>
      </c>
      <c r="I610" t="s">
        <v>17</v>
      </c>
      <c r="K610" t="s">
        <v>1866</v>
      </c>
      <c r="L610">
        <v>152</v>
      </c>
      <c r="M610" t="s">
        <v>1867</v>
      </c>
    </row>
    <row r="611" spans="1:13">
      <c r="A611" t="s">
        <v>13</v>
      </c>
      <c r="B611">
        <v>596721</v>
      </c>
      <c r="C611">
        <v>598481</v>
      </c>
      <c r="E611" t="s">
        <v>35</v>
      </c>
      <c r="F611" t="s">
        <v>1868</v>
      </c>
      <c r="G611" t="s">
        <v>1869</v>
      </c>
      <c r="H611">
        <v>0</v>
      </c>
      <c r="I611" t="s">
        <v>17</v>
      </c>
      <c r="K611" t="s">
        <v>1870</v>
      </c>
      <c r="L611">
        <v>586</v>
      </c>
      <c r="M611" t="s">
        <v>1871</v>
      </c>
    </row>
    <row r="612" spans="1:13">
      <c r="A612" t="s">
        <v>13</v>
      </c>
      <c r="B612">
        <v>598632</v>
      </c>
      <c r="C612">
        <v>599495</v>
      </c>
      <c r="E612" t="s">
        <v>35</v>
      </c>
      <c r="F612" t="s">
        <v>1872</v>
      </c>
      <c r="G612" t="s">
        <v>1873</v>
      </c>
      <c r="H612">
        <v>0</v>
      </c>
      <c r="I612" t="s">
        <v>17</v>
      </c>
      <c r="K612" t="s">
        <v>1874</v>
      </c>
      <c r="L612">
        <v>287</v>
      </c>
      <c r="M612" t="s">
        <v>1875</v>
      </c>
    </row>
    <row r="613" spans="1:13">
      <c r="A613" t="s">
        <v>13</v>
      </c>
      <c r="B613">
        <v>599829</v>
      </c>
      <c r="C613">
        <v>600548</v>
      </c>
      <c r="E613" t="s">
        <v>14</v>
      </c>
      <c r="F613" t="s">
        <v>28</v>
      </c>
      <c r="H613">
        <v>0</v>
      </c>
      <c r="I613" t="s">
        <v>17</v>
      </c>
      <c r="K613" t="s">
        <v>1876</v>
      </c>
      <c r="L613">
        <v>239</v>
      </c>
      <c r="M613" t="s">
        <v>1877</v>
      </c>
    </row>
    <row r="614" spans="1:13">
      <c r="A614" t="s">
        <v>13</v>
      </c>
      <c r="B614">
        <v>600638</v>
      </c>
      <c r="C614">
        <v>601054</v>
      </c>
      <c r="E614" t="s">
        <v>35</v>
      </c>
      <c r="F614" t="s">
        <v>28</v>
      </c>
      <c r="H614">
        <v>0</v>
      </c>
      <c r="I614" t="s">
        <v>17</v>
      </c>
      <c r="K614" t="s">
        <v>1878</v>
      </c>
      <c r="L614">
        <v>138</v>
      </c>
      <c r="M614" t="s">
        <v>1879</v>
      </c>
    </row>
    <row r="615" spans="1:13">
      <c r="A615" t="s">
        <v>13</v>
      </c>
      <c r="B615">
        <v>601085</v>
      </c>
      <c r="C615">
        <v>601672</v>
      </c>
      <c r="E615" t="s">
        <v>35</v>
      </c>
      <c r="F615" t="s">
        <v>1880</v>
      </c>
      <c r="G615" t="s">
        <v>1881</v>
      </c>
      <c r="H615">
        <v>0</v>
      </c>
      <c r="I615" t="s">
        <v>17</v>
      </c>
      <c r="K615" t="s">
        <v>1882</v>
      </c>
      <c r="L615">
        <v>195</v>
      </c>
      <c r="M615" t="s">
        <v>1883</v>
      </c>
    </row>
    <row r="616" spans="1:13">
      <c r="A616" t="s">
        <v>13</v>
      </c>
      <c r="B616">
        <v>601672</v>
      </c>
      <c r="C616">
        <v>601881</v>
      </c>
      <c r="E616" t="s">
        <v>35</v>
      </c>
      <c r="F616" t="s">
        <v>28</v>
      </c>
      <c r="H616">
        <v>0</v>
      </c>
      <c r="I616" t="s">
        <v>17</v>
      </c>
      <c r="K616" t="s">
        <v>1884</v>
      </c>
      <c r="L616">
        <v>69</v>
      </c>
      <c r="M616" t="s">
        <v>1885</v>
      </c>
    </row>
    <row r="617" spans="1:13">
      <c r="A617" t="s">
        <v>13</v>
      </c>
      <c r="B617">
        <v>601888</v>
      </c>
      <c r="C617">
        <v>603348</v>
      </c>
      <c r="E617" t="s">
        <v>35</v>
      </c>
      <c r="F617" t="s">
        <v>1886</v>
      </c>
      <c r="G617" t="s">
        <v>1887</v>
      </c>
      <c r="H617">
        <v>0</v>
      </c>
      <c r="I617" t="s">
        <v>17</v>
      </c>
      <c r="K617" t="s">
        <v>1888</v>
      </c>
      <c r="L617">
        <v>486</v>
      </c>
      <c r="M617" t="s">
        <v>1889</v>
      </c>
    </row>
    <row r="618" spans="1:13">
      <c r="A618" t="s">
        <v>13</v>
      </c>
      <c r="B618">
        <v>603679</v>
      </c>
      <c r="C618">
        <v>604947</v>
      </c>
      <c r="E618" t="s">
        <v>14</v>
      </c>
      <c r="F618" t="s">
        <v>28</v>
      </c>
      <c r="H618">
        <v>0</v>
      </c>
      <c r="I618" t="s">
        <v>17</v>
      </c>
      <c r="K618" t="s">
        <v>1890</v>
      </c>
      <c r="L618">
        <v>422</v>
      </c>
      <c r="M618" t="s">
        <v>1891</v>
      </c>
    </row>
    <row r="619" spans="1:13">
      <c r="A619" t="s">
        <v>13</v>
      </c>
      <c r="B619">
        <v>604970</v>
      </c>
      <c r="C619">
        <v>605542</v>
      </c>
      <c r="E619" t="s">
        <v>14</v>
      </c>
      <c r="F619" t="s">
        <v>28</v>
      </c>
      <c r="H619">
        <v>0</v>
      </c>
      <c r="I619" t="s">
        <v>17</v>
      </c>
      <c r="K619" t="s">
        <v>1892</v>
      </c>
      <c r="L619">
        <v>190</v>
      </c>
      <c r="M619" t="s">
        <v>1893</v>
      </c>
    </row>
    <row r="620" spans="1:13">
      <c r="A620" t="s">
        <v>13</v>
      </c>
      <c r="B620">
        <v>605546</v>
      </c>
      <c r="C620">
        <v>606124</v>
      </c>
      <c r="E620" t="s">
        <v>14</v>
      </c>
      <c r="F620" t="s">
        <v>28</v>
      </c>
      <c r="H620">
        <v>0</v>
      </c>
      <c r="I620" t="s">
        <v>17</v>
      </c>
      <c r="K620" t="s">
        <v>1894</v>
      </c>
      <c r="L620">
        <v>192</v>
      </c>
      <c r="M620" t="s">
        <v>1895</v>
      </c>
    </row>
    <row r="621" spans="1:13">
      <c r="A621" t="s">
        <v>13</v>
      </c>
      <c r="B621">
        <v>606368</v>
      </c>
      <c r="C621">
        <v>607873</v>
      </c>
      <c r="E621" t="s">
        <v>35</v>
      </c>
      <c r="F621" t="s">
        <v>1896</v>
      </c>
      <c r="G621" t="s">
        <v>1897</v>
      </c>
      <c r="H621">
        <v>0</v>
      </c>
      <c r="I621" t="s">
        <v>17</v>
      </c>
      <c r="K621" t="s">
        <v>1898</v>
      </c>
      <c r="L621">
        <v>501</v>
      </c>
      <c r="M621" t="s">
        <v>1899</v>
      </c>
    </row>
    <row r="622" spans="1:13">
      <c r="A622" t="s">
        <v>13</v>
      </c>
      <c r="B622">
        <v>607870</v>
      </c>
      <c r="C622">
        <v>608055</v>
      </c>
      <c r="E622" t="s">
        <v>35</v>
      </c>
      <c r="F622" t="s">
        <v>28</v>
      </c>
      <c r="H622">
        <v>0</v>
      </c>
      <c r="I622" t="s">
        <v>17</v>
      </c>
      <c r="K622" t="s">
        <v>1900</v>
      </c>
      <c r="L622">
        <v>61</v>
      </c>
      <c r="M622" t="s">
        <v>1901</v>
      </c>
    </row>
    <row r="623" spans="1:13">
      <c r="A623" t="s">
        <v>13</v>
      </c>
      <c r="B623">
        <v>608055</v>
      </c>
      <c r="C623">
        <v>608876</v>
      </c>
      <c r="E623" t="s">
        <v>35</v>
      </c>
      <c r="F623" t="s">
        <v>1902</v>
      </c>
      <c r="G623" t="s">
        <v>1903</v>
      </c>
      <c r="H623">
        <v>0</v>
      </c>
      <c r="I623" t="s">
        <v>17</v>
      </c>
      <c r="K623" t="s">
        <v>1904</v>
      </c>
      <c r="L623">
        <v>273</v>
      </c>
      <c r="M623" t="s">
        <v>1905</v>
      </c>
    </row>
    <row r="624" spans="1:13">
      <c r="A624" t="s">
        <v>13</v>
      </c>
      <c r="B624">
        <v>608876</v>
      </c>
      <c r="C624">
        <v>609883</v>
      </c>
      <c r="E624" t="s">
        <v>35</v>
      </c>
      <c r="F624" t="s">
        <v>1906</v>
      </c>
      <c r="G624" t="s">
        <v>1907</v>
      </c>
      <c r="H624">
        <v>0</v>
      </c>
      <c r="I624" t="s">
        <v>17</v>
      </c>
      <c r="K624" t="s">
        <v>1908</v>
      </c>
      <c r="L624">
        <v>335</v>
      </c>
      <c r="M624" t="s">
        <v>1909</v>
      </c>
    </row>
    <row r="625" spans="1:13">
      <c r="A625" t="s">
        <v>13</v>
      </c>
      <c r="B625">
        <v>610079</v>
      </c>
      <c r="C625">
        <v>611347</v>
      </c>
      <c r="E625" t="s">
        <v>35</v>
      </c>
      <c r="F625" t="s">
        <v>1910</v>
      </c>
      <c r="G625" t="s">
        <v>1911</v>
      </c>
      <c r="H625">
        <v>0</v>
      </c>
      <c r="I625" t="s">
        <v>17</v>
      </c>
      <c r="K625" t="s">
        <v>1912</v>
      </c>
      <c r="L625">
        <v>422</v>
      </c>
      <c r="M625" t="s">
        <v>1913</v>
      </c>
    </row>
    <row r="626" spans="1:13">
      <c r="A626" t="s">
        <v>13</v>
      </c>
      <c r="B626">
        <v>611449</v>
      </c>
      <c r="C626">
        <v>612441</v>
      </c>
      <c r="E626" t="s">
        <v>35</v>
      </c>
      <c r="F626" t="s">
        <v>1914</v>
      </c>
      <c r="G626" t="s">
        <v>1915</v>
      </c>
      <c r="H626">
        <v>0</v>
      </c>
      <c r="I626" t="s">
        <v>17</v>
      </c>
      <c r="K626" t="s">
        <v>1916</v>
      </c>
      <c r="L626">
        <v>330</v>
      </c>
      <c r="M626" t="s">
        <v>1917</v>
      </c>
    </row>
    <row r="627" spans="1:13">
      <c r="A627" t="s">
        <v>13</v>
      </c>
      <c r="B627">
        <v>612485</v>
      </c>
      <c r="C627">
        <v>613354</v>
      </c>
      <c r="E627" t="s">
        <v>14</v>
      </c>
      <c r="F627" t="s">
        <v>1918</v>
      </c>
      <c r="G627" t="s">
        <v>1919</v>
      </c>
      <c r="H627">
        <v>0</v>
      </c>
      <c r="I627" t="s">
        <v>17</v>
      </c>
      <c r="K627" t="s">
        <v>1920</v>
      </c>
      <c r="L627">
        <v>289</v>
      </c>
      <c r="M627" t="s">
        <v>1921</v>
      </c>
    </row>
    <row r="628" spans="1:13">
      <c r="A628" t="s">
        <v>13</v>
      </c>
      <c r="B628">
        <v>613436</v>
      </c>
      <c r="C628">
        <v>613882</v>
      </c>
      <c r="E628" t="s">
        <v>14</v>
      </c>
      <c r="F628" t="s">
        <v>28</v>
      </c>
      <c r="H628">
        <v>0</v>
      </c>
      <c r="I628" t="s">
        <v>17</v>
      </c>
      <c r="K628" t="s">
        <v>1922</v>
      </c>
      <c r="L628">
        <v>148</v>
      </c>
      <c r="M628" t="s">
        <v>1923</v>
      </c>
    </row>
    <row r="629" spans="1:13">
      <c r="A629" t="s">
        <v>13</v>
      </c>
      <c r="B629">
        <v>613860</v>
      </c>
      <c r="C629">
        <v>614591</v>
      </c>
      <c r="E629" t="s">
        <v>35</v>
      </c>
      <c r="F629" t="s">
        <v>1924</v>
      </c>
      <c r="G629" t="s">
        <v>1925</v>
      </c>
      <c r="H629">
        <v>0</v>
      </c>
      <c r="I629" t="s">
        <v>17</v>
      </c>
      <c r="K629" t="s">
        <v>1926</v>
      </c>
      <c r="L629">
        <v>243</v>
      </c>
      <c r="M629" t="s">
        <v>1927</v>
      </c>
    </row>
    <row r="630" spans="1:13">
      <c r="A630" t="s">
        <v>13</v>
      </c>
      <c r="B630">
        <v>614670</v>
      </c>
      <c r="C630">
        <v>615785</v>
      </c>
      <c r="E630" t="s">
        <v>14</v>
      </c>
      <c r="F630" t="s">
        <v>1928</v>
      </c>
      <c r="G630" t="s">
        <v>1929</v>
      </c>
      <c r="H630">
        <v>0</v>
      </c>
      <c r="I630" t="s">
        <v>17</v>
      </c>
      <c r="K630" t="s">
        <v>1930</v>
      </c>
      <c r="L630">
        <v>371</v>
      </c>
      <c r="M630" t="s">
        <v>1931</v>
      </c>
    </row>
    <row r="631" spans="1:13">
      <c r="A631" t="s">
        <v>13</v>
      </c>
      <c r="B631">
        <v>615830</v>
      </c>
      <c r="C631">
        <v>616306</v>
      </c>
      <c r="E631" t="s">
        <v>14</v>
      </c>
      <c r="F631" t="s">
        <v>1932</v>
      </c>
      <c r="G631" t="s">
        <v>1933</v>
      </c>
      <c r="H631">
        <v>0</v>
      </c>
      <c r="I631" t="s">
        <v>17</v>
      </c>
      <c r="K631" t="s">
        <v>1934</v>
      </c>
      <c r="L631">
        <v>158</v>
      </c>
      <c r="M631" t="s">
        <v>1935</v>
      </c>
    </row>
    <row r="632" spans="1:13">
      <c r="A632" t="s">
        <v>13</v>
      </c>
      <c r="B632">
        <v>616357</v>
      </c>
      <c r="C632">
        <v>616632</v>
      </c>
      <c r="E632" t="s">
        <v>35</v>
      </c>
      <c r="F632" t="s">
        <v>28</v>
      </c>
      <c r="H632">
        <v>0</v>
      </c>
      <c r="I632" t="s">
        <v>17</v>
      </c>
      <c r="K632" t="s">
        <v>1936</v>
      </c>
      <c r="L632">
        <v>91</v>
      </c>
      <c r="M632" t="s">
        <v>1937</v>
      </c>
    </row>
    <row r="633" spans="1:13">
      <c r="A633" t="s">
        <v>13</v>
      </c>
      <c r="B633">
        <v>616681</v>
      </c>
      <c r="C633">
        <v>617589</v>
      </c>
      <c r="E633" t="s">
        <v>35</v>
      </c>
      <c r="F633" t="s">
        <v>1938</v>
      </c>
      <c r="G633" t="s">
        <v>1939</v>
      </c>
      <c r="H633">
        <v>0</v>
      </c>
      <c r="I633" t="s">
        <v>17</v>
      </c>
      <c r="K633" t="s">
        <v>1940</v>
      </c>
      <c r="L633">
        <v>302</v>
      </c>
      <c r="M633" t="s">
        <v>1941</v>
      </c>
    </row>
    <row r="634" spans="1:13">
      <c r="A634" t="s">
        <v>13</v>
      </c>
      <c r="B634">
        <v>617586</v>
      </c>
      <c r="C634">
        <v>618500</v>
      </c>
      <c r="E634" t="s">
        <v>35</v>
      </c>
      <c r="F634" t="s">
        <v>1942</v>
      </c>
      <c r="G634" t="s">
        <v>1943</v>
      </c>
      <c r="H634">
        <v>0</v>
      </c>
      <c r="I634" t="s">
        <v>17</v>
      </c>
      <c r="K634" t="s">
        <v>1944</v>
      </c>
      <c r="L634">
        <v>304</v>
      </c>
      <c r="M634" t="s">
        <v>1945</v>
      </c>
    </row>
    <row r="635" spans="1:13">
      <c r="A635" t="s">
        <v>13</v>
      </c>
      <c r="B635">
        <v>618511</v>
      </c>
      <c r="C635">
        <v>619452</v>
      </c>
      <c r="E635" t="s">
        <v>35</v>
      </c>
      <c r="F635" t="s">
        <v>1946</v>
      </c>
      <c r="G635" t="s">
        <v>1947</v>
      </c>
      <c r="H635">
        <v>0</v>
      </c>
      <c r="I635" t="s">
        <v>17</v>
      </c>
      <c r="K635" t="s">
        <v>1948</v>
      </c>
      <c r="L635">
        <v>313</v>
      </c>
      <c r="M635" t="s">
        <v>1949</v>
      </c>
    </row>
    <row r="636" spans="1:13">
      <c r="A636" t="s">
        <v>13</v>
      </c>
      <c r="B636">
        <v>619462</v>
      </c>
      <c r="C636">
        <v>621012</v>
      </c>
      <c r="E636" t="s">
        <v>35</v>
      </c>
      <c r="F636" t="s">
        <v>1950</v>
      </c>
      <c r="G636" t="s">
        <v>1951</v>
      </c>
      <c r="H636">
        <v>0</v>
      </c>
      <c r="I636" t="s">
        <v>17</v>
      </c>
      <c r="K636" t="s">
        <v>1952</v>
      </c>
      <c r="L636">
        <v>516</v>
      </c>
      <c r="M636" t="s">
        <v>1953</v>
      </c>
    </row>
    <row r="637" spans="1:13">
      <c r="A637" t="s">
        <v>13</v>
      </c>
      <c r="B637">
        <v>621009</v>
      </c>
      <c r="C637">
        <v>621998</v>
      </c>
      <c r="E637" t="s">
        <v>35</v>
      </c>
      <c r="F637" t="s">
        <v>1954</v>
      </c>
      <c r="G637" t="s">
        <v>1955</v>
      </c>
      <c r="H637">
        <v>0</v>
      </c>
      <c r="I637" t="s">
        <v>17</v>
      </c>
      <c r="K637" t="s">
        <v>1956</v>
      </c>
      <c r="L637">
        <v>329</v>
      </c>
      <c r="M637" t="s">
        <v>1957</v>
      </c>
    </row>
    <row r="638" spans="1:13">
      <c r="A638" t="s">
        <v>13</v>
      </c>
      <c r="B638">
        <v>622120</v>
      </c>
      <c r="C638">
        <v>622575</v>
      </c>
      <c r="E638" t="s">
        <v>14</v>
      </c>
      <c r="F638" t="s">
        <v>28</v>
      </c>
      <c r="H638">
        <v>0</v>
      </c>
      <c r="I638" t="s">
        <v>17</v>
      </c>
      <c r="K638" t="s">
        <v>1958</v>
      </c>
      <c r="L638">
        <v>151</v>
      </c>
      <c r="M638" t="s">
        <v>1959</v>
      </c>
    </row>
    <row r="639" spans="1:13">
      <c r="A639" t="s">
        <v>13</v>
      </c>
      <c r="B639">
        <v>622856</v>
      </c>
      <c r="C639">
        <v>623755</v>
      </c>
      <c r="E639" t="s">
        <v>14</v>
      </c>
      <c r="F639" t="s">
        <v>1960</v>
      </c>
      <c r="G639" t="s">
        <v>1961</v>
      </c>
      <c r="H639">
        <v>0</v>
      </c>
      <c r="I639" t="s">
        <v>17</v>
      </c>
      <c r="K639" t="s">
        <v>1962</v>
      </c>
      <c r="L639">
        <v>299</v>
      </c>
      <c r="M639" t="s">
        <v>1963</v>
      </c>
    </row>
    <row r="640" spans="1:13">
      <c r="A640" t="s">
        <v>13</v>
      </c>
      <c r="B640">
        <v>623775</v>
      </c>
      <c r="C640">
        <v>625424</v>
      </c>
      <c r="E640" t="s">
        <v>14</v>
      </c>
      <c r="F640" t="s">
        <v>1964</v>
      </c>
      <c r="G640" t="s">
        <v>1965</v>
      </c>
      <c r="H640">
        <v>0</v>
      </c>
      <c r="I640" t="s">
        <v>17</v>
      </c>
      <c r="K640" t="s">
        <v>1966</v>
      </c>
      <c r="L640">
        <v>549</v>
      </c>
      <c r="M640" t="s">
        <v>1967</v>
      </c>
    </row>
    <row r="641" spans="1:13">
      <c r="A641" t="s">
        <v>13</v>
      </c>
      <c r="B641">
        <v>625435</v>
      </c>
      <c r="C641">
        <v>625677</v>
      </c>
      <c r="E641" t="s">
        <v>14</v>
      </c>
      <c r="F641" t="s">
        <v>28</v>
      </c>
      <c r="H641">
        <v>0</v>
      </c>
      <c r="I641" t="s">
        <v>17</v>
      </c>
      <c r="K641" t="s">
        <v>1968</v>
      </c>
      <c r="L641">
        <v>80</v>
      </c>
      <c r="M641" t="s">
        <v>1969</v>
      </c>
    </row>
    <row r="642" spans="1:13">
      <c r="A642" t="s">
        <v>13</v>
      </c>
      <c r="B642">
        <v>625677</v>
      </c>
      <c r="C642">
        <v>626771</v>
      </c>
      <c r="E642" t="s">
        <v>14</v>
      </c>
      <c r="F642" t="s">
        <v>1970</v>
      </c>
      <c r="G642" t="s">
        <v>1971</v>
      </c>
      <c r="H642">
        <v>0</v>
      </c>
      <c r="I642" t="s">
        <v>17</v>
      </c>
      <c r="K642" t="s">
        <v>1972</v>
      </c>
      <c r="L642">
        <v>364</v>
      </c>
      <c r="M642" t="s">
        <v>1973</v>
      </c>
    </row>
    <row r="643" spans="1:13">
      <c r="A643" t="s">
        <v>13</v>
      </c>
      <c r="B643">
        <v>626764</v>
      </c>
      <c r="C643">
        <v>627990</v>
      </c>
      <c r="E643" t="s">
        <v>14</v>
      </c>
      <c r="F643" t="s">
        <v>1974</v>
      </c>
      <c r="G643" t="s">
        <v>1975</v>
      </c>
      <c r="H643">
        <v>0</v>
      </c>
      <c r="I643" t="s">
        <v>17</v>
      </c>
      <c r="K643" t="s">
        <v>1976</v>
      </c>
      <c r="L643">
        <v>408</v>
      </c>
      <c r="M643" t="s">
        <v>1977</v>
      </c>
    </row>
    <row r="644" spans="1:13">
      <c r="A644" t="s">
        <v>13</v>
      </c>
      <c r="B644">
        <v>628011</v>
      </c>
      <c r="C644">
        <v>629105</v>
      </c>
      <c r="E644" t="s">
        <v>35</v>
      </c>
      <c r="F644" t="s">
        <v>1978</v>
      </c>
      <c r="H644">
        <v>0</v>
      </c>
      <c r="I644" t="s">
        <v>17</v>
      </c>
      <c r="K644" t="s">
        <v>1979</v>
      </c>
      <c r="L644">
        <v>364</v>
      </c>
      <c r="M644" t="s">
        <v>1980</v>
      </c>
    </row>
    <row r="645" spans="1:13">
      <c r="A645" t="s">
        <v>13</v>
      </c>
      <c r="B645">
        <v>629575</v>
      </c>
      <c r="C645">
        <v>630474</v>
      </c>
      <c r="E645" t="s">
        <v>14</v>
      </c>
      <c r="F645" t="s">
        <v>28</v>
      </c>
      <c r="H645">
        <v>0</v>
      </c>
      <c r="I645" t="s">
        <v>17</v>
      </c>
      <c r="K645" t="s">
        <v>1981</v>
      </c>
      <c r="L645">
        <v>299</v>
      </c>
      <c r="M645" t="s">
        <v>1982</v>
      </c>
    </row>
    <row r="646" spans="1:13">
      <c r="A646" t="s">
        <v>13</v>
      </c>
      <c r="B646">
        <v>630587</v>
      </c>
      <c r="C646">
        <v>631798</v>
      </c>
      <c r="E646" t="s">
        <v>14</v>
      </c>
      <c r="F646" t="s">
        <v>1983</v>
      </c>
      <c r="H646">
        <v>0</v>
      </c>
      <c r="I646" t="s">
        <v>17</v>
      </c>
      <c r="K646" t="s">
        <v>1984</v>
      </c>
      <c r="L646">
        <v>403</v>
      </c>
      <c r="M646" t="s">
        <v>1985</v>
      </c>
    </row>
    <row r="647" spans="1:13">
      <c r="A647" t="s">
        <v>13</v>
      </c>
      <c r="B647">
        <v>631789</v>
      </c>
      <c r="C647">
        <v>632568</v>
      </c>
      <c r="E647" t="s">
        <v>14</v>
      </c>
      <c r="F647" t="s">
        <v>28</v>
      </c>
      <c r="H647">
        <v>0</v>
      </c>
      <c r="I647" t="s">
        <v>17</v>
      </c>
      <c r="K647" t="s">
        <v>1986</v>
      </c>
      <c r="L647">
        <v>259</v>
      </c>
      <c r="M647" t="s">
        <v>1987</v>
      </c>
    </row>
    <row r="648" spans="1:13">
      <c r="A648" t="s">
        <v>13</v>
      </c>
      <c r="B648">
        <v>632589</v>
      </c>
      <c r="C648">
        <v>633206</v>
      </c>
      <c r="E648" t="s">
        <v>35</v>
      </c>
      <c r="F648" t="s">
        <v>1988</v>
      </c>
      <c r="G648" t="s">
        <v>1989</v>
      </c>
      <c r="H648">
        <v>0</v>
      </c>
      <c r="I648" t="s">
        <v>17</v>
      </c>
      <c r="K648" t="s">
        <v>1990</v>
      </c>
      <c r="L648">
        <v>205</v>
      </c>
      <c r="M648" t="s">
        <v>1991</v>
      </c>
    </row>
    <row r="649" spans="1:13">
      <c r="A649" t="s">
        <v>13</v>
      </c>
      <c r="B649">
        <v>633351</v>
      </c>
      <c r="C649">
        <v>634478</v>
      </c>
      <c r="E649" t="s">
        <v>14</v>
      </c>
      <c r="F649" t="s">
        <v>1992</v>
      </c>
      <c r="H649">
        <v>0</v>
      </c>
      <c r="I649" t="s">
        <v>17</v>
      </c>
      <c r="K649" t="s">
        <v>1993</v>
      </c>
      <c r="L649">
        <v>375</v>
      </c>
      <c r="M649" t="s">
        <v>1994</v>
      </c>
    </row>
    <row r="650" spans="1:13">
      <c r="A650" t="s">
        <v>13</v>
      </c>
      <c r="B650">
        <v>634475</v>
      </c>
      <c r="C650">
        <v>636268</v>
      </c>
      <c r="E650" t="s">
        <v>35</v>
      </c>
      <c r="F650" t="s">
        <v>1995</v>
      </c>
      <c r="G650" t="s">
        <v>1996</v>
      </c>
      <c r="H650">
        <v>0</v>
      </c>
      <c r="I650" t="s">
        <v>17</v>
      </c>
      <c r="K650" t="s">
        <v>1997</v>
      </c>
      <c r="L650">
        <v>597</v>
      </c>
      <c r="M650" t="s">
        <v>1998</v>
      </c>
    </row>
    <row r="651" spans="1:13">
      <c r="A651" t="s">
        <v>13</v>
      </c>
      <c r="B651">
        <v>636258</v>
      </c>
      <c r="C651">
        <v>637859</v>
      </c>
      <c r="E651" t="s">
        <v>35</v>
      </c>
      <c r="F651" t="s">
        <v>1999</v>
      </c>
      <c r="G651" t="s">
        <v>2000</v>
      </c>
      <c r="H651">
        <v>0</v>
      </c>
      <c r="I651" t="s">
        <v>17</v>
      </c>
      <c r="K651" t="s">
        <v>2001</v>
      </c>
      <c r="L651">
        <v>533</v>
      </c>
      <c r="M651" t="s">
        <v>2002</v>
      </c>
    </row>
    <row r="652" spans="1:13">
      <c r="A652" t="s">
        <v>13</v>
      </c>
      <c r="B652">
        <v>637859</v>
      </c>
      <c r="C652">
        <v>638620</v>
      </c>
      <c r="E652" t="s">
        <v>35</v>
      </c>
      <c r="F652" t="s">
        <v>2003</v>
      </c>
      <c r="H652">
        <v>0</v>
      </c>
      <c r="I652" t="s">
        <v>17</v>
      </c>
      <c r="K652" t="s">
        <v>2004</v>
      </c>
      <c r="L652">
        <v>253</v>
      </c>
      <c r="M652" t="s">
        <v>2005</v>
      </c>
    </row>
    <row r="653" spans="1:13">
      <c r="A653" t="s">
        <v>13</v>
      </c>
      <c r="B653">
        <v>638766</v>
      </c>
      <c r="C653">
        <v>640712</v>
      </c>
      <c r="E653" t="s">
        <v>35</v>
      </c>
      <c r="F653" t="s">
        <v>2006</v>
      </c>
      <c r="G653" t="s">
        <v>2007</v>
      </c>
      <c r="H653">
        <v>0</v>
      </c>
      <c r="I653" t="s">
        <v>17</v>
      </c>
      <c r="K653" t="s">
        <v>2008</v>
      </c>
      <c r="L653">
        <v>648</v>
      </c>
      <c r="M653" t="s">
        <v>2009</v>
      </c>
    </row>
    <row r="654" spans="1:13">
      <c r="A654" t="s">
        <v>13</v>
      </c>
      <c r="B654">
        <v>640991</v>
      </c>
      <c r="C654">
        <v>641500</v>
      </c>
      <c r="E654" t="s">
        <v>14</v>
      </c>
      <c r="F654" t="s">
        <v>2010</v>
      </c>
      <c r="H654">
        <v>0</v>
      </c>
      <c r="I654" t="s">
        <v>17</v>
      </c>
      <c r="K654" t="s">
        <v>2011</v>
      </c>
      <c r="L654">
        <v>169</v>
      </c>
      <c r="M654" t="s">
        <v>2012</v>
      </c>
    </row>
    <row r="655" spans="1:13">
      <c r="A655" t="s">
        <v>13</v>
      </c>
      <c r="B655">
        <v>641506</v>
      </c>
      <c r="C655">
        <v>641925</v>
      </c>
      <c r="E655" t="s">
        <v>35</v>
      </c>
      <c r="F655" t="s">
        <v>28</v>
      </c>
      <c r="H655">
        <v>0</v>
      </c>
      <c r="I655" t="s">
        <v>17</v>
      </c>
      <c r="K655" t="s">
        <v>2013</v>
      </c>
      <c r="L655">
        <v>139</v>
      </c>
      <c r="M655" t="s">
        <v>2014</v>
      </c>
    </row>
    <row r="656" spans="1:13">
      <c r="A656" t="s">
        <v>13</v>
      </c>
      <c r="B656">
        <v>641982</v>
      </c>
      <c r="C656">
        <v>643184</v>
      </c>
      <c r="E656" t="s">
        <v>35</v>
      </c>
      <c r="F656" t="s">
        <v>2015</v>
      </c>
      <c r="G656" t="s">
        <v>2016</v>
      </c>
      <c r="H656">
        <v>0</v>
      </c>
      <c r="I656" t="s">
        <v>17</v>
      </c>
      <c r="K656" t="s">
        <v>2017</v>
      </c>
      <c r="L656">
        <v>400</v>
      </c>
      <c r="M656" t="s">
        <v>2018</v>
      </c>
    </row>
    <row r="657" spans="1:13">
      <c r="A657" t="s">
        <v>13</v>
      </c>
      <c r="B657">
        <v>643335</v>
      </c>
      <c r="C657">
        <v>644276</v>
      </c>
      <c r="E657" t="s">
        <v>14</v>
      </c>
      <c r="F657" t="s">
        <v>2019</v>
      </c>
      <c r="G657" t="s">
        <v>2020</v>
      </c>
      <c r="H657">
        <v>0</v>
      </c>
      <c r="I657" t="s">
        <v>17</v>
      </c>
      <c r="K657" t="s">
        <v>2021</v>
      </c>
      <c r="L657">
        <v>313</v>
      </c>
      <c r="M657" t="s">
        <v>2022</v>
      </c>
    </row>
    <row r="658" spans="1:13">
      <c r="A658" t="s">
        <v>13</v>
      </c>
      <c r="B658">
        <v>644408</v>
      </c>
      <c r="C658">
        <v>645529</v>
      </c>
      <c r="E658" t="s">
        <v>35</v>
      </c>
      <c r="F658" t="s">
        <v>2023</v>
      </c>
      <c r="H658">
        <v>0</v>
      </c>
      <c r="I658" t="s">
        <v>17</v>
      </c>
      <c r="K658" t="s">
        <v>2024</v>
      </c>
      <c r="L658">
        <v>373</v>
      </c>
      <c r="M658" t="s">
        <v>2025</v>
      </c>
    </row>
    <row r="659" spans="1:13">
      <c r="A659" t="s">
        <v>13</v>
      </c>
      <c r="B659">
        <v>645513</v>
      </c>
      <c r="C659">
        <v>648098</v>
      </c>
      <c r="E659" t="s">
        <v>35</v>
      </c>
      <c r="F659" t="s">
        <v>2026</v>
      </c>
      <c r="G659" t="s">
        <v>2027</v>
      </c>
      <c r="H659">
        <v>0</v>
      </c>
      <c r="I659" t="s">
        <v>17</v>
      </c>
      <c r="K659" t="s">
        <v>2028</v>
      </c>
      <c r="L659">
        <v>861</v>
      </c>
      <c r="M659" t="s">
        <v>2029</v>
      </c>
    </row>
    <row r="660" spans="1:13">
      <c r="A660" t="s">
        <v>13</v>
      </c>
      <c r="B660">
        <v>648233</v>
      </c>
      <c r="C660">
        <v>648742</v>
      </c>
      <c r="E660" t="s">
        <v>14</v>
      </c>
      <c r="F660" t="s">
        <v>2030</v>
      </c>
      <c r="G660" t="s">
        <v>2031</v>
      </c>
      <c r="H660">
        <v>0</v>
      </c>
      <c r="I660" t="s">
        <v>17</v>
      </c>
      <c r="K660" t="s">
        <v>2032</v>
      </c>
      <c r="L660">
        <v>169</v>
      </c>
      <c r="M660" t="s">
        <v>2033</v>
      </c>
    </row>
    <row r="661" spans="1:13">
      <c r="A661" t="s">
        <v>13</v>
      </c>
      <c r="B661">
        <v>648739</v>
      </c>
      <c r="C661">
        <v>650133</v>
      </c>
      <c r="E661" t="s">
        <v>35</v>
      </c>
      <c r="F661" t="s">
        <v>2034</v>
      </c>
      <c r="G661" t="s">
        <v>2035</v>
      </c>
      <c r="H661">
        <v>0</v>
      </c>
      <c r="I661" t="s">
        <v>17</v>
      </c>
      <c r="K661" t="s">
        <v>2036</v>
      </c>
      <c r="L661">
        <v>464</v>
      </c>
      <c r="M661" t="s">
        <v>2037</v>
      </c>
    </row>
    <row r="662" spans="1:13">
      <c r="A662" t="s">
        <v>13</v>
      </c>
      <c r="B662">
        <v>650359</v>
      </c>
      <c r="C662">
        <v>651267</v>
      </c>
      <c r="E662" t="s">
        <v>14</v>
      </c>
      <c r="F662" t="s">
        <v>28</v>
      </c>
      <c r="H662">
        <v>0</v>
      </c>
      <c r="I662" t="s">
        <v>17</v>
      </c>
      <c r="K662" t="s">
        <v>2038</v>
      </c>
      <c r="L662">
        <v>302</v>
      </c>
      <c r="M662" t="s">
        <v>2039</v>
      </c>
    </row>
    <row r="663" spans="1:13">
      <c r="A663" t="s">
        <v>13</v>
      </c>
      <c r="B663">
        <v>651510</v>
      </c>
      <c r="C663">
        <v>652874</v>
      </c>
      <c r="E663" t="s">
        <v>14</v>
      </c>
      <c r="F663" t="s">
        <v>2040</v>
      </c>
      <c r="G663" t="s">
        <v>2041</v>
      </c>
      <c r="H663">
        <v>0</v>
      </c>
      <c r="I663" t="s">
        <v>17</v>
      </c>
      <c r="K663" t="s">
        <v>2042</v>
      </c>
      <c r="L663">
        <v>454</v>
      </c>
      <c r="M663" t="s">
        <v>2043</v>
      </c>
    </row>
    <row r="664" spans="1:13">
      <c r="A664" t="s">
        <v>13</v>
      </c>
      <c r="B664">
        <v>653342</v>
      </c>
      <c r="C664">
        <v>654664</v>
      </c>
      <c r="E664" t="s">
        <v>14</v>
      </c>
      <c r="F664" t="s">
        <v>330</v>
      </c>
      <c r="G664" t="s">
        <v>2044</v>
      </c>
      <c r="H664">
        <v>0</v>
      </c>
      <c r="I664" t="s">
        <v>17</v>
      </c>
      <c r="K664" t="s">
        <v>2045</v>
      </c>
      <c r="L664">
        <v>440</v>
      </c>
      <c r="M664" t="s">
        <v>2046</v>
      </c>
    </row>
    <row r="665" spans="1:13">
      <c r="A665" t="s">
        <v>13</v>
      </c>
      <c r="B665">
        <v>654955</v>
      </c>
      <c r="C665">
        <v>655911</v>
      </c>
      <c r="E665" t="s">
        <v>35</v>
      </c>
      <c r="F665" t="s">
        <v>2047</v>
      </c>
      <c r="G665" t="s">
        <v>2048</v>
      </c>
      <c r="H665">
        <v>0</v>
      </c>
      <c r="I665" t="s">
        <v>17</v>
      </c>
      <c r="K665" t="s">
        <v>2049</v>
      </c>
      <c r="L665">
        <v>318</v>
      </c>
      <c r="M665" t="s">
        <v>2050</v>
      </c>
    </row>
    <row r="666" spans="1:13">
      <c r="A666" t="s">
        <v>13</v>
      </c>
      <c r="B666">
        <v>655908</v>
      </c>
      <c r="C666">
        <v>656660</v>
      </c>
      <c r="E666" t="s">
        <v>35</v>
      </c>
      <c r="F666" t="s">
        <v>2051</v>
      </c>
      <c r="G666" t="s">
        <v>2052</v>
      </c>
      <c r="H666">
        <v>0</v>
      </c>
      <c r="I666" t="s">
        <v>17</v>
      </c>
      <c r="K666" t="s">
        <v>2053</v>
      </c>
      <c r="L666">
        <v>250</v>
      </c>
      <c r="M666" t="s">
        <v>2054</v>
      </c>
    </row>
    <row r="667" spans="1:13">
      <c r="A667" t="s">
        <v>13</v>
      </c>
      <c r="B667">
        <v>656647</v>
      </c>
      <c r="C667">
        <v>657861</v>
      </c>
      <c r="E667" t="s">
        <v>35</v>
      </c>
      <c r="F667" t="s">
        <v>2055</v>
      </c>
      <c r="G667" t="s">
        <v>2056</v>
      </c>
      <c r="H667">
        <v>0</v>
      </c>
      <c r="I667" t="s">
        <v>17</v>
      </c>
      <c r="K667" t="s">
        <v>2057</v>
      </c>
      <c r="L667">
        <v>404</v>
      </c>
      <c r="M667" t="s">
        <v>2058</v>
      </c>
    </row>
    <row r="668" spans="1:13">
      <c r="A668" t="s">
        <v>13</v>
      </c>
      <c r="B668">
        <v>657864</v>
      </c>
      <c r="C668">
        <v>658499</v>
      </c>
      <c r="E668" t="s">
        <v>35</v>
      </c>
      <c r="F668" t="s">
        <v>2051</v>
      </c>
      <c r="G668" t="s">
        <v>2059</v>
      </c>
      <c r="H668">
        <v>0</v>
      </c>
      <c r="I668" t="s">
        <v>17</v>
      </c>
      <c r="K668" t="s">
        <v>2060</v>
      </c>
      <c r="L668">
        <v>211</v>
      </c>
      <c r="M668" t="s">
        <v>2061</v>
      </c>
    </row>
    <row r="669" spans="1:13">
      <c r="A669" t="s">
        <v>13</v>
      </c>
      <c r="B669">
        <v>658689</v>
      </c>
      <c r="C669">
        <v>659426</v>
      </c>
      <c r="E669" t="s">
        <v>35</v>
      </c>
      <c r="F669" t="s">
        <v>2062</v>
      </c>
      <c r="H669">
        <v>0</v>
      </c>
      <c r="I669" t="s">
        <v>17</v>
      </c>
      <c r="K669" t="s">
        <v>2063</v>
      </c>
      <c r="L669">
        <v>245</v>
      </c>
      <c r="M669" t="s">
        <v>2064</v>
      </c>
    </row>
    <row r="670" spans="1:13">
      <c r="A670" t="s">
        <v>13</v>
      </c>
      <c r="B670">
        <v>659455</v>
      </c>
      <c r="C670">
        <v>660117</v>
      </c>
      <c r="E670" t="s">
        <v>35</v>
      </c>
      <c r="F670" t="s">
        <v>28</v>
      </c>
      <c r="H670">
        <v>0</v>
      </c>
      <c r="I670" t="s">
        <v>17</v>
      </c>
      <c r="K670" t="s">
        <v>2065</v>
      </c>
      <c r="L670">
        <v>220</v>
      </c>
      <c r="M670" t="s">
        <v>2066</v>
      </c>
    </row>
    <row r="671" spans="1:13">
      <c r="A671" t="s">
        <v>13</v>
      </c>
      <c r="B671">
        <v>660143</v>
      </c>
      <c r="C671">
        <v>661774</v>
      </c>
      <c r="E671" t="s">
        <v>35</v>
      </c>
      <c r="F671" t="s">
        <v>2067</v>
      </c>
      <c r="G671" t="s">
        <v>2068</v>
      </c>
      <c r="H671">
        <v>0</v>
      </c>
      <c r="I671" t="s">
        <v>17</v>
      </c>
      <c r="K671" t="s">
        <v>2069</v>
      </c>
      <c r="L671">
        <v>543</v>
      </c>
      <c r="M671" t="s">
        <v>2070</v>
      </c>
    </row>
    <row r="672" spans="1:13">
      <c r="A672" t="s">
        <v>13</v>
      </c>
      <c r="B672">
        <v>661920</v>
      </c>
      <c r="C672">
        <v>662816</v>
      </c>
      <c r="E672" t="s">
        <v>14</v>
      </c>
      <c r="F672" t="s">
        <v>2071</v>
      </c>
      <c r="G672" t="s">
        <v>2072</v>
      </c>
      <c r="H672">
        <v>0</v>
      </c>
      <c r="I672" t="s">
        <v>17</v>
      </c>
      <c r="K672" t="s">
        <v>2073</v>
      </c>
      <c r="L672">
        <v>298</v>
      </c>
      <c r="M672" t="s">
        <v>2074</v>
      </c>
    </row>
    <row r="673" spans="1:13">
      <c r="A673" t="s">
        <v>13</v>
      </c>
      <c r="B673">
        <v>662910</v>
      </c>
      <c r="C673">
        <v>664004</v>
      </c>
      <c r="E673" t="s">
        <v>14</v>
      </c>
      <c r="F673" t="s">
        <v>2075</v>
      </c>
      <c r="G673" t="s">
        <v>2076</v>
      </c>
      <c r="H673">
        <v>0</v>
      </c>
      <c r="I673" t="s">
        <v>17</v>
      </c>
      <c r="K673" t="s">
        <v>2077</v>
      </c>
      <c r="L673">
        <v>364</v>
      </c>
      <c r="M673" t="s">
        <v>2078</v>
      </c>
    </row>
    <row r="674" spans="1:13">
      <c r="A674" t="s">
        <v>13</v>
      </c>
      <c r="B674">
        <v>664434</v>
      </c>
      <c r="C674">
        <v>664736</v>
      </c>
      <c r="E674" t="s">
        <v>14</v>
      </c>
      <c r="F674" t="s">
        <v>2079</v>
      </c>
      <c r="G674" t="s">
        <v>2080</v>
      </c>
      <c r="H674">
        <v>0</v>
      </c>
      <c r="I674" t="s">
        <v>17</v>
      </c>
      <c r="K674" t="s">
        <v>2081</v>
      </c>
      <c r="L674">
        <v>100</v>
      </c>
      <c r="M674" t="s">
        <v>2082</v>
      </c>
    </row>
    <row r="675" spans="1:13">
      <c r="A675" t="s">
        <v>13</v>
      </c>
      <c r="B675">
        <v>664823</v>
      </c>
      <c r="C675">
        <v>665299</v>
      </c>
      <c r="E675" t="s">
        <v>35</v>
      </c>
      <c r="F675" t="s">
        <v>28</v>
      </c>
      <c r="H675">
        <v>0</v>
      </c>
      <c r="I675" t="s">
        <v>17</v>
      </c>
      <c r="K675" t="s">
        <v>2083</v>
      </c>
      <c r="L675">
        <v>158</v>
      </c>
      <c r="M675" t="s">
        <v>2084</v>
      </c>
    </row>
    <row r="676" spans="1:13">
      <c r="A676" t="s">
        <v>13</v>
      </c>
      <c r="B676">
        <v>665388</v>
      </c>
      <c r="C676">
        <v>665885</v>
      </c>
      <c r="E676" t="s">
        <v>14</v>
      </c>
      <c r="F676" t="s">
        <v>28</v>
      </c>
      <c r="H676">
        <v>0</v>
      </c>
      <c r="I676" t="s">
        <v>17</v>
      </c>
      <c r="K676" t="s">
        <v>2085</v>
      </c>
      <c r="L676">
        <v>165</v>
      </c>
      <c r="M676" t="s">
        <v>2086</v>
      </c>
    </row>
    <row r="677" spans="1:13">
      <c r="A677" t="s">
        <v>13</v>
      </c>
      <c r="B677">
        <v>666020</v>
      </c>
      <c r="C677">
        <v>667360</v>
      </c>
      <c r="E677" t="s">
        <v>14</v>
      </c>
      <c r="F677" t="s">
        <v>2087</v>
      </c>
      <c r="G677" t="s">
        <v>2088</v>
      </c>
      <c r="H677">
        <v>0</v>
      </c>
      <c r="I677" t="s">
        <v>17</v>
      </c>
      <c r="K677" t="s">
        <v>2089</v>
      </c>
      <c r="L677">
        <v>446</v>
      </c>
      <c r="M677" t="s">
        <v>2090</v>
      </c>
    </row>
    <row r="678" spans="1:13">
      <c r="A678" t="s">
        <v>13</v>
      </c>
      <c r="B678">
        <v>667378</v>
      </c>
      <c r="C678">
        <v>668730</v>
      </c>
      <c r="E678" t="s">
        <v>35</v>
      </c>
      <c r="F678" t="s">
        <v>2091</v>
      </c>
      <c r="G678" t="s">
        <v>2092</v>
      </c>
      <c r="H678">
        <v>0</v>
      </c>
      <c r="I678" t="s">
        <v>17</v>
      </c>
      <c r="K678" t="s">
        <v>2093</v>
      </c>
      <c r="L678">
        <v>450</v>
      </c>
      <c r="M678" t="s">
        <v>2094</v>
      </c>
    </row>
    <row r="679" spans="1:13">
      <c r="A679" t="s">
        <v>13</v>
      </c>
      <c r="B679">
        <v>669035</v>
      </c>
      <c r="C679">
        <v>670711</v>
      </c>
      <c r="E679" t="s">
        <v>14</v>
      </c>
      <c r="F679" t="s">
        <v>2095</v>
      </c>
      <c r="G679" t="s">
        <v>2096</v>
      </c>
      <c r="H679">
        <v>0</v>
      </c>
      <c r="I679" t="s">
        <v>17</v>
      </c>
      <c r="K679" t="s">
        <v>2097</v>
      </c>
      <c r="L679">
        <v>558</v>
      </c>
      <c r="M679" t="s">
        <v>2098</v>
      </c>
    </row>
    <row r="680" spans="1:13">
      <c r="A680" t="s">
        <v>13</v>
      </c>
      <c r="B680">
        <v>670708</v>
      </c>
      <c r="C680">
        <v>670959</v>
      </c>
      <c r="E680" t="s">
        <v>14</v>
      </c>
      <c r="F680" t="s">
        <v>28</v>
      </c>
      <c r="H680">
        <v>0</v>
      </c>
      <c r="I680" t="s">
        <v>17</v>
      </c>
      <c r="K680" t="s">
        <v>2099</v>
      </c>
      <c r="L680">
        <v>83</v>
      </c>
      <c r="M680" t="s">
        <v>2100</v>
      </c>
    </row>
    <row r="681" spans="1:13">
      <c r="A681" t="s">
        <v>13</v>
      </c>
      <c r="B681">
        <v>670969</v>
      </c>
      <c r="C681">
        <v>671706</v>
      </c>
      <c r="E681" t="s">
        <v>14</v>
      </c>
      <c r="F681" t="s">
        <v>2101</v>
      </c>
      <c r="H681">
        <v>0</v>
      </c>
      <c r="I681" t="s">
        <v>17</v>
      </c>
      <c r="K681" t="s">
        <v>2102</v>
      </c>
      <c r="L681">
        <v>245</v>
      </c>
      <c r="M681" t="s">
        <v>2103</v>
      </c>
    </row>
    <row r="682" spans="1:13">
      <c r="A682" t="s">
        <v>13</v>
      </c>
      <c r="B682">
        <v>671700</v>
      </c>
      <c r="C682">
        <v>672719</v>
      </c>
      <c r="E682" t="s">
        <v>14</v>
      </c>
      <c r="F682" t="s">
        <v>2062</v>
      </c>
      <c r="H682">
        <v>0</v>
      </c>
      <c r="I682" t="s">
        <v>17</v>
      </c>
      <c r="K682" t="s">
        <v>2104</v>
      </c>
      <c r="L682">
        <v>339</v>
      </c>
      <c r="M682" t="s">
        <v>2105</v>
      </c>
    </row>
    <row r="683" spans="1:13">
      <c r="A683" t="s">
        <v>13</v>
      </c>
      <c r="B683">
        <v>672716</v>
      </c>
      <c r="C683">
        <v>673468</v>
      </c>
      <c r="E683" t="s">
        <v>35</v>
      </c>
      <c r="F683" t="s">
        <v>1043</v>
      </c>
      <c r="G683" t="s">
        <v>2106</v>
      </c>
      <c r="H683">
        <v>0</v>
      </c>
      <c r="I683" t="s">
        <v>17</v>
      </c>
      <c r="K683" t="s">
        <v>2107</v>
      </c>
      <c r="L683">
        <v>250</v>
      </c>
      <c r="M683" t="s">
        <v>2108</v>
      </c>
    </row>
    <row r="684" spans="1:13">
      <c r="A684" t="s">
        <v>13</v>
      </c>
      <c r="B684">
        <v>673510</v>
      </c>
      <c r="C684">
        <v>674559</v>
      </c>
      <c r="E684" t="s">
        <v>14</v>
      </c>
      <c r="F684" t="s">
        <v>28</v>
      </c>
      <c r="H684">
        <v>0</v>
      </c>
      <c r="I684" t="s">
        <v>17</v>
      </c>
      <c r="K684" t="s">
        <v>2109</v>
      </c>
      <c r="L684">
        <v>349</v>
      </c>
      <c r="M684" t="s">
        <v>2110</v>
      </c>
    </row>
    <row r="685" spans="1:13">
      <c r="A685" t="s">
        <v>13</v>
      </c>
      <c r="B685">
        <v>674566</v>
      </c>
      <c r="C685">
        <v>675819</v>
      </c>
      <c r="E685" t="s">
        <v>14</v>
      </c>
      <c r="F685" t="s">
        <v>2111</v>
      </c>
      <c r="G685" t="s">
        <v>2112</v>
      </c>
      <c r="H685">
        <v>0</v>
      </c>
      <c r="I685" t="s">
        <v>17</v>
      </c>
      <c r="K685" t="s">
        <v>2113</v>
      </c>
      <c r="L685">
        <v>417</v>
      </c>
      <c r="M685" t="s">
        <v>2114</v>
      </c>
    </row>
    <row r="686" spans="1:13">
      <c r="A686" t="s">
        <v>13</v>
      </c>
      <c r="B686">
        <v>675896</v>
      </c>
      <c r="C686">
        <v>676768</v>
      </c>
      <c r="E686" t="s">
        <v>35</v>
      </c>
      <c r="F686" t="s">
        <v>28</v>
      </c>
      <c r="H686">
        <v>0</v>
      </c>
      <c r="I686" t="s">
        <v>17</v>
      </c>
      <c r="K686" t="s">
        <v>2115</v>
      </c>
      <c r="L686">
        <v>290</v>
      </c>
      <c r="M686" t="s">
        <v>2116</v>
      </c>
    </row>
    <row r="687" spans="1:13">
      <c r="A687" t="s">
        <v>13</v>
      </c>
      <c r="B687">
        <v>676981</v>
      </c>
      <c r="C687">
        <v>677334</v>
      </c>
      <c r="E687" t="s">
        <v>14</v>
      </c>
      <c r="F687" t="s">
        <v>28</v>
      </c>
      <c r="H687">
        <v>0</v>
      </c>
      <c r="I687" t="s">
        <v>17</v>
      </c>
      <c r="K687" t="s">
        <v>2117</v>
      </c>
      <c r="L687">
        <v>117</v>
      </c>
      <c r="M687" t="s">
        <v>2118</v>
      </c>
    </row>
    <row r="688" spans="1:13">
      <c r="A688" t="s">
        <v>13</v>
      </c>
      <c r="B688">
        <v>677398</v>
      </c>
      <c r="C688">
        <v>678012</v>
      </c>
      <c r="E688" t="s">
        <v>14</v>
      </c>
      <c r="F688" t="s">
        <v>2119</v>
      </c>
      <c r="G688" t="s">
        <v>2120</v>
      </c>
      <c r="H688">
        <v>0</v>
      </c>
      <c r="I688" t="s">
        <v>17</v>
      </c>
      <c r="K688" t="s">
        <v>2121</v>
      </c>
      <c r="L688">
        <v>204</v>
      </c>
      <c r="M688" t="s">
        <v>2122</v>
      </c>
    </row>
    <row r="689" spans="1:13">
      <c r="A689" t="s">
        <v>13</v>
      </c>
      <c r="B689">
        <v>678016</v>
      </c>
      <c r="C689">
        <v>678657</v>
      </c>
      <c r="E689" t="s">
        <v>14</v>
      </c>
      <c r="F689" t="s">
        <v>2123</v>
      </c>
      <c r="G689" t="s">
        <v>2124</v>
      </c>
      <c r="H689">
        <v>0</v>
      </c>
      <c r="I689" t="s">
        <v>17</v>
      </c>
      <c r="K689" t="s">
        <v>2125</v>
      </c>
      <c r="L689">
        <v>213</v>
      </c>
      <c r="M689" t="s">
        <v>2126</v>
      </c>
    </row>
    <row r="690" spans="1:13">
      <c r="A690" t="s">
        <v>13</v>
      </c>
      <c r="B690">
        <v>678732</v>
      </c>
      <c r="C690">
        <v>680678</v>
      </c>
      <c r="E690" t="s">
        <v>14</v>
      </c>
      <c r="F690" t="s">
        <v>2127</v>
      </c>
      <c r="G690" t="s">
        <v>2128</v>
      </c>
      <c r="H690">
        <v>0</v>
      </c>
      <c r="I690" t="s">
        <v>17</v>
      </c>
      <c r="K690" t="s">
        <v>2129</v>
      </c>
      <c r="L690">
        <v>648</v>
      </c>
      <c r="M690" t="s">
        <v>2130</v>
      </c>
    </row>
    <row r="691" spans="1:13">
      <c r="A691" t="s">
        <v>13</v>
      </c>
      <c r="B691">
        <v>680679</v>
      </c>
      <c r="C691">
        <v>682424</v>
      </c>
      <c r="E691" t="s">
        <v>14</v>
      </c>
      <c r="F691" t="s">
        <v>2131</v>
      </c>
      <c r="G691" t="s">
        <v>2132</v>
      </c>
      <c r="H691">
        <v>0</v>
      </c>
      <c r="I691" t="s">
        <v>17</v>
      </c>
      <c r="K691" t="s">
        <v>2133</v>
      </c>
      <c r="L691">
        <v>581</v>
      </c>
      <c r="M691" t="s">
        <v>2134</v>
      </c>
    </row>
    <row r="692" spans="1:13">
      <c r="A692" t="s">
        <v>13</v>
      </c>
      <c r="B692">
        <v>682472</v>
      </c>
      <c r="C692">
        <v>683119</v>
      </c>
      <c r="E692" t="s">
        <v>14</v>
      </c>
      <c r="F692" t="s">
        <v>2135</v>
      </c>
      <c r="H692">
        <v>0</v>
      </c>
      <c r="I692" t="s">
        <v>17</v>
      </c>
      <c r="K692" t="s">
        <v>2136</v>
      </c>
      <c r="L692">
        <v>215</v>
      </c>
      <c r="M692" t="s">
        <v>2137</v>
      </c>
    </row>
    <row r="693" spans="1:13">
      <c r="A693" t="s">
        <v>13</v>
      </c>
      <c r="B693">
        <v>683256</v>
      </c>
      <c r="C693">
        <v>683900</v>
      </c>
      <c r="E693" t="s">
        <v>14</v>
      </c>
      <c r="F693" t="s">
        <v>2138</v>
      </c>
      <c r="G693" t="s">
        <v>2139</v>
      </c>
      <c r="H693">
        <v>0</v>
      </c>
      <c r="I693" t="s">
        <v>17</v>
      </c>
      <c r="K693" t="s">
        <v>2140</v>
      </c>
      <c r="L693">
        <v>214</v>
      </c>
      <c r="M693" t="s">
        <v>2141</v>
      </c>
    </row>
    <row r="694" spans="1:13">
      <c r="A694" t="s">
        <v>13</v>
      </c>
      <c r="B694">
        <v>684138</v>
      </c>
      <c r="C694">
        <v>686723</v>
      </c>
      <c r="E694" t="s">
        <v>14</v>
      </c>
      <c r="F694" t="s">
        <v>2142</v>
      </c>
      <c r="H694">
        <v>0</v>
      </c>
      <c r="I694" t="s">
        <v>17</v>
      </c>
      <c r="K694" t="s">
        <v>2143</v>
      </c>
      <c r="L694">
        <v>861</v>
      </c>
      <c r="M694" t="s">
        <v>2144</v>
      </c>
    </row>
    <row r="695" spans="1:13">
      <c r="A695" t="s">
        <v>13</v>
      </c>
      <c r="B695">
        <v>686803</v>
      </c>
      <c r="C695">
        <v>687186</v>
      </c>
      <c r="E695" t="s">
        <v>35</v>
      </c>
      <c r="F695" t="s">
        <v>28</v>
      </c>
      <c r="H695">
        <v>0</v>
      </c>
      <c r="I695" t="s">
        <v>17</v>
      </c>
      <c r="K695" t="s">
        <v>2145</v>
      </c>
      <c r="L695">
        <v>127</v>
      </c>
      <c r="M695" t="s">
        <v>2146</v>
      </c>
    </row>
    <row r="696" spans="1:13">
      <c r="A696" t="s">
        <v>13</v>
      </c>
      <c r="B696">
        <v>687363</v>
      </c>
      <c r="C696">
        <v>687773</v>
      </c>
      <c r="E696" t="s">
        <v>14</v>
      </c>
      <c r="F696" t="s">
        <v>2147</v>
      </c>
      <c r="H696">
        <v>0</v>
      </c>
      <c r="I696" t="s">
        <v>17</v>
      </c>
      <c r="K696" t="s">
        <v>2148</v>
      </c>
      <c r="L696">
        <v>136</v>
      </c>
      <c r="M696" t="s">
        <v>2149</v>
      </c>
    </row>
    <row r="697" spans="1:13">
      <c r="A697" t="s">
        <v>13</v>
      </c>
      <c r="B697">
        <v>687773</v>
      </c>
      <c r="C697">
        <v>688288</v>
      </c>
      <c r="E697" t="s">
        <v>14</v>
      </c>
      <c r="F697" t="s">
        <v>28</v>
      </c>
      <c r="H697">
        <v>0</v>
      </c>
      <c r="I697" t="s">
        <v>17</v>
      </c>
      <c r="K697" t="s">
        <v>2150</v>
      </c>
      <c r="L697">
        <v>171</v>
      </c>
      <c r="M697" t="s">
        <v>2151</v>
      </c>
    </row>
    <row r="698" spans="1:13">
      <c r="A698" t="s">
        <v>13</v>
      </c>
      <c r="B698">
        <v>688295</v>
      </c>
      <c r="C698">
        <v>689329</v>
      </c>
      <c r="E698" t="s">
        <v>35</v>
      </c>
      <c r="F698" t="s">
        <v>2152</v>
      </c>
      <c r="G698" t="s">
        <v>2153</v>
      </c>
      <c r="H698">
        <v>0</v>
      </c>
      <c r="I698" t="s">
        <v>17</v>
      </c>
      <c r="K698" t="s">
        <v>2154</v>
      </c>
      <c r="L698">
        <v>344</v>
      </c>
      <c r="M698" t="s">
        <v>2155</v>
      </c>
    </row>
    <row r="699" spans="1:13">
      <c r="A699" t="s">
        <v>13</v>
      </c>
      <c r="B699">
        <v>689322</v>
      </c>
      <c r="C699">
        <v>690602</v>
      </c>
      <c r="E699" t="s">
        <v>35</v>
      </c>
      <c r="F699" t="s">
        <v>2156</v>
      </c>
      <c r="G699" t="s">
        <v>2157</v>
      </c>
      <c r="H699">
        <v>0</v>
      </c>
      <c r="I699" t="s">
        <v>17</v>
      </c>
      <c r="K699" t="s">
        <v>2158</v>
      </c>
      <c r="L699">
        <v>426</v>
      </c>
      <c r="M699" t="s">
        <v>2159</v>
      </c>
    </row>
    <row r="700" spans="1:13">
      <c r="A700" t="s">
        <v>13</v>
      </c>
      <c r="B700">
        <v>690604</v>
      </c>
      <c r="C700">
        <v>691272</v>
      </c>
      <c r="E700" t="s">
        <v>14</v>
      </c>
      <c r="F700" t="s">
        <v>2160</v>
      </c>
      <c r="G700" t="s">
        <v>2161</v>
      </c>
      <c r="H700">
        <v>0</v>
      </c>
      <c r="I700" t="s">
        <v>17</v>
      </c>
      <c r="K700" t="s">
        <v>2162</v>
      </c>
      <c r="L700">
        <v>222</v>
      </c>
      <c r="M700" t="s">
        <v>2163</v>
      </c>
    </row>
    <row r="701" spans="1:13">
      <c r="A701" t="s">
        <v>13</v>
      </c>
      <c r="B701">
        <v>691255</v>
      </c>
      <c r="C701">
        <v>691761</v>
      </c>
      <c r="E701" t="s">
        <v>35</v>
      </c>
      <c r="F701" t="s">
        <v>2164</v>
      </c>
      <c r="G701" t="s">
        <v>2165</v>
      </c>
      <c r="H701">
        <v>0</v>
      </c>
      <c r="I701" t="s">
        <v>17</v>
      </c>
      <c r="K701" t="s">
        <v>2166</v>
      </c>
      <c r="L701">
        <v>168</v>
      </c>
      <c r="M701" t="s">
        <v>2167</v>
      </c>
    </row>
    <row r="702" spans="1:13">
      <c r="A702" t="s">
        <v>13</v>
      </c>
      <c r="B702">
        <v>691798</v>
      </c>
      <c r="C702">
        <v>692400</v>
      </c>
      <c r="E702" t="s">
        <v>14</v>
      </c>
      <c r="F702" t="s">
        <v>2168</v>
      </c>
      <c r="G702" t="s">
        <v>2169</v>
      </c>
      <c r="H702">
        <v>0</v>
      </c>
      <c r="I702" t="s">
        <v>17</v>
      </c>
      <c r="K702" t="s">
        <v>2170</v>
      </c>
      <c r="L702">
        <v>200</v>
      </c>
      <c r="M702" t="s">
        <v>2171</v>
      </c>
    </row>
    <row r="703" spans="1:13">
      <c r="A703" t="s">
        <v>13</v>
      </c>
      <c r="B703">
        <v>692400</v>
      </c>
      <c r="C703">
        <v>692672</v>
      </c>
      <c r="E703" t="s">
        <v>14</v>
      </c>
      <c r="F703" t="s">
        <v>28</v>
      </c>
      <c r="H703">
        <v>0</v>
      </c>
      <c r="I703" t="s">
        <v>17</v>
      </c>
      <c r="K703" t="s">
        <v>2172</v>
      </c>
      <c r="L703">
        <v>90</v>
      </c>
      <c r="M703" t="s">
        <v>2173</v>
      </c>
    </row>
    <row r="704" spans="1:13">
      <c r="A704" t="s">
        <v>13</v>
      </c>
      <c r="B704">
        <v>693009</v>
      </c>
      <c r="C704">
        <v>693269</v>
      </c>
      <c r="E704" t="s">
        <v>35</v>
      </c>
      <c r="F704" t="s">
        <v>2174</v>
      </c>
      <c r="G704" t="s">
        <v>2175</v>
      </c>
      <c r="H704">
        <v>0</v>
      </c>
      <c r="I704" t="s">
        <v>17</v>
      </c>
      <c r="K704" t="s">
        <v>2176</v>
      </c>
      <c r="L704">
        <v>86</v>
      </c>
      <c r="M704" t="s">
        <v>2177</v>
      </c>
    </row>
    <row r="705" spans="1:13">
      <c r="A705" t="s">
        <v>13</v>
      </c>
      <c r="B705">
        <v>693738</v>
      </c>
      <c r="C705">
        <v>694265</v>
      </c>
      <c r="E705" t="s">
        <v>14</v>
      </c>
      <c r="F705" t="s">
        <v>28</v>
      </c>
      <c r="H705">
        <v>0</v>
      </c>
      <c r="I705" t="s">
        <v>17</v>
      </c>
      <c r="K705" t="s">
        <v>2178</v>
      </c>
      <c r="L705">
        <v>175</v>
      </c>
      <c r="M705" t="s">
        <v>2179</v>
      </c>
    </row>
    <row r="706" spans="1:13">
      <c r="A706" t="s">
        <v>13</v>
      </c>
      <c r="B706">
        <v>694316</v>
      </c>
      <c r="C706">
        <v>695554</v>
      </c>
      <c r="E706" t="s">
        <v>35</v>
      </c>
      <c r="F706" t="s">
        <v>28</v>
      </c>
      <c r="H706">
        <v>0</v>
      </c>
      <c r="I706" t="s">
        <v>17</v>
      </c>
      <c r="K706" t="s">
        <v>2180</v>
      </c>
      <c r="L706">
        <v>412</v>
      </c>
      <c r="M706" t="s">
        <v>2181</v>
      </c>
    </row>
    <row r="707" spans="1:13">
      <c r="A707" t="s">
        <v>13</v>
      </c>
      <c r="B707">
        <v>695551</v>
      </c>
      <c r="C707">
        <v>696909</v>
      </c>
      <c r="E707" t="s">
        <v>35</v>
      </c>
      <c r="F707" t="s">
        <v>2182</v>
      </c>
      <c r="G707" t="s">
        <v>2183</v>
      </c>
      <c r="H707">
        <v>0</v>
      </c>
      <c r="I707" t="s">
        <v>17</v>
      </c>
      <c r="K707" t="s">
        <v>2184</v>
      </c>
      <c r="L707">
        <v>452</v>
      </c>
      <c r="M707" t="s">
        <v>2185</v>
      </c>
    </row>
    <row r="708" spans="1:13">
      <c r="A708" t="s">
        <v>13</v>
      </c>
      <c r="B708">
        <v>696984</v>
      </c>
      <c r="C708">
        <v>697208</v>
      </c>
      <c r="E708" t="s">
        <v>14</v>
      </c>
      <c r="F708" t="s">
        <v>28</v>
      </c>
      <c r="H708">
        <v>0</v>
      </c>
      <c r="I708" t="s">
        <v>17</v>
      </c>
      <c r="K708" t="s">
        <v>2186</v>
      </c>
      <c r="L708">
        <v>74</v>
      </c>
      <c r="M708" t="s">
        <v>2187</v>
      </c>
    </row>
    <row r="709" spans="1:13">
      <c r="A709" t="s">
        <v>13</v>
      </c>
      <c r="B709">
        <v>697269</v>
      </c>
      <c r="C709">
        <v>698225</v>
      </c>
      <c r="E709" t="s">
        <v>14</v>
      </c>
      <c r="F709" t="s">
        <v>28</v>
      </c>
      <c r="H709">
        <v>0</v>
      </c>
      <c r="I709" t="s">
        <v>17</v>
      </c>
      <c r="K709" t="s">
        <v>2188</v>
      </c>
      <c r="L709">
        <v>318</v>
      </c>
      <c r="M709" t="s">
        <v>2189</v>
      </c>
    </row>
    <row r="710" spans="1:13">
      <c r="A710" t="s">
        <v>13</v>
      </c>
      <c r="B710">
        <v>698236</v>
      </c>
      <c r="C710">
        <v>699024</v>
      </c>
      <c r="E710" t="s">
        <v>14</v>
      </c>
      <c r="F710" t="s">
        <v>28</v>
      </c>
      <c r="H710">
        <v>0</v>
      </c>
      <c r="I710" t="s">
        <v>17</v>
      </c>
      <c r="K710" t="s">
        <v>2190</v>
      </c>
      <c r="L710">
        <v>262</v>
      </c>
      <c r="M710" t="s">
        <v>2191</v>
      </c>
    </row>
    <row r="711" spans="1:13">
      <c r="A711" t="s">
        <v>13</v>
      </c>
      <c r="B711">
        <v>699021</v>
      </c>
      <c r="C711">
        <v>702164</v>
      </c>
      <c r="E711" t="s">
        <v>14</v>
      </c>
      <c r="F711" t="s">
        <v>2192</v>
      </c>
      <c r="G711" t="s">
        <v>2193</v>
      </c>
      <c r="H711">
        <v>0</v>
      </c>
      <c r="I711" t="s">
        <v>17</v>
      </c>
      <c r="K711" t="s">
        <v>2194</v>
      </c>
      <c r="L711">
        <v>1047</v>
      </c>
      <c r="M711" t="s">
        <v>2195</v>
      </c>
    </row>
    <row r="712" spans="1:13">
      <c r="A712" t="s">
        <v>13</v>
      </c>
      <c r="B712">
        <v>702157</v>
      </c>
      <c r="C712">
        <v>705336</v>
      </c>
      <c r="E712" t="s">
        <v>14</v>
      </c>
      <c r="F712" t="s">
        <v>2192</v>
      </c>
      <c r="G712" t="s">
        <v>2196</v>
      </c>
      <c r="H712">
        <v>0</v>
      </c>
      <c r="I712" t="s">
        <v>17</v>
      </c>
      <c r="K712" t="s">
        <v>2197</v>
      </c>
      <c r="L712">
        <v>1059</v>
      </c>
      <c r="M712" t="s">
        <v>2198</v>
      </c>
    </row>
    <row r="713" spans="1:13">
      <c r="A713" t="s">
        <v>13</v>
      </c>
      <c r="B713">
        <v>705436</v>
      </c>
      <c r="C713">
        <v>706554</v>
      </c>
      <c r="E713" t="s">
        <v>14</v>
      </c>
      <c r="F713" t="s">
        <v>2199</v>
      </c>
      <c r="G713" t="s">
        <v>2200</v>
      </c>
      <c r="H713">
        <v>0</v>
      </c>
      <c r="I713" t="s">
        <v>17</v>
      </c>
      <c r="K713" t="s">
        <v>2201</v>
      </c>
      <c r="L713">
        <v>372</v>
      </c>
      <c r="M713" t="s">
        <v>2202</v>
      </c>
    </row>
    <row r="714" spans="1:13">
      <c r="A714" t="s">
        <v>13</v>
      </c>
      <c r="B714">
        <v>706555</v>
      </c>
      <c r="C714">
        <v>707286</v>
      </c>
      <c r="E714" t="s">
        <v>14</v>
      </c>
      <c r="F714" t="s">
        <v>2203</v>
      </c>
      <c r="G714" t="s">
        <v>2204</v>
      </c>
      <c r="H714">
        <v>0</v>
      </c>
      <c r="I714" t="s">
        <v>17</v>
      </c>
      <c r="K714" t="s">
        <v>2205</v>
      </c>
      <c r="L714">
        <v>243</v>
      </c>
      <c r="M714" t="s">
        <v>2206</v>
      </c>
    </row>
    <row r="715" spans="1:13">
      <c r="A715" t="s">
        <v>13</v>
      </c>
      <c r="B715">
        <v>707279</v>
      </c>
      <c r="C715">
        <v>709333</v>
      </c>
      <c r="E715" t="s">
        <v>14</v>
      </c>
      <c r="F715" t="s">
        <v>2207</v>
      </c>
      <c r="G715" t="s">
        <v>2208</v>
      </c>
      <c r="H715">
        <v>0</v>
      </c>
      <c r="I715" t="s">
        <v>17</v>
      </c>
      <c r="K715" t="s">
        <v>2209</v>
      </c>
      <c r="L715">
        <v>684</v>
      </c>
      <c r="M715" t="s">
        <v>2210</v>
      </c>
    </row>
    <row r="716" spans="1:13">
      <c r="A716" t="s">
        <v>13</v>
      </c>
      <c r="B716">
        <v>709311</v>
      </c>
      <c r="C716">
        <v>710132</v>
      </c>
      <c r="E716" t="s">
        <v>35</v>
      </c>
      <c r="F716" t="s">
        <v>28</v>
      </c>
      <c r="H716">
        <v>0</v>
      </c>
      <c r="I716" t="s">
        <v>17</v>
      </c>
      <c r="K716" t="s">
        <v>2211</v>
      </c>
      <c r="L716">
        <v>273</v>
      </c>
      <c r="M716" t="s">
        <v>2212</v>
      </c>
    </row>
    <row r="717" spans="1:13">
      <c r="A717" t="s">
        <v>13</v>
      </c>
      <c r="B717">
        <v>710298</v>
      </c>
      <c r="C717">
        <v>710819</v>
      </c>
      <c r="E717" t="s">
        <v>14</v>
      </c>
      <c r="F717" t="s">
        <v>28</v>
      </c>
      <c r="H717">
        <v>0</v>
      </c>
      <c r="I717" t="s">
        <v>17</v>
      </c>
      <c r="K717" t="s">
        <v>2213</v>
      </c>
      <c r="L717">
        <v>173</v>
      </c>
      <c r="M717" t="s">
        <v>2214</v>
      </c>
    </row>
    <row r="718" spans="1:13">
      <c r="A718" t="s">
        <v>13</v>
      </c>
      <c r="B718">
        <v>710826</v>
      </c>
      <c r="C718">
        <v>712283</v>
      </c>
      <c r="E718" t="s">
        <v>35</v>
      </c>
      <c r="F718" t="s">
        <v>28</v>
      </c>
      <c r="H718">
        <v>0</v>
      </c>
      <c r="I718" t="s">
        <v>17</v>
      </c>
      <c r="K718" t="s">
        <v>2215</v>
      </c>
      <c r="L718">
        <v>485</v>
      </c>
      <c r="M718" t="s">
        <v>2216</v>
      </c>
    </row>
    <row r="719" spans="1:13">
      <c r="A719" t="s">
        <v>13</v>
      </c>
      <c r="B719">
        <v>712320</v>
      </c>
      <c r="C719">
        <v>713441</v>
      </c>
      <c r="E719" t="s">
        <v>14</v>
      </c>
      <c r="F719" t="s">
        <v>2217</v>
      </c>
      <c r="H719">
        <v>0</v>
      </c>
      <c r="I719" t="s">
        <v>17</v>
      </c>
      <c r="K719" t="s">
        <v>2218</v>
      </c>
      <c r="L719">
        <v>373</v>
      </c>
      <c r="M719" t="s">
        <v>2219</v>
      </c>
    </row>
    <row r="720" spans="1:13">
      <c r="A720" t="s">
        <v>13</v>
      </c>
      <c r="B720">
        <v>713464</v>
      </c>
      <c r="C720">
        <v>714129</v>
      </c>
      <c r="E720" t="s">
        <v>35</v>
      </c>
      <c r="F720" t="s">
        <v>28</v>
      </c>
      <c r="H720">
        <v>0</v>
      </c>
      <c r="I720" t="s">
        <v>17</v>
      </c>
      <c r="K720" t="s">
        <v>2220</v>
      </c>
      <c r="L720">
        <v>221</v>
      </c>
      <c r="M720" t="s">
        <v>2221</v>
      </c>
    </row>
    <row r="721" spans="1:13">
      <c r="A721" t="s">
        <v>13</v>
      </c>
      <c r="B721">
        <v>714166</v>
      </c>
      <c r="C721">
        <v>714702</v>
      </c>
      <c r="E721" t="s">
        <v>35</v>
      </c>
      <c r="F721" t="s">
        <v>28</v>
      </c>
      <c r="H721">
        <v>0</v>
      </c>
      <c r="I721" t="s">
        <v>17</v>
      </c>
      <c r="K721" t="s">
        <v>2222</v>
      </c>
      <c r="L721">
        <v>178</v>
      </c>
      <c r="M721" t="s">
        <v>2223</v>
      </c>
    </row>
    <row r="722" spans="1:13">
      <c r="A722" t="s">
        <v>13</v>
      </c>
      <c r="B722">
        <v>714907</v>
      </c>
      <c r="C722">
        <v>717795</v>
      </c>
      <c r="E722" t="s">
        <v>14</v>
      </c>
      <c r="F722" t="s">
        <v>28</v>
      </c>
      <c r="H722">
        <v>0</v>
      </c>
      <c r="I722" t="s">
        <v>17</v>
      </c>
      <c r="K722" t="s">
        <v>2224</v>
      </c>
      <c r="L722">
        <v>962</v>
      </c>
      <c r="M722" t="s">
        <v>2225</v>
      </c>
    </row>
    <row r="723" spans="1:13">
      <c r="A723" t="s">
        <v>13</v>
      </c>
      <c r="B723">
        <v>717958</v>
      </c>
      <c r="C723">
        <v>718034</v>
      </c>
      <c r="E723" t="s">
        <v>14</v>
      </c>
      <c r="F723" t="s">
        <v>1230</v>
      </c>
      <c r="H723">
        <v>0</v>
      </c>
      <c r="I723" t="s">
        <v>53</v>
      </c>
      <c r="M723" t="s">
        <v>2226</v>
      </c>
    </row>
    <row r="724" spans="1:13">
      <c r="A724" t="s">
        <v>13</v>
      </c>
      <c r="B724">
        <v>718123</v>
      </c>
      <c r="C724">
        <v>718953</v>
      </c>
      <c r="E724" t="s">
        <v>35</v>
      </c>
      <c r="F724" t="s">
        <v>1195</v>
      </c>
      <c r="G724" t="s">
        <v>2227</v>
      </c>
      <c r="H724">
        <v>0</v>
      </c>
      <c r="I724" t="s">
        <v>17</v>
      </c>
      <c r="K724" t="s">
        <v>2228</v>
      </c>
      <c r="L724">
        <v>276</v>
      </c>
      <c r="M724" t="s">
        <v>2229</v>
      </c>
    </row>
    <row r="725" spans="1:13">
      <c r="A725" t="s">
        <v>13</v>
      </c>
      <c r="B725">
        <v>718950</v>
      </c>
      <c r="C725">
        <v>720062</v>
      </c>
      <c r="E725" t="s">
        <v>35</v>
      </c>
      <c r="F725" t="s">
        <v>1399</v>
      </c>
      <c r="G725" t="s">
        <v>2230</v>
      </c>
      <c r="H725">
        <v>0</v>
      </c>
      <c r="I725" t="s">
        <v>17</v>
      </c>
      <c r="K725" t="s">
        <v>2231</v>
      </c>
      <c r="L725">
        <v>370</v>
      </c>
      <c r="M725" t="s">
        <v>2232</v>
      </c>
    </row>
    <row r="726" spans="1:13">
      <c r="A726" t="s">
        <v>13</v>
      </c>
      <c r="B726">
        <v>720062</v>
      </c>
      <c r="C726">
        <v>721087</v>
      </c>
      <c r="E726" t="s">
        <v>35</v>
      </c>
      <c r="F726" t="s">
        <v>2233</v>
      </c>
      <c r="G726" t="s">
        <v>2234</v>
      </c>
      <c r="H726">
        <v>0</v>
      </c>
      <c r="I726" t="s">
        <v>17</v>
      </c>
      <c r="K726" t="s">
        <v>2235</v>
      </c>
      <c r="L726">
        <v>341</v>
      </c>
      <c r="M726" t="s">
        <v>2236</v>
      </c>
    </row>
    <row r="727" spans="1:13">
      <c r="A727" t="s">
        <v>13</v>
      </c>
      <c r="B727">
        <v>721718</v>
      </c>
      <c r="C727">
        <v>722734</v>
      </c>
      <c r="E727" t="s">
        <v>14</v>
      </c>
      <c r="F727" t="s">
        <v>1392</v>
      </c>
      <c r="G727" t="s">
        <v>2237</v>
      </c>
      <c r="H727">
        <v>0</v>
      </c>
      <c r="I727" t="s">
        <v>17</v>
      </c>
      <c r="K727" t="s">
        <v>2238</v>
      </c>
      <c r="L727">
        <v>338</v>
      </c>
      <c r="M727" t="s">
        <v>2239</v>
      </c>
    </row>
    <row r="728" spans="1:13">
      <c r="A728" t="s">
        <v>13</v>
      </c>
      <c r="B728">
        <v>723074</v>
      </c>
      <c r="C728">
        <v>724057</v>
      </c>
      <c r="E728" t="s">
        <v>14</v>
      </c>
      <c r="F728" t="s">
        <v>1207</v>
      </c>
      <c r="G728" t="s">
        <v>2240</v>
      </c>
      <c r="H728">
        <v>0</v>
      </c>
      <c r="I728" t="s">
        <v>17</v>
      </c>
      <c r="K728" t="s">
        <v>2241</v>
      </c>
      <c r="L728">
        <v>327</v>
      </c>
      <c r="M728" t="s">
        <v>2242</v>
      </c>
    </row>
    <row r="729" spans="1:13">
      <c r="A729" t="s">
        <v>13</v>
      </c>
      <c r="B729">
        <v>724394</v>
      </c>
      <c r="C729">
        <v>726262</v>
      </c>
      <c r="E729" t="s">
        <v>14</v>
      </c>
      <c r="F729" t="s">
        <v>2243</v>
      </c>
      <c r="G729" t="s">
        <v>2244</v>
      </c>
      <c r="H729">
        <v>0</v>
      </c>
      <c r="I729" t="s">
        <v>17</v>
      </c>
      <c r="K729" t="s">
        <v>2245</v>
      </c>
      <c r="L729">
        <v>622</v>
      </c>
      <c r="M729" t="s">
        <v>2246</v>
      </c>
    </row>
    <row r="730" spans="1:13">
      <c r="A730" t="s">
        <v>13</v>
      </c>
      <c r="B730">
        <v>726303</v>
      </c>
      <c r="C730">
        <v>727664</v>
      </c>
      <c r="E730" t="s">
        <v>35</v>
      </c>
      <c r="F730" t="s">
        <v>2247</v>
      </c>
      <c r="G730" t="s">
        <v>2248</v>
      </c>
      <c r="H730">
        <v>0</v>
      </c>
      <c r="I730" t="s">
        <v>17</v>
      </c>
      <c r="K730" t="s">
        <v>2249</v>
      </c>
      <c r="L730">
        <v>453</v>
      </c>
      <c r="M730" t="s">
        <v>2250</v>
      </c>
    </row>
    <row r="731" spans="1:13">
      <c r="A731" t="s">
        <v>13</v>
      </c>
      <c r="B731">
        <v>727739</v>
      </c>
      <c r="C731">
        <v>728197</v>
      </c>
      <c r="E731" t="s">
        <v>35</v>
      </c>
      <c r="F731" t="s">
        <v>2251</v>
      </c>
      <c r="H731">
        <v>0</v>
      </c>
      <c r="I731" t="s">
        <v>17</v>
      </c>
      <c r="K731" t="s">
        <v>2252</v>
      </c>
      <c r="L731">
        <v>152</v>
      </c>
      <c r="M731" t="s">
        <v>2253</v>
      </c>
    </row>
    <row r="732" spans="1:13">
      <c r="A732" t="s">
        <v>13</v>
      </c>
      <c r="B732">
        <v>728485</v>
      </c>
      <c r="C732">
        <v>729108</v>
      </c>
      <c r="E732" t="s">
        <v>14</v>
      </c>
      <c r="F732" t="s">
        <v>28</v>
      </c>
      <c r="H732">
        <v>0</v>
      </c>
      <c r="I732" t="s">
        <v>17</v>
      </c>
      <c r="K732" t="s">
        <v>2254</v>
      </c>
      <c r="L732">
        <v>207</v>
      </c>
      <c r="M732" t="s">
        <v>2255</v>
      </c>
    </row>
    <row r="733" spans="1:13">
      <c r="A733" t="s">
        <v>13</v>
      </c>
      <c r="B733">
        <v>729173</v>
      </c>
      <c r="C733">
        <v>729613</v>
      </c>
      <c r="E733" t="s">
        <v>35</v>
      </c>
      <c r="F733" t="s">
        <v>28</v>
      </c>
      <c r="H733">
        <v>0</v>
      </c>
      <c r="I733" t="s">
        <v>17</v>
      </c>
      <c r="K733" t="s">
        <v>2256</v>
      </c>
      <c r="L733">
        <v>146</v>
      </c>
      <c r="M733" t="s">
        <v>2257</v>
      </c>
    </row>
    <row r="734" spans="1:13">
      <c r="A734" t="s">
        <v>13</v>
      </c>
      <c r="B734">
        <v>729824</v>
      </c>
      <c r="C734">
        <v>730915</v>
      </c>
      <c r="E734" t="s">
        <v>14</v>
      </c>
      <c r="F734" t="s">
        <v>28</v>
      </c>
      <c r="H734">
        <v>0</v>
      </c>
      <c r="I734" t="s">
        <v>17</v>
      </c>
      <c r="K734" t="s">
        <v>2258</v>
      </c>
      <c r="L734">
        <v>363</v>
      </c>
      <c r="M734" t="s">
        <v>2259</v>
      </c>
    </row>
    <row r="735" spans="1:13">
      <c r="A735" t="s">
        <v>13</v>
      </c>
      <c r="B735">
        <v>731155</v>
      </c>
      <c r="C735">
        <v>731439</v>
      </c>
      <c r="E735" t="s">
        <v>14</v>
      </c>
      <c r="F735" t="s">
        <v>2260</v>
      </c>
      <c r="H735">
        <v>0</v>
      </c>
      <c r="I735" t="s">
        <v>17</v>
      </c>
      <c r="K735" t="s">
        <v>2261</v>
      </c>
      <c r="L735">
        <v>94</v>
      </c>
      <c r="M735" t="s">
        <v>2262</v>
      </c>
    </row>
    <row r="736" spans="1:13">
      <c r="A736" t="s">
        <v>13</v>
      </c>
      <c r="B736">
        <v>731443</v>
      </c>
      <c r="C736">
        <v>733380</v>
      </c>
      <c r="E736" t="s">
        <v>14</v>
      </c>
      <c r="F736" t="s">
        <v>290</v>
      </c>
      <c r="G736" t="s">
        <v>2263</v>
      </c>
      <c r="H736">
        <v>0</v>
      </c>
      <c r="I736" t="s">
        <v>292</v>
      </c>
      <c r="M736" t="s">
        <v>2264</v>
      </c>
    </row>
    <row r="737" spans="1:13">
      <c r="A737" t="s">
        <v>13</v>
      </c>
      <c r="B737">
        <v>733377</v>
      </c>
      <c r="C737">
        <v>733637</v>
      </c>
      <c r="E737" t="s">
        <v>14</v>
      </c>
      <c r="F737" t="s">
        <v>28</v>
      </c>
      <c r="H737">
        <v>0</v>
      </c>
      <c r="I737" t="s">
        <v>17</v>
      </c>
      <c r="K737" t="s">
        <v>2265</v>
      </c>
      <c r="L737">
        <v>86</v>
      </c>
      <c r="M737" t="s">
        <v>2266</v>
      </c>
    </row>
    <row r="738" spans="1:13">
      <c r="A738" t="s">
        <v>13</v>
      </c>
      <c r="B738">
        <v>733634</v>
      </c>
      <c r="C738">
        <v>734416</v>
      </c>
      <c r="E738" t="s">
        <v>35</v>
      </c>
      <c r="F738" t="s">
        <v>2267</v>
      </c>
      <c r="G738" t="s">
        <v>2268</v>
      </c>
      <c r="H738">
        <v>0</v>
      </c>
      <c r="I738" t="s">
        <v>17</v>
      </c>
      <c r="K738" t="s">
        <v>2269</v>
      </c>
      <c r="L738">
        <v>260</v>
      </c>
      <c r="M738" t="s">
        <v>2270</v>
      </c>
    </row>
    <row r="739" spans="1:13">
      <c r="A739" t="s">
        <v>13</v>
      </c>
      <c r="B739">
        <v>734409</v>
      </c>
      <c r="C739">
        <v>735245</v>
      </c>
      <c r="E739" t="s">
        <v>35</v>
      </c>
      <c r="F739" t="s">
        <v>2271</v>
      </c>
      <c r="G739" t="s">
        <v>2272</v>
      </c>
      <c r="H739">
        <v>0</v>
      </c>
      <c r="I739" t="s">
        <v>17</v>
      </c>
      <c r="K739" t="s">
        <v>2273</v>
      </c>
      <c r="L739">
        <v>278</v>
      </c>
      <c r="M739" t="s">
        <v>2274</v>
      </c>
    </row>
    <row r="740" spans="1:13">
      <c r="A740" t="s">
        <v>13</v>
      </c>
      <c r="B740">
        <v>735306</v>
      </c>
      <c r="C740">
        <v>736409</v>
      </c>
      <c r="E740" t="s">
        <v>14</v>
      </c>
      <c r="F740" t="s">
        <v>2275</v>
      </c>
      <c r="G740" t="s">
        <v>2276</v>
      </c>
      <c r="H740">
        <v>0</v>
      </c>
      <c r="I740" t="s">
        <v>17</v>
      </c>
      <c r="K740" t="s">
        <v>2277</v>
      </c>
      <c r="L740">
        <v>367</v>
      </c>
      <c r="M740" t="s">
        <v>2278</v>
      </c>
    </row>
    <row r="741" spans="1:13">
      <c r="A741" t="s">
        <v>13</v>
      </c>
      <c r="B741">
        <v>736431</v>
      </c>
      <c r="C741">
        <v>738059</v>
      </c>
      <c r="E741" t="s">
        <v>35</v>
      </c>
      <c r="F741" t="s">
        <v>2279</v>
      </c>
      <c r="G741" t="s">
        <v>2280</v>
      </c>
      <c r="H741">
        <v>0</v>
      </c>
      <c r="I741" t="s">
        <v>17</v>
      </c>
      <c r="K741" t="s">
        <v>2281</v>
      </c>
      <c r="L741">
        <v>542</v>
      </c>
      <c r="M741" t="s">
        <v>2282</v>
      </c>
    </row>
    <row r="742" spans="1:13">
      <c r="A742" t="s">
        <v>13</v>
      </c>
      <c r="B742">
        <v>738180</v>
      </c>
      <c r="C742">
        <v>738878</v>
      </c>
      <c r="E742" t="s">
        <v>14</v>
      </c>
      <c r="F742" t="s">
        <v>2283</v>
      </c>
      <c r="G742" t="s">
        <v>2284</v>
      </c>
      <c r="H742">
        <v>0</v>
      </c>
      <c r="I742" t="s">
        <v>17</v>
      </c>
      <c r="K742" t="s">
        <v>2285</v>
      </c>
      <c r="L742">
        <v>232</v>
      </c>
      <c r="M742" t="s">
        <v>2286</v>
      </c>
    </row>
    <row r="743" spans="1:13">
      <c r="A743" t="s">
        <v>13</v>
      </c>
      <c r="B743">
        <v>738875</v>
      </c>
      <c r="C743">
        <v>739777</v>
      </c>
      <c r="E743" t="s">
        <v>14</v>
      </c>
      <c r="F743" t="s">
        <v>2287</v>
      </c>
      <c r="G743" t="s">
        <v>2288</v>
      </c>
      <c r="H743">
        <v>0</v>
      </c>
      <c r="I743" t="s">
        <v>17</v>
      </c>
      <c r="K743" t="s">
        <v>2289</v>
      </c>
      <c r="L743">
        <v>300</v>
      </c>
      <c r="M743" t="s">
        <v>2290</v>
      </c>
    </row>
    <row r="744" spans="1:13">
      <c r="A744" t="s">
        <v>13</v>
      </c>
      <c r="B744">
        <v>739822</v>
      </c>
      <c r="C744">
        <v>740325</v>
      </c>
      <c r="E744" t="s">
        <v>14</v>
      </c>
      <c r="F744" t="s">
        <v>2291</v>
      </c>
      <c r="G744" t="s">
        <v>2292</v>
      </c>
      <c r="H744">
        <v>0</v>
      </c>
      <c r="I744" t="s">
        <v>17</v>
      </c>
      <c r="K744" t="s">
        <v>2293</v>
      </c>
      <c r="L744">
        <v>167</v>
      </c>
      <c r="M744" t="s">
        <v>2294</v>
      </c>
    </row>
    <row r="745" spans="1:13">
      <c r="A745" t="s">
        <v>13</v>
      </c>
      <c r="B745">
        <v>740318</v>
      </c>
      <c r="C745">
        <v>740683</v>
      </c>
      <c r="E745" t="s">
        <v>14</v>
      </c>
      <c r="F745" t="s">
        <v>28</v>
      </c>
      <c r="H745">
        <v>0</v>
      </c>
      <c r="I745" t="s">
        <v>17</v>
      </c>
      <c r="K745" t="s">
        <v>2295</v>
      </c>
      <c r="L745">
        <v>121</v>
      </c>
      <c r="M745" t="s">
        <v>2296</v>
      </c>
    </row>
    <row r="746" spans="1:13">
      <c r="A746" t="s">
        <v>13</v>
      </c>
      <c r="B746">
        <v>741369</v>
      </c>
      <c r="C746">
        <v>742361</v>
      </c>
      <c r="E746" t="s">
        <v>14</v>
      </c>
      <c r="F746" t="s">
        <v>2297</v>
      </c>
      <c r="G746" t="s">
        <v>2298</v>
      </c>
      <c r="H746">
        <v>0</v>
      </c>
      <c r="I746" t="s">
        <v>17</v>
      </c>
      <c r="K746" t="s">
        <v>2299</v>
      </c>
      <c r="L746">
        <v>330</v>
      </c>
      <c r="M746" t="s">
        <v>2300</v>
      </c>
    </row>
    <row r="747" spans="1:13">
      <c r="A747" t="s">
        <v>13</v>
      </c>
      <c r="B747">
        <v>742430</v>
      </c>
      <c r="C747">
        <v>743395</v>
      </c>
      <c r="E747" t="s">
        <v>14</v>
      </c>
      <c r="F747" t="s">
        <v>2301</v>
      </c>
      <c r="G747" t="s">
        <v>2302</v>
      </c>
      <c r="H747">
        <v>0</v>
      </c>
      <c r="I747" t="s">
        <v>17</v>
      </c>
      <c r="K747" t="s">
        <v>2303</v>
      </c>
      <c r="L747">
        <v>321</v>
      </c>
      <c r="M747" t="s">
        <v>2304</v>
      </c>
    </row>
    <row r="748" spans="1:13">
      <c r="A748" t="s">
        <v>13</v>
      </c>
      <c r="B748">
        <v>743385</v>
      </c>
      <c r="C748">
        <v>744374</v>
      </c>
      <c r="E748" t="s">
        <v>14</v>
      </c>
      <c r="F748" t="s">
        <v>2305</v>
      </c>
      <c r="G748" t="s">
        <v>2306</v>
      </c>
      <c r="H748">
        <v>0</v>
      </c>
      <c r="I748" t="s">
        <v>17</v>
      </c>
      <c r="K748" t="s">
        <v>2307</v>
      </c>
      <c r="L748">
        <v>329</v>
      </c>
      <c r="M748" t="s">
        <v>2308</v>
      </c>
    </row>
    <row r="749" spans="1:13">
      <c r="A749" t="s">
        <v>13</v>
      </c>
      <c r="B749">
        <v>744371</v>
      </c>
      <c r="C749">
        <v>745126</v>
      </c>
      <c r="E749" t="s">
        <v>14</v>
      </c>
      <c r="F749" t="s">
        <v>2309</v>
      </c>
      <c r="G749" t="s">
        <v>2310</v>
      </c>
      <c r="H749">
        <v>0</v>
      </c>
      <c r="I749" t="s">
        <v>17</v>
      </c>
      <c r="K749" t="s">
        <v>2311</v>
      </c>
      <c r="L749">
        <v>251</v>
      </c>
      <c r="M749" t="s">
        <v>2312</v>
      </c>
    </row>
    <row r="750" spans="1:13">
      <c r="A750" t="s">
        <v>13</v>
      </c>
      <c r="B750">
        <v>745724</v>
      </c>
      <c r="C750">
        <v>747229</v>
      </c>
      <c r="E750" t="s">
        <v>14</v>
      </c>
      <c r="F750" t="s">
        <v>2313</v>
      </c>
      <c r="H750">
        <v>0</v>
      </c>
      <c r="I750" t="s">
        <v>2314</v>
      </c>
      <c r="M750" t="s">
        <v>2315</v>
      </c>
    </row>
    <row r="751" spans="1:13">
      <c r="A751" t="s">
        <v>13</v>
      </c>
      <c r="B751">
        <v>747748</v>
      </c>
      <c r="C751">
        <v>750827</v>
      </c>
      <c r="E751" t="s">
        <v>14</v>
      </c>
      <c r="F751" t="s">
        <v>2316</v>
      </c>
      <c r="H751">
        <v>0</v>
      </c>
      <c r="I751" t="s">
        <v>2314</v>
      </c>
      <c r="M751" t="s">
        <v>2317</v>
      </c>
    </row>
    <row r="752" spans="1:13">
      <c r="A752" t="s">
        <v>13</v>
      </c>
      <c r="B752">
        <v>750983</v>
      </c>
      <c r="C752">
        <v>751100</v>
      </c>
      <c r="E752" t="s">
        <v>14</v>
      </c>
      <c r="F752" t="s">
        <v>2318</v>
      </c>
      <c r="H752">
        <v>0</v>
      </c>
      <c r="I752" t="s">
        <v>2314</v>
      </c>
      <c r="M752" t="s">
        <v>2319</v>
      </c>
    </row>
    <row r="753" spans="1:13">
      <c r="A753" t="s">
        <v>13</v>
      </c>
      <c r="B753">
        <v>751212</v>
      </c>
      <c r="C753">
        <v>752393</v>
      </c>
      <c r="E753" t="s">
        <v>14</v>
      </c>
      <c r="F753" t="s">
        <v>28</v>
      </c>
      <c r="H753">
        <v>0</v>
      </c>
      <c r="I753" t="s">
        <v>17</v>
      </c>
      <c r="K753" t="s">
        <v>2320</v>
      </c>
      <c r="L753">
        <v>393</v>
      </c>
      <c r="M753" t="s">
        <v>2321</v>
      </c>
    </row>
    <row r="754" spans="1:13">
      <c r="A754" t="s">
        <v>13</v>
      </c>
      <c r="B754">
        <v>752530</v>
      </c>
      <c r="C754">
        <v>752766</v>
      </c>
      <c r="E754" t="s">
        <v>14</v>
      </c>
      <c r="F754" t="s">
        <v>28</v>
      </c>
      <c r="H754">
        <v>0</v>
      </c>
      <c r="I754" t="s">
        <v>17</v>
      </c>
      <c r="K754" t="s">
        <v>2322</v>
      </c>
      <c r="L754">
        <v>78</v>
      </c>
      <c r="M754" t="s">
        <v>2323</v>
      </c>
    </row>
    <row r="755" spans="1:13">
      <c r="A755" t="s">
        <v>13</v>
      </c>
      <c r="B755">
        <v>752750</v>
      </c>
      <c r="C755">
        <v>753013</v>
      </c>
      <c r="E755" t="s">
        <v>14</v>
      </c>
      <c r="F755" t="s">
        <v>2324</v>
      </c>
      <c r="G755" t="s">
        <v>2325</v>
      </c>
      <c r="H755">
        <v>0</v>
      </c>
      <c r="I755" t="s">
        <v>17</v>
      </c>
      <c r="K755" t="s">
        <v>2326</v>
      </c>
      <c r="L755">
        <v>87</v>
      </c>
      <c r="M755" t="s">
        <v>2327</v>
      </c>
    </row>
    <row r="756" spans="1:13">
      <c r="A756" t="s">
        <v>13</v>
      </c>
      <c r="B756">
        <v>753073</v>
      </c>
      <c r="C756">
        <v>753705</v>
      </c>
      <c r="E756" t="s">
        <v>35</v>
      </c>
      <c r="F756" t="s">
        <v>28</v>
      </c>
      <c r="H756">
        <v>0</v>
      </c>
      <c r="I756" t="s">
        <v>17</v>
      </c>
      <c r="K756" t="s">
        <v>2328</v>
      </c>
      <c r="L756">
        <v>210</v>
      </c>
      <c r="M756" t="s">
        <v>2329</v>
      </c>
    </row>
    <row r="757" spans="1:13">
      <c r="A757" t="s">
        <v>13</v>
      </c>
      <c r="B757">
        <v>753702</v>
      </c>
      <c r="C757">
        <v>755327</v>
      </c>
      <c r="E757" t="s">
        <v>35</v>
      </c>
      <c r="F757" t="s">
        <v>2330</v>
      </c>
      <c r="H757">
        <v>0</v>
      </c>
      <c r="I757" t="s">
        <v>17</v>
      </c>
      <c r="K757" t="s">
        <v>2331</v>
      </c>
      <c r="L757">
        <v>541</v>
      </c>
      <c r="M757" t="s">
        <v>2332</v>
      </c>
    </row>
    <row r="758" spans="1:13">
      <c r="A758" t="s">
        <v>13</v>
      </c>
      <c r="B758">
        <v>755324</v>
      </c>
      <c r="C758">
        <v>757351</v>
      </c>
      <c r="E758" t="s">
        <v>35</v>
      </c>
      <c r="F758" t="s">
        <v>28</v>
      </c>
      <c r="H758">
        <v>0</v>
      </c>
      <c r="I758" t="s">
        <v>17</v>
      </c>
      <c r="K758" t="s">
        <v>2333</v>
      </c>
      <c r="L758">
        <v>675</v>
      </c>
      <c r="M758" t="s">
        <v>2334</v>
      </c>
    </row>
    <row r="759" spans="1:13">
      <c r="A759" t="s">
        <v>13</v>
      </c>
      <c r="B759">
        <v>757417</v>
      </c>
      <c r="C759">
        <v>757602</v>
      </c>
      <c r="E759" t="s">
        <v>14</v>
      </c>
      <c r="F759" t="s">
        <v>28</v>
      </c>
      <c r="H759">
        <v>0</v>
      </c>
      <c r="I759" t="s">
        <v>17</v>
      </c>
      <c r="K759" t="s">
        <v>2335</v>
      </c>
      <c r="L759">
        <v>61</v>
      </c>
      <c r="M759" t="s">
        <v>2336</v>
      </c>
    </row>
    <row r="760" spans="1:13">
      <c r="A760" t="s">
        <v>13</v>
      </c>
      <c r="B760">
        <v>757649</v>
      </c>
      <c r="C760">
        <v>758269</v>
      </c>
      <c r="E760" t="s">
        <v>35</v>
      </c>
      <c r="F760" t="s">
        <v>2337</v>
      </c>
      <c r="G760" t="s">
        <v>2338</v>
      </c>
      <c r="H760">
        <v>0</v>
      </c>
      <c r="I760" t="s">
        <v>17</v>
      </c>
      <c r="K760" t="s">
        <v>2339</v>
      </c>
      <c r="L760">
        <v>206</v>
      </c>
      <c r="M760" t="s">
        <v>2340</v>
      </c>
    </row>
    <row r="761" spans="1:13">
      <c r="A761" t="s">
        <v>13</v>
      </c>
      <c r="B761">
        <v>758565</v>
      </c>
      <c r="C761">
        <v>758945</v>
      </c>
      <c r="E761" t="s">
        <v>14</v>
      </c>
      <c r="F761" t="s">
        <v>2341</v>
      </c>
      <c r="G761" t="s">
        <v>2342</v>
      </c>
      <c r="H761">
        <v>0</v>
      </c>
      <c r="I761" t="s">
        <v>17</v>
      </c>
      <c r="K761" t="s">
        <v>2343</v>
      </c>
      <c r="L761">
        <v>126</v>
      </c>
      <c r="M761" t="s">
        <v>2344</v>
      </c>
    </row>
    <row r="762" spans="1:13">
      <c r="A762" t="s">
        <v>13</v>
      </c>
      <c r="B762">
        <v>758942</v>
      </c>
      <c r="C762">
        <v>759475</v>
      </c>
      <c r="E762" t="s">
        <v>35</v>
      </c>
      <c r="F762" t="s">
        <v>28</v>
      </c>
      <c r="H762">
        <v>0</v>
      </c>
      <c r="I762" t="s">
        <v>17</v>
      </c>
      <c r="K762" t="s">
        <v>2345</v>
      </c>
      <c r="L762">
        <v>177</v>
      </c>
      <c r="M762" t="s">
        <v>2346</v>
      </c>
    </row>
    <row r="763" spans="1:13">
      <c r="A763" t="s">
        <v>13</v>
      </c>
      <c r="B763">
        <v>759482</v>
      </c>
      <c r="C763">
        <v>760288</v>
      </c>
      <c r="E763" t="s">
        <v>35</v>
      </c>
      <c r="F763" t="s">
        <v>2347</v>
      </c>
      <c r="H763">
        <v>0</v>
      </c>
      <c r="I763" t="s">
        <v>17</v>
      </c>
      <c r="K763" t="s">
        <v>2348</v>
      </c>
      <c r="L763">
        <v>268</v>
      </c>
      <c r="M763" t="s">
        <v>2349</v>
      </c>
    </row>
    <row r="764" spans="1:13">
      <c r="A764" t="s">
        <v>13</v>
      </c>
      <c r="B764">
        <v>760294</v>
      </c>
      <c r="C764">
        <v>760962</v>
      </c>
      <c r="E764" t="s">
        <v>14</v>
      </c>
      <c r="F764" t="s">
        <v>28</v>
      </c>
      <c r="H764">
        <v>0</v>
      </c>
      <c r="I764" t="s">
        <v>17</v>
      </c>
      <c r="K764" t="s">
        <v>2350</v>
      </c>
      <c r="L764">
        <v>222</v>
      </c>
      <c r="M764" t="s">
        <v>2351</v>
      </c>
    </row>
    <row r="765" spans="1:13">
      <c r="A765" t="s">
        <v>13</v>
      </c>
      <c r="B765">
        <v>761013</v>
      </c>
      <c r="C765">
        <v>762416</v>
      </c>
      <c r="E765" t="s">
        <v>14</v>
      </c>
      <c r="F765" t="s">
        <v>2352</v>
      </c>
      <c r="G765" t="s">
        <v>2353</v>
      </c>
      <c r="H765">
        <v>0</v>
      </c>
      <c r="I765" t="s">
        <v>17</v>
      </c>
      <c r="K765" t="s">
        <v>2354</v>
      </c>
      <c r="L765">
        <v>467</v>
      </c>
      <c r="M765" t="s">
        <v>2355</v>
      </c>
    </row>
    <row r="766" spans="1:13">
      <c r="A766" t="s">
        <v>13</v>
      </c>
      <c r="B766">
        <v>762427</v>
      </c>
      <c r="C766">
        <v>763233</v>
      </c>
      <c r="E766" t="s">
        <v>14</v>
      </c>
      <c r="F766" t="s">
        <v>2356</v>
      </c>
      <c r="G766" t="s">
        <v>2357</v>
      </c>
      <c r="H766">
        <v>0</v>
      </c>
      <c r="I766" t="s">
        <v>17</v>
      </c>
      <c r="K766" t="s">
        <v>2358</v>
      </c>
      <c r="L766">
        <v>268</v>
      </c>
      <c r="M766" t="s">
        <v>2359</v>
      </c>
    </row>
    <row r="767" spans="1:13">
      <c r="A767" t="s">
        <v>13</v>
      </c>
      <c r="B767">
        <v>763194</v>
      </c>
      <c r="C767">
        <v>764024</v>
      </c>
      <c r="E767" t="s">
        <v>35</v>
      </c>
      <c r="F767" t="s">
        <v>28</v>
      </c>
      <c r="H767">
        <v>0</v>
      </c>
      <c r="I767" t="s">
        <v>17</v>
      </c>
      <c r="K767" t="s">
        <v>2360</v>
      </c>
      <c r="L767">
        <v>276</v>
      </c>
      <c r="M767" t="s">
        <v>2361</v>
      </c>
    </row>
    <row r="768" spans="1:13">
      <c r="A768" t="s">
        <v>13</v>
      </c>
      <c r="B768">
        <v>764028</v>
      </c>
      <c r="C768">
        <v>764876</v>
      </c>
      <c r="E768" t="s">
        <v>35</v>
      </c>
      <c r="F768" t="s">
        <v>28</v>
      </c>
      <c r="H768">
        <v>0</v>
      </c>
      <c r="I768" t="s">
        <v>17</v>
      </c>
      <c r="K768" t="s">
        <v>2362</v>
      </c>
      <c r="L768">
        <v>282</v>
      </c>
      <c r="M768" t="s">
        <v>2363</v>
      </c>
    </row>
    <row r="769" spans="1:13">
      <c r="A769" t="s">
        <v>13</v>
      </c>
      <c r="B769">
        <v>764983</v>
      </c>
      <c r="C769">
        <v>766101</v>
      </c>
      <c r="E769" t="s">
        <v>35</v>
      </c>
      <c r="F769" t="s">
        <v>2364</v>
      </c>
      <c r="G769" t="s">
        <v>2365</v>
      </c>
      <c r="H769">
        <v>0</v>
      </c>
      <c r="I769" t="s">
        <v>17</v>
      </c>
      <c r="K769" t="s">
        <v>2366</v>
      </c>
      <c r="L769">
        <v>372</v>
      </c>
      <c r="M769" t="s">
        <v>2367</v>
      </c>
    </row>
    <row r="770" spans="1:13">
      <c r="A770" t="s">
        <v>13</v>
      </c>
      <c r="B770">
        <v>766259</v>
      </c>
      <c r="C770">
        <v>767551</v>
      </c>
      <c r="E770" t="s">
        <v>14</v>
      </c>
      <c r="F770" t="s">
        <v>2368</v>
      </c>
      <c r="G770" t="s">
        <v>2369</v>
      </c>
      <c r="H770">
        <v>0</v>
      </c>
      <c r="I770" t="s">
        <v>17</v>
      </c>
      <c r="K770" t="s">
        <v>2370</v>
      </c>
      <c r="L770">
        <v>430</v>
      </c>
      <c r="M770" t="s">
        <v>2371</v>
      </c>
    </row>
    <row r="771" spans="1:13">
      <c r="A771" t="s">
        <v>13</v>
      </c>
      <c r="B771">
        <v>767673</v>
      </c>
      <c r="C771">
        <v>768032</v>
      </c>
      <c r="E771" t="s">
        <v>14</v>
      </c>
      <c r="F771" t="s">
        <v>2372</v>
      </c>
      <c r="G771" t="s">
        <v>2373</v>
      </c>
      <c r="H771">
        <v>0</v>
      </c>
      <c r="I771" t="s">
        <v>17</v>
      </c>
      <c r="K771" t="s">
        <v>2374</v>
      </c>
      <c r="L771">
        <v>119</v>
      </c>
      <c r="M771" t="s">
        <v>2375</v>
      </c>
    </row>
    <row r="772" spans="1:13">
      <c r="A772" t="s">
        <v>13</v>
      </c>
      <c r="B772">
        <v>768142</v>
      </c>
      <c r="C772">
        <v>769005</v>
      </c>
      <c r="E772" t="s">
        <v>14</v>
      </c>
      <c r="F772" t="s">
        <v>1645</v>
      </c>
      <c r="H772">
        <v>0</v>
      </c>
      <c r="I772" t="s">
        <v>17</v>
      </c>
      <c r="K772" t="s">
        <v>2376</v>
      </c>
      <c r="L772">
        <v>287</v>
      </c>
      <c r="M772" t="s">
        <v>2377</v>
      </c>
    </row>
    <row r="773" spans="1:13">
      <c r="A773" t="s">
        <v>13</v>
      </c>
      <c r="B773">
        <v>769399</v>
      </c>
      <c r="C773">
        <v>769746</v>
      </c>
      <c r="E773" t="s">
        <v>14</v>
      </c>
      <c r="F773" t="s">
        <v>28</v>
      </c>
      <c r="H773">
        <v>0</v>
      </c>
      <c r="I773" t="s">
        <v>17</v>
      </c>
      <c r="K773" t="s">
        <v>2378</v>
      </c>
      <c r="L773">
        <v>115</v>
      </c>
      <c r="M773" t="s">
        <v>2379</v>
      </c>
    </row>
    <row r="774" spans="1:13">
      <c r="A774" t="s">
        <v>13</v>
      </c>
      <c r="B774">
        <v>769747</v>
      </c>
      <c r="C774">
        <v>771390</v>
      </c>
      <c r="E774" t="s">
        <v>14</v>
      </c>
      <c r="F774" t="s">
        <v>2380</v>
      </c>
      <c r="G774" t="s">
        <v>2381</v>
      </c>
      <c r="H774">
        <v>0</v>
      </c>
      <c r="I774" t="s">
        <v>17</v>
      </c>
      <c r="K774" t="s">
        <v>2382</v>
      </c>
      <c r="L774">
        <v>547</v>
      </c>
      <c r="M774" t="s">
        <v>2383</v>
      </c>
    </row>
    <row r="775" spans="1:13">
      <c r="A775" t="s">
        <v>13</v>
      </c>
      <c r="B775">
        <v>771430</v>
      </c>
      <c r="C775">
        <v>772359</v>
      </c>
      <c r="E775" t="s">
        <v>14</v>
      </c>
      <c r="F775" t="s">
        <v>28</v>
      </c>
      <c r="H775">
        <v>0</v>
      </c>
      <c r="I775" t="s">
        <v>17</v>
      </c>
      <c r="K775" t="s">
        <v>2384</v>
      </c>
      <c r="L775">
        <v>309</v>
      </c>
      <c r="M775" t="s">
        <v>2385</v>
      </c>
    </row>
    <row r="776" spans="1:13">
      <c r="A776" t="s">
        <v>13</v>
      </c>
      <c r="B776">
        <v>772362</v>
      </c>
      <c r="C776">
        <v>773267</v>
      </c>
      <c r="E776" t="s">
        <v>35</v>
      </c>
      <c r="F776" t="s">
        <v>28</v>
      </c>
      <c r="H776">
        <v>0</v>
      </c>
      <c r="I776" t="s">
        <v>17</v>
      </c>
      <c r="K776" t="s">
        <v>2386</v>
      </c>
      <c r="L776">
        <v>301</v>
      </c>
      <c r="M776" t="s">
        <v>2387</v>
      </c>
    </row>
    <row r="777" spans="1:13">
      <c r="A777" t="s">
        <v>13</v>
      </c>
      <c r="B777">
        <v>773346</v>
      </c>
      <c r="C777">
        <v>773774</v>
      </c>
      <c r="E777" t="s">
        <v>35</v>
      </c>
      <c r="F777" t="s">
        <v>28</v>
      </c>
      <c r="H777">
        <v>0</v>
      </c>
      <c r="I777" t="s">
        <v>17</v>
      </c>
      <c r="K777" t="s">
        <v>2388</v>
      </c>
      <c r="L777">
        <v>142</v>
      </c>
      <c r="M777" t="s">
        <v>2389</v>
      </c>
    </row>
    <row r="778" spans="1:13">
      <c r="A778" t="s">
        <v>13</v>
      </c>
      <c r="B778">
        <v>773785</v>
      </c>
      <c r="C778">
        <v>775785</v>
      </c>
      <c r="E778" t="s">
        <v>35</v>
      </c>
      <c r="F778" t="s">
        <v>1567</v>
      </c>
      <c r="H778">
        <v>0</v>
      </c>
      <c r="I778" t="s">
        <v>17</v>
      </c>
      <c r="K778" t="s">
        <v>2390</v>
      </c>
      <c r="L778">
        <v>666</v>
      </c>
      <c r="M778" t="s">
        <v>2391</v>
      </c>
    </row>
    <row r="779" spans="1:13">
      <c r="A779" t="s">
        <v>13</v>
      </c>
      <c r="B779">
        <v>776097</v>
      </c>
      <c r="C779">
        <v>777419</v>
      </c>
      <c r="E779" t="s">
        <v>14</v>
      </c>
      <c r="F779" t="s">
        <v>2392</v>
      </c>
      <c r="G779" t="s">
        <v>2393</v>
      </c>
      <c r="H779">
        <v>0</v>
      </c>
      <c r="I779" t="s">
        <v>17</v>
      </c>
      <c r="K779" t="s">
        <v>2394</v>
      </c>
      <c r="L779">
        <v>440</v>
      </c>
      <c r="M779" t="s">
        <v>2395</v>
      </c>
    </row>
    <row r="780" spans="1:13">
      <c r="A780" t="s">
        <v>13</v>
      </c>
      <c r="B780">
        <v>777447</v>
      </c>
      <c r="C780">
        <v>777785</v>
      </c>
      <c r="E780" t="s">
        <v>14</v>
      </c>
      <c r="F780" t="s">
        <v>2396</v>
      </c>
      <c r="G780" t="s">
        <v>2397</v>
      </c>
      <c r="H780">
        <v>0</v>
      </c>
      <c r="I780" t="s">
        <v>17</v>
      </c>
      <c r="K780" t="s">
        <v>2398</v>
      </c>
      <c r="L780">
        <v>112</v>
      </c>
      <c r="M780" t="s">
        <v>2399</v>
      </c>
    </row>
    <row r="781" spans="1:13">
      <c r="A781" t="s">
        <v>13</v>
      </c>
      <c r="B781">
        <v>778470</v>
      </c>
      <c r="C781">
        <v>779297</v>
      </c>
      <c r="E781" t="s">
        <v>14</v>
      </c>
      <c r="F781" t="s">
        <v>28</v>
      </c>
      <c r="H781">
        <v>0</v>
      </c>
      <c r="I781" t="s">
        <v>17</v>
      </c>
      <c r="K781" t="s">
        <v>2400</v>
      </c>
      <c r="L781">
        <v>275</v>
      </c>
      <c r="M781" t="s">
        <v>2401</v>
      </c>
    </row>
    <row r="782" spans="1:13">
      <c r="A782" t="s">
        <v>13</v>
      </c>
      <c r="B782">
        <v>779604</v>
      </c>
      <c r="C782">
        <v>779918</v>
      </c>
      <c r="E782" t="s">
        <v>14</v>
      </c>
      <c r="F782" t="s">
        <v>518</v>
      </c>
      <c r="H782">
        <v>0</v>
      </c>
      <c r="I782" t="s">
        <v>17</v>
      </c>
      <c r="K782" t="s">
        <v>2402</v>
      </c>
      <c r="L782">
        <v>104</v>
      </c>
      <c r="M782" t="s">
        <v>2403</v>
      </c>
    </row>
    <row r="783" spans="1:13">
      <c r="A783" t="s">
        <v>13</v>
      </c>
      <c r="B783">
        <v>780095</v>
      </c>
      <c r="C783">
        <v>780874</v>
      </c>
      <c r="E783" t="s">
        <v>35</v>
      </c>
      <c r="F783" t="s">
        <v>28</v>
      </c>
      <c r="H783">
        <v>0</v>
      </c>
      <c r="I783" t="s">
        <v>17</v>
      </c>
      <c r="K783" t="s">
        <v>2404</v>
      </c>
      <c r="L783">
        <v>259</v>
      </c>
      <c r="M783" t="s">
        <v>2405</v>
      </c>
    </row>
    <row r="784" spans="1:13">
      <c r="A784" t="s">
        <v>13</v>
      </c>
      <c r="B784">
        <v>780887</v>
      </c>
      <c r="C784">
        <v>782065</v>
      </c>
      <c r="E784" t="s">
        <v>35</v>
      </c>
      <c r="F784" t="s">
        <v>28</v>
      </c>
      <c r="H784">
        <v>0</v>
      </c>
      <c r="I784" t="s">
        <v>17</v>
      </c>
      <c r="K784" t="s">
        <v>2406</v>
      </c>
      <c r="L784">
        <v>392</v>
      </c>
      <c r="M784" t="s">
        <v>2407</v>
      </c>
    </row>
    <row r="785" spans="1:13">
      <c r="A785" t="s">
        <v>13</v>
      </c>
      <c r="B785">
        <v>782497</v>
      </c>
      <c r="C785">
        <v>782742</v>
      </c>
      <c r="E785" t="s">
        <v>14</v>
      </c>
      <c r="F785" t="s">
        <v>28</v>
      </c>
      <c r="H785">
        <v>0</v>
      </c>
      <c r="I785" t="s">
        <v>17</v>
      </c>
      <c r="K785" t="s">
        <v>2408</v>
      </c>
      <c r="L785">
        <v>81</v>
      </c>
      <c r="M785" t="s">
        <v>2409</v>
      </c>
    </row>
    <row r="786" spans="1:13">
      <c r="A786" t="s">
        <v>13</v>
      </c>
      <c r="B786">
        <v>782942</v>
      </c>
      <c r="C786">
        <v>783388</v>
      </c>
      <c r="E786" t="s">
        <v>14</v>
      </c>
      <c r="F786" t="s">
        <v>28</v>
      </c>
      <c r="H786">
        <v>0</v>
      </c>
      <c r="I786" t="s">
        <v>17</v>
      </c>
      <c r="K786" t="s">
        <v>2410</v>
      </c>
      <c r="L786">
        <v>148</v>
      </c>
      <c r="M786" t="s">
        <v>2411</v>
      </c>
    </row>
    <row r="787" spans="1:13">
      <c r="A787" t="s">
        <v>13</v>
      </c>
      <c r="B787">
        <v>783391</v>
      </c>
      <c r="C787">
        <v>783633</v>
      </c>
      <c r="E787" t="s">
        <v>14</v>
      </c>
      <c r="F787" t="s">
        <v>28</v>
      </c>
      <c r="H787">
        <v>0</v>
      </c>
      <c r="I787" t="s">
        <v>17</v>
      </c>
      <c r="K787" t="s">
        <v>2412</v>
      </c>
      <c r="L787">
        <v>80</v>
      </c>
      <c r="M787" t="s">
        <v>2413</v>
      </c>
    </row>
    <row r="788" spans="1:13">
      <c r="A788" t="s">
        <v>13</v>
      </c>
      <c r="B788">
        <v>783894</v>
      </c>
      <c r="C788">
        <v>784427</v>
      </c>
      <c r="E788" t="s">
        <v>14</v>
      </c>
      <c r="F788" t="s">
        <v>2414</v>
      </c>
      <c r="H788">
        <v>0</v>
      </c>
      <c r="I788" t="s">
        <v>17</v>
      </c>
      <c r="K788" t="s">
        <v>2415</v>
      </c>
      <c r="L788">
        <v>177</v>
      </c>
      <c r="M788" t="s">
        <v>2416</v>
      </c>
    </row>
    <row r="789" spans="1:13">
      <c r="A789" t="s">
        <v>13</v>
      </c>
      <c r="B789">
        <v>784490</v>
      </c>
      <c r="C789">
        <v>786262</v>
      </c>
      <c r="E789" t="s">
        <v>35</v>
      </c>
      <c r="F789" t="s">
        <v>2417</v>
      </c>
      <c r="G789" t="s">
        <v>2418</v>
      </c>
      <c r="H789">
        <v>0</v>
      </c>
      <c r="I789" t="s">
        <v>17</v>
      </c>
      <c r="K789" t="s">
        <v>2419</v>
      </c>
      <c r="L789">
        <v>590</v>
      </c>
      <c r="M789" t="s">
        <v>2420</v>
      </c>
    </row>
    <row r="790" spans="1:13">
      <c r="A790" t="s">
        <v>13</v>
      </c>
      <c r="B790">
        <v>786255</v>
      </c>
      <c r="C790">
        <v>788003</v>
      </c>
      <c r="E790" t="s">
        <v>35</v>
      </c>
      <c r="F790" t="s">
        <v>2421</v>
      </c>
      <c r="G790" t="s">
        <v>2422</v>
      </c>
      <c r="H790">
        <v>0</v>
      </c>
      <c r="I790" t="s">
        <v>17</v>
      </c>
      <c r="K790" t="s">
        <v>2423</v>
      </c>
      <c r="L790">
        <v>582</v>
      </c>
      <c r="M790" t="s">
        <v>2424</v>
      </c>
    </row>
    <row r="791" spans="1:13">
      <c r="A791" t="s">
        <v>13</v>
      </c>
      <c r="B791">
        <v>788011</v>
      </c>
      <c r="C791">
        <v>789480</v>
      </c>
      <c r="E791" t="s">
        <v>35</v>
      </c>
      <c r="F791" t="s">
        <v>1284</v>
      </c>
      <c r="G791" t="s">
        <v>2425</v>
      </c>
      <c r="H791">
        <v>0</v>
      </c>
      <c r="I791" t="s">
        <v>17</v>
      </c>
      <c r="K791" t="s">
        <v>2426</v>
      </c>
      <c r="L791">
        <v>489</v>
      </c>
      <c r="M791" t="s">
        <v>2427</v>
      </c>
    </row>
    <row r="792" spans="1:13">
      <c r="A792" t="s">
        <v>13</v>
      </c>
      <c r="B792">
        <v>789477</v>
      </c>
      <c r="C792">
        <v>790202</v>
      </c>
      <c r="E792" t="s">
        <v>35</v>
      </c>
      <c r="F792" t="s">
        <v>2428</v>
      </c>
      <c r="H792">
        <v>0</v>
      </c>
      <c r="I792" t="s">
        <v>17</v>
      </c>
      <c r="K792" t="s">
        <v>2429</v>
      </c>
      <c r="L792">
        <v>241</v>
      </c>
      <c r="M792" t="s">
        <v>2430</v>
      </c>
    </row>
    <row r="793" spans="1:13">
      <c r="A793" t="s">
        <v>13</v>
      </c>
      <c r="B793">
        <v>790199</v>
      </c>
      <c r="C793">
        <v>790672</v>
      </c>
      <c r="E793" t="s">
        <v>35</v>
      </c>
      <c r="F793" t="s">
        <v>28</v>
      </c>
      <c r="H793">
        <v>0</v>
      </c>
      <c r="I793" t="s">
        <v>17</v>
      </c>
      <c r="K793" t="s">
        <v>2431</v>
      </c>
      <c r="L793">
        <v>157</v>
      </c>
      <c r="M793" t="s">
        <v>2432</v>
      </c>
    </row>
    <row r="794" spans="1:13">
      <c r="A794" t="s">
        <v>13</v>
      </c>
      <c r="B794">
        <v>791040</v>
      </c>
      <c r="C794">
        <v>791153</v>
      </c>
      <c r="E794" t="s">
        <v>35</v>
      </c>
      <c r="F794" t="s">
        <v>28</v>
      </c>
      <c r="H794">
        <v>0</v>
      </c>
      <c r="I794" t="s">
        <v>17</v>
      </c>
      <c r="K794" t="s">
        <v>2433</v>
      </c>
      <c r="L794">
        <v>37</v>
      </c>
      <c r="M794" t="s">
        <v>2434</v>
      </c>
    </row>
    <row r="795" spans="1:13">
      <c r="A795" t="s">
        <v>13</v>
      </c>
      <c r="B795">
        <v>791756</v>
      </c>
      <c r="C795">
        <v>791831</v>
      </c>
      <c r="E795" t="s">
        <v>35</v>
      </c>
      <c r="F795" t="s">
        <v>505</v>
      </c>
      <c r="H795">
        <v>0</v>
      </c>
      <c r="I795" t="s">
        <v>53</v>
      </c>
      <c r="M795" t="s">
        <v>2435</v>
      </c>
    </row>
    <row r="796" spans="1:13">
      <c r="A796" t="s">
        <v>13</v>
      </c>
      <c r="B796">
        <v>791946</v>
      </c>
      <c r="C796">
        <v>792227</v>
      </c>
      <c r="E796" t="s">
        <v>35</v>
      </c>
      <c r="F796" t="s">
        <v>2436</v>
      </c>
      <c r="G796" t="s">
        <v>2437</v>
      </c>
      <c r="H796">
        <v>0</v>
      </c>
      <c r="I796" t="s">
        <v>17</v>
      </c>
      <c r="K796" t="s">
        <v>2438</v>
      </c>
      <c r="L796">
        <v>93</v>
      </c>
      <c r="M796" t="s">
        <v>2439</v>
      </c>
    </row>
    <row r="797" spans="1:13">
      <c r="A797" t="s">
        <v>13</v>
      </c>
      <c r="B797">
        <v>792227</v>
      </c>
      <c r="C797">
        <v>792757</v>
      </c>
      <c r="E797" t="s">
        <v>35</v>
      </c>
      <c r="F797" t="s">
        <v>2440</v>
      </c>
      <c r="G797" t="s">
        <v>2441</v>
      </c>
      <c r="H797">
        <v>0</v>
      </c>
      <c r="I797" t="s">
        <v>17</v>
      </c>
      <c r="K797" t="s">
        <v>2442</v>
      </c>
      <c r="L797">
        <v>176</v>
      </c>
      <c r="M797" t="s">
        <v>2443</v>
      </c>
    </row>
    <row r="798" spans="1:13">
      <c r="A798" t="s">
        <v>13</v>
      </c>
      <c r="B798">
        <v>792757</v>
      </c>
      <c r="C798">
        <v>793584</v>
      </c>
      <c r="E798" t="s">
        <v>35</v>
      </c>
      <c r="F798" t="s">
        <v>2444</v>
      </c>
      <c r="G798" t="s">
        <v>2445</v>
      </c>
      <c r="H798">
        <v>0</v>
      </c>
      <c r="I798" t="s">
        <v>17</v>
      </c>
      <c r="K798" t="s">
        <v>2446</v>
      </c>
      <c r="L798">
        <v>275</v>
      </c>
      <c r="M798" t="s">
        <v>2447</v>
      </c>
    </row>
    <row r="799" spans="1:13">
      <c r="A799" t="s">
        <v>13</v>
      </c>
      <c r="B799">
        <v>793633</v>
      </c>
      <c r="C799">
        <v>794526</v>
      </c>
      <c r="E799" t="s">
        <v>35</v>
      </c>
      <c r="F799" t="s">
        <v>28</v>
      </c>
      <c r="H799">
        <v>0</v>
      </c>
      <c r="I799" t="s">
        <v>17</v>
      </c>
      <c r="K799" t="s">
        <v>2448</v>
      </c>
      <c r="L799">
        <v>297</v>
      </c>
      <c r="M799" t="s">
        <v>2449</v>
      </c>
    </row>
    <row r="800" spans="1:13">
      <c r="A800" t="s">
        <v>13</v>
      </c>
      <c r="B800">
        <v>794634</v>
      </c>
      <c r="C800">
        <v>795302</v>
      </c>
      <c r="E800" t="s">
        <v>14</v>
      </c>
      <c r="F800" t="s">
        <v>2450</v>
      </c>
      <c r="H800">
        <v>0</v>
      </c>
      <c r="I800" t="s">
        <v>17</v>
      </c>
      <c r="K800" t="s">
        <v>2451</v>
      </c>
      <c r="L800">
        <v>222</v>
      </c>
      <c r="M800" t="s">
        <v>2452</v>
      </c>
    </row>
    <row r="801" spans="1:13">
      <c r="A801" t="s">
        <v>13</v>
      </c>
      <c r="B801">
        <v>795299</v>
      </c>
      <c r="C801">
        <v>796057</v>
      </c>
      <c r="E801" t="s">
        <v>35</v>
      </c>
      <c r="F801" t="s">
        <v>2453</v>
      </c>
      <c r="G801" t="s">
        <v>2454</v>
      </c>
      <c r="H801">
        <v>0</v>
      </c>
      <c r="I801" t="s">
        <v>17</v>
      </c>
      <c r="K801" t="s">
        <v>2455</v>
      </c>
      <c r="L801">
        <v>252</v>
      </c>
      <c r="M801" t="s">
        <v>2456</v>
      </c>
    </row>
    <row r="802" spans="1:13">
      <c r="A802" t="s">
        <v>13</v>
      </c>
      <c r="B802">
        <v>796093</v>
      </c>
      <c r="C802">
        <v>801051</v>
      </c>
      <c r="E802" t="s">
        <v>14</v>
      </c>
      <c r="F802" t="s">
        <v>748</v>
      </c>
      <c r="H802">
        <v>0</v>
      </c>
      <c r="I802" t="s">
        <v>17</v>
      </c>
      <c r="K802" t="s">
        <v>2457</v>
      </c>
      <c r="L802">
        <v>1652</v>
      </c>
      <c r="M802" t="s">
        <v>2458</v>
      </c>
    </row>
    <row r="803" spans="1:13">
      <c r="A803" t="s">
        <v>13</v>
      </c>
      <c r="B803">
        <v>801122</v>
      </c>
      <c r="C803">
        <v>801928</v>
      </c>
      <c r="E803" t="s">
        <v>14</v>
      </c>
      <c r="F803" t="s">
        <v>2459</v>
      </c>
      <c r="G803" t="s">
        <v>2460</v>
      </c>
      <c r="H803">
        <v>0</v>
      </c>
      <c r="I803" t="s">
        <v>17</v>
      </c>
      <c r="K803" t="s">
        <v>2461</v>
      </c>
      <c r="L803">
        <v>268</v>
      </c>
      <c r="M803" t="s">
        <v>2462</v>
      </c>
    </row>
    <row r="804" spans="1:13">
      <c r="A804" t="s">
        <v>13</v>
      </c>
      <c r="B804">
        <v>801964</v>
      </c>
      <c r="C804">
        <v>802389</v>
      </c>
      <c r="E804" t="s">
        <v>14</v>
      </c>
      <c r="F804" t="s">
        <v>2463</v>
      </c>
      <c r="G804" t="s">
        <v>2464</v>
      </c>
      <c r="H804">
        <v>0</v>
      </c>
      <c r="I804" t="s">
        <v>17</v>
      </c>
      <c r="K804" t="s">
        <v>2465</v>
      </c>
      <c r="L804">
        <v>141</v>
      </c>
      <c r="M804" t="s">
        <v>2466</v>
      </c>
    </row>
    <row r="805" spans="1:13">
      <c r="A805" t="s">
        <v>13</v>
      </c>
      <c r="B805">
        <v>802591</v>
      </c>
      <c r="C805">
        <v>804258</v>
      </c>
      <c r="E805" t="s">
        <v>35</v>
      </c>
      <c r="F805" t="s">
        <v>2467</v>
      </c>
      <c r="G805" t="s">
        <v>2468</v>
      </c>
      <c r="H805">
        <v>0</v>
      </c>
      <c r="I805" t="s">
        <v>17</v>
      </c>
      <c r="K805" t="s">
        <v>2469</v>
      </c>
      <c r="L805">
        <v>555</v>
      </c>
      <c r="M805" t="s">
        <v>2470</v>
      </c>
    </row>
    <row r="806" spans="1:13">
      <c r="A806" t="s">
        <v>13</v>
      </c>
      <c r="B806">
        <v>804326</v>
      </c>
      <c r="C806">
        <v>805672</v>
      </c>
      <c r="E806" t="s">
        <v>35</v>
      </c>
      <c r="F806" t="s">
        <v>2471</v>
      </c>
      <c r="H806">
        <v>0</v>
      </c>
      <c r="I806" t="s">
        <v>17</v>
      </c>
      <c r="K806" t="s">
        <v>2472</v>
      </c>
      <c r="L806">
        <v>448</v>
      </c>
      <c r="M806" t="s">
        <v>2473</v>
      </c>
    </row>
    <row r="807" spans="1:13">
      <c r="A807" t="s">
        <v>13</v>
      </c>
      <c r="B807">
        <v>805738</v>
      </c>
      <c r="C807">
        <v>806061</v>
      </c>
      <c r="E807" t="s">
        <v>35</v>
      </c>
      <c r="F807" t="s">
        <v>2474</v>
      </c>
      <c r="H807">
        <v>0</v>
      </c>
      <c r="I807" t="s">
        <v>17</v>
      </c>
      <c r="K807" t="s">
        <v>2475</v>
      </c>
      <c r="L807">
        <v>107</v>
      </c>
      <c r="M807" t="s">
        <v>2476</v>
      </c>
    </row>
    <row r="808" spans="1:13">
      <c r="A808" t="s">
        <v>13</v>
      </c>
      <c r="B808">
        <v>806126</v>
      </c>
      <c r="C808">
        <v>808702</v>
      </c>
      <c r="E808" t="s">
        <v>14</v>
      </c>
      <c r="F808" t="s">
        <v>2477</v>
      </c>
      <c r="G808" t="s">
        <v>2478</v>
      </c>
      <c r="H808">
        <v>0</v>
      </c>
      <c r="I808" t="s">
        <v>17</v>
      </c>
      <c r="K808" t="s">
        <v>2479</v>
      </c>
      <c r="L808">
        <v>858</v>
      </c>
      <c r="M808" t="s">
        <v>2480</v>
      </c>
    </row>
    <row r="809" spans="1:13">
      <c r="A809" t="s">
        <v>13</v>
      </c>
      <c r="B809">
        <v>808699</v>
      </c>
      <c r="C809">
        <v>809457</v>
      </c>
      <c r="E809" t="s">
        <v>35</v>
      </c>
      <c r="F809" t="s">
        <v>2481</v>
      </c>
      <c r="G809" t="s">
        <v>2482</v>
      </c>
      <c r="H809">
        <v>0</v>
      </c>
      <c r="I809" t="s">
        <v>17</v>
      </c>
      <c r="K809" t="s">
        <v>2483</v>
      </c>
      <c r="L809">
        <v>252</v>
      </c>
      <c r="M809" t="s">
        <v>2484</v>
      </c>
    </row>
    <row r="810" spans="1:13">
      <c r="A810" t="s">
        <v>13</v>
      </c>
      <c r="B810">
        <v>810263</v>
      </c>
      <c r="C810">
        <v>811018</v>
      </c>
      <c r="E810" t="s">
        <v>35</v>
      </c>
      <c r="F810" t="s">
        <v>2485</v>
      </c>
      <c r="G810" t="s">
        <v>2486</v>
      </c>
      <c r="H810">
        <v>0</v>
      </c>
      <c r="I810" t="s">
        <v>17</v>
      </c>
      <c r="K810" t="s">
        <v>2487</v>
      </c>
      <c r="L810">
        <v>251</v>
      </c>
      <c r="M810" t="s">
        <v>2488</v>
      </c>
    </row>
    <row r="811" spans="1:13">
      <c r="A811" t="s">
        <v>13</v>
      </c>
      <c r="B811">
        <v>811468</v>
      </c>
      <c r="C811">
        <v>813282</v>
      </c>
      <c r="E811" t="s">
        <v>14</v>
      </c>
      <c r="F811" t="s">
        <v>28</v>
      </c>
      <c r="H811">
        <v>0</v>
      </c>
      <c r="I811" t="s">
        <v>17</v>
      </c>
      <c r="K811" t="s">
        <v>2489</v>
      </c>
      <c r="L811">
        <v>604</v>
      </c>
      <c r="M811" t="s">
        <v>2490</v>
      </c>
    </row>
    <row r="812" spans="1:13">
      <c r="A812" t="s">
        <v>13</v>
      </c>
      <c r="B812">
        <v>813350</v>
      </c>
      <c r="C812">
        <v>813913</v>
      </c>
      <c r="E812" t="s">
        <v>14</v>
      </c>
      <c r="F812" t="s">
        <v>2491</v>
      </c>
      <c r="G812" t="s">
        <v>2492</v>
      </c>
      <c r="H812">
        <v>0</v>
      </c>
      <c r="I812" t="s">
        <v>17</v>
      </c>
      <c r="K812" t="s">
        <v>2493</v>
      </c>
      <c r="L812">
        <v>187</v>
      </c>
      <c r="M812" t="s">
        <v>2494</v>
      </c>
    </row>
    <row r="813" spans="1:13">
      <c r="A813" t="s">
        <v>13</v>
      </c>
      <c r="B813">
        <v>813941</v>
      </c>
      <c r="C813">
        <v>815473</v>
      </c>
      <c r="E813" t="s">
        <v>14</v>
      </c>
      <c r="F813" t="s">
        <v>2495</v>
      </c>
      <c r="G813" t="s">
        <v>2496</v>
      </c>
      <c r="H813">
        <v>0</v>
      </c>
      <c r="I813" t="s">
        <v>17</v>
      </c>
      <c r="K813" t="s">
        <v>2497</v>
      </c>
      <c r="L813">
        <v>510</v>
      </c>
      <c r="M813" t="s">
        <v>2498</v>
      </c>
    </row>
    <row r="814" spans="1:13">
      <c r="A814" t="s">
        <v>13</v>
      </c>
      <c r="B814">
        <v>815505</v>
      </c>
      <c r="C814">
        <v>816485</v>
      </c>
      <c r="E814" t="s">
        <v>14</v>
      </c>
      <c r="F814" t="s">
        <v>28</v>
      </c>
      <c r="H814">
        <v>0</v>
      </c>
      <c r="I814" t="s">
        <v>17</v>
      </c>
      <c r="K814" t="s">
        <v>2499</v>
      </c>
      <c r="L814">
        <v>326</v>
      </c>
      <c r="M814" t="s">
        <v>2500</v>
      </c>
    </row>
    <row r="815" spans="1:13">
      <c r="A815" t="s">
        <v>13</v>
      </c>
      <c r="B815">
        <v>816518</v>
      </c>
      <c r="C815">
        <v>817132</v>
      </c>
      <c r="E815" t="s">
        <v>14</v>
      </c>
      <c r="F815" t="s">
        <v>28</v>
      </c>
      <c r="H815">
        <v>0</v>
      </c>
      <c r="I815" t="s">
        <v>17</v>
      </c>
      <c r="K815" t="s">
        <v>2501</v>
      </c>
      <c r="L815">
        <v>204</v>
      </c>
      <c r="M815" t="s">
        <v>2502</v>
      </c>
    </row>
    <row r="816" spans="1:13">
      <c r="A816" t="s">
        <v>13</v>
      </c>
      <c r="B816">
        <v>817217</v>
      </c>
      <c r="C816">
        <v>817936</v>
      </c>
      <c r="E816" t="s">
        <v>35</v>
      </c>
      <c r="F816" t="s">
        <v>2503</v>
      </c>
      <c r="G816" t="s">
        <v>2504</v>
      </c>
      <c r="H816">
        <v>0</v>
      </c>
      <c r="I816" t="s">
        <v>17</v>
      </c>
      <c r="K816" t="s">
        <v>2505</v>
      </c>
      <c r="L816">
        <v>239</v>
      </c>
      <c r="M816" t="s">
        <v>2506</v>
      </c>
    </row>
    <row r="817" spans="1:13">
      <c r="A817" t="s">
        <v>13</v>
      </c>
      <c r="B817">
        <v>818049</v>
      </c>
      <c r="C817">
        <v>818831</v>
      </c>
      <c r="E817" t="s">
        <v>35</v>
      </c>
      <c r="F817" t="s">
        <v>2507</v>
      </c>
      <c r="H817">
        <v>0</v>
      </c>
      <c r="I817" t="s">
        <v>17</v>
      </c>
      <c r="K817" t="s">
        <v>2508</v>
      </c>
      <c r="L817">
        <v>260</v>
      </c>
      <c r="M817" t="s">
        <v>2509</v>
      </c>
    </row>
    <row r="818" spans="1:13">
      <c r="A818" t="s">
        <v>13</v>
      </c>
      <c r="B818">
        <v>819162</v>
      </c>
      <c r="C818">
        <v>819416</v>
      </c>
      <c r="E818" t="s">
        <v>35</v>
      </c>
      <c r="F818" t="s">
        <v>2510</v>
      </c>
      <c r="G818" t="s">
        <v>2511</v>
      </c>
      <c r="H818">
        <v>0</v>
      </c>
      <c r="I818" t="s">
        <v>17</v>
      </c>
      <c r="K818" t="s">
        <v>2512</v>
      </c>
      <c r="L818">
        <v>84</v>
      </c>
      <c r="M818" t="s">
        <v>2513</v>
      </c>
    </row>
    <row r="819" spans="1:13">
      <c r="A819" t="s">
        <v>13</v>
      </c>
      <c r="B819">
        <v>819432</v>
      </c>
      <c r="C819">
        <v>819737</v>
      </c>
      <c r="E819" t="s">
        <v>35</v>
      </c>
      <c r="F819" t="s">
        <v>2514</v>
      </c>
      <c r="G819" t="s">
        <v>2515</v>
      </c>
      <c r="H819">
        <v>0</v>
      </c>
      <c r="I819" t="s">
        <v>17</v>
      </c>
      <c r="K819" t="s">
        <v>2516</v>
      </c>
      <c r="L819">
        <v>101</v>
      </c>
      <c r="M819" t="s">
        <v>2517</v>
      </c>
    </row>
    <row r="820" spans="1:13">
      <c r="A820" t="s">
        <v>13</v>
      </c>
      <c r="B820">
        <v>819741</v>
      </c>
      <c r="C820">
        <v>819905</v>
      </c>
      <c r="E820" t="s">
        <v>35</v>
      </c>
      <c r="F820" t="s">
        <v>2518</v>
      </c>
      <c r="G820" t="s">
        <v>2519</v>
      </c>
      <c r="H820">
        <v>0</v>
      </c>
      <c r="I820" t="s">
        <v>17</v>
      </c>
      <c r="K820" t="s">
        <v>2520</v>
      </c>
      <c r="L820">
        <v>54</v>
      </c>
      <c r="M820" t="s">
        <v>2521</v>
      </c>
    </row>
    <row r="821" spans="1:13">
      <c r="A821" t="s">
        <v>13</v>
      </c>
      <c r="B821">
        <v>819908</v>
      </c>
      <c r="C821">
        <v>820144</v>
      </c>
      <c r="E821" t="s">
        <v>35</v>
      </c>
      <c r="F821" t="s">
        <v>2522</v>
      </c>
      <c r="G821" t="s">
        <v>2523</v>
      </c>
      <c r="H821">
        <v>0</v>
      </c>
      <c r="I821" t="s">
        <v>17</v>
      </c>
      <c r="K821" t="s">
        <v>2524</v>
      </c>
      <c r="L821">
        <v>78</v>
      </c>
      <c r="M821" t="s">
        <v>2525</v>
      </c>
    </row>
    <row r="822" spans="1:13">
      <c r="A822" t="s">
        <v>13</v>
      </c>
      <c r="B822">
        <v>820658</v>
      </c>
      <c r="C822">
        <v>820927</v>
      </c>
      <c r="E822" t="s">
        <v>14</v>
      </c>
      <c r="F822" t="s">
        <v>2526</v>
      </c>
      <c r="G822" t="s">
        <v>2527</v>
      </c>
      <c r="H822">
        <v>0</v>
      </c>
      <c r="I822" t="s">
        <v>17</v>
      </c>
      <c r="K822" t="s">
        <v>2528</v>
      </c>
      <c r="L822">
        <v>89</v>
      </c>
      <c r="M822" t="s">
        <v>2529</v>
      </c>
    </row>
    <row r="823" spans="1:13">
      <c r="A823" t="s">
        <v>13</v>
      </c>
      <c r="B823">
        <v>820943</v>
      </c>
      <c r="C823">
        <v>821116</v>
      </c>
      <c r="E823" t="s">
        <v>14</v>
      </c>
      <c r="F823" t="s">
        <v>2530</v>
      </c>
      <c r="H823">
        <v>0</v>
      </c>
      <c r="I823" t="s">
        <v>17</v>
      </c>
      <c r="K823" t="s">
        <v>2531</v>
      </c>
      <c r="L823">
        <v>57</v>
      </c>
      <c r="M823" t="s">
        <v>2532</v>
      </c>
    </row>
    <row r="824" spans="1:13">
      <c r="A824" t="s">
        <v>13</v>
      </c>
      <c r="B824">
        <v>821293</v>
      </c>
      <c r="C824">
        <v>821880</v>
      </c>
      <c r="E824" t="s">
        <v>35</v>
      </c>
      <c r="F824" t="s">
        <v>2533</v>
      </c>
      <c r="G824" t="s">
        <v>2534</v>
      </c>
      <c r="H824">
        <v>0</v>
      </c>
      <c r="I824" t="s">
        <v>17</v>
      </c>
      <c r="K824" t="s">
        <v>2535</v>
      </c>
      <c r="L824">
        <v>195</v>
      </c>
      <c r="M824" t="s">
        <v>2536</v>
      </c>
    </row>
    <row r="825" spans="1:13">
      <c r="A825" t="s">
        <v>13</v>
      </c>
      <c r="B825">
        <v>821989</v>
      </c>
      <c r="C825">
        <v>822666</v>
      </c>
      <c r="E825" t="s">
        <v>35</v>
      </c>
      <c r="F825" t="s">
        <v>2533</v>
      </c>
      <c r="G825" t="s">
        <v>2537</v>
      </c>
      <c r="H825">
        <v>0</v>
      </c>
      <c r="I825" t="s">
        <v>17</v>
      </c>
      <c r="K825" t="s">
        <v>2538</v>
      </c>
      <c r="L825">
        <v>225</v>
      </c>
      <c r="M825" t="s">
        <v>2539</v>
      </c>
    </row>
    <row r="826" spans="1:13">
      <c r="A826" t="s">
        <v>13</v>
      </c>
      <c r="B826">
        <v>822986</v>
      </c>
      <c r="C826">
        <v>824488</v>
      </c>
      <c r="E826" t="s">
        <v>14</v>
      </c>
      <c r="F826" t="s">
        <v>2540</v>
      </c>
      <c r="G826" t="s">
        <v>2541</v>
      </c>
      <c r="H826">
        <v>0</v>
      </c>
      <c r="I826" t="s">
        <v>17</v>
      </c>
      <c r="K826" t="s">
        <v>2542</v>
      </c>
      <c r="L826">
        <v>500</v>
      </c>
      <c r="M826" t="s">
        <v>2543</v>
      </c>
    </row>
    <row r="827" spans="1:13">
      <c r="A827" t="s">
        <v>13</v>
      </c>
      <c r="B827">
        <v>824550</v>
      </c>
      <c r="C827">
        <v>825158</v>
      </c>
      <c r="E827" t="s">
        <v>14</v>
      </c>
      <c r="F827" t="s">
        <v>464</v>
      </c>
      <c r="G827" t="s">
        <v>2544</v>
      </c>
      <c r="H827">
        <v>0</v>
      </c>
      <c r="I827" t="s">
        <v>17</v>
      </c>
      <c r="K827" t="s">
        <v>2545</v>
      </c>
      <c r="L827">
        <v>202</v>
      </c>
      <c r="M827" t="s">
        <v>2546</v>
      </c>
    </row>
    <row r="828" spans="1:13">
      <c r="A828" t="s">
        <v>13</v>
      </c>
      <c r="B828">
        <v>825188</v>
      </c>
      <c r="C828">
        <v>825421</v>
      </c>
      <c r="E828" t="s">
        <v>14</v>
      </c>
      <c r="F828" t="s">
        <v>28</v>
      </c>
      <c r="H828">
        <v>0</v>
      </c>
      <c r="I828" t="s">
        <v>17</v>
      </c>
      <c r="K828" t="s">
        <v>2547</v>
      </c>
      <c r="L828">
        <v>77</v>
      </c>
      <c r="M828" t="s">
        <v>2548</v>
      </c>
    </row>
    <row r="829" spans="1:13">
      <c r="A829" t="s">
        <v>13</v>
      </c>
      <c r="B829">
        <v>825530</v>
      </c>
      <c r="C829">
        <v>826027</v>
      </c>
      <c r="E829" t="s">
        <v>35</v>
      </c>
      <c r="F829" t="s">
        <v>2549</v>
      </c>
      <c r="G829" t="s">
        <v>2550</v>
      </c>
      <c r="H829">
        <v>0</v>
      </c>
      <c r="I829" t="s">
        <v>17</v>
      </c>
      <c r="K829" t="s">
        <v>2551</v>
      </c>
      <c r="L829">
        <v>165</v>
      </c>
      <c r="M829" t="s">
        <v>2552</v>
      </c>
    </row>
    <row r="830" spans="1:13">
      <c r="A830" t="s">
        <v>13</v>
      </c>
      <c r="B830">
        <v>826271</v>
      </c>
      <c r="C830">
        <v>827638</v>
      </c>
      <c r="E830" t="s">
        <v>14</v>
      </c>
      <c r="F830" t="s">
        <v>2553</v>
      </c>
      <c r="G830" t="s">
        <v>2554</v>
      </c>
      <c r="H830">
        <v>0</v>
      </c>
      <c r="I830" t="s">
        <v>17</v>
      </c>
      <c r="K830" t="s">
        <v>2555</v>
      </c>
      <c r="L830">
        <v>455</v>
      </c>
      <c r="M830" t="s">
        <v>2556</v>
      </c>
    </row>
    <row r="831" spans="1:13">
      <c r="A831" t="s">
        <v>13</v>
      </c>
      <c r="B831">
        <v>827687</v>
      </c>
      <c r="C831">
        <v>829018</v>
      </c>
      <c r="E831" t="s">
        <v>14</v>
      </c>
      <c r="F831" t="s">
        <v>2557</v>
      </c>
      <c r="G831" t="s">
        <v>2558</v>
      </c>
      <c r="H831">
        <v>0</v>
      </c>
      <c r="I831" t="s">
        <v>17</v>
      </c>
      <c r="K831" t="s">
        <v>2559</v>
      </c>
      <c r="L831">
        <v>443</v>
      </c>
      <c r="M831" t="s">
        <v>2560</v>
      </c>
    </row>
    <row r="832" spans="1:13">
      <c r="A832" t="s">
        <v>13</v>
      </c>
      <c r="B832">
        <v>829052</v>
      </c>
      <c r="C832">
        <v>829777</v>
      </c>
      <c r="E832" t="s">
        <v>35</v>
      </c>
      <c r="F832" t="s">
        <v>2561</v>
      </c>
      <c r="H832">
        <v>0</v>
      </c>
      <c r="I832" t="s">
        <v>17</v>
      </c>
      <c r="K832" t="s">
        <v>2562</v>
      </c>
      <c r="L832">
        <v>241</v>
      </c>
      <c r="M832" t="s">
        <v>2563</v>
      </c>
    </row>
    <row r="833" spans="1:13">
      <c r="A833" t="s">
        <v>13</v>
      </c>
      <c r="B833">
        <v>829819</v>
      </c>
      <c r="C833">
        <v>830400</v>
      </c>
      <c r="E833" t="s">
        <v>35</v>
      </c>
      <c r="F833" t="s">
        <v>2564</v>
      </c>
      <c r="H833">
        <v>0</v>
      </c>
      <c r="I833" t="s">
        <v>17</v>
      </c>
      <c r="K833" t="s">
        <v>2565</v>
      </c>
      <c r="L833">
        <v>193</v>
      </c>
      <c r="M833" t="s">
        <v>2566</v>
      </c>
    </row>
    <row r="834" spans="1:13">
      <c r="A834" t="s">
        <v>13</v>
      </c>
      <c r="B834">
        <v>830445</v>
      </c>
      <c r="C834">
        <v>831395</v>
      </c>
      <c r="E834" t="s">
        <v>14</v>
      </c>
      <c r="F834" t="s">
        <v>2567</v>
      </c>
      <c r="G834" t="s">
        <v>2568</v>
      </c>
      <c r="H834">
        <v>0</v>
      </c>
      <c r="I834" t="s">
        <v>17</v>
      </c>
      <c r="K834" t="s">
        <v>2569</v>
      </c>
      <c r="L834">
        <v>316</v>
      </c>
      <c r="M834" t="s">
        <v>2570</v>
      </c>
    </row>
    <row r="835" spans="1:13">
      <c r="A835" t="s">
        <v>13</v>
      </c>
      <c r="B835">
        <v>831469</v>
      </c>
      <c r="C835">
        <v>832803</v>
      </c>
      <c r="E835" t="s">
        <v>14</v>
      </c>
      <c r="F835" t="s">
        <v>468</v>
      </c>
      <c r="G835" t="s">
        <v>2571</v>
      </c>
      <c r="H835">
        <v>0</v>
      </c>
      <c r="I835" t="s">
        <v>17</v>
      </c>
      <c r="K835" t="s">
        <v>2572</v>
      </c>
      <c r="L835">
        <v>444</v>
      </c>
      <c r="M835" t="s">
        <v>2573</v>
      </c>
    </row>
    <row r="836" spans="1:13">
      <c r="A836" t="s">
        <v>13</v>
      </c>
      <c r="B836">
        <v>832803</v>
      </c>
      <c r="C836">
        <v>833513</v>
      </c>
      <c r="E836" t="s">
        <v>14</v>
      </c>
      <c r="F836" t="s">
        <v>2574</v>
      </c>
      <c r="G836" t="s">
        <v>2575</v>
      </c>
      <c r="H836">
        <v>0</v>
      </c>
      <c r="I836" t="s">
        <v>17</v>
      </c>
      <c r="K836" t="s">
        <v>2576</v>
      </c>
      <c r="L836">
        <v>236</v>
      </c>
      <c r="M836" t="s">
        <v>2577</v>
      </c>
    </row>
    <row r="837" spans="1:13">
      <c r="A837" t="s">
        <v>13</v>
      </c>
      <c r="B837">
        <v>833746</v>
      </c>
      <c r="C837">
        <v>835122</v>
      </c>
      <c r="E837" t="s">
        <v>14</v>
      </c>
      <c r="F837" t="s">
        <v>28</v>
      </c>
      <c r="H837">
        <v>0</v>
      </c>
      <c r="I837" t="s">
        <v>17</v>
      </c>
      <c r="K837" t="s">
        <v>2578</v>
      </c>
      <c r="L837">
        <v>458</v>
      </c>
      <c r="M837" t="s">
        <v>2579</v>
      </c>
    </row>
    <row r="838" spans="1:13">
      <c r="A838" t="s">
        <v>13</v>
      </c>
      <c r="B838">
        <v>835119</v>
      </c>
      <c r="C838">
        <v>835781</v>
      </c>
      <c r="E838" t="s">
        <v>35</v>
      </c>
      <c r="F838" t="s">
        <v>2580</v>
      </c>
      <c r="G838" t="s">
        <v>2581</v>
      </c>
      <c r="H838">
        <v>0</v>
      </c>
      <c r="I838" t="s">
        <v>17</v>
      </c>
      <c r="K838" t="s">
        <v>2582</v>
      </c>
      <c r="L838">
        <v>220</v>
      </c>
      <c r="M838" t="s">
        <v>2583</v>
      </c>
    </row>
    <row r="839" spans="1:13">
      <c r="A839" t="s">
        <v>13</v>
      </c>
      <c r="B839">
        <v>835953</v>
      </c>
      <c r="C839">
        <v>836366</v>
      </c>
      <c r="E839" t="s">
        <v>14</v>
      </c>
      <c r="F839" t="s">
        <v>2584</v>
      </c>
      <c r="G839" t="s">
        <v>2585</v>
      </c>
      <c r="H839">
        <v>0</v>
      </c>
      <c r="I839" t="s">
        <v>17</v>
      </c>
      <c r="K839" t="s">
        <v>2586</v>
      </c>
      <c r="L839">
        <v>137</v>
      </c>
      <c r="M839" t="s">
        <v>2587</v>
      </c>
    </row>
    <row r="840" spans="1:13">
      <c r="A840" t="s">
        <v>13</v>
      </c>
      <c r="B840">
        <v>836353</v>
      </c>
      <c r="C840">
        <v>837054</v>
      </c>
      <c r="E840" t="s">
        <v>14</v>
      </c>
      <c r="F840" t="s">
        <v>28</v>
      </c>
      <c r="H840">
        <v>0</v>
      </c>
      <c r="I840" t="s">
        <v>17</v>
      </c>
      <c r="K840" t="s">
        <v>2588</v>
      </c>
      <c r="L840">
        <v>233</v>
      </c>
      <c r="M840" t="s">
        <v>2589</v>
      </c>
    </row>
    <row r="841" spans="1:13">
      <c r="A841" t="s">
        <v>13</v>
      </c>
      <c r="B841">
        <v>837075</v>
      </c>
      <c r="C841">
        <v>838700</v>
      </c>
      <c r="E841" t="s">
        <v>35</v>
      </c>
      <c r="F841" t="s">
        <v>2590</v>
      </c>
      <c r="G841" t="s">
        <v>2591</v>
      </c>
      <c r="H841">
        <v>0</v>
      </c>
      <c r="I841" t="s">
        <v>17</v>
      </c>
      <c r="K841" t="s">
        <v>2592</v>
      </c>
      <c r="L841">
        <v>541</v>
      </c>
      <c r="M841" t="s">
        <v>2593</v>
      </c>
    </row>
    <row r="842" spans="1:13">
      <c r="A842" t="s">
        <v>13</v>
      </c>
      <c r="B842">
        <v>838725</v>
      </c>
      <c r="C842">
        <v>839573</v>
      </c>
      <c r="E842" t="s">
        <v>14</v>
      </c>
      <c r="F842" t="s">
        <v>2594</v>
      </c>
      <c r="G842" t="s">
        <v>2595</v>
      </c>
      <c r="H842">
        <v>0</v>
      </c>
      <c r="I842" t="s">
        <v>17</v>
      </c>
      <c r="K842" t="s">
        <v>2596</v>
      </c>
      <c r="L842">
        <v>282</v>
      </c>
      <c r="M842" t="s">
        <v>2597</v>
      </c>
    </row>
    <row r="843" spans="1:13">
      <c r="A843" t="s">
        <v>13</v>
      </c>
      <c r="B843">
        <v>839856</v>
      </c>
      <c r="C843">
        <v>841712</v>
      </c>
      <c r="E843" t="s">
        <v>14</v>
      </c>
      <c r="F843" t="s">
        <v>1553</v>
      </c>
      <c r="G843" t="s">
        <v>2598</v>
      </c>
      <c r="H843">
        <v>0</v>
      </c>
      <c r="I843" t="s">
        <v>17</v>
      </c>
      <c r="K843" t="s">
        <v>2599</v>
      </c>
      <c r="L843">
        <v>618</v>
      </c>
      <c r="M843" t="s">
        <v>2600</v>
      </c>
    </row>
    <row r="844" spans="1:13">
      <c r="A844" t="s">
        <v>13</v>
      </c>
      <c r="B844">
        <v>841847</v>
      </c>
      <c r="C844">
        <v>843679</v>
      </c>
      <c r="E844" t="s">
        <v>14</v>
      </c>
      <c r="F844" t="s">
        <v>2601</v>
      </c>
      <c r="G844" t="s">
        <v>2602</v>
      </c>
      <c r="H844">
        <v>0</v>
      </c>
      <c r="I844" t="s">
        <v>17</v>
      </c>
      <c r="K844" t="s">
        <v>2603</v>
      </c>
      <c r="L844">
        <v>610</v>
      </c>
      <c r="M844" t="s">
        <v>2604</v>
      </c>
    </row>
    <row r="845" spans="1:13">
      <c r="A845" t="s">
        <v>13</v>
      </c>
      <c r="B845">
        <v>843779</v>
      </c>
      <c r="C845">
        <v>844279</v>
      </c>
      <c r="E845" t="s">
        <v>35</v>
      </c>
      <c r="F845" t="s">
        <v>2605</v>
      </c>
      <c r="G845" t="s">
        <v>2606</v>
      </c>
      <c r="H845">
        <v>0</v>
      </c>
      <c r="I845" t="s">
        <v>17</v>
      </c>
      <c r="K845" t="s">
        <v>2607</v>
      </c>
      <c r="L845">
        <v>166</v>
      </c>
      <c r="M845" t="s">
        <v>2608</v>
      </c>
    </row>
    <row r="846" spans="1:13">
      <c r="A846" t="s">
        <v>13</v>
      </c>
      <c r="B846">
        <v>844291</v>
      </c>
      <c r="C846">
        <v>844785</v>
      </c>
      <c r="E846" t="s">
        <v>35</v>
      </c>
      <c r="F846" t="s">
        <v>2605</v>
      </c>
      <c r="G846" t="s">
        <v>2609</v>
      </c>
      <c r="H846">
        <v>0</v>
      </c>
      <c r="I846" t="s">
        <v>17</v>
      </c>
      <c r="K846" t="s">
        <v>2610</v>
      </c>
      <c r="L846">
        <v>164</v>
      </c>
      <c r="M846" t="s">
        <v>2611</v>
      </c>
    </row>
    <row r="847" spans="1:13">
      <c r="A847" t="s">
        <v>13</v>
      </c>
      <c r="B847">
        <v>844811</v>
      </c>
      <c r="C847">
        <v>845647</v>
      </c>
      <c r="E847" t="s">
        <v>14</v>
      </c>
      <c r="F847" t="s">
        <v>2612</v>
      </c>
      <c r="G847" t="s">
        <v>2613</v>
      </c>
      <c r="H847">
        <v>0</v>
      </c>
      <c r="I847" t="s">
        <v>17</v>
      </c>
      <c r="K847" t="s">
        <v>2614</v>
      </c>
      <c r="L847">
        <v>278</v>
      </c>
      <c r="M847" t="s">
        <v>2615</v>
      </c>
    </row>
    <row r="848" spans="1:13">
      <c r="A848" t="s">
        <v>13</v>
      </c>
      <c r="B848">
        <v>845921</v>
      </c>
      <c r="C848">
        <v>847096</v>
      </c>
      <c r="E848" t="s">
        <v>14</v>
      </c>
      <c r="F848" t="s">
        <v>2337</v>
      </c>
      <c r="G848" t="s">
        <v>2616</v>
      </c>
      <c r="H848">
        <v>0</v>
      </c>
      <c r="I848" t="s">
        <v>17</v>
      </c>
      <c r="K848" t="s">
        <v>2617</v>
      </c>
      <c r="L848">
        <v>391</v>
      </c>
      <c r="M848" t="s">
        <v>2618</v>
      </c>
    </row>
    <row r="849" spans="1:13">
      <c r="A849" t="s">
        <v>13</v>
      </c>
      <c r="B849">
        <v>847205</v>
      </c>
      <c r="C849">
        <v>848068</v>
      </c>
      <c r="E849" t="s">
        <v>14</v>
      </c>
      <c r="F849" t="s">
        <v>2619</v>
      </c>
      <c r="G849" t="s">
        <v>2620</v>
      </c>
      <c r="H849">
        <v>0</v>
      </c>
      <c r="I849" t="s">
        <v>17</v>
      </c>
      <c r="K849" t="s">
        <v>2621</v>
      </c>
      <c r="L849">
        <v>287</v>
      </c>
      <c r="M849" t="s">
        <v>2622</v>
      </c>
    </row>
    <row r="850" spans="1:13">
      <c r="A850" t="s">
        <v>13</v>
      </c>
      <c r="B850">
        <v>848065</v>
      </c>
      <c r="C850">
        <v>849045</v>
      </c>
      <c r="E850" t="s">
        <v>14</v>
      </c>
      <c r="F850" t="s">
        <v>2623</v>
      </c>
      <c r="G850" t="s">
        <v>2624</v>
      </c>
      <c r="H850">
        <v>0</v>
      </c>
      <c r="I850" t="s">
        <v>17</v>
      </c>
      <c r="K850" t="s">
        <v>2625</v>
      </c>
      <c r="L850">
        <v>326</v>
      </c>
      <c r="M850" t="s">
        <v>2626</v>
      </c>
    </row>
    <row r="851" spans="1:13">
      <c r="A851" t="s">
        <v>13</v>
      </c>
      <c r="B851">
        <v>849101</v>
      </c>
      <c r="C851">
        <v>850420</v>
      </c>
      <c r="E851" t="s">
        <v>35</v>
      </c>
      <c r="F851" t="s">
        <v>28</v>
      </c>
      <c r="H851">
        <v>0</v>
      </c>
      <c r="I851" t="s">
        <v>17</v>
      </c>
      <c r="K851" t="s">
        <v>2627</v>
      </c>
      <c r="L851">
        <v>439</v>
      </c>
      <c r="M851" t="s">
        <v>2628</v>
      </c>
    </row>
    <row r="852" spans="1:13">
      <c r="A852" t="s">
        <v>13</v>
      </c>
      <c r="B852">
        <v>850512</v>
      </c>
      <c r="C852">
        <v>852320</v>
      </c>
      <c r="E852" t="s">
        <v>14</v>
      </c>
      <c r="F852" t="s">
        <v>2629</v>
      </c>
      <c r="H852">
        <v>0</v>
      </c>
      <c r="I852" t="s">
        <v>17</v>
      </c>
      <c r="K852" t="s">
        <v>2630</v>
      </c>
      <c r="L852">
        <v>602</v>
      </c>
      <c r="M852" t="s">
        <v>2631</v>
      </c>
    </row>
    <row r="853" spans="1:13">
      <c r="A853" t="s">
        <v>13</v>
      </c>
      <c r="B853">
        <v>852287</v>
      </c>
      <c r="C853">
        <v>854020</v>
      </c>
      <c r="E853" t="s">
        <v>14</v>
      </c>
      <c r="F853" t="s">
        <v>28</v>
      </c>
      <c r="H853">
        <v>0</v>
      </c>
      <c r="I853" t="s">
        <v>17</v>
      </c>
      <c r="K853" t="s">
        <v>2632</v>
      </c>
      <c r="L853">
        <v>577</v>
      </c>
      <c r="M853" t="s">
        <v>2633</v>
      </c>
    </row>
    <row r="854" spans="1:13">
      <c r="A854" t="s">
        <v>13</v>
      </c>
      <c r="B854">
        <v>854158</v>
      </c>
      <c r="C854">
        <v>854736</v>
      </c>
      <c r="E854" t="s">
        <v>14</v>
      </c>
      <c r="F854" t="s">
        <v>28</v>
      </c>
      <c r="H854">
        <v>0</v>
      </c>
      <c r="I854" t="s">
        <v>17</v>
      </c>
      <c r="K854" t="s">
        <v>2634</v>
      </c>
      <c r="L854">
        <v>192</v>
      </c>
      <c r="M854" t="s">
        <v>2635</v>
      </c>
    </row>
    <row r="855" spans="1:13">
      <c r="A855" t="s">
        <v>13</v>
      </c>
      <c r="B855">
        <v>854837</v>
      </c>
      <c r="C855">
        <v>855160</v>
      </c>
      <c r="E855" t="s">
        <v>14</v>
      </c>
      <c r="F855" t="s">
        <v>2636</v>
      </c>
      <c r="H855">
        <v>0</v>
      </c>
      <c r="I855" t="s">
        <v>17</v>
      </c>
      <c r="K855" t="s">
        <v>2637</v>
      </c>
      <c r="L855">
        <v>107</v>
      </c>
      <c r="M855" t="s">
        <v>2638</v>
      </c>
    </row>
    <row r="856" spans="1:13">
      <c r="A856" t="s">
        <v>13</v>
      </c>
      <c r="B856">
        <v>855432</v>
      </c>
      <c r="C856">
        <v>858590</v>
      </c>
      <c r="E856" t="s">
        <v>35</v>
      </c>
      <c r="F856" t="s">
        <v>2639</v>
      </c>
      <c r="G856" t="s">
        <v>2640</v>
      </c>
      <c r="H856">
        <v>0</v>
      </c>
      <c r="I856" t="s">
        <v>17</v>
      </c>
      <c r="K856" t="s">
        <v>2641</v>
      </c>
      <c r="L856">
        <v>1052</v>
      </c>
      <c r="M856" t="s">
        <v>2642</v>
      </c>
    </row>
    <row r="857" spans="1:13">
      <c r="A857" t="s">
        <v>13</v>
      </c>
      <c r="B857">
        <v>858730</v>
      </c>
      <c r="C857">
        <v>859527</v>
      </c>
      <c r="E857" t="s">
        <v>35</v>
      </c>
      <c r="F857" t="s">
        <v>2643</v>
      </c>
      <c r="G857" t="s">
        <v>2644</v>
      </c>
      <c r="H857">
        <v>0</v>
      </c>
      <c r="I857" t="s">
        <v>17</v>
      </c>
      <c r="K857" t="s">
        <v>2645</v>
      </c>
      <c r="L857">
        <v>265</v>
      </c>
      <c r="M857" t="s">
        <v>2646</v>
      </c>
    </row>
    <row r="858" spans="1:13">
      <c r="A858" t="s">
        <v>13</v>
      </c>
      <c r="B858">
        <v>859566</v>
      </c>
      <c r="C858">
        <v>860630</v>
      </c>
      <c r="E858" t="s">
        <v>14</v>
      </c>
      <c r="F858" t="s">
        <v>2647</v>
      </c>
      <c r="G858" t="s">
        <v>2648</v>
      </c>
      <c r="H858">
        <v>0</v>
      </c>
      <c r="I858" t="s">
        <v>17</v>
      </c>
      <c r="K858" t="s">
        <v>2649</v>
      </c>
      <c r="L858">
        <v>354</v>
      </c>
      <c r="M858" t="s">
        <v>2650</v>
      </c>
    </row>
    <row r="859" spans="1:13">
      <c r="A859" t="s">
        <v>13</v>
      </c>
      <c r="B859">
        <v>860620</v>
      </c>
      <c r="C859">
        <v>861801</v>
      </c>
      <c r="E859" t="s">
        <v>35</v>
      </c>
      <c r="F859" t="s">
        <v>28</v>
      </c>
      <c r="H859">
        <v>0</v>
      </c>
      <c r="I859" t="s">
        <v>17</v>
      </c>
      <c r="K859" t="s">
        <v>2651</v>
      </c>
      <c r="L859">
        <v>393</v>
      </c>
      <c r="M859" t="s">
        <v>2652</v>
      </c>
    </row>
    <row r="860" spans="1:13">
      <c r="A860" t="s">
        <v>13</v>
      </c>
      <c r="B860">
        <v>861827</v>
      </c>
      <c r="C860">
        <v>862426</v>
      </c>
      <c r="E860" t="s">
        <v>35</v>
      </c>
      <c r="F860" t="s">
        <v>2653</v>
      </c>
      <c r="H860">
        <v>0</v>
      </c>
      <c r="I860" t="s">
        <v>17</v>
      </c>
      <c r="K860" t="s">
        <v>2654</v>
      </c>
      <c r="L860">
        <v>199</v>
      </c>
      <c r="M860" t="s">
        <v>2655</v>
      </c>
    </row>
    <row r="861" spans="1:13">
      <c r="A861" t="s">
        <v>13</v>
      </c>
      <c r="B861">
        <v>862419</v>
      </c>
      <c r="C861">
        <v>864797</v>
      </c>
      <c r="E861" t="s">
        <v>35</v>
      </c>
      <c r="F861" t="s">
        <v>584</v>
      </c>
      <c r="G861" t="s">
        <v>2656</v>
      </c>
      <c r="H861">
        <v>0</v>
      </c>
      <c r="I861" t="s">
        <v>17</v>
      </c>
      <c r="K861" t="s">
        <v>2657</v>
      </c>
      <c r="L861">
        <v>792</v>
      </c>
      <c r="M861" t="s">
        <v>2658</v>
      </c>
    </row>
    <row r="862" spans="1:13">
      <c r="A862" t="s">
        <v>13</v>
      </c>
      <c r="B862">
        <v>864982</v>
      </c>
      <c r="C862">
        <v>865635</v>
      </c>
      <c r="E862" t="s">
        <v>14</v>
      </c>
      <c r="F862" t="s">
        <v>28</v>
      </c>
      <c r="H862">
        <v>0</v>
      </c>
      <c r="I862" t="s">
        <v>17</v>
      </c>
      <c r="K862" t="s">
        <v>2659</v>
      </c>
      <c r="L862">
        <v>217</v>
      </c>
      <c r="M862" t="s">
        <v>2660</v>
      </c>
    </row>
    <row r="863" spans="1:13">
      <c r="A863" t="s">
        <v>13</v>
      </c>
      <c r="B863">
        <v>865643</v>
      </c>
      <c r="C863">
        <v>866182</v>
      </c>
      <c r="E863" t="s">
        <v>35</v>
      </c>
      <c r="F863" t="s">
        <v>2661</v>
      </c>
      <c r="H863">
        <v>0</v>
      </c>
      <c r="I863" t="s">
        <v>17</v>
      </c>
      <c r="K863" t="s">
        <v>2662</v>
      </c>
      <c r="L863">
        <v>179</v>
      </c>
      <c r="M863" t="s">
        <v>2663</v>
      </c>
    </row>
    <row r="864" spans="1:13">
      <c r="A864" t="s">
        <v>13</v>
      </c>
      <c r="B864">
        <v>866182</v>
      </c>
      <c r="C864">
        <v>866637</v>
      </c>
      <c r="E864" t="s">
        <v>35</v>
      </c>
      <c r="F864" t="s">
        <v>28</v>
      </c>
      <c r="H864">
        <v>0</v>
      </c>
      <c r="I864" t="s">
        <v>17</v>
      </c>
      <c r="K864" t="s">
        <v>2664</v>
      </c>
      <c r="L864">
        <v>151</v>
      </c>
      <c r="M864" t="s">
        <v>2665</v>
      </c>
    </row>
    <row r="865" spans="1:13">
      <c r="A865" t="s">
        <v>13</v>
      </c>
      <c r="B865">
        <v>866661</v>
      </c>
      <c r="C865">
        <v>867530</v>
      </c>
      <c r="E865" t="s">
        <v>14</v>
      </c>
      <c r="F865" t="s">
        <v>2666</v>
      </c>
      <c r="H865">
        <v>0</v>
      </c>
      <c r="I865" t="s">
        <v>17</v>
      </c>
      <c r="K865" t="s">
        <v>2667</v>
      </c>
      <c r="L865">
        <v>289</v>
      </c>
      <c r="M865" t="s">
        <v>2668</v>
      </c>
    </row>
    <row r="866" spans="1:13">
      <c r="A866" t="s">
        <v>13</v>
      </c>
      <c r="B866">
        <v>867684</v>
      </c>
      <c r="C866">
        <v>869246</v>
      </c>
      <c r="E866" t="s">
        <v>14</v>
      </c>
      <c r="F866" t="s">
        <v>2414</v>
      </c>
      <c r="H866">
        <v>0</v>
      </c>
      <c r="I866" t="s">
        <v>17</v>
      </c>
      <c r="K866" t="s">
        <v>2669</v>
      </c>
      <c r="L866">
        <v>520</v>
      </c>
      <c r="M866" t="s">
        <v>2670</v>
      </c>
    </row>
    <row r="867" spans="1:13">
      <c r="A867" t="s">
        <v>13</v>
      </c>
      <c r="B867">
        <v>869266</v>
      </c>
      <c r="C867">
        <v>870900</v>
      </c>
      <c r="E867" t="s">
        <v>35</v>
      </c>
      <c r="F867" t="s">
        <v>2671</v>
      </c>
      <c r="G867" t="s">
        <v>2672</v>
      </c>
      <c r="H867">
        <v>0</v>
      </c>
      <c r="I867" t="s">
        <v>17</v>
      </c>
      <c r="K867" t="s">
        <v>2673</v>
      </c>
      <c r="L867">
        <v>544</v>
      </c>
      <c r="M867" t="s">
        <v>2674</v>
      </c>
    </row>
    <row r="868" spans="1:13">
      <c r="A868" t="s">
        <v>13</v>
      </c>
      <c r="B868">
        <v>870925</v>
      </c>
      <c r="C868">
        <v>871728</v>
      </c>
      <c r="E868" t="s">
        <v>35</v>
      </c>
      <c r="F868" t="s">
        <v>2675</v>
      </c>
      <c r="G868" t="s">
        <v>2676</v>
      </c>
      <c r="H868">
        <v>0</v>
      </c>
      <c r="I868" t="s">
        <v>17</v>
      </c>
      <c r="K868" t="s">
        <v>2677</v>
      </c>
      <c r="L868">
        <v>267</v>
      </c>
      <c r="M868" t="s">
        <v>2678</v>
      </c>
    </row>
    <row r="869" spans="1:13">
      <c r="A869" t="s">
        <v>13</v>
      </c>
      <c r="B869">
        <v>871879</v>
      </c>
      <c r="C869">
        <v>873231</v>
      </c>
      <c r="E869" t="s">
        <v>14</v>
      </c>
      <c r="F869" t="s">
        <v>2679</v>
      </c>
      <c r="G869" t="s">
        <v>2680</v>
      </c>
      <c r="H869">
        <v>0</v>
      </c>
      <c r="I869" t="s">
        <v>17</v>
      </c>
      <c r="K869" t="s">
        <v>2681</v>
      </c>
      <c r="L869">
        <v>450</v>
      </c>
      <c r="M869" t="s">
        <v>2682</v>
      </c>
    </row>
    <row r="870" spans="1:13">
      <c r="A870" t="s">
        <v>13</v>
      </c>
      <c r="B870">
        <v>873224</v>
      </c>
      <c r="C870">
        <v>873916</v>
      </c>
      <c r="E870" t="s">
        <v>14</v>
      </c>
      <c r="F870" t="s">
        <v>2683</v>
      </c>
      <c r="G870" t="s">
        <v>2684</v>
      </c>
      <c r="H870">
        <v>0</v>
      </c>
      <c r="I870" t="s">
        <v>17</v>
      </c>
      <c r="K870" t="s">
        <v>2685</v>
      </c>
      <c r="L870">
        <v>230</v>
      </c>
      <c r="M870" t="s">
        <v>2686</v>
      </c>
    </row>
    <row r="871" spans="1:13">
      <c r="A871" t="s">
        <v>13</v>
      </c>
      <c r="B871">
        <v>873913</v>
      </c>
      <c r="C871">
        <v>874560</v>
      </c>
      <c r="E871" t="s">
        <v>35</v>
      </c>
      <c r="F871" t="s">
        <v>2687</v>
      </c>
      <c r="G871" t="s">
        <v>2688</v>
      </c>
      <c r="H871">
        <v>0</v>
      </c>
      <c r="I871" t="s">
        <v>17</v>
      </c>
      <c r="K871" t="s">
        <v>2689</v>
      </c>
      <c r="L871">
        <v>215</v>
      </c>
      <c r="M871" t="s">
        <v>2690</v>
      </c>
    </row>
    <row r="872" spans="1:13">
      <c r="A872" t="s">
        <v>13</v>
      </c>
      <c r="B872">
        <v>874644</v>
      </c>
      <c r="C872">
        <v>875591</v>
      </c>
      <c r="E872" t="s">
        <v>14</v>
      </c>
      <c r="F872" t="s">
        <v>2691</v>
      </c>
      <c r="H872">
        <v>0</v>
      </c>
      <c r="I872" t="s">
        <v>17</v>
      </c>
      <c r="K872" t="s">
        <v>2692</v>
      </c>
      <c r="L872">
        <v>315</v>
      </c>
      <c r="M872" t="s">
        <v>2693</v>
      </c>
    </row>
    <row r="873" spans="1:13">
      <c r="A873" t="s">
        <v>13</v>
      </c>
      <c r="B873">
        <v>875655</v>
      </c>
      <c r="C873">
        <v>877109</v>
      </c>
      <c r="E873" t="s">
        <v>14</v>
      </c>
      <c r="F873" t="s">
        <v>2694</v>
      </c>
      <c r="G873" t="s">
        <v>2695</v>
      </c>
      <c r="H873">
        <v>0</v>
      </c>
      <c r="I873" t="s">
        <v>17</v>
      </c>
      <c r="K873" t="s">
        <v>2696</v>
      </c>
      <c r="L873">
        <v>484</v>
      </c>
      <c r="M873" t="s">
        <v>2697</v>
      </c>
    </row>
    <row r="874" spans="1:13">
      <c r="A874" t="s">
        <v>13</v>
      </c>
      <c r="B874">
        <v>877156</v>
      </c>
      <c r="C874">
        <v>877524</v>
      </c>
      <c r="E874" t="s">
        <v>35</v>
      </c>
      <c r="F874" t="s">
        <v>28</v>
      </c>
      <c r="H874">
        <v>0</v>
      </c>
      <c r="I874" t="s">
        <v>17</v>
      </c>
      <c r="K874" t="s">
        <v>2698</v>
      </c>
      <c r="L874">
        <v>122</v>
      </c>
      <c r="M874" t="s">
        <v>2699</v>
      </c>
    </row>
    <row r="875" spans="1:13">
      <c r="A875" t="s">
        <v>13</v>
      </c>
      <c r="B875">
        <v>877484</v>
      </c>
      <c r="C875">
        <v>878098</v>
      </c>
      <c r="E875" t="s">
        <v>35</v>
      </c>
      <c r="F875" t="s">
        <v>28</v>
      </c>
      <c r="H875">
        <v>0</v>
      </c>
      <c r="I875" t="s">
        <v>17</v>
      </c>
      <c r="K875" t="s">
        <v>2700</v>
      </c>
      <c r="L875">
        <v>204</v>
      </c>
      <c r="M875" t="s">
        <v>2701</v>
      </c>
    </row>
    <row r="876" spans="1:13">
      <c r="A876" t="s">
        <v>13</v>
      </c>
      <c r="B876">
        <v>878309</v>
      </c>
      <c r="C876">
        <v>878653</v>
      </c>
      <c r="E876" t="s">
        <v>35</v>
      </c>
      <c r="F876" t="s">
        <v>28</v>
      </c>
      <c r="H876">
        <v>0</v>
      </c>
      <c r="I876" t="s">
        <v>17</v>
      </c>
      <c r="K876" t="s">
        <v>2702</v>
      </c>
      <c r="L876">
        <v>114</v>
      </c>
      <c r="M876" t="s">
        <v>2703</v>
      </c>
    </row>
    <row r="877" spans="1:13">
      <c r="A877" t="s">
        <v>13</v>
      </c>
      <c r="B877">
        <v>878646</v>
      </c>
      <c r="C877">
        <v>879359</v>
      </c>
      <c r="E877" t="s">
        <v>35</v>
      </c>
      <c r="F877" t="s">
        <v>2704</v>
      </c>
      <c r="G877" t="s">
        <v>2705</v>
      </c>
      <c r="H877">
        <v>0</v>
      </c>
      <c r="I877" t="s">
        <v>17</v>
      </c>
      <c r="K877" t="s">
        <v>2706</v>
      </c>
      <c r="L877">
        <v>237</v>
      </c>
      <c r="M877" t="s">
        <v>2707</v>
      </c>
    </row>
    <row r="878" spans="1:13">
      <c r="A878" t="s">
        <v>13</v>
      </c>
      <c r="B878">
        <v>879445</v>
      </c>
      <c r="C878">
        <v>880104</v>
      </c>
      <c r="E878" t="s">
        <v>35</v>
      </c>
      <c r="F878" t="s">
        <v>2708</v>
      </c>
      <c r="G878" t="s">
        <v>2709</v>
      </c>
      <c r="H878">
        <v>0</v>
      </c>
      <c r="I878" t="s">
        <v>17</v>
      </c>
      <c r="K878" t="s">
        <v>2710</v>
      </c>
      <c r="L878">
        <v>219</v>
      </c>
      <c r="M878" t="s">
        <v>2711</v>
      </c>
    </row>
    <row r="879" spans="1:13">
      <c r="A879" t="s">
        <v>13</v>
      </c>
      <c r="B879">
        <v>880097</v>
      </c>
      <c r="C879">
        <v>881275</v>
      </c>
      <c r="E879" t="s">
        <v>35</v>
      </c>
      <c r="F879" t="s">
        <v>2712</v>
      </c>
      <c r="G879" t="s">
        <v>2713</v>
      </c>
      <c r="H879">
        <v>0</v>
      </c>
      <c r="I879" t="s">
        <v>17</v>
      </c>
      <c r="K879" t="s">
        <v>2714</v>
      </c>
      <c r="L879">
        <v>392</v>
      </c>
      <c r="M879" t="s">
        <v>2715</v>
      </c>
    </row>
    <row r="880" spans="1:13">
      <c r="A880" t="s">
        <v>13</v>
      </c>
      <c r="B880">
        <v>881306</v>
      </c>
      <c r="C880">
        <v>882181</v>
      </c>
      <c r="E880" t="s">
        <v>35</v>
      </c>
      <c r="F880" t="s">
        <v>2716</v>
      </c>
      <c r="H880">
        <v>0</v>
      </c>
      <c r="I880" t="s">
        <v>17</v>
      </c>
      <c r="K880" t="s">
        <v>2717</v>
      </c>
      <c r="L880">
        <v>291</v>
      </c>
      <c r="M880" t="s">
        <v>2718</v>
      </c>
    </row>
    <row r="881" spans="1:13">
      <c r="A881" t="s">
        <v>13</v>
      </c>
      <c r="B881">
        <v>882282</v>
      </c>
      <c r="C881">
        <v>883121</v>
      </c>
      <c r="E881" t="s">
        <v>35</v>
      </c>
      <c r="F881" t="s">
        <v>2719</v>
      </c>
      <c r="H881">
        <v>0</v>
      </c>
      <c r="I881" t="s">
        <v>17</v>
      </c>
      <c r="K881" t="s">
        <v>2720</v>
      </c>
      <c r="L881">
        <v>279</v>
      </c>
      <c r="M881" t="s">
        <v>2721</v>
      </c>
    </row>
    <row r="882" spans="1:13">
      <c r="A882" t="s">
        <v>13</v>
      </c>
      <c r="B882">
        <v>883127</v>
      </c>
      <c r="C882">
        <v>883660</v>
      </c>
      <c r="E882" t="s">
        <v>35</v>
      </c>
      <c r="F882" t="s">
        <v>2687</v>
      </c>
      <c r="G882" t="s">
        <v>2722</v>
      </c>
      <c r="H882">
        <v>0</v>
      </c>
      <c r="I882" t="s">
        <v>17</v>
      </c>
      <c r="K882" t="s">
        <v>2723</v>
      </c>
      <c r="L882">
        <v>177</v>
      </c>
      <c r="M882" t="s">
        <v>2724</v>
      </c>
    </row>
    <row r="883" spans="1:13">
      <c r="A883" t="s">
        <v>13</v>
      </c>
      <c r="B883">
        <v>883815</v>
      </c>
      <c r="C883">
        <v>883970</v>
      </c>
      <c r="E883" t="s">
        <v>14</v>
      </c>
      <c r="F883" t="s">
        <v>28</v>
      </c>
      <c r="H883">
        <v>0</v>
      </c>
      <c r="I883" t="s">
        <v>17</v>
      </c>
      <c r="K883" t="s">
        <v>2725</v>
      </c>
      <c r="L883">
        <v>51</v>
      </c>
      <c r="M883" t="s">
        <v>2726</v>
      </c>
    </row>
    <row r="884" spans="1:13">
      <c r="A884" t="s">
        <v>13</v>
      </c>
      <c r="B884">
        <v>884043</v>
      </c>
      <c r="C884">
        <v>884708</v>
      </c>
      <c r="E884" t="s">
        <v>35</v>
      </c>
      <c r="F884" t="s">
        <v>2727</v>
      </c>
      <c r="G884" t="s">
        <v>2728</v>
      </c>
      <c r="H884">
        <v>0</v>
      </c>
      <c r="I884" t="s">
        <v>17</v>
      </c>
      <c r="K884" t="s">
        <v>2729</v>
      </c>
      <c r="L884">
        <v>221</v>
      </c>
      <c r="M884" t="s">
        <v>2730</v>
      </c>
    </row>
    <row r="885" spans="1:13">
      <c r="A885" t="s">
        <v>13</v>
      </c>
      <c r="B885">
        <v>885185</v>
      </c>
      <c r="C885">
        <v>886159</v>
      </c>
      <c r="E885" t="s">
        <v>35</v>
      </c>
      <c r="F885" t="s">
        <v>2731</v>
      </c>
      <c r="G885" t="s">
        <v>2732</v>
      </c>
      <c r="H885">
        <v>0</v>
      </c>
      <c r="I885" t="s">
        <v>17</v>
      </c>
      <c r="K885" t="s">
        <v>2733</v>
      </c>
      <c r="L885">
        <v>324</v>
      </c>
      <c r="M885" t="s">
        <v>2734</v>
      </c>
    </row>
    <row r="886" spans="1:13">
      <c r="A886" t="s">
        <v>13</v>
      </c>
      <c r="B886">
        <v>886176</v>
      </c>
      <c r="C886">
        <v>887621</v>
      </c>
      <c r="E886" t="s">
        <v>35</v>
      </c>
      <c r="F886" t="s">
        <v>2735</v>
      </c>
      <c r="G886" t="s">
        <v>2736</v>
      </c>
      <c r="H886">
        <v>0</v>
      </c>
      <c r="I886" t="s">
        <v>17</v>
      </c>
      <c r="K886" t="s">
        <v>2737</v>
      </c>
      <c r="L886">
        <v>481</v>
      </c>
      <c r="M886" t="s">
        <v>2738</v>
      </c>
    </row>
    <row r="887" spans="1:13">
      <c r="A887" t="s">
        <v>13</v>
      </c>
      <c r="B887">
        <v>887691</v>
      </c>
      <c r="C887">
        <v>888887</v>
      </c>
      <c r="E887" t="s">
        <v>35</v>
      </c>
      <c r="F887" t="s">
        <v>1218</v>
      </c>
      <c r="H887">
        <v>0</v>
      </c>
      <c r="I887" t="s">
        <v>17</v>
      </c>
      <c r="K887" t="s">
        <v>2739</v>
      </c>
      <c r="L887">
        <v>398</v>
      </c>
      <c r="M887" t="s">
        <v>2740</v>
      </c>
    </row>
    <row r="888" spans="1:13">
      <c r="A888" t="s">
        <v>13</v>
      </c>
      <c r="B888">
        <v>889025</v>
      </c>
      <c r="C888">
        <v>889741</v>
      </c>
      <c r="E888" t="s">
        <v>14</v>
      </c>
      <c r="F888" t="s">
        <v>28</v>
      </c>
      <c r="H888">
        <v>0</v>
      </c>
      <c r="I888" t="s">
        <v>17</v>
      </c>
      <c r="K888" t="s">
        <v>2741</v>
      </c>
      <c r="L888">
        <v>238</v>
      </c>
      <c r="M888" t="s">
        <v>2742</v>
      </c>
    </row>
    <row r="889" spans="1:13">
      <c r="A889" t="s">
        <v>13</v>
      </c>
      <c r="B889">
        <v>889780</v>
      </c>
      <c r="C889">
        <v>889926</v>
      </c>
      <c r="E889" t="s">
        <v>35</v>
      </c>
      <c r="F889" t="s">
        <v>28</v>
      </c>
      <c r="H889">
        <v>0</v>
      </c>
      <c r="I889" t="s">
        <v>17</v>
      </c>
      <c r="K889" t="s">
        <v>2743</v>
      </c>
      <c r="L889">
        <v>48</v>
      </c>
      <c r="M889" t="s">
        <v>2744</v>
      </c>
    </row>
    <row r="890" spans="1:13">
      <c r="A890" t="s">
        <v>13</v>
      </c>
      <c r="B890">
        <v>889976</v>
      </c>
      <c r="C890">
        <v>890596</v>
      </c>
      <c r="E890" t="s">
        <v>35</v>
      </c>
      <c r="F890" t="s">
        <v>2745</v>
      </c>
      <c r="H890">
        <v>0</v>
      </c>
      <c r="I890" t="s">
        <v>17</v>
      </c>
      <c r="K890" t="s">
        <v>2746</v>
      </c>
      <c r="L890">
        <v>206</v>
      </c>
      <c r="M890" t="s">
        <v>2747</v>
      </c>
    </row>
    <row r="891" spans="1:13">
      <c r="A891" t="s">
        <v>13</v>
      </c>
      <c r="B891">
        <v>890707</v>
      </c>
      <c r="C891">
        <v>890970</v>
      </c>
      <c r="E891" t="s">
        <v>14</v>
      </c>
      <c r="F891" t="s">
        <v>28</v>
      </c>
      <c r="H891">
        <v>0</v>
      </c>
      <c r="I891" t="s">
        <v>17</v>
      </c>
      <c r="K891" t="s">
        <v>2748</v>
      </c>
      <c r="L891">
        <v>87</v>
      </c>
      <c r="M891" t="s">
        <v>2749</v>
      </c>
    </row>
    <row r="892" spans="1:13">
      <c r="A892" t="s">
        <v>13</v>
      </c>
      <c r="B892">
        <v>891435</v>
      </c>
      <c r="C892">
        <v>892343</v>
      </c>
      <c r="E892" t="s">
        <v>14</v>
      </c>
      <c r="F892" t="s">
        <v>2750</v>
      </c>
      <c r="G892" t="s">
        <v>2751</v>
      </c>
      <c r="H892">
        <v>0</v>
      </c>
      <c r="I892" t="s">
        <v>17</v>
      </c>
      <c r="K892" t="s">
        <v>2752</v>
      </c>
      <c r="L892">
        <v>302</v>
      </c>
      <c r="M892" t="s">
        <v>2753</v>
      </c>
    </row>
    <row r="893" spans="1:13">
      <c r="A893" t="s">
        <v>13</v>
      </c>
      <c r="B893">
        <v>892495</v>
      </c>
      <c r="C893">
        <v>893493</v>
      </c>
      <c r="E893" t="s">
        <v>14</v>
      </c>
      <c r="F893" t="s">
        <v>28</v>
      </c>
      <c r="H893">
        <v>0</v>
      </c>
      <c r="I893" t="s">
        <v>17</v>
      </c>
      <c r="K893" t="s">
        <v>2754</v>
      </c>
      <c r="L893">
        <v>332</v>
      </c>
      <c r="M893" t="s">
        <v>2755</v>
      </c>
    </row>
    <row r="894" spans="1:13">
      <c r="A894" t="s">
        <v>13</v>
      </c>
      <c r="B894">
        <v>893848</v>
      </c>
      <c r="C894">
        <v>894321</v>
      </c>
      <c r="E894" t="s">
        <v>14</v>
      </c>
      <c r="F894" t="s">
        <v>28</v>
      </c>
      <c r="H894">
        <v>0</v>
      </c>
      <c r="I894" t="s">
        <v>17</v>
      </c>
      <c r="K894" t="s">
        <v>2756</v>
      </c>
      <c r="L894">
        <v>157</v>
      </c>
      <c r="M894" t="s">
        <v>2757</v>
      </c>
    </row>
    <row r="895" spans="1:13">
      <c r="A895" t="s">
        <v>13</v>
      </c>
      <c r="B895">
        <v>894499</v>
      </c>
      <c r="C895">
        <v>895263</v>
      </c>
      <c r="E895" t="s">
        <v>14</v>
      </c>
      <c r="F895" t="s">
        <v>28</v>
      </c>
      <c r="H895">
        <v>0</v>
      </c>
      <c r="I895" t="s">
        <v>17</v>
      </c>
      <c r="K895" t="s">
        <v>2758</v>
      </c>
      <c r="L895">
        <v>254</v>
      </c>
      <c r="M895" t="s">
        <v>2759</v>
      </c>
    </row>
    <row r="896" spans="1:13">
      <c r="A896" t="s">
        <v>13</v>
      </c>
      <c r="B896">
        <v>895672</v>
      </c>
      <c r="C896">
        <v>895744</v>
      </c>
      <c r="E896" t="s">
        <v>35</v>
      </c>
      <c r="F896" t="s">
        <v>2760</v>
      </c>
      <c r="H896">
        <v>0</v>
      </c>
      <c r="I896" t="s">
        <v>53</v>
      </c>
      <c r="M896" t="s">
        <v>2761</v>
      </c>
    </row>
    <row r="897" spans="1:13">
      <c r="A897" t="s">
        <v>13</v>
      </c>
      <c r="B897">
        <v>895838</v>
      </c>
      <c r="C897">
        <v>896455</v>
      </c>
      <c r="E897" t="s">
        <v>14</v>
      </c>
      <c r="F897" t="s">
        <v>2762</v>
      </c>
      <c r="G897" t="s">
        <v>2763</v>
      </c>
      <c r="H897">
        <v>0</v>
      </c>
      <c r="I897" t="s">
        <v>17</v>
      </c>
      <c r="K897" t="s">
        <v>2764</v>
      </c>
      <c r="L897">
        <v>205</v>
      </c>
      <c r="M897" t="s">
        <v>2765</v>
      </c>
    </row>
    <row r="898" spans="1:13">
      <c r="A898" t="s">
        <v>13</v>
      </c>
      <c r="B898">
        <v>896456</v>
      </c>
      <c r="C898">
        <v>900097</v>
      </c>
      <c r="E898" t="s">
        <v>14</v>
      </c>
      <c r="F898" t="s">
        <v>2766</v>
      </c>
      <c r="G898" t="s">
        <v>2767</v>
      </c>
      <c r="H898">
        <v>0</v>
      </c>
      <c r="I898" t="s">
        <v>17</v>
      </c>
      <c r="K898" t="s">
        <v>2768</v>
      </c>
      <c r="L898">
        <v>1213</v>
      </c>
      <c r="M898" t="s">
        <v>2769</v>
      </c>
    </row>
    <row r="899" spans="1:13">
      <c r="A899" t="s">
        <v>13</v>
      </c>
      <c r="B899">
        <v>900109</v>
      </c>
      <c r="C899">
        <v>901038</v>
      </c>
      <c r="E899" t="s">
        <v>35</v>
      </c>
      <c r="F899" t="s">
        <v>2770</v>
      </c>
      <c r="G899" t="s">
        <v>2771</v>
      </c>
      <c r="H899">
        <v>0</v>
      </c>
      <c r="I899" t="s">
        <v>17</v>
      </c>
      <c r="K899" t="s">
        <v>2772</v>
      </c>
      <c r="L899">
        <v>309</v>
      </c>
      <c r="M899" t="s">
        <v>2773</v>
      </c>
    </row>
    <row r="900" spans="1:13">
      <c r="A900" t="s">
        <v>13</v>
      </c>
      <c r="B900">
        <v>901039</v>
      </c>
      <c r="C900">
        <v>902061</v>
      </c>
      <c r="E900" t="s">
        <v>35</v>
      </c>
      <c r="F900" t="s">
        <v>2774</v>
      </c>
      <c r="G900" t="s">
        <v>2775</v>
      </c>
      <c r="H900">
        <v>0</v>
      </c>
      <c r="I900" t="s">
        <v>17</v>
      </c>
      <c r="K900" t="s">
        <v>2776</v>
      </c>
      <c r="L900">
        <v>340</v>
      </c>
      <c r="M900" t="s">
        <v>2777</v>
      </c>
    </row>
    <row r="901" spans="1:13">
      <c r="A901" t="s">
        <v>13</v>
      </c>
      <c r="B901">
        <v>902171</v>
      </c>
      <c r="C901">
        <v>903646</v>
      </c>
      <c r="E901" t="s">
        <v>35</v>
      </c>
      <c r="F901" t="s">
        <v>2778</v>
      </c>
      <c r="G901" t="s">
        <v>2779</v>
      </c>
      <c r="H901">
        <v>0</v>
      </c>
      <c r="I901" t="s">
        <v>17</v>
      </c>
      <c r="K901" t="s">
        <v>2780</v>
      </c>
      <c r="L901">
        <v>491</v>
      </c>
      <c r="M901" t="s">
        <v>2781</v>
      </c>
    </row>
    <row r="902" spans="1:13">
      <c r="A902" t="s">
        <v>13</v>
      </c>
      <c r="B902">
        <v>903716</v>
      </c>
      <c r="C902">
        <v>904306</v>
      </c>
      <c r="E902" t="s">
        <v>14</v>
      </c>
      <c r="F902" t="s">
        <v>2782</v>
      </c>
      <c r="G902" t="s">
        <v>2783</v>
      </c>
      <c r="H902">
        <v>0</v>
      </c>
      <c r="I902" t="s">
        <v>17</v>
      </c>
      <c r="K902" t="s">
        <v>2784</v>
      </c>
      <c r="L902">
        <v>196</v>
      </c>
      <c r="M902" t="s">
        <v>2785</v>
      </c>
    </row>
    <row r="903" spans="1:13">
      <c r="A903" t="s">
        <v>13</v>
      </c>
      <c r="B903">
        <v>904397</v>
      </c>
      <c r="C903">
        <v>905158</v>
      </c>
      <c r="E903" t="s">
        <v>14</v>
      </c>
      <c r="F903" t="s">
        <v>28</v>
      </c>
      <c r="H903">
        <v>0</v>
      </c>
      <c r="I903" t="s">
        <v>17</v>
      </c>
      <c r="K903" t="s">
        <v>2786</v>
      </c>
      <c r="L903">
        <v>253</v>
      </c>
      <c r="M903" t="s">
        <v>2787</v>
      </c>
    </row>
    <row r="904" spans="1:13">
      <c r="A904" t="s">
        <v>13</v>
      </c>
      <c r="B904">
        <v>905251</v>
      </c>
      <c r="C904">
        <v>906528</v>
      </c>
      <c r="E904" t="s">
        <v>14</v>
      </c>
      <c r="F904" t="s">
        <v>2788</v>
      </c>
      <c r="G904" t="s">
        <v>2789</v>
      </c>
      <c r="H904">
        <v>0</v>
      </c>
      <c r="I904" t="s">
        <v>17</v>
      </c>
      <c r="K904" t="s">
        <v>2790</v>
      </c>
      <c r="L904">
        <v>425</v>
      </c>
      <c r="M904" t="s">
        <v>2791</v>
      </c>
    </row>
    <row r="905" spans="1:13">
      <c r="A905" t="s">
        <v>13</v>
      </c>
      <c r="B905">
        <v>906707</v>
      </c>
      <c r="C905">
        <v>907267</v>
      </c>
      <c r="E905" t="s">
        <v>14</v>
      </c>
      <c r="F905" t="s">
        <v>2792</v>
      </c>
      <c r="G905" t="s">
        <v>2793</v>
      </c>
      <c r="H905">
        <v>0</v>
      </c>
      <c r="I905" t="s">
        <v>17</v>
      </c>
      <c r="K905" t="s">
        <v>2794</v>
      </c>
      <c r="L905">
        <v>186</v>
      </c>
      <c r="M905" t="s">
        <v>2795</v>
      </c>
    </row>
    <row r="906" spans="1:13">
      <c r="A906" t="s">
        <v>13</v>
      </c>
      <c r="B906">
        <v>907276</v>
      </c>
      <c r="C906">
        <v>907824</v>
      </c>
      <c r="E906" t="s">
        <v>14</v>
      </c>
      <c r="F906" t="s">
        <v>28</v>
      </c>
      <c r="H906">
        <v>0</v>
      </c>
      <c r="I906" t="s">
        <v>17</v>
      </c>
      <c r="K906" t="s">
        <v>2796</v>
      </c>
      <c r="L906">
        <v>182</v>
      </c>
      <c r="M906" t="s">
        <v>2797</v>
      </c>
    </row>
    <row r="907" spans="1:13">
      <c r="A907" t="s">
        <v>13</v>
      </c>
      <c r="B907">
        <v>907834</v>
      </c>
      <c r="C907">
        <v>908799</v>
      </c>
      <c r="E907" t="s">
        <v>14</v>
      </c>
      <c r="F907" t="s">
        <v>2798</v>
      </c>
      <c r="G907" t="s">
        <v>2799</v>
      </c>
      <c r="H907">
        <v>0</v>
      </c>
      <c r="I907" t="s">
        <v>17</v>
      </c>
      <c r="K907" t="s">
        <v>2800</v>
      </c>
      <c r="L907">
        <v>321</v>
      </c>
      <c r="M907" t="s">
        <v>2801</v>
      </c>
    </row>
    <row r="908" spans="1:13">
      <c r="A908" t="s">
        <v>13</v>
      </c>
      <c r="B908">
        <v>908841</v>
      </c>
      <c r="C908">
        <v>908916</v>
      </c>
      <c r="E908" t="s">
        <v>14</v>
      </c>
      <c r="F908" t="s">
        <v>2802</v>
      </c>
      <c r="H908">
        <v>0</v>
      </c>
      <c r="I908" t="s">
        <v>53</v>
      </c>
      <c r="M908" t="s">
        <v>2803</v>
      </c>
    </row>
    <row r="909" spans="1:13">
      <c r="A909" t="s">
        <v>13</v>
      </c>
      <c r="B909">
        <v>909699</v>
      </c>
      <c r="C909">
        <v>910472</v>
      </c>
      <c r="E909" t="s">
        <v>14</v>
      </c>
      <c r="F909" t="s">
        <v>2804</v>
      </c>
      <c r="H909">
        <v>0</v>
      </c>
      <c r="I909" t="s">
        <v>17</v>
      </c>
      <c r="K909" t="s">
        <v>2805</v>
      </c>
      <c r="L909">
        <v>257</v>
      </c>
      <c r="M909" t="s">
        <v>2806</v>
      </c>
    </row>
    <row r="910" spans="1:13">
      <c r="A910" t="s">
        <v>13</v>
      </c>
      <c r="B910">
        <v>910842</v>
      </c>
      <c r="C910">
        <v>911567</v>
      </c>
      <c r="E910" t="s">
        <v>14</v>
      </c>
      <c r="F910" t="s">
        <v>28</v>
      </c>
      <c r="H910">
        <v>0</v>
      </c>
      <c r="I910" t="s">
        <v>17</v>
      </c>
      <c r="K910" t="s">
        <v>2807</v>
      </c>
      <c r="L910">
        <v>241</v>
      </c>
      <c r="M910" t="s">
        <v>2808</v>
      </c>
    </row>
    <row r="911" spans="1:13">
      <c r="A911" t="s">
        <v>13</v>
      </c>
      <c r="B911">
        <v>911586</v>
      </c>
      <c r="C911">
        <v>913538</v>
      </c>
      <c r="E911" t="s">
        <v>14</v>
      </c>
      <c r="F911" t="s">
        <v>28</v>
      </c>
      <c r="H911">
        <v>0</v>
      </c>
      <c r="I911" t="s">
        <v>17</v>
      </c>
      <c r="K911" t="s">
        <v>2809</v>
      </c>
      <c r="L911">
        <v>650</v>
      </c>
      <c r="M911" t="s">
        <v>2810</v>
      </c>
    </row>
    <row r="912" spans="1:13">
      <c r="A912" t="s">
        <v>13</v>
      </c>
      <c r="B912">
        <v>913602</v>
      </c>
      <c r="C912">
        <v>913874</v>
      </c>
      <c r="E912" t="s">
        <v>35</v>
      </c>
      <c r="F912" t="s">
        <v>28</v>
      </c>
      <c r="H912">
        <v>0</v>
      </c>
      <c r="I912" t="s">
        <v>17</v>
      </c>
      <c r="K912" t="s">
        <v>2811</v>
      </c>
      <c r="L912">
        <v>90</v>
      </c>
      <c r="M912" t="s">
        <v>2812</v>
      </c>
    </row>
    <row r="913" spans="1:13">
      <c r="A913" t="s">
        <v>13</v>
      </c>
      <c r="B913">
        <v>913931</v>
      </c>
      <c r="C913">
        <v>914452</v>
      </c>
      <c r="E913" t="s">
        <v>35</v>
      </c>
      <c r="F913" t="s">
        <v>2813</v>
      </c>
      <c r="G913" t="s">
        <v>2814</v>
      </c>
      <c r="H913">
        <v>0</v>
      </c>
      <c r="I913" t="s">
        <v>17</v>
      </c>
      <c r="K913" t="s">
        <v>2815</v>
      </c>
      <c r="L913">
        <v>173</v>
      </c>
      <c r="M913" t="s">
        <v>2816</v>
      </c>
    </row>
    <row r="914" spans="1:13">
      <c r="A914" t="s">
        <v>13</v>
      </c>
      <c r="B914">
        <v>914573</v>
      </c>
      <c r="C914">
        <v>915043</v>
      </c>
      <c r="E914" t="s">
        <v>35</v>
      </c>
      <c r="F914" t="s">
        <v>28</v>
      </c>
      <c r="H914">
        <v>0</v>
      </c>
      <c r="I914" t="s">
        <v>17</v>
      </c>
      <c r="K914" t="s">
        <v>2817</v>
      </c>
      <c r="L914">
        <v>156</v>
      </c>
      <c r="M914" t="s">
        <v>2818</v>
      </c>
    </row>
    <row r="915" spans="1:13">
      <c r="A915" t="s">
        <v>13</v>
      </c>
      <c r="B915">
        <v>915136</v>
      </c>
      <c r="C915">
        <v>916026</v>
      </c>
      <c r="E915" t="s">
        <v>14</v>
      </c>
      <c r="F915" t="s">
        <v>2819</v>
      </c>
      <c r="G915" t="s">
        <v>2820</v>
      </c>
      <c r="H915">
        <v>0</v>
      </c>
      <c r="I915" t="s">
        <v>17</v>
      </c>
      <c r="K915" t="s">
        <v>2821</v>
      </c>
      <c r="L915">
        <v>296</v>
      </c>
      <c r="M915" t="s">
        <v>2822</v>
      </c>
    </row>
    <row r="916" spans="1:13">
      <c r="A916" t="s">
        <v>13</v>
      </c>
      <c r="B916">
        <v>916030</v>
      </c>
      <c r="C916">
        <v>916341</v>
      </c>
      <c r="E916" t="s">
        <v>14</v>
      </c>
      <c r="F916" t="s">
        <v>28</v>
      </c>
      <c r="H916">
        <v>0</v>
      </c>
      <c r="I916" t="s">
        <v>17</v>
      </c>
      <c r="K916" t="s">
        <v>2823</v>
      </c>
      <c r="L916">
        <v>103</v>
      </c>
      <c r="M916" t="s">
        <v>2824</v>
      </c>
    </row>
    <row r="917" spans="1:13">
      <c r="A917" t="s">
        <v>13</v>
      </c>
      <c r="B917">
        <v>916360</v>
      </c>
      <c r="C917">
        <v>917130</v>
      </c>
      <c r="E917" t="s">
        <v>14</v>
      </c>
      <c r="F917" t="s">
        <v>2825</v>
      </c>
      <c r="H917">
        <v>0</v>
      </c>
      <c r="I917" t="s">
        <v>17</v>
      </c>
      <c r="K917" t="s">
        <v>2826</v>
      </c>
      <c r="L917">
        <v>256</v>
      </c>
      <c r="M917" t="s">
        <v>2827</v>
      </c>
    </row>
    <row r="918" spans="1:13">
      <c r="A918" t="s">
        <v>13</v>
      </c>
      <c r="B918">
        <v>917134</v>
      </c>
      <c r="C918">
        <v>918060</v>
      </c>
      <c r="E918" t="s">
        <v>35</v>
      </c>
      <c r="F918" t="s">
        <v>2828</v>
      </c>
      <c r="G918" t="s">
        <v>2829</v>
      </c>
      <c r="H918">
        <v>0</v>
      </c>
      <c r="I918" t="s">
        <v>17</v>
      </c>
      <c r="K918" t="s">
        <v>2830</v>
      </c>
      <c r="L918">
        <v>308</v>
      </c>
      <c r="M918" t="s">
        <v>2831</v>
      </c>
    </row>
    <row r="919" spans="1:13">
      <c r="A919" t="s">
        <v>13</v>
      </c>
      <c r="B919">
        <v>918180</v>
      </c>
      <c r="C919">
        <v>919463</v>
      </c>
      <c r="E919" t="s">
        <v>14</v>
      </c>
      <c r="F919" t="s">
        <v>2832</v>
      </c>
      <c r="G919" t="s">
        <v>2833</v>
      </c>
      <c r="H919">
        <v>0</v>
      </c>
      <c r="I919" t="s">
        <v>17</v>
      </c>
      <c r="K919" t="s">
        <v>2834</v>
      </c>
      <c r="L919">
        <v>427</v>
      </c>
      <c r="M919" t="s">
        <v>2835</v>
      </c>
    </row>
    <row r="920" spans="1:13">
      <c r="A920" t="s">
        <v>13</v>
      </c>
      <c r="B920">
        <v>919460</v>
      </c>
      <c r="C920">
        <v>919822</v>
      </c>
      <c r="E920" t="s">
        <v>35</v>
      </c>
      <c r="F920" t="s">
        <v>28</v>
      </c>
      <c r="H920">
        <v>0</v>
      </c>
      <c r="I920" t="s">
        <v>17</v>
      </c>
      <c r="K920" t="s">
        <v>2836</v>
      </c>
      <c r="L920">
        <v>120</v>
      </c>
      <c r="M920" t="s">
        <v>2837</v>
      </c>
    </row>
    <row r="921" spans="1:13">
      <c r="A921" t="s">
        <v>13</v>
      </c>
      <c r="B921">
        <v>919900</v>
      </c>
      <c r="C921">
        <v>920574</v>
      </c>
      <c r="E921" t="s">
        <v>14</v>
      </c>
      <c r="F921" t="s">
        <v>2838</v>
      </c>
      <c r="H921">
        <v>0</v>
      </c>
      <c r="I921" t="s">
        <v>17</v>
      </c>
      <c r="K921" t="s">
        <v>2839</v>
      </c>
      <c r="L921">
        <v>224</v>
      </c>
      <c r="M921" t="s">
        <v>2840</v>
      </c>
    </row>
    <row r="922" spans="1:13">
      <c r="A922" t="s">
        <v>13</v>
      </c>
      <c r="B922">
        <v>920720</v>
      </c>
      <c r="C922">
        <v>921328</v>
      </c>
      <c r="E922" t="s">
        <v>14</v>
      </c>
      <c r="F922" t="s">
        <v>430</v>
      </c>
      <c r="H922">
        <v>0</v>
      </c>
      <c r="I922" t="s">
        <v>17</v>
      </c>
      <c r="K922" t="s">
        <v>2841</v>
      </c>
      <c r="L922">
        <v>202</v>
      </c>
      <c r="M922" t="s">
        <v>2842</v>
      </c>
    </row>
    <row r="923" spans="1:13">
      <c r="A923" t="s">
        <v>13</v>
      </c>
      <c r="B923">
        <v>921567</v>
      </c>
      <c r="C923">
        <v>922931</v>
      </c>
      <c r="E923" t="s">
        <v>14</v>
      </c>
      <c r="F923" t="s">
        <v>2843</v>
      </c>
      <c r="G923" t="s">
        <v>2844</v>
      </c>
      <c r="H923">
        <v>0</v>
      </c>
      <c r="I923" t="s">
        <v>17</v>
      </c>
      <c r="K923" t="s">
        <v>2845</v>
      </c>
      <c r="L923">
        <v>454</v>
      </c>
      <c r="M923" t="s">
        <v>2846</v>
      </c>
    </row>
    <row r="924" spans="1:13">
      <c r="A924" t="s">
        <v>13</v>
      </c>
      <c r="B924">
        <v>923010</v>
      </c>
      <c r="C924">
        <v>923588</v>
      </c>
      <c r="E924" t="s">
        <v>14</v>
      </c>
      <c r="F924" t="s">
        <v>2605</v>
      </c>
      <c r="G924" t="s">
        <v>2847</v>
      </c>
      <c r="H924">
        <v>0</v>
      </c>
      <c r="I924" t="s">
        <v>17</v>
      </c>
      <c r="K924" t="s">
        <v>2848</v>
      </c>
      <c r="L924">
        <v>192</v>
      </c>
      <c r="M924" t="s">
        <v>2849</v>
      </c>
    </row>
    <row r="925" spans="1:13">
      <c r="A925" t="s">
        <v>13</v>
      </c>
      <c r="B925">
        <v>923624</v>
      </c>
      <c r="C925">
        <v>923767</v>
      </c>
      <c r="E925" t="s">
        <v>14</v>
      </c>
      <c r="F925" t="s">
        <v>28</v>
      </c>
      <c r="H925">
        <v>0</v>
      </c>
      <c r="I925" t="s">
        <v>17</v>
      </c>
      <c r="K925" t="s">
        <v>2850</v>
      </c>
      <c r="L925">
        <v>47</v>
      </c>
      <c r="M925" t="s">
        <v>2851</v>
      </c>
    </row>
    <row r="926" spans="1:13">
      <c r="A926" t="s">
        <v>13</v>
      </c>
      <c r="B926">
        <v>923764</v>
      </c>
      <c r="C926">
        <v>925332</v>
      </c>
      <c r="E926" t="s">
        <v>35</v>
      </c>
      <c r="F926" t="s">
        <v>2852</v>
      </c>
      <c r="G926" t="s">
        <v>2853</v>
      </c>
      <c r="H926">
        <v>0</v>
      </c>
      <c r="I926" t="s">
        <v>17</v>
      </c>
      <c r="K926" t="s">
        <v>2854</v>
      </c>
      <c r="L926">
        <v>522</v>
      </c>
      <c r="M926" t="s">
        <v>2855</v>
      </c>
    </row>
    <row r="927" spans="1:13">
      <c r="A927" t="s">
        <v>13</v>
      </c>
      <c r="B927">
        <v>925326</v>
      </c>
      <c r="C927">
        <v>925949</v>
      </c>
      <c r="E927" t="s">
        <v>35</v>
      </c>
      <c r="F927" t="s">
        <v>2653</v>
      </c>
      <c r="H927">
        <v>0</v>
      </c>
      <c r="I927" t="s">
        <v>17</v>
      </c>
      <c r="K927" t="s">
        <v>2856</v>
      </c>
      <c r="L927">
        <v>207</v>
      </c>
      <c r="M927" t="s">
        <v>2857</v>
      </c>
    </row>
    <row r="928" spans="1:13">
      <c r="A928" t="s">
        <v>13</v>
      </c>
      <c r="B928">
        <v>926180</v>
      </c>
      <c r="C928">
        <v>927580</v>
      </c>
      <c r="E928" t="s">
        <v>35</v>
      </c>
      <c r="F928" t="s">
        <v>2858</v>
      </c>
      <c r="G928" t="s">
        <v>2859</v>
      </c>
      <c r="H928">
        <v>0</v>
      </c>
      <c r="I928" t="s">
        <v>17</v>
      </c>
      <c r="K928" t="s">
        <v>2860</v>
      </c>
      <c r="L928">
        <v>466</v>
      </c>
      <c r="M928" t="s">
        <v>2861</v>
      </c>
    </row>
    <row r="929" spans="1:13">
      <c r="A929" t="s">
        <v>13</v>
      </c>
      <c r="B929">
        <v>927689</v>
      </c>
      <c r="C929">
        <v>928702</v>
      </c>
      <c r="E929" t="s">
        <v>35</v>
      </c>
      <c r="F929" t="s">
        <v>2862</v>
      </c>
      <c r="G929" t="s">
        <v>2863</v>
      </c>
      <c r="H929">
        <v>0</v>
      </c>
      <c r="I929" t="s">
        <v>17</v>
      </c>
      <c r="K929" t="s">
        <v>2864</v>
      </c>
      <c r="L929">
        <v>337</v>
      </c>
      <c r="M929" t="s">
        <v>2865</v>
      </c>
    </row>
    <row r="930" spans="1:13">
      <c r="A930" t="s">
        <v>13</v>
      </c>
      <c r="B930">
        <v>928821</v>
      </c>
      <c r="C930">
        <v>929489</v>
      </c>
      <c r="E930" t="s">
        <v>14</v>
      </c>
      <c r="F930" t="s">
        <v>28</v>
      </c>
      <c r="H930">
        <v>0</v>
      </c>
      <c r="I930" t="s">
        <v>17</v>
      </c>
      <c r="K930" t="s">
        <v>2866</v>
      </c>
      <c r="L930">
        <v>222</v>
      </c>
      <c r="M930" t="s">
        <v>2867</v>
      </c>
    </row>
    <row r="931" spans="1:13">
      <c r="A931" t="s">
        <v>13</v>
      </c>
      <c r="B931">
        <v>929473</v>
      </c>
      <c r="C931">
        <v>929853</v>
      </c>
      <c r="E931" t="s">
        <v>35</v>
      </c>
      <c r="F931" t="s">
        <v>28</v>
      </c>
      <c r="H931">
        <v>0</v>
      </c>
      <c r="I931" t="s">
        <v>17</v>
      </c>
      <c r="K931" t="s">
        <v>2868</v>
      </c>
      <c r="L931">
        <v>126</v>
      </c>
      <c r="M931" t="s">
        <v>2869</v>
      </c>
    </row>
    <row r="932" spans="1:13">
      <c r="A932" t="s">
        <v>13</v>
      </c>
      <c r="B932">
        <v>929853</v>
      </c>
      <c r="C932">
        <v>930131</v>
      </c>
      <c r="E932" t="s">
        <v>35</v>
      </c>
      <c r="F932" t="s">
        <v>2870</v>
      </c>
      <c r="H932">
        <v>0</v>
      </c>
      <c r="I932" t="s">
        <v>17</v>
      </c>
      <c r="K932" t="s">
        <v>2871</v>
      </c>
      <c r="L932">
        <v>92</v>
      </c>
      <c r="M932" t="s">
        <v>2872</v>
      </c>
    </row>
    <row r="933" spans="1:13">
      <c r="A933" t="s">
        <v>13</v>
      </c>
      <c r="B933">
        <v>930156</v>
      </c>
      <c r="C933">
        <v>931397</v>
      </c>
      <c r="E933" t="s">
        <v>35</v>
      </c>
      <c r="F933" t="s">
        <v>2873</v>
      </c>
      <c r="G933" t="s">
        <v>2874</v>
      </c>
      <c r="H933">
        <v>0</v>
      </c>
      <c r="I933" t="s">
        <v>17</v>
      </c>
      <c r="K933" t="s">
        <v>2875</v>
      </c>
      <c r="L933">
        <v>413</v>
      </c>
      <c r="M933" t="s">
        <v>2876</v>
      </c>
    </row>
    <row r="934" spans="1:13">
      <c r="A934" t="s">
        <v>13</v>
      </c>
      <c r="B934">
        <v>931551</v>
      </c>
      <c r="C934">
        <v>932501</v>
      </c>
      <c r="E934" t="s">
        <v>14</v>
      </c>
      <c r="F934" t="s">
        <v>2877</v>
      </c>
      <c r="G934" t="s">
        <v>2878</v>
      </c>
      <c r="H934">
        <v>0</v>
      </c>
      <c r="I934" t="s">
        <v>17</v>
      </c>
      <c r="K934" t="s">
        <v>2879</v>
      </c>
      <c r="L934">
        <v>316</v>
      </c>
      <c r="M934" t="s">
        <v>2880</v>
      </c>
    </row>
    <row r="935" spans="1:13">
      <c r="A935" t="s">
        <v>13</v>
      </c>
      <c r="B935">
        <v>932579</v>
      </c>
      <c r="C935">
        <v>933436</v>
      </c>
      <c r="E935" t="s">
        <v>35</v>
      </c>
      <c r="F935" t="s">
        <v>28</v>
      </c>
      <c r="H935">
        <v>0</v>
      </c>
      <c r="I935" t="s">
        <v>17</v>
      </c>
      <c r="K935" t="s">
        <v>2881</v>
      </c>
      <c r="L935">
        <v>285</v>
      </c>
      <c r="M935" t="s">
        <v>2882</v>
      </c>
    </row>
    <row r="936" spans="1:13">
      <c r="A936" t="s">
        <v>13</v>
      </c>
      <c r="B936">
        <v>933457</v>
      </c>
      <c r="C936">
        <v>934527</v>
      </c>
      <c r="E936" t="s">
        <v>35</v>
      </c>
      <c r="F936" t="s">
        <v>2883</v>
      </c>
      <c r="G936" t="s">
        <v>2884</v>
      </c>
      <c r="H936">
        <v>0</v>
      </c>
      <c r="I936" t="s">
        <v>17</v>
      </c>
      <c r="K936" t="s">
        <v>2885</v>
      </c>
      <c r="L936">
        <v>356</v>
      </c>
      <c r="M936" t="s">
        <v>2886</v>
      </c>
    </row>
    <row r="937" spans="1:13">
      <c r="A937" t="s">
        <v>13</v>
      </c>
      <c r="B937">
        <v>934564</v>
      </c>
      <c r="C937">
        <v>936033</v>
      </c>
      <c r="E937" t="s">
        <v>35</v>
      </c>
      <c r="F937" t="s">
        <v>2887</v>
      </c>
      <c r="G937" t="s">
        <v>2888</v>
      </c>
      <c r="H937">
        <v>0</v>
      </c>
      <c r="I937" t="s">
        <v>17</v>
      </c>
      <c r="K937" t="s">
        <v>2889</v>
      </c>
      <c r="L937">
        <v>489</v>
      </c>
      <c r="M937" t="s">
        <v>2890</v>
      </c>
    </row>
    <row r="938" spans="1:13">
      <c r="A938" t="s">
        <v>13</v>
      </c>
      <c r="B938">
        <v>936081</v>
      </c>
      <c r="C938">
        <v>937166</v>
      </c>
      <c r="E938" t="s">
        <v>14</v>
      </c>
      <c r="F938" t="s">
        <v>2891</v>
      </c>
      <c r="G938" t="s">
        <v>2892</v>
      </c>
      <c r="H938">
        <v>0</v>
      </c>
      <c r="I938" t="s">
        <v>17</v>
      </c>
      <c r="K938" t="s">
        <v>2893</v>
      </c>
      <c r="L938">
        <v>361</v>
      </c>
      <c r="M938" t="s">
        <v>2894</v>
      </c>
    </row>
    <row r="939" spans="1:13">
      <c r="A939" t="s">
        <v>13</v>
      </c>
      <c r="B939">
        <v>937265</v>
      </c>
      <c r="C939">
        <v>937798</v>
      </c>
      <c r="E939" t="s">
        <v>14</v>
      </c>
      <c r="F939" t="s">
        <v>2895</v>
      </c>
      <c r="G939" t="s">
        <v>2896</v>
      </c>
      <c r="H939">
        <v>0</v>
      </c>
      <c r="I939" t="s">
        <v>17</v>
      </c>
      <c r="K939" t="s">
        <v>2897</v>
      </c>
      <c r="L939">
        <v>177</v>
      </c>
      <c r="M939" t="s">
        <v>2898</v>
      </c>
    </row>
    <row r="940" spans="1:13">
      <c r="A940" t="s">
        <v>13</v>
      </c>
      <c r="B940">
        <v>938145</v>
      </c>
      <c r="C940">
        <v>939017</v>
      </c>
      <c r="E940" t="s">
        <v>14</v>
      </c>
      <c r="F940" t="s">
        <v>2899</v>
      </c>
      <c r="G940" t="s">
        <v>2900</v>
      </c>
      <c r="H940">
        <v>0</v>
      </c>
      <c r="I940" t="s">
        <v>17</v>
      </c>
      <c r="K940" t="s">
        <v>2901</v>
      </c>
      <c r="L940">
        <v>290</v>
      </c>
      <c r="M940" t="s">
        <v>2902</v>
      </c>
    </row>
    <row r="941" spans="1:13">
      <c r="A941" t="s">
        <v>13</v>
      </c>
      <c r="B941">
        <v>939063</v>
      </c>
      <c r="C941">
        <v>940424</v>
      </c>
      <c r="E941" t="s">
        <v>35</v>
      </c>
      <c r="F941" t="s">
        <v>2903</v>
      </c>
      <c r="G941" t="s">
        <v>2904</v>
      </c>
      <c r="H941">
        <v>0</v>
      </c>
      <c r="I941" t="s">
        <v>17</v>
      </c>
      <c r="K941" t="s">
        <v>2905</v>
      </c>
      <c r="L941">
        <v>453</v>
      </c>
      <c r="M941" t="s">
        <v>2906</v>
      </c>
    </row>
    <row r="942" spans="1:13">
      <c r="A942" t="s">
        <v>13</v>
      </c>
      <c r="B942">
        <v>940880</v>
      </c>
      <c r="C942">
        <v>941995</v>
      </c>
      <c r="E942" t="s">
        <v>14</v>
      </c>
      <c r="F942" t="s">
        <v>2907</v>
      </c>
      <c r="G942" t="s">
        <v>2908</v>
      </c>
      <c r="H942">
        <v>0</v>
      </c>
      <c r="I942" t="s">
        <v>17</v>
      </c>
      <c r="K942" t="s">
        <v>2909</v>
      </c>
      <c r="L942">
        <v>371</v>
      </c>
      <c r="M942" t="s">
        <v>2910</v>
      </c>
    </row>
    <row r="943" spans="1:13">
      <c r="A943" t="s">
        <v>13</v>
      </c>
      <c r="B943">
        <v>942258</v>
      </c>
      <c r="C943">
        <v>942899</v>
      </c>
      <c r="E943" t="s">
        <v>14</v>
      </c>
      <c r="F943" t="s">
        <v>2911</v>
      </c>
      <c r="G943" t="s">
        <v>2912</v>
      </c>
      <c r="H943">
        <v>0</v>
      </c>
      <c r="I943" t="s">
        <v>17</v>
      </c>
      <c r="K943" t="s">
        <v>2913</v>
      </c>
      <c r="L943">
        <v>213</v>
      </c>
      <c r="M943" t="s">
        <v>2914</v>
      </c>
    </row>
    <row r="944" spans="1:13">
      <c r="A944" t="s">
        <v>13</v>
      </c>
      <c r="B944">
        <v>942947</v>
      </c>
      <c r="C944">
        <v>943513</v>
      </c>
      <c r="E944" t="s">
        <v>14</v>
      </c>
      <c r="F944" t="s">
        <v>2915</v>
      </c>
      <c r="G944" t="s">
        <v>2916</v>
      </c>
      <c r="H944">
        <v>0</v>
      </c>
      <c r="I944" t="s">
        <v>17</v>
      </c>
      <c r="K944" t="s">
        <v>2917</v>
      </c>
      <c r="L944">
        <v>188</v>
      </c>
      <c r="M944" t="s">
        <v>2918</v>
      </c>
    </row>
    <row r="945" spans="1:13">
      <c r="A945" t="s">
        <v>13</v>
      </c>
      <c r="B945">
        <v>943583</v>
      </c>
      <c r="C945">
        <v>946222</v>
      </c>
      <c r="E945" t="s">
        <v>14</v>
      </c>
      <c r="F945" t="s">
        <v>2919</v>
      </c>
      <c r="G945" t="s">
        <v>2920</v>
      </c>
      <c r="H945">
        <v>0</v>
      </c>
      <c r="I945" t="s">
        <v>17</v>
      </c>
      <c r="K945" t="s">
        <v>2921</v>
      </c>
      <c r="L945">
        <v>879</v>
      </c>
      <c r="M945" t="s">
        <v>2922</v>
      </c>
    </row>
    <row r="946" spans="1:13">
      <c r="A946" t="s">
        <v>13</v>
      </c>
      <c r="B946">
        <v>946223</v>
      </c>
      <c r="C946">
        <v>947281</v>
      </c>
      <c r="E946" t="s">
        <v>14</v>
      </c>
      <c r="F946" t="s">
        <v>2923</v>
      </c>
      <c r="G946" t="s">
        <v>2924</v>
      </c>
      <c r="H946">
        <v>0</v>
      </c>
      <c r="I946" t="s">
        <v>17</v>
      </c>
      <c r="K946" t="s">
        <v>2925</v>
      </c>
      <c r="L946">
        <v>352</v>
      </c>
      <c r="M946" t="s">
        <v>2926</v>
      </c>
    </row>
    <row r="947" spans="1:13">
      <c r="A947" t="s">
        <v>13</v>
      </c>
      <c r="B947">
        <v>947278</v>
      </c>
      <c r="C947">
        <v>948393</v>
      </c>
      <c r="E947" t="s">
        <v>14</v>
      </c>
      <c r="F947" t="s">
        <v>2927</v>
      </c>
      <c r="H947">
        <v>0</v>
      </c>
      <c r="I947" t="s">
        <v>17</v>
      </c>
      <c r="K947" t="s">
        <v>2928</v>
      </c>
      <c r="L947">
        <v>371</v>
      </c>
      <c r="M947" t="s">
        <v>2929</v>
      </c>
    </row>
    <row r="948" spans="1:13">
      <c r="A948" t="s">
        <v>13</v>
      </c>
      <c r="B948">
        <v>948409</v>
      </c>
      <c r="C948">
        <v>948990</v>
      </c>
      <c r="E948" t="s">
        <v>35</v>
      </c>
      <c r="F948" t="s">
        <v>28</v>
      </c>
      <c r="H948">
        <v>0</v>
      </c>
      <c r="I948" t="s">
        <v>17</v>
      </c>
      <c r="K948" t="s">
        <v>2930</v>
      </c>
      <c r="L948">
        <v>193</v>
      </c>
      <c r="M948" t="s">
        <v>2931</v>
      </c>
    </row>
    <row r="949" spans="1:13">
      <c r="A949" t="s">
        <v>13</v>
      </c>
      <c r="B949">
        <v>948992</v>
      </c>
      <c r="C949">
        <v>949981</v>
      </c>
      <c r="E949" t="s">
        <v>35</v>
      </c>
      <c r="F949" t="s">
        <v>2932</v>
      </c>
      <c r="G949" t="s">
        <v>2933</v>
      </c>
      <c r="H949">
        <v>0</v>
      </c>
      <c r="I949" t="s">
        <v>17</v>
      </c>
      <c r="K949" t="s">
        <v>2934</v>
      </c>
      <c r="L949">
        <v>329</v>
      </c>
      <c r="M949" t="s">
        <v>2935</v>
      </c>
    </row>
    <row r="950" spans="1:13">
      <c r="A950" t="s">
        <v>13</v>
      </c>
      <c r="B950">
        <v>950058</v>
      </c>
      <c r="C950">
        <v>950152</v>
      </c>
      <c r="E950" t="s">
        <v>14</v>
      </c>
      <c r="F950" t="s">
        <v>2936</v>
      </c>
      <c r="H950">
        <v>0</v>
      </c>
      <c r="I950" t="s">
        <v>53</v>
      </c>
      <c r="M950" t="s">
        <v>2937</v>
      </c>
    </row>
    <row r="951" spans="1:13">
      <c r="A951" t="s">
        <v>13</v>
      </c>
      <c r="B951">
        <v>950176</v>
      </c>
      <c r="C951">
        <v>951504</v>
      </c>
      <c r="E951" t="s">
        <v>14</v>
      </c>
      <c r="F951" t="s">
        <v>2938</v>
      </c>
      <c r="G951" t="s">
        <v>2939</v>
      </c>
      <c r="H951">
        <v>0</v>
      </c>
      <c r="I951" t="s">
        <v>17</v>
      </c>
      <c r="K951" t="s">
        <v>2940</v>
      </c>
      <c r="L951">
        <v>442</v>
      </c>
      <c r="M951" t="s">
        <v>2941</v>
      </c>
    </row>
    <row r="952" spans="1:13">
      <c r="A952" t="s">
        <v>13</v>
      </c>
      <c r="B952">
        <v>951505</v>
      </c>
      <c r="C952">
        <v>953289</v>
      </c>
      <c r="E952" t="s">
        <v>14</v>
      </c>
      <c r="F952" t="s">
        <v>2942</v>
      </c>
      <c r="G952" t="s">
        <v>2943</v>
      </c>
      <c r="H952">
        <v>0</v>
      </c>
      <c r="I952" t="s">
        <v>17</v>
      </c>
      <c r="K952" t="s">
        <v>2944</v>
      </c>
      <c r="L952">
        <v>594</v>
      </c>
      <c r="M952" t="s">
        <v>2945</v>
      </c>
    </row>
    <row r="953" spans="1:13">
      <c r="A953" t="s">
        <v>13</v>
      </c>
      <c r="B953">
        <v>953305</v>
      </c>
      <c r="C953">
        <v>954444</v>
      </c>
      <c r="E953" t="s">
        <v>35</v>
      </c>
      <c r="F953" t="s">
        <v>28</v>
      </c>
      <c r="H953">
        <v>0</v>
      </c>
      <c r="I953" t="s">
        <v>17</v>
      </c>
      <c r="K953" t="s">
        <v>2946</v>
      </c>
      <c r="L953">
        <v>379</v>
      </c>
      <c r="M953" t="s">
        <v>2947</v>
      </c>
    </row>
    <row r="954" spans="1:13">
      <c r="A954" t="s">
        <v>13</v>
      </c>
      <c r="B954">
        <v>954608</v>
      </c>
      <c r="C954">
        <v>956611</v>
      </c>
      <c r="E954" t="s">
        <v>14</v>
      </c>
      <c r="F954" t="s">
        <v>1553</v>
      </c>
      <c r="G954" t="s">
        <v>2948</v>
      </c>
      <c r="H954">
        <v>0</v>
      </c>
      <c r="I954" t="s">
        <v>17</v>
      </c>
      <c r="K954" t="s">
        <v>2949</v>
      </c>
      <c r="L954">
        <v>667</v>
      </c>
      <c r="M954" t="s">
        <v>2950</v>
      </c>
    </row>
    <row r="955" spans="1:13">
      <c r="A955" t="s">
        <v>13</v>
      </c>
      <c r="B955">
        <v>956647</v>
      </c>
      <c r="C955">
        <v>957444</v>
      </c>
      <c r="E955" t="s">
        <v>14</v>
      </c>
      <c r="F955" t="s">
        <v>2951</v>
      </c>
      <c r="G955" t="s">
        <v>2952</v>
      </c>
      <c r="H955">
        <v>0</v>
      </c>
      <c r="I955" t="s">
        <v>17</v>
      </c>
      <c r="K955" t="s">
        <v>2953</v>
      </c>
      <c r="L955">
        <v>265</v>
      </c>
      <c r="M955" t="s">
        <v>2954</v>
      </c>
    </row>
    <row r="956" spans="1:13">
      <c r="A956" t="s">
        <v>13</v>
      </c>
      <c r="B956">
        <v>957446</v>
      </c>
      <c r="C956">
        <v>958387</v>
      </c>
      <c r="E956" t="s">
        <v>35</v>
      </c>
      <c r="F956" t="s">
        <v>2955</v>
      </c>
      <c r="G956" t="s">
        <v>2956</v>
      </c>
      <c r="H956">
        <v>0</v>
      </c>
      <c r="I956" t="s">
        <v>17</v>
      </c>
      <c r="K956" t="s">
        <v>2957</v>
      </c>
      <c r="L956">
        <v>313</v>
      </c>
      <c r="M956" t="s">
        <v>2958</v>
      </c>
    </row>
    <row r="957" spans="1:13">
      <c r="A957" t="s">
        <v>13</v>
      </c>
      <c r="B957">
        <v>958391</v>
      </c>
      <c r="C957">
        <v>958927</v>
      </c>
      <c r="E957" t="s">
        <v>35</v>
      </c>
      <c r="F957" t="s">
        <v>28</v>
      </c>
      <c r="H957">
        <v>0</v>
      </c>
      <c r="I957" t="s">
        <v>17</v>
      </c>
      <c r="K957" t="s">
        <v>2959</v>
      </c>
      <c r="L957">
        <v>178</v>
      </c>
      <c r="M957" t="s">
        <v>2960</v>
      </c>
    </row>
    <row r="958" spans="1:13">
      <c r="A958" t="s">
        <v>13</v>
      </c>
      <c r="B958">
        <v>958927</v>
      </c>
      <c r="C958">
        <v>959655</v>
      </c>
      <c r="E958" t="s">
        <v>35</v>
      </c>
      <c r="F958" t="s">
        <v>28</v>
      </c>
      <c r="H958">
        <v>0</v>
      </c>
      <c r="I958" t="s">
        <v>17</v>
      </c>
      <c r="K958" t="s">
        <v>2961</v>
      </c>
      <c r="L958">
        <v>242</v>
      </c>
      <c r="M958" t="s">
        <v>2962</v>
      </c>
    </row>
    <row r="959" spans="1:13">
      <c r="A959" t="s">
        <v>13</v>
      </c>
      <c r="B959">
        <v>959927</v>
      </c>
      <c r="C959">
        <v>961837</v>
      </c>
      <c r="E959" t="s">
        <v>14</v>
      </c>
      <c r="F959" t="s">
        <v>2963</v>
      </c>
      <c r="G959" t="s">
        <v>2964</v>
      </c>
      <c r="H959">
        <v>0</v>
      </c>
      <c r="I959" t="s">
        <v>17</v>
      </c>
      <c r="K959" t="s">
        <v>2965</v>
      </c>
      <c r="L959">
        <v>636</v>
      </c>
      <c r="M959" t="s">
        <v>2966</v>
      </c>
    </row>
    <row r="960" spans="1:13">
      <c r="A960" t="s">
        <v>13</v>
      </c>
      <c r="B960">
        <v>961847</v>
      </c>
      <c r="C960">
        <v>962503</v>
      </c>
      <c r="E960" t="s">
        <v>35</v>
      </c>
      <c r="F960" t="s">
        <v>28</v>
      </c>
      <c r="H960">
        <v>0</v>
      </c>
      <c r="I960" t="s">
        <v>17</v>
      </c>
      <c r="K960" t="s">
        <v>2967</v>
      </c>
      <c r="L960">
        <v>218</v>
      </c>
      <c r="M960" t="s">
        <v>2968</v>
      </c>
    </row>
    <row r="961" spans="1:13">
      <c r="A961" t="s">
        <v>13</v>
      </c>
      <c r="B961">
        <v>962592</v>
      </c>
      <c r="C961">
        <v>964211</v>
      </c>
      <c r="E961" t="s">
        <v>14</v>
      </c>
      <c r="F961" t="s">
        <v>1314</v>
      </c>
      <c r="H961">
        <v>0</v>
      </c>
      <c r="I961" t="s">
        <v>17</v>
      </c>
      <c r="K961" t="s">
        <v>2969</v>
      </c>
      <c r="L961">
        <v>539</v>
      </c>
      <c r="M961" t="s">
        <v>2970</v>
      </c>
    </row>
    <row r="962" spans="1:13">
      <c r="A962" t="s">
        <v>13</v>
      </c>
      <c r="B962">
        <v>964201</v>
      </c>
      <c r="C962">
        <v>965070</v>
      </c>
      <c r="E962" t="s">
        <v>14</v>
      </c>
      <c r="F962" t="s">
        <v>2971</v>
      </c>
      <c r="G962" t="s">
        <v>2972</v>
      </c>
      <c r="H962">
        <v>0</v>
      </c>
      <c r="I962" t="s">
        <v>17</v>
      </c>
      <c r="K962" t="s">
        <v>2973</v>
      </c>
      <c r="L962">
        <v>289</v>
      </c>
      <c r="M962" t="s">
        <v>2974</v>
      </c>
    </row>
    <row r="963" spans="1:13">
      <c r="A963" t="s">
        <v>13</v>
      </c>
      <c r="B963">
        <v>965070</v>
      </c>
      <c r="C963">
        <v>965447</v>
      </c>
      <c r="E963" t="s">
        <v>14</v>
      </c>
      <c r="F963" t="s">
        <v>28</v>
      </c>
      <c r="H963">
        <v>0</v>
      </c>
      <c r="I963" t="s">
        <v>17</v>
      </c>
      <c r="K963" t="s">
        <v>2975</v>
      </c>
      <c r="L963">
        <v>125</v>
      </c>
      <c r="M963" t="s">
        <v>2976</v>
      </c>
    </row>
    <row r="964" spans="1:13">
      <c r="A964" t="s">
        <v>13</v>
      </c>
      <c r="B964">
        <v>965503</v>
      </c>
      <c r="C964">
        <v>965826</v>
      </c>
      <c r="E964" t="s">
        <v>14</v>
      </c>
      <c r="F964" t="s">
        <v>2977</v>
      </c>
      <c r="G964" t="s">
        <v>2978</v>
      </c>
      <c r="H964">
        <v>0</v>
      </c>
      <c r="I964" t="s">
        <v>17</v>
      </c>
      <c r="K964" t="s">
        <v>2979</v>
      </c>
      <c r="L964">
        <v>107</v>
      </c>
      <c r="M964" t="s">
        <v>2980</v>
      </c>
    </row>
    <row r="965" spans="1:13">
      <c r="A965" t="s">
        <v>13</v>
      </c>
      <c r="B965">
        <v>965830</v>
      </c>
      <c r="C965">
        <v>966918</v>
      </c>
      <c r="E965" t="s">
        <v>14</v>
      </c>
      <c r="F965" t="s">
        <v>2981</v>
      </c>
      <c r="G965" t="s">
        <v>2982</v>
      </c>
      <c r="H965">
        <v>0</v>
      </c>
      <c r="I965" t="s">
        <v>17</v>
      </c>
      <c r="K965" t="s">
        <v>2983</v>
      </c>
      <c r="L965">
        <v>362</v>
      </c>
      <c r="M965" t="s">
        <v>2984</v>
      </c>
    </row>
    <row r="966" spans="1:13">
      <c r="A966" t="s">
        <v>13</v>
      </c>
      <c r="B966">
        <v>966971</v>
      </c>
      <c r="C966">
        <v>967759</v>
      </c>
      <c r="E966" t="s">
        <v>14</v>
      </c>
      <c r="F966" t="s">
        <v>2985</v>
      </c>
      <c r="G966" t="s">
        <v>2986</v>
      </c>
      <c r="H966">
        <v>0</v>
      </c>
      <c r="I966" t="s">
        <v>17</v>
      </c>
      <c r="K966" t="s">
        <v>2987</v>
      </c>
      <c r="L966">
        <v>262</v>
      </c>
      <c r="M966" t="s">
        <v>2988</v>
      </c>
    </row>
    <row r="967" spans="1:13">
      <c r="A967" t="s">
        <v>13</v>
      </c>
      <c r="B967">
        <v>967789</v>
      </c>
      <c r="C967">
        <v>968349</v>
      </c>
      <c r="E967" t="s">
        <v>14</v>
      </c>
      <c r="F967" t="s">
        <v>402</v>
      </c>
      <c r="H967">
        <v>0</v>
      </c>
      <c r="I967" t="s">
        <v>17</v>
      </c>
      <c r="K967" t="s">
        <v>2989</v>
      </c>
      <c r="L967">
        <v>186</v>
      </c>
      <c r="M967" t="s">
        <v>2990</v>
      </c>
    </row>
    <row r="968" spans="1:13">
      <c r="A968" t="s">
        <v>13</v>
      </c>
      <c r="B968">
        <v>968769</v>
      </c>
      <c r="C968">
        <v>969245</v>
      </c>
      <c r="E968" t="s">
        <v>35</v>
      </c>
      <c r="F968" t="s">
        <v>28</v>
      </c>
      <c r="H968">
        <v>0</v>
      </c>
      <c r="I968" t="s">
        <v>17</v>
      </c>
      <c r="K968" t="s">
        <v>2991</v>
      </c>
      <c r="L968">
        <v>158</v>
      </c>
      <c r="M968" t="s">
        <v>2992</v>
      </c>
    </row>
    <row r="969" spans="1:13">
      <c r="A969" t="s">
        <v>13</v>
      </c>
      <c r="B969">
        <v>969238</v>
      </c>
      <c r="C969">
        <v>969429</v>
      </c>
      <c r="E969" t="s">
        <v>35</v>
      </c>
      <c r="F969" t="s">
        <v>28</v>
      </c>
      <c r="H969">
        <v>0</v>
      </c>
      <c r="I969" t="s">
        <v>17</v>
      </c>
      <c r="K969" t="s">
        <v>2993</v>
      </c>
      <c r="L969">
        <v>63</v>
      </c>
      <c r="M969" t="s">
        <v>2994</v>
      </c>
    </row>
    <row r="970" spans="1:13">
      <c r="A970" t="s">
        <v>13</v>
      </c>
      <c r="B970">
        <v>969513</v>
      </c>
      <c r="C970">
        <v>970358</v>
      </c>
      <c r="E970" t="s">
        <v>35</v>
      </c>
      <c r="F970" t="s">
        <v>28</v>
      </c>
      <c r="H970">
        <v>0</v>
      </c>
      <c r="I970" t="s">
        <v>17</v>
      </c>
      <c r="K970" t="s">
        <v>2995</v>
      </c>
      <c r="L970">
        <v>281</v>
      </c>
      <c r="M970" t="s">
        <v>2996</v>
      </c>
    </row>
    <row r="971" spans="1:13">
      <c r="A971" t="s">
        <v>13</v>
      </c>
      <c r="B971">
        <v>970694</v>
      </c>
      <c r="C971">
        <v>972079</v>
      </c>
      <c r="E971" t="s">
        <v>35</v>
      </c>
      <c r="F971" t="s">
        <v>2997</v>
      </c>
      <c r="G971" t="s">
        <v>2998</v>
      </c>
      <c r="H971">
        <v>0</v>
      </c>
      <c r="I971" t="s">
        <v>17</v>
      </c>
      <c r="K971" t="s">
        <v>2999</v>
      </c>
      <c r="L971">
        <v>461</v>
      </c>
      <c r="M971" t="s">
        <v>3000</v>
      </c>
    </row>
    <row r="972" spans="1:13">
      <c r="A972" t="s">
        <v>13</v>
      </c>
      <c r="B972">
        <v>972127</v>
      </c>
      <c r="C972">
        <v>973098</v>
      </c>
      <c r="E972" t="s">
        <v>35</v>
      </c>
      <c r="F972" t="s">
        <v>3001</v>
      </c>
      <c r="G972" t="s">
        <v>3002</v>
      </c>
      <c r="H972">
        <v>0</v>
      </c>
      <c r="I972" t="s">
        <v>17</v>
      </c>
      <c r="K972" t="s">
        <v>3003</v>
      </c>
      <c r="L972">
        <v>323</v>
      </c>
      <c r="M972" t="s">
        <v>3004</v>
      </c>
    </row>
    <row r="973" spans="1:13">
      <c r="A973" t="s">
        <v>13</v>
      </c>
      <c r="B973">
        <v>973116</v>
      </c>
      <c r="C973">
        <v>974474</v>
      </c>
      <c r="E973" t="s">
        <v>35</v>
      </c>
      <c r="F973" t="s">
        <v>2997</v>
      </c>
      <c r="G973" t="s">
        <v>3005</v>
      </c>
      <c r="H973">
        <v>0</v>
      </c>
      <c r="I973" t="s">
        <v>17</v>
      </c>
      <c r="K973" t="s">
        <v>3006</v>
      </c>
      <c r="L973">
        <v>452</v>
      </c>
      <c r="M973" t="s">
        <v>3007</v>
      </c>
    </row>
    <row r="974" spans="1:13">
      <c r="A974" t="s">
        <v>13</v>
      </c>
      <c r="B974">
        <v>974563</v>
      </c>
      <c r="C974">
        <v>975651</v>
      </c>
      <c r="E974" t="s">
        <v>14</v>
      </c>
      <c r="F974" t="s">
        <v>3008</v>
      </c>
      <c r="G974" t="s">
        <v>3009</v>
      </c>
      <c r="H974">
        <v>0</v>
      </c>
      <c r="I974" t="s">
        <v>17</v>
      </c>
      <c r="K974" t="s">
        <v>3010</v>
      </c>
      <c r="L974">
        <v>362</v>
      </c>
      <c r="M974" t="s">
        <v>3011</v>
      </c>
    </row>
    <row r="975" spans="1:13">
      <c r="A975" t="s">
        <v>13</v>
      </c>
      <c r="B975">
        <v>975654</v>
      </c>
      <c r="C975">
        <v>976418</v>
      </c>
      <c r="E975" t="s">
        <v>14</v>
      </c>
      <c r="F975" t="s">
        <v>3012</v>
      </c>
      <c r="G975" t="s">
        <v>3013</v>
      </c>
      <c r="H975">
        <v>0</v>
      </c>
      <c r="I975" t="s">
        <v>17</v>
      </c>
      <c r="K975" t="s">
        <v>3014</v>
      </c>
      <c r="L975">
        <v>254</v>
      </c>
      <c r="M975" t="s">
        <v>3015</v>
      </c>
    </row>
    <row r="976" spans="1:13">
      <c r="A976" t="s">
        <v>13</v>
      </c>
      <c r="B976">
        <v>976415</v>
      </c>
      <c r="C976">
        <v>977245</v>
      </c>
      <c r="E976" t="s">
        <v>14</v>
      </c>
      <c r="F976" t="s">
        <v>3016</v>
      </c>
      <c r="G976" t="s">
        <v>3017</v>
      </c>
      <c r="H976">
        <v>0</v>
      </c>
      <c r="I976" t="s">
        <v>17</v>
      </c>
      <c r="K976" t="s">
        <v>3018</v>
      </c>
      <c r="L976">
        <v>276</v>
      </c>
      <c r="M976" t="s">
        <v>3019</v>
      </c>
    </row>
    <row r="977" spans="1:13">
      <c r="A977" t="s">
        <v>13</v>
      </c>
      <c r="B977">
        <v>977242</v>
      </c>
      <c r="C977">
        <v>977964</v>
      </c>
      <c r="E977" t="s">
        <v>14</v>
      </c>
      <c r="F977" t="s">
        <v>3020</v>
      </c>
      <c r="G977" t="s">
        <v>3021</v>
      </c>
      <c r="H977">
        <v>0</v>
      </c>
      <c r="I977" t="s">
        <v>17</v>
      </c>
      <c r="K977" t="s">
        <v>3022</v>
      </c>
      <c r="L977">
        <v>240</v>
      </c>
      <c r="M977" t="s">
        <v>3023</v>
      </c>
    </row>
    <row r="978" spans="1:13">
      <c r="A978" t="s">
        <v>13</v>
      </c>
      <c r="B978">
        <v>977968</v>
      </c>
      <c r="C978">
        <v>978273</v>
      </c>
      <c r="E978" t="s">
        <v>14</v>
      </c>
      <c r="F978" t="s">
        <v>28</v>
      </c>
      <c r="H978">
        <v>0</v>
      </c>
      <c r="I978" t="s">
        <v>17</v>
      </c>
      <c r="K978" t="s">
        <v>3024</v>
      </c>
      <c r="L978">
        <v>101</v>
      </c>
      <c r="M978" t="s">
        <v>3025</v>
      </c>
    </row>
    <row r="979" spans="1:13">
      <c r="A979" t="s">
        <v>13</v>
      </c>
      <c r="B979">
        <v>978285</v>
      </c>
      <c r="C979">
        <v>978452</v>
      </c>
      <c r="E979" t="s">
        <v>14</v>
      </c>
      <c r="F979" t="s">
        <v>28</v>
      </c>
      <c r="H979">
        <v>0</v>
      </c>
      <c r="I979" t="s">
        <v>17</v>
      </c>
      <c r="K979" t="s">
        <v>3026</v>
      </c>
      <c r="L979">
        <v>55</v>
      </c>
      <c r="M979" t="s">
        <v>3027</v>
      </c>
    </row>
    <row r="980" spans="1:13">
      <c r="A980" t="s">
        <v>13</v>
      </c>
      <c r="B980">
        <v>978462</v>
      </c>
      <c r="C980">
        <v>979331</v>
      </c>
      <c r="E980" t="s">
        <v>14</v>
      </c>
      <c r="F980" t="s">
        <v>3028</v>
      </c>
      <c r="G980" t="s">
        <v>3029</v>
      </c>
      <c r="H980">
        <v>0</v>
      </c>
      <c r="I980" t="s">
        <v>17</v>
      </c>
      <c r="K980" t="s">
        <v>3030</v>
      </c>
      <c r="L980">
        <v>289</v>
      </c>
      <c r="M980" t="s">
        <v>3031</v>
      </c>
    </row>
    <row r="981" spans="1:13">
      <c r="A981" t="s">
        <v>13</v>
      </c>
      <c r="B981">
        <v>979858</v>
      </c>
      <c r="C981">
        <v>981300</v>
      </c>
      <c r="E981" t="s">
        <v>35</v>
      </c>
      <c r="F981" t="s">
        <v>3032</v>
      </c>
      <c r="G981" t="s">
        <v>3033</v>
      </c>
      <c r="H981">
        <v>0</v>
      </c>
      <c r="I981" t="s">
        <v>17</v>
      </c>
      <c r="K981" t="s">
        <v>3034</v>
      </c>
      <c r="L981">
        <v>480</v>
      </c>
      <c r="M981" t="s">
        <v>3035</v>
      </c>
    </row>
    <row r="982" spans="1:13">
      <c r="A982" t="s">
        <v>13</v>
      </c>
      <c r="B982">
        <v>981491</v>
      </c>
      <c r="C982">
        <v>982138</v>
      </c>
      <c r="E982" t="s">
        <v>35</v>
      </c>
      <c r="F982" t="s">
        <v>3036</v>
      </c>
      <c r="H982">
        <v>0</v>
      </c>
      <c r="I982" t="s">
        <v>17</v>
      </c>
      <c r="K982" t="s">
        <v>3037</v>
      </c>
      <c r="L982">
        <v>215</v>
      </c>
      <c r="M982" t="s">
        <v>3038</v>
      </c>
    </row>
    <row r="983" spans="1:13">
      <c r="A983" t="s">
        <v>13</v>
      </c>
      <c r="B983">
        <v>982281</v>
      </c>
      <c r="C983">
        <v>982919</v>
      </c>
      <c r="E983" t="s">
        <v>14</v>
      </c>
      <c r="F983" t="s">
        <v>3039</v>
      </c>
      <c r="G983" t="s">
        <v>3040</v>
      </c>
      <c r="H983">
        <v>0</v>
      </c>
      <c r="I983" t="s">
        <v>17</v>
      </c>
      <c r="K983" t="s">
        <v>3041</v>
      </c>
      <c r="L983">
        <v>212</v>
      </c>
      <c r="M983" t="s">
        <v>3042</v>
      </c>
    </row>
    <row r="984" spans="1:13">
      <c r="A984" t="s">
        <v>13</v>
      </c>
      <c r="B984">
        <v>983006</v>
      </c>
      <c r="C984">
        <v>983461</v>
      </c>
      <c r="E984" t="s">
        <v>14</v>
      </c>
      <c r="F984" t="s">
        <v>3043</v>
      </c>
      <c r="G984" t="s">
        <v>3044</v>
      </c>
      <c r="H984">
        <v>0</v>
      </c>
      <c r="I984" t="s">
        <v>17</v>
      </c>
      <c r="K984" t="s">
        <v>3045</v>
      </c>
      <c r="L984">
        <v>151</v>
      </c>
      <c r="M984" t="s">
        <v>3046</v>
      </c>
    </row>
    <row r="985" spans="1:13">
      <c r="A985" t="s">
        <v>13</v>
      </c>
      <c r="B985">
        <v>983483</v>
      </c>
      <c r="C985">
        <v>984007</v>
      </c>
      <c r="E985" t="s">
        <v>14</v>
      </c>
      <c r="F985" t="s">
        <v>3047</v>
      </c>
      <c r="G985" t="s">
        <v>3048</v>
      </c>
      <c r="H985">
        <v>0</v>
      </c>
      <c r="I985" t="s">
        <v>17</v>
      </c>
      <c r="K985" t="s">
        <v>3049</v>
      </c>
      <c r="L985">
        <v>174</v>
      </c>
      <c r="M985" t="s">
        <v>3050</v>
      </c>
    </row>
    <row r="986" spans="1:13">
      <c r="A986" t="s">
        <v>13</v>
      </c>
      <c r="B986">
        <v>984020</v>
      </c>
      <c r="C986">
        <v>985171</v>
      </c>
      <c r="E986" t="s">
        <v>35</v>
      </c>
      <c r="F986" t="s">
        <v>3051</v>
      </c>
      <c r="G986" t="s">
        <v>3052</v>
      </c>
      <c r="H986">
        <v>0</v>
      </c>
      <c r="I986" t="s">
        <v>17</v>
      </c>
      <c r="K986" t="s">
        <v>3053</v>
      </c>
      <c r="L986">
        <v>383</v>
      </c>
      <c r="M986" t="s">
        <v>3054</v>
      </c>
    </row>
    <row r="987" spans="1:13">
      <c r="A987" t="s">
        <v>13</v>
      </c>
      <c r="B987">
        <v>985253</v>
      </c>
      <c r="C987">
        <v>985993</v>
      </c>
      <c r="E987" t="s">
        <v>14</v>
      </c>
      <c r="F987" t="s">
        <v>28</v>
      </c>
      <c r="H987">
        <v>0</v>
      </c>
      <c r="I987" t="s">
        <v>17</v>
      </c>
      <c r="K987" t="s">
        <v>3055</v>
      </c>
      <c r="L987">
        <v>246</v>
      </c>
      <c r="M987" t="s">
        <v>3056</v>
      </c>
    </row>
    <row r="988" spans="1:13">
      <c r="A988" t="s">
        <v>13</v>
      </c>
      <c r="B988">
        <v>986537</v>
      </c>
      <c r="C988">
        <v>990310</v>
      </c>
      <c r="E988" t="s">
        <v>35</v>
      </c>
      <c r="F988" t="s">
        <v>3057</v>
      </c>
      <c r="G988" t="s">
        <v>3058</v>
      </c>
      <c r="H988">
        <v>0</v>
      </c>
      <c r="I988" t="s">
        <v>17</v>
      </c>
      <c r="K988" t="s">
        <v>3059</v>
      </c>
      <c r="L988">
        <v>1257</v>
      </c>
      <c r="M988" t="s">
        <v>3060</v>
      </c>
    </row>
    <row r="989" spans="1:13">
      <c r="A989" t="s">
        <v>13</v>
      </c>
      <c r="B989">
        <v>990456</v>
      </c>
      <c r="C989">
        <v>991205</v>
      </c>
      <c r="E989" t="s">
        <v>35</v>
      </c>
      <c r="F989" t="s">
        <v>28</v>
      </c>
      <c r="H989">
        <v>0</v>
      </c>
      <c r="I989" t="s">
        <v>17</v>
      </c>
      <c r="K989" t="s">
        <v>3061</v>
      </c>
      <c r="L989">
        <v>249</v>
      </c>
      <c r="M989" t="s">
        <v>3062</v>
      </c>
    </row>
    <row r="990" spans="1:13">
      <c r="A990" t="s">
        <v>13</v>
      </c>
      <c r="B990">
        <v>991340</v>
      </c>
      <c r="C990">
        <v>993043</v>
      </c>
      <c r="E990" t="s">
        <v>14</v>
      </c>
      <c r="F990" t="s">
        <v>3063</v>
      </c>
      <c r="G990" t="s">
        <v>3064</v>
      </c>
      <c r="H990">
        <v>0</v>
      </c>
      <c r="I990" t="s">
        <v>17</v>
      </c>
      <c r="K990" t="s">
        <v>3065</v>
      </c>
      <c r="L990">
        <v>567</v>
      </c>
      <c r="M990" t="s">
        <v>3066</v>
      </c>
    </row>
    <row r="991" spans="1:13">
      <c r="A991" t="s">
        <v>13</v>
      </c>
      <c r="B991">
        <v>993125</v>
      </c>
      <c r="C991">
        <v>993979</v>
      </c>
      <c r="E991" t="s">
        <v>14</v>
      </c>
      <c r="F991" t="s">
        <v>28</v>
      </c>
      <c r="H991">
        <v>0</v>
      </c>
      <c r="I991" t="s">
        <v>17</v>
      </c>
      <c r="K991" t="s">
        <v>3067</v>
      </c>
      <c r="L991">
        <v>284</v>
      </c>
      <c r="M991" t="s">
        <v>3068</v>
      </c>
    </row>
    <row r="992" spans="1:13">
      <c r="A992" t="s">
        <v>13</v>
      </c>
      <c r="B992">
        <v>993984</v>
      </c>
      <c r="C992">
        <v>994496</v>
      </c>
      <c r="E992" t="s">
        <v>35</v>
      </c>
      <c r="F992" t="s">
        <v>28</v>
      </c>
      <c r="H992">
        <v>0</v>
      </c>
      <c r="I992" t="s">
        <v>17</v>
      </c>
      <c r="K992" t="s">
        <v>3069</v>
      </c>
      <c r="L992">
        <v>170</v>
      </c>
      <c r="M992" t="s">
        <v>3070</v>
      </c>
    </row>
    <row r="993" spans="1:13">
      <c r="A993" t="s">
        <v>13</v>
      </c>
      <c r="B993">
        <v>994609</v>
      </c>
      <c r="C993">
        <v>995844</v>
      </c>
      <c r="E993" t="s">
        <v>14</v>
      </c>
      <c r="F993" t="s">
        <v>3071</v>
      </c>
      <c r="G993" t="s">
        <v>3072</v>
      </c>
      <c r="H993">
        <v>0</v>
      </c>
      <c r="I993" t="s">
        <v>17</v>
      </c>
      <c r="K993" t="s">
        <v>3073</v>
      </c>
      <c r="L993">
        <v>411</v>
      </c>
      <c r="M993" t="s">
        <v>3074</v>
      </c>
    </row>
    <row r="994" spans="1:13">
      <c r="A994" t="s">
        <v>13</v>
      </c>
      <c r="B994">
        <v>995884</v>
      </c>
      <c r="C994">
        <v>996111</v>
      </c>
      <c r="E994" t="s">
        <v>14</v>
      </c>
      <c r="F994" t="s">
        <v>28</v>
      </c>
      <c r="H994">
        <v>0</v>
      </c>
      <c r="I994" t="s">
        <v>17</v>
      </c>
      <c r="K994" t="s">
        <v>3075</v>
      </c>
      <c r="L994">
        <v>75</v>
      </c>
      <c r="M994" t="s">
        <v>3076</v>
      </c>
    </row>
    <row r="995" spans="1:13">
      <c r="A995" t="s">
        <v>13</v>
      </c>
      <c r="B995">
        <v>996108</v>
      </c>
      <c r="C995">
        <v>997400</v>
      </c>
      <c r="E995" t="s">
        <v>35</v>
      </c>
      <c r="F995" t="s">
        <v>3077</v>
      </c>
      <c r="G995" t="s">
        <v>3078</v>
      </c>
      <c r="H995">
        <v>0</v>
      </c>
      <c r="I995" t="s">
        <v>17</v>
      </c>
      <c r="K995" t="s">
        <v>3079</v>
      </c>
      <c r="L995">
        <v>430</v>
      </c>
      <c r="M995" t="s">
        <v>3080</v>
      </c>
    </row>
    <row r="996" spans="1:13">
      <c r="A996" t="s">
        <v>13</v>
      </c>
      <c r="B996">
        <v>997494</v>
      </c>
      <c r="C996">
        <v>1000615</v>
      </c>
      <c r="E996" t="s">
        <v>35</v>
      </c>
      <c r="F996" t="s">
        <v>290</v>
      </c>
      <c r="H996">
        <v>0</v>
      </c>
      <c r="I996" t="s">
        <v>292</v>
      </c>
      <c r="M996" t="s">
        <v>3081</v>
      </c>
    </row>
    <row r="997" spans="1:13">
      <c r="A997" t="s">
        <v>13</v>
      </c>
      <c r="B997">
        <v>1000628</v>
      </c>
      <c r="C997">
        <v>1001014</v>
      </c>
      <c r="E997" t="s">
        <v>35</v>
      </c>
      <c r="F997" t="s">
        <v>3082</v>
      </c>
      <c r="G997" t="s">
        <v>3083</v>
      </c>
      <c r="H997">
        <v>0</v>
      </c>
      <c r="I997" t="s">
        <v>17</v>
      </c>
      <c r="K997" t="s">
        <v>3084</v>
      </c>
      <c r="L997">
        <v>128</v>
      </c>
      <c r="M997" t="s">
        <v>3085</v>
      </c>
    </row>
    <row r="998" spans="1:13">
      <c r="A998" t="s">
        <v>13</v>
      </c>
      <c r="B998">
        <v>1001142</v>
      </c>
      <c r="C998">
        <v>1002488</v>
      </c>
      <c r="E998" t="s">
        <v>14</v>
      </c>
      <c r="F998" t="s">
        <v>3086</v>
      </c>
      <c r="H998">
        <v>0</v>
      </c>
      <c r="I998" t="s">
        <v>17</v>
      </c>
      <c r="K998" t="s">
        <v>3087</v>
      </c>
      <c r="L998">
        <v>448</v>
      </c>
      <c r="M998" t="s">
        <v>3088</v>
      </c>
    </row>
    <row r="999" spans="1:13">
      <c r="A999" t="s">
        <v>13</v>
      </c>
      <c r="B999">
        <v>1002492</v>
      </c>
      <c r="C999">
        <v>1003430</v>
      </c>
      <c r="E999" t="s">
        <v>35</v>
      </c>
      <c r="F999" t="s">
        <v>3089</v>
      </c>
      <c r="G999" t="s">
        <v>3090</v>
      </c>
      <c r="H999">
        <v>0</v>
      </c>
      <c r="I999" t="s">
        <v>17</v>
      </c>
      <c r="K999" t="s">
        <v>3091</v>
      </c>
      <c r="L999">
        <v>312</v>
      </c>
      <c r="M999" t="s">
        <v>3092</v>
      </c>
    </row>
    <row r="1000" spans="1:13">
      <c r="A1000" t="s">
        <v>13</v>
      </c>
      <c r="B1000">
        <v>1003493</v>
      </c>
      <c r="C1000">
        <v>1004236</v>
      </c>
      <c r="E1000" t="s">
        <v>14</v>
      </c>
      <c r="F1000" t="s">
        <v>3093</v>
      </c>
      <c r="G1000" t="s">
        <v>3094</v>
      </c>
      <c r="H1000">
        <v>0</v>
      </c>
      <c r="I1000" t="s">
        <v>17</v>
      </c>
      <c r="K1000" t="s">
        <v>3095</v>
      </c>
      <c r="L1000">
        <v>247</v>
      </c>
      <c r="M1000" t="s">
        <v>3096</v>
      </c>
    </row>
    <row r="1001" spans="1:13">
      <c r="A1001" t="s">
        <v>13</v>
      </c>
      <c r="B1001">
        <v>1004311</v>
      </c>
      <c r="C1001">
        <v>1005861</v>
      </c>
      <c r="E1001" t="s">
        <v>14</v>
      </c>
      <c r="F1001" t="s">
        <v>3097</v>
      </c>
      <c r="G1001" t="s">
        <v>3098</v>
      </c>
      <c r="H1001">
        <v>0</v>
      </c>
      <c r="I1001" t="s">
        <v>17</v>
      </c>
      <c r="K1001" t="s">
        <v>3099</v>
      </c>
      <c r="L1001">
        <v>516</v>
      </c>
      <c r="M1001" t="s">
        <v>3100</v>
      </c>
    </row>
    <row r="1002" spans="1:13">
      <c r="A1002" t="s">
        <v>13</v>
      </c>
      <c r="B1002">
        <v>1005842</v>
      </c>
      <c r="C1002">
        <v>1006651</v>
      </c>
      <c r="E1002" t="s">
        <v>35</v>
      </c>
      <c r="F1002" t="s">
        <v>3101</v>
      </c>
      <c r="H1002">
        <v>0</v>
      </c>
      <c r="I1002" t="s">
        <v>17</v>
      </c>
      <c r="K1002" t="s">
        <v>3102</v>
      </c>
      <c r="L1002">
        <v>269</v>
      </c>
      <c r="M1002" t="s">
        <v>3103</v>
      </c>
    </row>
    <row r="1003" spans="1:13">
      <c r="A1003" t="s">
        <v>13</v>
      </c>
      <c r="B1003">
        <v>1006824</v>
      </c>
      <c r="C1003">
        <v>1008500</v>
      </c>
      <c r="E1003" t="s">
        <v>14</v>
      </c>
      <c r="F1003" t="s">
        <v>3104</v>
      </c>
      <c r="G1003" t="s">
        <v>3105</v>
      </c>
      <c r="H1003">
        <v>0</v>
      </c>
      <c r="I1003" t="s">
        <v>17</v>
      </c>
      <c r="K1003" t="s">
        <v>3106</v>
      </c>
      <c r="L1003">
        <v>558</v>
      </c>
      <c r="M1003" t="s">
        <v>3107</v>
      </c>
    </row>
    <row r="1004" spans="1:13">
      <c r="A1004" t="s">
        <v>13</v>
      </c>
      <c r="B1004">
        <v>1008501</v>
      </c>
      <c r="C1004">
        <v>1009670</v>
      </c>
      <c r="E1004" t="s">
        <v>14</v>
      </c>
      <c r="F1004" t="s">
        <v>3108</v>
      </c>
      <c r="G1004" t="s">
        <v>3109</v>
      </c>
      <c r="H1004">
        <v>0</v>
      </c>
      <c r="I1004" t="s">
        <v>17</v>
      </c>
      <c r="K1004" t="s">
        <v>3110</v>
      </c>
      <c r="L1004">
        <v>389</v>
      </c>
      <c r="M1004" t="s">
        <v>3111</v>
      </c>
    </row>
    <row r="1005" spans="1:13">
      <c r="A1005" t="s">
        <v>13</v>
      </c>
      <c r="B1005">
        <v>1009717</v>
      </c>
      <c r="C1005">
        <v>1011588</v>
      </c>
      <c r="E1005" t="s">
        <v>14</v>
      </c>
      <c r="F1005" t="s">
        <v>3112</v>
      </c>
      <c r="G1005" t="s">
        <v>3113</v>
      </c>
      <c r="H1005">
        <v>0</v>
      </c>
      <c r="I1005" t="s">
        <v>17</v>
      </c>
      <c r="K1005" t="s">
        <v>3114</v>
      </c>
      <c r="L1005">
        <v>623</v>
      </c>
      <c r="M1005" t="s">
        <v>3115</v>
      </c>
    </row>
    <row r="1006" spans="1:13">
      <c r="A1006" t="s">
        <v>13</v>
      </c>
      <c r="B1006">
        <v>1011736</v>
      </c>
      <c r="C1006">
        <v>1012974</v>
      </c>
      <c r="E1006" t="s">
        <v>14</v>
      </c>
      <c r="F1006" t="s">
        <v>28</v>
      </c>
      <c r="H1006">
        <v>0</v>
      </c>
      <c r="I1006" t="s">
        <v>17</v>
      </c>
      <c r="K1006" t="s">
        <v>3116</v>
      </c>
      <c r="L1006">
        <v>412</v>
      </c>
      <c r="M1006" t="s">
        <v>3117</v>
      </c>
    </row>
    <row r="1007" spans="1:13">
      <c r="A1007" t="s">
        <v>13</v>
      </c>
      <c r="B1007">
        <v>1012983</v>
      </c>
      <c r="C1007">
        <v>1013426</v>
      </c>
      <c r="E1007" t="s">
        <v>35</v>
      </c>
      <c r="F1007" t="s">
        <v>28</v>
      </c>
      <c r="H1007">
        <v>0</v>
      </c>
      <c r="I1007" t="s">
        <v>17</v>
      </c>
      <c r="K1007" t="s">
        <v>3118</v>
      </c>
      <c r="L1007">
        <v>147</v>
      </c>
      <c r="M1007" t="s">
        <v>3119</v>
      </c>
    </row>
    <row r="1008" spans="1:13">
      <c r="A1008" t="s">
        <v>13</v>
      </c>
      <c r="B1008">
        <v>1013483</v>
      </c>
      <c r="C1008">
        <v>1014049</v>
      </c>
      <c r="E1008" t="s">
        <v>35</v>
      </c>
      <c r="F1008" t="s">
        <v>28</v>
      </c>
      <c r="H1008">
        <v>0</v>
      </c>
      <c r="I1008" t="s">
        <v>17</v>
      </c>
      <c r="K1008" t="s">
        <v>3120</v>
      </c>
      <c r="L1008">
        <v>188</v>
      </c>
      <c r="M1008" t="s">
        <v>3121</v>
      </c>
    </row>
    <row r="1009" spans="1:13">
      <c r="A1009" t="s">
        <v>13</v>
      </c>
      <c r="B1009">
        <v>1014084</v>
      </c>
      <c r="C1009">
        <v>1015655</v>
      </c>
      <c r="E1009" t="s">
        <v>35</v>
      </c>
      <c r="F1009" t="s">
        <v>3122</v>
      </c>
      <c r="G1009" t="s">
        <v>3123</v>
      </c>
      <c r="H1009">
        <v>0</v>
      </c>
      <c r="I1009" t="s">
        <v>17</v>
      </c>
      <c r="K1009" t="s">
        <v>3124</v>
      </c>
      <c r="L1009">
        <v>523</v>
      </c>
      <c r="M1009" t="s">
        <v>3125</v>
      </c>
    </row>
    <row r="1010" spans="1:13">
      <c r="A1010" t="s">
        <v>13</v>
      </c>
      <c r="B1010">
        <v>1015824</v>
      </c>
      <c r="C1010">
        <v>1018853</v>
      </c>
      <c r="E1010" t="s">
        <v>14</v>
      </c>
      <c r="F1010" t="s">
        <v>3126</v>
      </c>
      <c r="H1010">
        <v>0</v>
      </c>
      <c r="I1010" t="s">
        <v>17</v>
      </c>
      <c r="K1010" t="s">
        <v>3127</v>
      </c>
      <c r="L1010">
        <v>1009</v>
      </c>
      <c r="M1010" t="s">
        <v>3128</v>
      </c>
    </row>
    <row r="1011" spans="1:13">
      <c r="A1011" t="s">
        <v>13</v>
      </c>
      <c r="B1011">
        <v>1018858</v>
      </c>
      <c r="C1011">
        <v>1019679</v>
      </c>
      <c r="E1011" t="s">
        <v>14</v>
      </c>
      <c r="F1011" t="s">
        <v>28</v>
      </c>
      <c r="H1011">
        <v>0</v>
      </c>
      <c r="I1011" t="s">
        <v>17</v>
      </c>
      <c r="K1011" t="s">
        <v>3129</v>
      </c>
      <c r="L1011">
        <v>273</v>
      </c>
      <c r="M1011" t="s">
        <v>3130</v>
      </c>
    </row>
    <row r="1012" spans="1:13">
      <c r="A1012" t="s">
        <v>13</v>
      </c>
      <c r="B1012">
        <v>1019682</v>
      </c>
      <c r="C1012">
        <v>1020797</v>
      </c>
      <c r="E1012" t="s">
        <v>14</v>
      </c>
      <c r="F1012" t="s">
        <v>3131</v>
      </c>
      <c r="G1012" t="s">
        <v>3132</v>
      </c>
      <c r="H1012">
        <v>0</v>
      </c>
      <c r="I1012" t="s">
        <v>17</v>
      </c>
      <c r="K1012" t="s">
        <v>3133</v>
      </c>
      <c r="L1012">
        <v>371</v>
      </c>
      <c r="M1012" t="s">
        <v>3134</v>
      </c>
    </row>
    <row r="1013" spans="1:13">
      <c r="A1013" t="s">
        <v>13</v>
      </c>
      <c r="B1013">
        <v>1020803</v>
      </c>
      <c r="C1013">
        <v>1023391</v>
      </c>
      <c r="E1013" t="s">
        <v>14</v>
      </c>
      <c r="F1013" t="s">
        <v>3135</v>
      </c>
      <c r="H1013">
        <v>0</v>
      </c>
      <c r="I1013" t="s">
        <v>17</v>
      </c>
      <c r="K1013" t="s">
        <v>3136</v>
      </c>
      <c r="L1013">
        <v>862</v>
      </c>
      <c r="M1013" t="s">
        <v>3137</v>
      </c>
    </row>
    <row r="1014" spans="1:13">
      <c r="A1014" t="s">
        <v>13</v>
      </c>
      <c r="B1014">
        <v>1023397</v>
      </c>
      <c r="C1014">
        <v>1023903</v>
      </c>
      <c r="E1014" t="s">
        <v>14</v>
      </c>
      <c r="F1014" t="s">
        <v>63</v>
      </c>
      <c r="H1014">
        <v>0</v>
      </c>
      <c r="I1014" t="s">
        <v>17</v>
      </c>
      <c r="K1014" t="s">
        <v>3138</v>
      </c>
      <c r="L1014">
        <v>168</v>
      </c>
      <c r="M1014" t="s">
        <v>3139</v>
      </c>
    </row>
    <row r="1015" spans="1:13">
      <c r="A1015" t="s">
        <v>13</v>
      </c>
      <c r="B1015">
        <v>1023890</v>
      </c>
      <c r="C1015">
        <v>1024210</v>
      </c>
      <c r="E1015" t="s">
        <v>14</v>
      </c>
      <c r="F1015" t="s">
        <v>28</v>
      </c>
      <c r="H1015">
        <v>0</v>
      </c>
      <c r="I1015" t="s">
        <v>17</v>
      </c>
      <c r="K1015" t="s">
        <v>3140</v>
      </c>
      <c r="L1015">
        <v>106</v>
      </c>
      <c r="M1015" t="s">
        <v>3141</v>
      </c>
    </row>
    <row r="1016" spans="1:13">
      <c r="A1016" t="s">
        <v>13</v>
      </c>
      <c r="B1016">
        <v>1024283</v>
      </c>
      <c r="C1016">
        <v>1024486</v>
      </c>
      <c r="E1016" t="s">
        <v>14</v>
      </c>
      <c r="F1016" t="s">
        <v>28</v>
      </c>
      <c r="H1016">
        <v>0</v>
      </c>
      <c r="I1016" t="s">
        <v>17</v>
      </c>
      <c r="K1016" t="s">
        <v>3142</v>
      </c>
      <c r="L1016">
        <v>67</v>
      </c>
      <c r="M1016" t="s">
        <v>3143</v>
      </c>
    </row>
    <row r="1017" spans="1:13">
      <c r="A1017" t="s">
        <v>13</v>
      </c>
      <c r="B1017">
        <v>1024542</v>
      </c>
      <c r="C1017">
        <v>1025711</v>
      </c>
      <c r="E1017" t="s">
        <v>35</v>
      </c>
      <c r="F1017" t="s">
        <v>3144</v>
      </c>
      <c r="H1017">
        <v>0</v>
      </c>
      <c r="I1017" t="s">
        <v>17</v>
      </c>
      <c r="K1017" t="s">
        <v>3145</v>
      </c>
      <c r="L1017">
        <v>389</v>
      </c>
      <c r="M1017" t="s">
        <v>3146</v>
      </c>
    </row>
    <row r="1018" spans="1:13">
      <c r="A1018" t="s">
        <v>13</v>
      </c>
      <c r="B1018">
        <v>1025715</v>
      </c>
      <c r="C1018">
        <v>1026554</v>
      </c>
      <c r="E1018" t="s">
        <v>35</v>
      </c>
      <c r="F1018" t="s">
        <v>3147</v>
      </c>
      <c r="G1018" t="s">
        <v>3148</v>
      </c>
      <c r="H1018">
        <v>0</v>
      </c>
      <c r="I1018" t="s">
        <v>17</v>
      </c>
      <c r="K1018" t="s">
        <v>3149</v>
      </c>
      <c r="L1018">
        <v>279</v>
      </c>
      <c r="M1018" t="s">
        <v>3150</v>
      </c>
    </row>
    <row r="1019" spans="1:13">
      <c r="A1019" t="s">
        <v>13</v>
      </c>
      <c r="B1019">
        <v>1026815</v>
      </c>
      <c r="C1019">
        <v>1027264</v>
      </c>
      <c r="E1019" t="s">
        <v>14</v>
      </c>
      <c r="F1019" t="s">
        <v>28</v>
      </c>
      <c r="H1019">
        <v>0</v>
      </c>
      <c r="I1019" t="s">
        <v>17</v>
      </c>
      <c r="K1019" t="s">
        <v>3151</v>
      </c>
      <c r="L1019">
        <v>149</v>
      </c>
      <c r="M1019" t="s">
        <v>3152</v>
      </c>
    </row>
    <row r="1020" spans="1:13">
      <c r="A1020" t="s">
        <v>13</v>
      </c>
      <c r="B1020">
        <v>1027781</v>
      </c>
      <c r="C1020">
        <v>1027939</v>
      </c>
      <c r="E1020" t="s">
        <v>35</v>
      </c>
      <c r="F1020" t="s">
        <v>28</v>
      </c>
      <c r="H1020">
        <v>0</v>
      </c>
      <c r="I1020" t="s">
        <v>17</v>
      </c>
      <c r="K1020" t="s">
        <v>3153</v>
      </c>
      <c r="L1020">
        <v>52</v>
      </c>
      <c r="M1020" t="s">
        <v>3154</v>
      </c>
    </row>
    <row r="1021" spans="1:13">
      <c r="A1021" t="s">
        <v>13</v>
      </c>
      <c r="B1021">
        <v>1028085</v>
      </c>
      <c r="C1021">
        <v>1028159</v>
      </c>
      <c r="E1021" t="s">
        <v>35</v>
      </c>
      <c r="F1021" t="s">
        <v>505</v>
      </c>
      <c r="H1021">
        <v>0</v>
      </c>
      <c r="I1021" t="s">
        <v>53</v>
      </c>
      <c r="M1021" t="s">
        <v>3155</v>
      </c>
    </row>
    <row r="1022" spans="1:13">
      <c r="A1022" t="s">
        <v>13</v>
      </c>
      <c r="B1022">
        <v>1028213</v>
      </c>
      <c r="C1022">
        <v>1029769</v>
      </c>
      <c r="E1022" t="s">
        <v>35</v>
      </c>
      <c r="F1022" t="s">
        <v>3156</v>
      </c>
      <c r="G1022" t="s">
        <v>3157</v>
      </c>
      <c r="H1022">
        <v>0</v>
      </c>
      <c r="I1022" t="s">
        <v>17</v>
      </c>
      <c r="K1022" t="s">
        <v>3158</v>
      </c>
      <c r="L1022">
        <v>518</v>
      </c>
      <c r="M1022" t="s">
        <v>3159</v>
      </c>
    </row>
    <row r="1023" spans="1:13">
      <c r="A1023" t="s">
        <v>13</v>
      </c>
      <c r="B1023">
        <v>1029881</v>
      </c>
      <c r="C1023">
        <v>1030501</v>
      </c>
      <c r="E1023" t="s">
        <v>35</v>
      </c>
      <c r="F1023" t="s">
        <v>3160</v>
      </c>
      <c r="G1023" t="s">
        <v>3161</v>
      </c>
      <c r="H1023">
        <v>0</v>
      </c>
      <c r="I1023" t="s">
        <v>17</v>
      </c>
      <c r="K1023" t="s">
        <v>3162</v>
      </c>
      <c r="L1023">
        <v>206</v>
      </c>
      <c r="M1023" t="s">
        <v>3163</v>
      </c>
    </row>
    <row r="1024" spans="1:13">
      <c r="A1024" t="s">
        <v>13</v>
      </c>
      <c r="B1024">
        <v>1030498</v>
      </c>
      <c r="C1024">
        <v>1032003</v>
      </c>
      <c r="E1024" t="s">
        <v>35</v>
      </c>
      <c r="F1024" t="s">
        <v>3164</v>
      </c>
      <c r="G1024" t="s">
        <v>3165</v>
      </c>
      <c r="H1024">
        <v>0</v>
      </c>
      <c r="I1024" t="s">
        <v>17</v>
      </c>
      <c r="K1024" t="s">
        <v>3166</v>
      </c>
      <c r="L1024">
        <v>501</v>
      </c>
      <c r="M1024" t="s">
        <v>3167</v>
      </c>
    </row>
    <row r="1025" spans="1:13">
      <c r="A1025" t="s">
        <v>13</v>
      </c>
      <c r="B1025">
        <v>1032003</v>
      </c>
      <c r="C1025">
        <v>1032788</v>
      </c>
      <c r="E1025" t="s">
        <v>35</v>
      </c>
      <c r="F1025" t="s">
        <v>3168</v>
      </c>
      <c r="G1025" t="s">
        <v>3169</v>
      </c>
      <c r="H1025">
        <v>0</v>
      </c>
      <c r="I1025" t="s">
        <v>17</v>
      </c>
      <c r="K1025" t="s">
        <v>3170</v>
      </c>
      <c r="L1025">
        <v>261</v>
      </c>
      <c r="M1025" t="s">
        <v>3171</v>
      </c>
    </row>
    <row r="1026" spans="1:13">
      <c r="A1026" t="s">
        <v>13</v>
      </c>
      <c r="B1026">
        <v>1033014</v>
      </c>
      <c r="C1026">
        <v>1034666</v>
      </c>
      <c r="E1026" t="s">
        <v>14</v>
      </c>
      <c r="F1026" t="s">
        <v>3172</v>
      </c>
      <c r="G1026" t="s">
        <v>3173</v>
      </c>
      <c r="H1026">
        <v>0</v>
      </c>
      <c r="I1026" t="s">
        <v>17</v>
      </c>
      <c r="K1026" t="s">
        <v>3174</v>
      </c>
      <c r="L1026">
        <v>550</v>
      </c>
      <c r="M1026" t="s">
        <v>3175</v>
      </c>
    </row>
    <row r="1027" spans="1:13">
      <c r="A1027" t="s">
        <v>13</v>
      </c>
      <c r="B1027">
        <v>1034667</v>
      </c>
      <c r="C1027">
        <v>1036004</v>
      </c>
      <c r="E1027" t="s">
        <v>14</v>
      </c>
      <c r="F1027" t="s">
        <v>3176</v>
      </c>
      <c r="G1027" t="s">
        <v>3177</v>
      </c>
      <c r="H1027">
        <v>0</v>
      </c>
      <c r="I1027" t="s">
        <v>17</v>
      </c>
      <c r="K1027" t="s">
        <v>3178</v>
      </c>
      <c r="L1027">
        <v>445</v>
      </c>
      <c r="M1027" t="s">
        <v>3179</v>
      </c>
    </row>
    <row r="1028" spans="1:13">
      <c r="A1028" t="s">
        <v>13</v>
      </c>
      <c r="B1028">
        <v>1036184</v>
      </c>
      <c r="C1028">
        <v>1037527</v>
      </c>
      <c r="E1028" t="s">
        <v>14</v>
      </c>
      <c r="F1028" t="s">
        <v>3180</v>
      </c>
      <c r="G1028" t="s">
        <v>3181</v>
      </c>
      <c r="H1028">
        <v>0</v>
      </c>
      <c r="I1028" t="s">
        <v>17</v>
      </c>
      <c r="K1028" t="s">
        <v>3182</v>
      </c>
      <c r="L1028">
        <v>447</v>
      </c>
      <c r="M1028" t="s">
        <v>3183</v>
      </c>
    </row>
    <row r="1029" spans="1:13">
      <c r="A1029" t="s">
        <v>13</v>
      </c>
      <c r="B1029">
        <v>1037551</v>
      </c>
      <c r="C1029">
        <v>1038480</v>
      </c>
      <c r="E1029" t="s">
        <v>14</v>
      </c>
      <c r="F1029" t="s">
        <v>3184</v>
      </c>
      <c r="G1029" t="s">
        <v>3185</v>
      </c>
      <c r="H1029">
        <v>0</v>
      </c>
      <c r="I1029" t="s">
        <v>17</v>
      </c>
      <c r="K1029" t="s">
        <v>3186</v>
      </c>
      <c r="L1029">
        <v>309</v>
      </c>
      <c r="M1029" t="s">
        <v>3187</v>
      </c>
    </row>
    <row r="1030" spans="1:13">
      <c r="A1030" t="s">
        <v>13</v>
      </c>
      <c r="B1030">
        <v>1038467</v>
      </c>
      <c r="C1030">
        <v>1039126</v>
      </c>
      <c r="E1030" t="s">
        <v>35</v>
      </c>
      <c r="F1030" t="s">
        <v>28</v>
      </c>
      <c r="H1030">
        <v>0</v>
      </c>
      <c r="I1030" t="s">
        <v>17</v>
      </c>
      <c r="K1030" t="s">
        <v>3188</v>
      </c>
      <c r="L1030">
        <v>219</v>
      </c>
      <c r="M1030" t="s">
        <v>3189</v>
      </c>
    </row>
    <row r="1031" spans="1:13">
      <c r="A1031" t="s">
        <v>13</v>
      </c>
      <c r="B1031">
        <v>1039131</v>
      </c>
      <c r="C1031">
        <v>1040987</v>
      </c>
      <c r="E1031" t="s">
        <v>35</v>
      </c>
      <c r="F1031" t="s">
        <v>3190</v>
      </c>
      <c r="G1031" t="s">
        <v>3191</v>
      </c>
      <c r="H1031">
        <v>0</v>
      </c>
      <c r="I1031" t="s">
        <v>17</v>
      </c>
      <c r="K1031" t="s">
        <v>3192</v>
      </c>
      <c r="L1031">
        <v>618</v>
      </c>
      <c r="M1031" t="s">
        <v>3193</v>
      </c>
    </row>
    <row r="1032" spans="1:13">
      <c r="A1032" t="s">
        <v>13</v>
      </c>
      <c r="B1032">
        <v>1040991</v>
      </c>
      <c r="C1032">
        <v>1041752</v>
      </c>
      <c r="E1032" t="s">
        <v>35</v>
      </c>
      <c r="F1032" t="s">
        <v>3194</v>
      </c>
      <c r="G1032" t="s">
        <v>3195</v>
      </c>
      <c r="H1032">
        <v>0</v>
      </c>
      <c r="I1032" t="s">
        <v>17</v>
      </c>
      <c r="K1032" t="s">
        <v>3196</v>
      </c>
      <c r="L1032">
        <v>253</v>
      </c>
      <c r="M1032" t="s">
        <v>3197</v>
      </c>
    </row>
    <row r="1033" spans="1:13">
      <c r="A1033" t="s">
        <v>13</v>
      </c>
      <c r="B1033">
        <v>1041837</v>
      </c>
      <c r="C1033">
        <v>1042097</v>
      </c>
      <c r="E1033" t="s">
        <v>35</v>
      </c>
      <c r="F1033" t="s">
        <v>28</v>
      </c>
      <c r="H1033">
        <v>0</v>
      </c>
      <c r="I1033" t="s">
        <v>17</v>
      </c>
      <c r="K1033" t="s">
        <v>3198</v>
      </c>
      <c r="L1033">
        <v>86</v>
      </c>
      <c r="M1033" t="s">
        <v>3199</v>
      </c>
    </row>
    <row r="1034" spans="1:13">
      <c r="A1034" t="s">
        <v>13</v>
      </c>
      <c r="B1034">
        <v>1042168</v>
      </c>
      <c r="C1034">
        <v>1043244</v>
      </c>
      <c r="E1034" t="s">
        <v>14</v>
      </c>
      <c r="F1034" t="s">
        <v>28</v>
      </c>
      <c r="H1034">
        <v>0</v>
      </c>
      <c r="I1034" t="s">
        <v>17</v>
      </c>
      <c r="K1034" t="s">
        <v>3200</v>
      </c>
      <c r="L1034">
        <v>358</v>
      </c>
      <c r="M1034" t="s">
        <v>3201</v>
      </c>
    </row>
    <row r="1035" spans="1:13">
      <c r="A1035" t="s">
        <v>13</v>
      </c>
      <c r="B1035">
        <v>1043234</v>
      </c>
      <c r="C1035">
        <v>1044433</v>
      </c>
      <c r="E1035" t="s">
        <v>14</v>
      </c>
      <c r="F1035" t="s">
        <v>28</v>
      </c>
      <c r="H1035">
        <v>0</v>
      </c>
      <c r="I1035" t="s">
        <v>17</v>
      </c>
      <c r="K1035" t="s">
        <v>3202</v>
      </c>
      <c r="L1035">
        <v>399</v>
      </c>
      <c r="M1035" t="s">
        <v>3203</v>
      </c>
    </row>
    <row r="1036" spans="1:13">
      <c r="A1036" t="s">
        <v>13</v>
      </c>
      <c r="B1036">
        <v>1044434</v>
      </c>
      <c r="C1036">
        <v>1045819</v>
      </c>
      <c r="E1036" t="s">
        <v>14</v>
      </c>
      <c r="F1036" t="s">
        <v>3204</v>
      </c>
      <c r="G1036" t="s">
        <v>3205</v>
      </c>
      <c r="H1036">
        <v>0</v>
      </c>
      <c r="I1036" t="s">
        <v>17</v>
      </c>
      <c r="K1036" t="s">
        <v>3206</v>
      </c>
      <c r="L1036">
        <v>461</v>
      </c>
      <c r="M1036" t="s">
        <v>3207</v>
      </c>
    </row>
    <row r="1037" spans="1:13">
      <c r="A1037" t="s">
        <v>13</v>
      </c>
      <c r="B1037">
        <v>1046109</v>
      </c>
      <c r="C1037">
        <v>1046888</v>
      </c>
      <c r="E1037" t="s">
        <v>35</v>
      </c>
      <c r="F1037" t="s">
        <v>3208</v>
      </c>
      <c r="G1037" t="s">
        <v>3209</v>
      </c>
      <c r="H1037">
        <v>0</v>
      </c>
      <c r="I1037" t="s">
        <v>17</v>
      </c>
      <c r="K1037" t="s">
        <v>3210</v>
      </c>
      <c r="L1037">
        <v>259</v>
      </c>
      <c r="M1037" t="s">
        <v>3211</v>
      </c>
    </row>
    <row r="1038" spans="1:13">
      <c r="A1038" t="s">
        <v>13</v>
      </c>
      <c r="B1038">
        <v>1046899</v>
      </c>
      <c r="C1038">
        <v>1047726</v>
      </c>
      <c r="E1038" t="s">
        <v>35</v>
      </c>
      <c r="F1038" t="s">
        <v>3208</v>
      </c>
      <c r="G1038" t="s">
        <v>3212</v>
      </c>
      <c r="H1038">
        <v>0</v>
      </c>
      <c r="I1038" t="s">
        <v>17</v>
      </c>
      <c r="K1038" t="s">
        <v>3213</v>
      </c>
      <c r="L1038">
        <v>275</v>
      </c>
      <c r="M1038" t="s">
        <v>3214</v>
      </c>
    </row>
    <row r="1039" spans="1:13">
      <c r="A1039" t="s">
        <v>13</v>
      </c>
      <c r="B1039">
        <v>1047735</v>
      </c>
      <c r="C1039">
        <v>1049327</v>
      </c>
      <c r="E1039" t="s">
        <v>35</v>
      </c>
      <c r="F1039" t="s">
        <v>3215</v>
      </c>
      <c r="G1039" t="s">
        <v>3216</v>
      </c>
      <c r="H1039">
        <v>0</v>
      </c>
      <c r="I1039" t="s">
        <v>17</v>
      </c>
      <c r="K1039" t="s">
        <v>3217</v>
      </c>
      <c r="L1039">
        <v>530</v>
      </c>
      <c r="M1039" t="s">
        <v>3218</v>
      </c>
    </row>
    <row r="1040" spans="1:13">
      <c r="A1040" t="s">
        <v>13</v>
      </c>
      <c r="B1040">
        <v>1049327</v>
      </c>
      <c r="C1040">
        <v>1053064</v>
      </c>
      <c r="E1040" t="s">
        <v>35</v>
      </c>
      <c r="F1040" t="s">
        <v>3219</v>
      </c>
      <c r="G1040" t="s">
        <v>3220</v>
      </c>
      <c r="H1040">
        <v>0</v>
      </c>
      <c r="I1040" t="s">
        <v>17</v>
      </c>
      <c r="K1040" t="s">
        <v>3221</v>
      </c>
      <c r="L1040">
        <v>1245</v>
      </c>
      <c r="M1040" t="s">
        <v>3222</v>
      </c>
    </row>
    <row r="1041" spans="1:13">
      <c r="A1041" t="s">
        <v>13</v>
      </c>
      <c r="B1041">
        <v>1053083</v>
      </c>
      <c r="C1041">
        <v>1054408</v>
      </c>
      <c r="E1041" t="s">
        <v>35</v>
      </c>
      <c r="F1041" t="s">
        <v>3223</v>
      </c>
      <c r="G1041" t="s">
        <v>3224</v>
      </c>
      <c r="H1041">
        <v>0</v>
      </c>
      <c r="I1041" t="s">
        <v>17</v>
      </c>
      <c r="K1041" t="s">
        <v>3225</v>
      </c>
      <c r="L1041">
        <v>441</v>
      </c>
      <c r="M1041" t="s">
        <v>3226</v>
      </c>
    </row>
    <row r="1042" spans="1:13">
      <c r="A1042" t="s">
        <v>13</v>
      </c>
      <c r="B1042">
        <v>1054637</v>
      </c>
      <c r="C1042">
        <v>1055116</v>
      </c>
      <c r="E1042" t="s">
        <v>14</v>
      </c>
      <c r="F1042" t="s">
        <v>3227</v>
      </c>
      <c r="H1042">
        <v>0</v>
      </c>
      <c r="I1042" t="s">
        <v>17</v>
      </c>
      <c r="K1042" t="s">
        <v>3228</v>
      </c>
      <c r="L1042">
        <v>159</v>
      </c>
      <c r="M1042" t="s">
        <v>3229</v>
      </c>
    </row>
    <row r="1043" spans="1:13">
      <c r="A1043" t="s">
        <v>13</v>
      </c>
      <c r="B1043">
        <v>1055036</v>
      </c>
      <c r="C1043">
        <v>1055743</v>
      </c>
      <c r="E1043" t="s">
        <v>35</v>
      </c>
      <c r="F1043" t="s">
        <v>3230</v>
      </c>
      <c r="H1043">
        <v>0</v>
      </c>
      <c r="I1043" t="s">
        <v>17</v>
      </c>
      <c r="K1043" t="s">
        <v>3231</v>
      </c>
      <c r="L1043">
        <v>235</v>
      </c>
      <c r="M1043" t="s">
        <v>3232</v>
      </c>
    </row>
    <row r="1044" spans="1:13">
      <c r="A1044" t="s">
        <v>13</v>
      </c>
      <c r="B1044">
        <v>1055743</v>
      </c>
      <c r="C1044">
        <v>1056222</v>
      </c>
      <c r="E1044" t="s">
        <v>35</v>
      </c>
      <c r="F1044" t="s">
        <v>3233</v>
      </c>
      <c r="G1044" t="s">
        <v>3234</v>
      </c>
      <c r="H1044">
        <v>0</v>
      </c>
      <c r="I1044" t="s">
        <v>17</v>
      </c>
      <c r="K1044" t="s">
        <v>3235</v>
      </c>
      <c r="L1044">
        <v>159</v>
      </c>
      <c r="M1044" t="s">
        <v>3236</v>
      </c>
    </row>
    <row r="1045" spans="1:13">
      <c r="A1045" t="s">
        <v>13</v>
      </c>
      <c r="B1045">
        <v>1056238</v>
      </c>
      <c r="C1045">
        <v>1057437</v>
      </c>
      <c r="E1045" t="s">
        <v>35</v>
      </c>
      <c r="F1045" t="s">
        <v>468</v>
      </c>
      <c r="G1045" t="s">
        <v>3237</v>
      </c>
      <c r="H1045">
        <v>0</v>
      </c>
      <c r="I1045" t="s">
        <v>17</v>
      </c>
      <c r="K1045" t="s">
        <v>3238</v>
      </c>
      <c r="L1045">
        <v>399</v>
      </c>
      <c r="M1045" t="s">
        <v>3239</v>
      </c>
    </row>
    <row r="1046" spans="1:13">
      <c r="A1046" t="s">
        <v>13</v>
      </c>
      <c r="B1046">
        <v>1057449</v>
      </c>
      <c r="C1046">
        <v>1058564</v>
      </c>
      <c r="E1046" t="s">
        <v>35</v>
      </c>
      <c r="F1046" t="s">
        <v>3240</v>
      </c>
      <c r="G1046" t="s">
        <v>3241</v>
      </c>
      <c r="H1046">
        <v>0</v>
      </c>
      <c r="I1046" t="s">
        <v>17</v>
      </c>
      <c r="K1046" t="s">
        <v>3242</v>
      </c>
      <c r="L1046">
        <v>371</v>
      </c>
      <c r="M1046" t="s">
        <v>3243</v>
      </c>
    </row>
    <row r="1047" spans="1:13">
      <c r="A1047" t="s">
        <v>13</v>
      </c>
      <c r="B1047">
        <v>1058626</v>
      </c>
      <c r="C1047">
        <v>1060401</v>
      </c>
      <c r="E1047" t="s">
        <v>35</v>
      </c>
      <c r="F1047" t="s">
        <v>786</v>
      </c>
      <c r="H1047">
        <v>0</v>
      </c>
      <c r="I1047" t="s">
        <v>17</v>
      </c>
      <c r="K1047" t="s">
        <v>3244</v>
      </c>
      <c r="L1047">
        <v>591</v>
      </c>
      <c r="M1047" t="s">
        <v>3245</v>
      </c>
    </row>
    <row r="1048" spans="1:13">
      <c r="A1048" t="s">
        <v>13</v>
      </c>
      <c r="B1048">
        <v>1060632</v>
      </c>
      <c r="C1048">
        <v>1062671</v>
      </c>
      <c r="E1048" t="s">
        <v>14</v>
      </c>
      <c r="F1048" t="s">
        <v>28</v>
      </c>
      <c r="H1048">
        <v>0</v>
      </c>
      <c r="I1048" t="s">
        <v>17</v>
      </c>
      <c r="K1048" t="s">
        <v>3246</v>
      </c>
      <c r="L1048">
        <v>679</v>
      </c>
      <c r="M1048" t="s">
        <v>3247</v>
      </c>
    </row>
    <row r="1049" spans="1:13">
      <c r="A1049" t="s">
        <v>13</v>
      </c>
      <c r="B1049">
        <v>1062664</v>
      </c>
      <c r="C1049">
        <v>1063740</v>
      </c>
      <c r="E1049" t="s">
        <v>14</v>
      </c>
      <c r="F1049" t="s">
        <v>3248</v>
      </c>
      <c r="G1049" t="s">
        <v>3249</v>
      </c>
      <c r="H1049">
        <v>0</v>
      </c>
      <c r="I1049" t="s">
        <v>17</v>
      </c>
      <c r="K1049" t="s">
        <v>3250</v>
      </c>
      <c r="L1049">
        <v>358</v>
      </c>
      <c r="M1049" t="s">
        <v>3251</v>
      </c>
    </row>
    <row r="1050" spans="1:13">
      <c r="A1050" t="s">
        <v>13</v>
      </c>
      <c r="B1050">
        <v>1063750</v>
      </c>
      <c r="C1050">
        <v>1064583</v>
      </c>
      <c r="E1050" t="s">
        <v>14</v>
      </c>
      <c r="F1050" t="s">
        <v>3252</v>
      </c>
      <c r="G1050" t="s">
        <v>3253</v>
      </c>
      <c r="H1050">
        <v>0</v>
      </c>
      <c r="I1050" t="s">
        <v>17</v>
      </c>
      <c r="K1050" t="s">
        <v>3254</v>
      </c>
      <c r="L1050">
        <v>277</v>
      </c>
      <c r="M1050" t="s">
        <v>3255</v>
      </c>
    </row>
    <row r="1051" spans="1:13">
      <c r="A1051" t="s">
        <v>13</v>
      </c>
      <c r="B1051">
        <v>1064616</v>
      </c>
      <c r="C1051">
        <v>1065284</v>
      </c>
      <c r="E1051" t="s">
        <v>14</v>
      </c>
      <c r="F1051" t="s">
        <v>3256</v>
      </c>
      <c r="G1051" t="s">
        <v>3257</v>
      </c>
      <c r="H1051">
        <v>0</v>
      </c>
      <c r="I1051" t="s">
        <v>17</v>
      </c>
      <c r="K1051" t="s">
        <v>3258</v>
      </c>
      <c r="L1051">
        <v>222</v>
      </c>
      <c r="M1051" t="s">
        <v>3259</v>
      </c>
    </row>
    <row r="1052" spans="1:13">
      <c r="A1052" t="s">
        <v>13</v>
      </c>
      <c r="B1052">
        <v>1065299</v>
      </c>
      <c r="C1052">
        <v>1066474</v>
      </c>
      <c r="E1052" t="s">
        <v>14</v>
      </c>
      <c r="F1052" t="s">
        <v>3260</v>
      </c>
      <c r="G1052" t="s">
        <v>3261</v>
      </c>
      <c r="H1052">
        <v>0</v>
      </c>
      <c r="I1052" t="s">
        <v>17</v>
      </c>
      <c r="K1052" t="s">
        <v>3262</v>
      </c>
      <c r="L1052">
        <v>391</v>
      </c>
      <c r="M1052" t="s">
        <v>3263</v>
      </c>
    </row>
    <row r="1053" spans="1:13">
      <c r="A1053" t="s">
        <v>13</v>
      </c>
      <c r="B1053">
        <v>1066485</v>
      </c>
      <c r="C1053">
        <v>1066916</v>
      </c>
      <c r="E1053" t="s">
        <v>14</v>
      </c>
      <c r="F1053" t="s">
        <v>28</v>
      </c>
      <c r="H1053">
        <v>0</v>
      </c>
      <c r="I1053" t="s">
        <v>17</v>
      </c>
      <c r="K1053" t="s">
        <v>3264</v>
      </c>
      <c r="L1053">
        <v>143</v>
      </c>
      <c r="M1053" t="s">
        <v>3265</v>
      </c>
    </row>
    <row r="1054" spans="1:13">
      <c r="A1054" t="s">
        <v>13</v>
      </c>
      <c r="B1054">
        <v>1067362</v>
      </c>
      <c r="C1054">
        <v>1068162</v>
      </c>
      <c r="E1054" t="s">
        <v>14</v>
      </c>
      <c r="F1054" t="s">
        <v>3266</v>
      </c>
      <c r="G1054" t="s">
        <v>3267</v>
      </c>
      <c r="H1054">
        <v>0</v>
      </c>
      <c r="I1054" t="s">
        <v>17</v>
      </c>
      <c r="K1054" t="s">
        <v>3268</v>
      </c>
      <c r="L1054">
        <v>266</v>
      </c>
      <c r="M1054" t="s">
        <v>3269</v>
      </c>
    </row>
    <row r="1055" spans="1:13">
      <c r="A1055" t="s">
        <v>13</v>
      </c>
      <c r="B1055">
        <v>1068267</v>
      </c>
      <c r="C1055">
        <v>1068506</v>
      </c>
      <c r="E1055" t="s">
        <v>14</v>
      </c>
      <c r="F1055" t="s">
        <v>3270</v>
      </c>
      <c r="G1055" t="s">
        <v>3271</v>
      </c>
      <c r="H1055">
        <v>0</v>
      </c>
      <c r="I1055" t="s">
        <v>17</v>
      </c>
      <c r="K1055" t="s">
        <v>3272</v>
      </c>
      <c r="L1055">
        <v>79</v>
      </c>
      <c r="M1055" t="s">
        <v>3273</v>
      </c>
    </row>
    <row r="1056" spans="1:13">
      <c r="A1056" t="s">
        <v>13</v>
      </c>
      <c r="B1056">
        <v>1068550</v>
      </c>
      <c r="C1056">
        <v>1069119</v>
      </c>
      <c r="E1056" t="s">
        <v>14</v>
      </c>
      <c r="F1056" t="s">
        <v>3274</v>
      </c>
      <c r="G1056" t="s">
        <v>3275</v>
      </c>
      <c r="H1056">
        <v>0</v>
      </c>
      <c r="I1056" t="s">
        <v>17</v>
      </c>
      <c r="K1056" t="s">
        <v>3276</v>
      </c>
      <c r="L1056">
        <v>189</v>
      </c>
      <c r="M1056" t="s">
        <v>3277</v>
      </c>
    </row>
    <row r="1057" spans="1:13">
      <c r="A1057" t="s">
        <v>13</v>
      </c>
      <c r="B1057">
        <v>1069126</v>
      </c>
      <c r="C1057">
        <v>1069941</v>
      </c>
      <c r="E1057" t="s">
        <v>14</v>
      </c>
      <c r="F1057" t="s">
        <v>3278</v>
      </c>
      <c r="G1057" t="s">
        <v>3279</v>
      </c>
      <c r="H1057">
        <v>0</v>
      </c>
      <c r="I1057" t="s">
        <v>17</v>
      </c>
      <c r="K1057" t="s">
        <v>3280</v>
      </c>
      <c r="L1057">
        <v>271</v>
      </c>
      <c r="M1057" t="s">
        <v>3281</v>
      </c>
    </row>
    <row r="1058" spans="1:13">
      <c r="A1058" t="s">
        <v>13</v>
      </c>
      <c r="B1058">
        <v>1070002</v>
      </c>
      <c r="C1058">
        <v>1071642</v>
      </c>
      <c r="E1058" t="s">
        <v>14</v>
      </c>
      <c r="F1058" t="s">
        <v>3282</v>
      </c>
      <c r="G1058" t="s">
        <v>3283</v>
      </c>
      <c r="H1058">
        <v>0</v>
      </c>
      <c r="I1058" t="s">
        <v>17</v>
      </c>
      <c r="K1058" t="s">
        <v>3284</v>
      </c>
      <c r="L1058">
        <v>546</v>
      </c>
      <c r="M1058" t="s">
        <v>3285</v>
      </c>
    </row>
    <row r="1059" spans="1:13">
      <c r="A1059" t="s">
        <v>13</v>
      </c>
      <c r="B1059">
        <v>1071693</v>
      </c>
      <c r="C1059">
        <v>1072682</v>
      </c>
      <c r="E1059" t="s">
        <v>14</v>
      </c>
      <c r="F1059" t="s">
        <v>3286</v>
      </c>
      <c r="G1059" t="s">
        <v>3287</v>
      </c>
      <c r="H1059">
        <v>0</v>
      </c>
      <c r="I1059" t="s">
        <v>17</v>
      </c>
      <c r="K1059" t="s">
        <v>3288</v>
      </c>
      <c r="L1059">
        <v>329</v>
      </c>
      <c r="M1059" t="s">
        <v>3289</v>
      </c>
    </row>
    <row r="1060" spans="1:13">
      <c r="A1060" t="s">
        <v>13</v>
      </c>
      <c r="B1060">
        <v>1072686</v>
      </c>
      <c r="C1060">
        <v>1074131</v>
      </c>
      <c r="E1060" t="s">
        <v>14</v>
      </c>
      <c r="F1060" t="s">
        <v>3290</v>
      </c>
      <c r="G1060" t="s">
        <v>3291</v>
      </c>
      <c r="H1060">
        <v>0</v>
      </c>
      <c r="I1060" t="s">
        <v>17</v>
      </c>
      <c r="K1060" t="s">
        <v>3292</v>
      </c>
      <c r="L1060">
        <v>481</v>
      </c>
      <c r="M1060" t="s">
        <v>3293</v>
      </c>
    </row>
    <row r="1061" spans="1:13">
      <c r="A1061" t="s">
        <v>13</v>
      </c>
      <c r="B1061">
        <v>1074142</v>
      </c>
      <c r="C1061">
        <v>1074516</v>
      </c>
      <c r="E1061" t="s">
        <v>14</v>
      </c>
      <c r="F1061" t="s">
        <v>3294</v>
      </c>
      <c r="G1061" t="s">
        <v>3295</v>
      </c>
      <c r="H1061">
        <v>0</v>
      </c>
      <c r="I1061" t="s">
        <v>17</v>
      </c>
      <c r="K1061" t="s">
        <v>3296</v>
      </c>
      <c r="L1061">
        <v>124</v>
      </c>
      <c r="M1061" t="s">
        <v>3297</v>
      </c>
    </row>
    <row r="1062" spans="1:13">
      <c r="A1062" t="s">
        <v>13</v>
      </c>
      <c r="B1062">
        <v>1074691</v>
      </c>
      <c r="C1062">
        <v>1075179</v>
      </c>
      <c r="E1062" t="s">
        <v>14</v>
      </c>
      <c r="F1062" t="s">
        <v>28</v>
      </c>
      <c r="H1062">
        <v>0</v>
      </c>
      <c r="I1062" t="s">
        <v>17</v>
      </c>
      <c r="K1062" t="s">
        <v>3298</v>
      </c>
      <c r="L1062">
        <v>162</v>
      </c>
      <c r="M1062" t="s">
        <v>3299</v>
      </c>
    </row>
    <row r="1063" spans="1:13">
      <c r="A1063" t="s">
        <v>13</v>
      </c>
      <c r="B1063">
        <v>1075201</v>
      </c>
      <c r="C1063">
        <v>1075893</v>
      </c>
      <c r="E1063" t="s">
        <v>14</v>
      </c>
      <c r="F1063" t="s">
        <v>28</v>
      </c>
      <c r="H1063">
        <v>0</v>
      </c>
      <c r="I1063" t="s">
        <v>17</v>
      </c>
      <c r="K1063" t="s">
        <v>3300</v>
      </c>
      <c r="L1063">
        <v>230</v>
      </c>
      <c r="M1063" t="s">
        <v>3301</v>
      </c>
    </row>
    <row r="1064" spans="1:13">
      <c r="A1064" t="s">
        <v>13</v>
      </c>
      <c r="B1064">
        <v>1076134</v>
      </c>
      <c r="C1064">
        <v>1076496</v>
      </c>
      <c r="E1064" t="s">
        <v>14</v>
      </c>
      <c r="F1064" t="s">
        <v>28</v>
      </c>
      <c r="H1064">
        <v>0</v>
      </c>
      <c r="I1064" t="s">
        <v>17</v>
      </c>
      <c r="K1064" t="s">
        <v>3302</v>
      </c>
      <c r="L1064">
        <v>120</v>
      </c>
      <c r="M1064" t="s">
        <v>3303</v>
      </c>
    </row>
    <row r="1065" spans="1:13">
      <c r="A1065" t="s">
        <v>13</v>
      </c>
      <c r="B1065">
        <v>1076496</v>
      </c>
      <c r="C1065">
        <v>1077413</v>
      </c>
      <c r="E1065" t="s">
        <v>14</v>
      </c>
      <c r="F1065" t="s">
        <v>3304</v>
      </c>
      <c r="G1065" t="s">
        <v>3305</v>
      </c>
      <c r="H1065">
        <v>0</v>
      </c>
      <c r="I1065" t="s">
        <v>17</v>
      </c>
      <c r="K1065" t="s">
        <v>3306</v>
      </c>
      <c r="L1065">
        <v>305</v>
      </c>
      <c r="M1065" t="s">
        <v>3307</v>
      </c>
    </row>
    <row r="1066" spans="1:13">
      <c r="A1066" t="s">
        <v>13</v>
      </c>
      <c r="B1066">
        <v>1077464</v>
      </c>
      <c r="C1066">
        <v>1078282</v>
      </c>
      <c r="E1066" t="s">
        <v>14</v>
      </c>
      <c r="F1066" t="s">
        <v>3308</v>
      </c>
      <c r="G1066" t="s">
        <v>3309</v>
      </c>
      <c r="H1066">
        <v>0</v>
      </c>
      <c r="I1066" t="s">
        <v>17</v>
      </c>
      <c r="K1066" t="s">
        <v>3310</v>
      </c>
      <c r="L1066">
        <v>272</v>
      </c>
      <c r="M1066" t="s">
        <v>3311</v>
      </c>
    </row>
    <row r="1067" spans="1:13">
      <c r="A1067" t="s">
        <v>13</v>
      </c>
      <c r="B1067">
        <v>1078282</v>
      </c>
      <c r="C1067">
        <v>1079109</v>
      </c>
      <c r="E1067" t="s">
        <v>14</v>
      </c>
      <c r="F1067" t="s">
        <v>3312</v>
      </c>
      <c r="H1067">
        <v>0</v>
      </c>
      <c r="I1067" t="s">
        <v>17</v>
      </c>
      <c r="K1067" t="s">
        <v>3313</v>
      </c>
      <c r="L1067">
        <v>275</v>
      </c>
      <c r="M1067" t="s">
        <v>3314</v>
      </c>
    </row>
    <row r="1068" spans="1:13">
      <c r="A1068" t="s">
        <v>13</v>
      </c>
      <c r="B1068">
        <v>1079106</v>
      </c>
      <c r="C1068">
        <v>1080239</v>
      </c>
      <c r="E1068" t="s">
        <v>14</v>
      </c>
      <c r="F1068" t="s">
        <v>28</v>
      </c>
      <c r="H1068">
        <v>0</v>
      </c>
      <c r="I1068" t="s">
        <v>17</v>
      </c>
      <c r="K1068" t="s">
        <v>3315</v>
      </c>
      <c r="L1068">
        <v>377</v>
      </c>
      <c r="M1068" t="s">
        <v>3316</v>
      </c>
    </row>
    <row r="1069" spans="1:13">
      <c r="A1069" t="s">
        <v>13</v>
      </c>
      <c r="B1069">
        <v>1080266</v>
      </c>
      <c r="C1069">
        <v>1081048</v>
      </c>
      <c r="E1069" t="s">
        <v>14</v>
      </c>
      <c r="F1069" t="s">
        <v>3317</v>
      </c>
      <c r="G1069" t="s">
        <v>3318</v>
      </c>
      <c r="H1069">
        <v>0</v>
      </c>
      <c r="I1069" t="s">
        <v>17</v>
      </c>
      <c r="K1069" t="s">
        <v>3319</v>
      </c>
      <c r="L1069">
        <v>260</v>
      </c>
      <c r="M1069" t="s">
        <v>3320</v>
      </c>
    </row>
    <row r="1070" spans="1:13">
      <c r="A1070" t="s">
        <v>13</v>
      </c>
      <c r="B1070">
        <v>1081057</v>
      </c>
      <c r="C1070">
        <v>1081998</v>
      </c>
      <c r="E1070" t="s">
        <v>14</v>
      </c>
      <c r="F1070" t="s">
        <v>3321</v>
      </c>
      <c r="G1070" t="s">
        <v>3322</v>
      </c>
      <c r="H1070">
        <v>0</v>
      </c>
      <c r="I1070" t="s">
        <v>17</v>
      </c>
      <c r="K1070" t="s">
        <v>3323</v>
      </c>
      <c r="L1070">
        <v>313</v>
      </c>
      <c r="M1070" t="s">
        <v>3324</v>
      </c>
    </row>
    <row r="1071" spans="1:13">
      <c r="A1071" t="s">
        <v>13</v>
      </c>
      <c r="B1071">
        <v>1081998</v>
      </c>
      <c r="C1071">
        <v>1083113</v>
      </c>
      <c r="E1071" t="s">
        <v>14</v>
      </c>
      <c r="F1071" t="s">
        <v>3325</v>
      </c>
      <c r="G1071" t="s">
        <v>3326</v>
      </c>
      <c r="H1071">
        <v>0</v>
      </c>
      <c r="I1071" t="s">
        <v>17</v>
      </c>
      <c r="K1071" t="s">
        <v>3327</v>
      </c>
      <c r="L1071">
        <v>371</v>
      </c>
      <c r="M1071" t="s">
        <v>3328</v>
      </c>
    </row>
    <row r="1072" spans="1:13">
      <c r="A1072" t="s">
        <v>13</v>
      </c>
      <c r="B1072">
        <v>1083110</v>
      </c>
      <c r="C1072">
        <v>1084287</v>
      </c>
      <c r="E1072" t="s">
        <v>35</v>
      </c>
      <c r="F1072" t="s">
        <v>290</v>
      </c>
      <c r="H1072">
        <v>0</v>
      </c>
      <c r="I1072" t="s">
        <v>292</v>
      </c>
      <c r="M1072" t="s">
        <v>3329</v>
      </c>
    </row>
    <row r="1073" spans="1:13">
      <c r="A1073" t="s">
        <v>13</v>
      </c>
      <c r="B1073">
        <v>1084473</v>
      </c>
      <c r="C1073">
        <v>1085657</v>
      </c>
      <c r="E1073" t="s">
        <v>14</v>
      </c>
      <c r="F1073" t="s">
        <v>3330</v>
      </c>
      <c r="G1073" t="s">
        <v>3331</v>
      </c>
      <c r="H1073">
        <v>0</v>
      </c>
      <c r="I1073" t="s">
        <v>17</v>
      </c>
      <c r="K1073" t="s">
        <v>3332</v>
      </c>
      <c r="L1073">
        <v>394</v>
      </c>
      <c r="M1073" t="s">
        <v>3333</v>
      </c>
    </row>
    <row r="1074" spans="1:13">
      <c r="A1074" t="s">
        <v>13</v>
      </c>
      <c r="B1074">
        <v>1085638</v>
      </c>
      <c r="C1074">
        <v>1086474</v>
      </c>
      <c r="E1074" t="s">
        <v>35</v>
      </c>
      <c r="F1074" t="s">
        <v>3334</v>
      </c>
      <c r="H1074">
        <v>0</v>
      </c>
      <c r="I1074" t="s">
        <v>17</v>
      </c>
      <c r="K1074" t="s">
        <v>3335</v>
      </c>
      <c r="L1074">
        <v>278</v>
      </c>
      <c r="M1074" t="s">
        <v>3336</v>
      </c>
    </row>
    <row r="1075" spans="1:13">
      <c r="A1075" t="s">
        <v>13</v>
      </c>
      <c r="B1075">
        <v>1086571</v>
      </c>
      <c r="C1075">
        <v>1087656</v>
      </c>
      <c r="E1075" t="s">
        <v>14</v>
      </c>
      <c r="F1075" t="s">
        <v>3337</v>
      </c>
      <c r="G1075" t="s">
        <v>3338</v>
      </c>
      <c r="H1075">
        <v>0</v>
      </c>
      <c r="I1075" t="s">
        <v>17</v>
      </c>
      <c r="K1075" t="s">
        <v>3339</v>
      </c>
      <c r="L1075">
        <v>361</v>
      </c>
      <c r="M1075" t="s">
        <v>3340</v>
      </c>
    </row>
    <row r="1076" spans="1:13">
      <c r="A1076" t="s">
        <v>13</v>
      </c>
      <c r="B1076">
        <v>1087657</v>
      </c>
      <c r="C1076">
        <v>1088577</v>
      </c>
      <c r="E1076" t="s">
        <v>14</v>
      </c>
      <c r="F1076" t="s">
        <v>28</v>
      </c>
      <c r="H1076">
        <v>0</v>
      </c>
      <c r="I1076" t="s">
        <v>17</v>
      </c>
      <c r="K1076" t="s">
        <v>3341</v>
      </c>
      <c r="L1076">
        <v>306</v>
      </c>
      <c r="M1076" t="s">
        <v>3342</v>
      </c>
    </row>
    <row r="1077" spans="1:13">
      <c r="A1077" t="s">
        <v>13</v>
      </c>
      <c r="B1077">
        <v>1088574</v>
      </c>
      <c r="C1077">
        <v>1089713</v>
      </c>
      <c r="E1077" t="s">
        <v>35</v>
      </c>
      <c r="F1077" t="s">
        <v>28</v>
      </c>
      <c r="H1077">
        <v>0</v>
      </c>
      <c r="I1077" t="s">
        <v>17</v>
      </c>
      <c r="K1077" t="s">
        <v>3343</v>
      </c>
      <c r="L1077">
        <v>379</v>
      </c>
      <c r="M1077" t="s">
        <v>3344</v>
      </c>
    </row>
    <row r="1078" spans="1:13">
      <c r="A1078" t="s">
        <v>13</v>
      </c>
      <c r="B1078">
        <v>1089809</v>
      </c>
      <c r="C1078">
        <v>1090069</v>
      </c>
      <c r="E1078" t="s">
        <v>35</v>
      </c>
      <c r="F1078" t="s">
        <v>28</v>
      </c>
      <c r="H1078">
        <v>0</v>
      </c>
      <c r="I1078" t="s">
        <v>17</v>
      </c>
      <c r="K1078" t="s">
        <v>3345</v>
      </c>
      <c r="L1078">
        <v>86</v>
      </c>
      <c r="M1078" t="s">
        <v>3346</v>
      </c>
    </row>
    <row r="1079" spans="1:13">
      <c r="A1079" t="s">
        <v>13</v>
      </c>
      <c r="B1079">
        <v>1090079</v>
      </c>
      <c r="C1079">
        <v>1091068</v>
      </c>
      <c r="E1079" t="s">
        <v>35</v>
      </c>
      <c r="F1079" t="s">
        <v>3347</v>
      </c>
      <c r="G1079" t="s">
        <v>3348</v>
      </c>
      <c r="H1079">
        <v>0</v>
      </c>
      <c r="I1079" t="s">
        <v>17</v>
      </c>
      <c r="K1079" t="s">
        <v>3349</v>
      </c>
      <c r="L1079">
        <v>329</v>
      </c>
      <c r="M1079" t="s">
        <v>3350</v>
      </c>
    </row>
    <row r="1080" spans="1:13">
      <c r="A1080" t="s">
        <v>13</v>
      </c>
      <c r="B1080">
        <v>1091068</v>
      </c>
      <c r="C1080">
        <v>1091565</v>
      </c>
      <c r="E1080" t="s">
        <v>35</v>
      </c>
      <c r="F1080" t="s">
        <v>924</v>
      </c>
      <c r="H1080">
        <v>0</v>
      </c>
      <c r="I1080" t="s">
        <v>17</v>
      </c>
      <c r="K1080" t="s">
        <v>3351</v>
      </c>
      <c r="L1080">
        <v>165</v>
      </c>
      <c r="M1080" t="s">
        <v>3352</v>
      </c>
    </row>
    <row r="1081" spans="1:13">
      <c r="A1081" t="s">
        <v>13</v>
      </c>
      <c r="B1081">
        <v>1091606</v>
      </c>
      <c r="C1081">
        <v>1092277</v>
      </c>
      <c r="E1081" t="s">
        <v>35</v>
      </c>
      <c r="F1081" t="s">
        <v>3353</v>
      </c>
      <c r="G1081" t="s">
        <v>3354</v>
      </c>
      <c r="H1081">
        <v>0</v>
      </c>
      <c r="I1081" t="s">
        <v>17</v>
      </c>
      <c r="K1081" t="s">
        <v>3355</v>
      </c>
      <c r="L1081">
        <v>223</v>
      </c>
      <c r="M1081" t="s">
        <v>3356</v>
      </c>
    </row>
    <row r="1082" spans="1:13">
      <c r="A1082" t="s">
        <v>13</v>
      </c>
      <c r="B1082">
        <v>1092332</v>
      </c>
      <c r="C1082">
        <v>1094392</v>
      </c>
      <c r="E1082" t="s">
        <v>14</v>
      </c>
      <c r="F1082" t="s">
        <v>3357</v>
      </c>
      <c r="G1082" t="s">
        <v>3358</v>
      </c>
      <c r="H1082">
        <v>0</v>
      </c>
      <c r="I1082" t="s">
        <v>17</v>
      </c>
      <c r="K1082" t="s">
        <v>3359</v>
      </c>
      <c r="L1082">
        <v>686</v>
      </c>
      <c r="M1082" t="s">
        <v>3360</v>
      </c>
    </row>
    <row r="1083" spans="1:13">
      <c r="A1083" t="s">
        <v>13</v>
      </c>
      <c r="B1083">
        <v>1094409</v>
      </c>
      <c r="C1083">
        <v>1095071</v>
      </c>
      <c r="E1083" t="s">
        <v>35</v>
      </c>
      <c r="F1083" t="s">
        <v>28</v>
      </c>
      <c r="H1083">
        <v>0</v>
      </c>
      <c r="I1083" t="s">
        <v>17</v>
      </c>
      <c r="K1083" t="s">
        <v>3361</v>
      </c>
      <c r="L1083">
        <v>220</v>
      </c>
      <c r="M1083" t="s">
        <v>3362</v>
      </c>
    </row>
    <row r="1084" spans="1:13">
      <c r="A1084" t="s">
        <v>13</v>
      </c>
      <c r="B1084">
        <v>1095271</v>
      </c>
      <c r="C1084">
        <v>1095567</v>
      </c>
      <c r="E1084" t="s">
        <v>14</v>
      </c>
      <c r="F1084" t="s">
        <v>3363</v>
      </c>
      <c r="G1084" t="s">
        <v>3364</v>
      </c>
      <c r="H1084">
        <v>0</v>
      </c>
      <c r="I1084" t="s">
        <v>17</v>
      </c>
      <c r="K1084" t="s">
        <v>3365</v>
      </c>
      <c r="L1084">
        <v>98</v>
      </c>
      <c r="M1084" t="s">
        <v>3366</v>
      </c>
    </row>
    <row r="1085" spans="1:13">
      <c r="A1085" t="s">
        <v>13</v>
      </c>
      <c r="B1085">
        <v>1095568</v>
      </c>
      <c r="C1085">
        <v>1097055</v>
      </c>
      <c r="E1085" t="s">
        <v>14</v>
      </c>
      <c r="F1085" t="s">
        <v>2015</v>
      </c>
      <c r="G1085" t="s">
        <v>3367</v>
      </c>
      <c r="H1085">
        <v>0</v>
      </c>
      <c r="I1085" t="s">
        <v>17</v>
      </c>
      <c r="K1085" t="s">
        <v>3368</v>
      </c>
      <c r="L1085">
        <v>495</v>
      </c>
      <c r="M1085" t="s">
        <v>3369</v>
      </c>
    </row>
    <row r="1086" spans="1:13">
      <c r="A1086" t="s">
        <v>13</v>
      </c>
      <c r="B1086">
        <v>1097160</v>
      </c>
      <c r="C1086">
        <v>1097693</v>
      </c>
      <c r="E1086" t="s">
        <v>14</v>
      </c>
      <c r="F1086" t="s">
        <v>3370</v>
      </c>
      <c r="H1086">
        <v>0</v>
      </c>
      <c r="I1086" t="s">
        <v>17</v>
      </c>
      <c r="K1086" t="s">
        <v>3371</v>
      </c>
      <c r="L1086">
        <v>177</v>
      </c>
      <c r="M1086" t="s">
        <v>3372</v>
      </c>
    </row>
    <row r="1087" spans="1:13">
      <c r="A1087" t="s">
        <v>13</v>
      </c>
      <c r="B1087">
        <v>1097771</v>
      </c>
      <c r="C1087">
        <v>1098094</v>
      </c>
      <c r="E1087" t="s">
        <v>35</v>
      </c>
      <c r="F1087" t="s">
        <v>28</v>
      </c>
      <c r="H1087">
        <v>0</v>
      </c>
      <c r="I1087" t="s">
        <v>17</v>
      </c>
      <c r="K1087" t="s">
        <v>3373</v>
      </c>
      <c r="L1087">
        <v>107</v>
      </c>
      <c r="M1087" t="s">
        <v>3374</v>
      </c>
    </row>
    <row r="1088" spans="1:13">
      <c r="A1088" t="s">
        <v>13</v>
      </c>
      <c r="B1088">
        <v>1098118</v>
      </c>
      <c r="C1088">
        <v>1099518</v>
      </c>
      <c r="E1088" t="s">
        <v>14</v>
      </c>
      <c r="F1088" t="s">
        <v>3375</v>
      </c>
      <c r="G1088" t="s">
        <v>3376</v>
      </c>
      <c r="H1088">
        <v>0</v>
      </c>
      <c r="I1088" t="s">
        <v>17</v>
      </c>
      <c r="K1088" t="s">
        <v>3377</v>
      </c>
      <c r="L1088">
        <v>466</v>
      </c>
      <c r="M1088" t="s">
        <v>3378</v>
      </c>
    </row>
    <row r="1089" spans="1:13">
      <c r="A1089" t="s">
        <v>13</v>
      </c>
      <c r="B1089">
        <v>1099543</v>
      </c>
      <c r="C1089">
        <v>1100574</v>
      </c>
      <c r="E1089" t="s">
        <v>14</v>
      </c>
      <c r="F1089" t="s">
        <v>3379</v>
      </c>
      <c r="G1089" t="s">
        <v>3380</v>
      </c>
      <c r="H1089">
        <v>0</v>
      </c>
      <c r="I1089" t="s">
        <v>17</v>
      </c>
      <c r="K1089" t="s">
        <v>3381</v>
      </c>
      <c r="L1089">
        <v>343</v>
      </c>
      <c r="M1089" t="s">
        <v>3382</v>
      </c>
    </row>
    <row r="1090" spans="1:13">
      <c r="A1090" t="s">
        <v>13</v>
      </c>
      <c r="B1090">
        <v>1100647</v>
      </c>
      <c r="C1090">
        <v>1101612</v>
      </c>
      <c r="E1090" t="s">
        <v>14</v>
      </c>
      <c r="F1090" t="s">
        <v>3383</v>
      </c>
      <c r="H1090">
        <v>0</v>
      </c>
      <c r="I1090" t="s">
        <v>17</v>
      </c>
      <c r="K1090" t="s">
        <v>3384</v>
      </c>
      <c r="L1090">
        <v>321</v>
      </c>
      <c r="M1090" t="s">
        <v>3385</v>
      </c>
    </row>
    <row r="1091" spans="1:13">
      <c r="A1091" t="s">
        <v>13</v>
      </c>
      <c r="B1091">
        <v>1101609</v>
      </c>
      <c r="C1091">
        <v>1102394</v>
      </c>
      <c r="E1091" t="s">
        <v>35</v>
      </c>
      <c r="F1091" t="s">
        <v>28</v>
      </c>
      <c r="H1091">
        <v>0</v>
      </c>
      <c r="I1091" t="s">
        <v>17</v>
      </c>
      <c r="K1091" t="s">
        <v>3386</v>
      </c>
      <c r="L1091">
        <v>261</v>
      </c>
      <c r="M1091" t="s">
        <v>3387</v>
      </c>
    </row>
    <row r="1092" spans="1:13">
      <c r="A1092" t="s">
        <v>13</v>
      </c>
      <c r="B1092">
        <v>1102443</v>
      </c>
      <c r="C1092">
        <v>1103957</v>
      </c>
      <c r="E1092" t="s">
        <v>14</v>
      </c>
      <c r="F1092" t="s">
        <v>3388</v>
      </c>
      <c r="G1092" t="s">
        <v>3389</v>
      </c>
      <c r="H1092">
        <v>0</v>
      </c>
      <c r="I1092" t="s">
        <v>17</v>
      </c>
      <c r="K1092" t="s">
        <v>3390</v>
      </c>
      <c r="L1092">
        <v>504</v>
      </c>
      <c r="M1092" t="s">
        <v>3391</v>
      </c>
    </row>
    <row r="1093" spans="1:13">
      <c r="A1093" t="s">
        <v>13</v>
      </c>
      <c r="B1093">
        <v>1104084</v>
      </c>
      <c r="C1093">
        <v>1105136</v>
      </c>
      <c r="E1093" t="s">
        <v>14</v>
      </c>
      <c r="F1093" t="s">
        <v>3392</v>
      </c>
      <c r="G1093" t="s">
        <v>3393</v>
      </c>
      <c r="H1093">
        <v>0</v>
      </c>
      <c r="I1093" t="s">
        <v>17</v>
      </c>
      <c r="K1093" t="s">
        <v>3394</v>
      </c>
      <c r="L1093">
        <v>350</v>
      </c>
      <c r="M1093" t="s">
        <v>3395</v>
      </c>
    </row>
    <row r="1094" spans="1:13">
      <c r="A1094" t="s">
        <v>13</v>
      </c>
      <c r="B1094">
        <v>1105338</v>
      </c>
      <c r="C1094">
        <v>1106768</v>
      </c>
      <c r="E1094" t="s">
        <v>14</v>
      </c>
      <c r="F1094" t="s">
        <v>28</v>
      </c>
      <c r="H1094">
        <v>0</v>
      </c>
      <c r="I1094" t="s">
        <v>17</v>
      </c>
      <c r="K1094" t="s">
        <v>3396</v>
      </c>
      <c r="L1094">
        <v>476</v>
      </c>
      <c r="M1094" t="s">
        <v>3397</v>
      </c>
    </row>
    <row r="1095" spans="1:13">
      <c r="A1095" t="s">
        <v>13</v>
      </c>
      <c r="B1095">
        <v>1106885</v>
      </c>
      <c r="C1095">
        <v>1107610</v>
      </c>
      <c r="E1095" t="s">
        <v>35</v>
      </c>
      <c r="F1095" t="s">
        <v>3398</v>
      </c>
      <c r="G1095" t="s">
        <v>3399</v>
      </c>
      <c r="H1095">
        <v>0</v>
      </c>
      <c r="I1095" t="s">
        <v>17</v>
      </c>
      <c r="K1095" t="s">
        <v>3400</v>
      </c>
      <c r="L1095">
        <v>241</v>
      </c>
      <c r="M1095" t="s">
        <v>3401</v>
      </c>
    </row>
    <row r="1096" spans="1:13">
      <c r="A1096" t="s">
        <v>13</v>
      </c>
      <c r="B1096">
        <v>1107680</v>
      </c>
      <c r="C1096">
        <v>1108552</v>
      </c>
      <c r="E1096" t="s">
        <v>14</v>
      </c>
      <c r="F1096" t="s">
        <v>2450</v>
      </c>
      <c r="H1096">
        <v>0</v>
      </c>
      <c r="I1096" t="s">
        <v>17</v>
      </c>
      <c r="K1096" t="s">
        <v>3402</v>
      </c>
      <c r="L1096">
        <v>290</v>
      </c>
      <c r="M1096" t="s">
        <v>3403</v>
      </c>
    </row>
    <row r="1097" spans="1:13">
      <c r="A1097" t="s">
        <v>13</v>
      </c>
      <c r="B1097">
        <v>1108521</v>
      </c>
      <c r="C1097">
        <v>1109618</v>
      </c>
      <c r="E1097" t="s">
        <v>35</v>
      </c>
      <c r="F1097" t="s">
        <v>3404</v>
      </c>
      <c r="G1097" t="s">
        <v>3405</v>
      </c>
      <c r="H1097">
        <v>0</v>
      </c>
      <c r="I1097" t="s">
        <v>17</v>
      </c>
      <c r="K1097" t="s">
        <v>3406</v>
      </c>
      <c r="L1097">
        <v>365</v>
      </c>
      <c r="M1097" t="s">
        <v>3407</v>
      </c>
    </row>
    <row r="1098" spans="1:13">
      <c r="A1098" t="s">
        <v>13</v>
      </c>
      <c r="B1098">
        <v>1109814</v>
      </c>
      <c r="C1098">
        <v>1110704</v>
      </c>
      <c r="E1098" t="s">
        <v>14</v>
      </c>
      <c r="F1098" t="s">
        <v>3408</v>
      </c>
      <c r="H1098">
        <v>0</v>
      </c>
      <c r="I1098" t="s">
        <v>17</v>
      </c>
      <c r="K1098" t="s">
        <v>3409</v>
      </c>
      <c r="L1098">
        <v>296</v>
      </c>
      <c r="M1098" t="s">
        <v>3410</v>
      </c>
    </row>
    <row r="1099" spans="1:13">
      <c r="A1099" t="s">
        <v>13</v>
      </c>
      <c r="B1099">
        <v>1110945</v>
      </c>
      <c r="C1099">
        <v>1111307</v>
      </c>
      <c r="E1099" t="s">
        <v>14</v>
      </c>
      <c r="F1099" t="s">
        <v>28</v>
      </c>
      <c r="H1099">
        <v>0</v>
      </c>
      <c r="I1099" t="s">
        <v>17</v>
      </c>
      <c r="K1099" t="s">
        <v>3411</v>
      </c>
      <c r="L1099">
        <v>120</v>
      </c>
      <c r="M1099" t="s">
        <v>3412</v>
      </c>
    </row>
    <row r="1100" spans="1:13">
      <c r="A1100" t="s">
        <v>13</v>
      </c>
      <c r="B1100">
        <v>1111297</v>
      </c>
      <c r="C1100">
        <v>1111614</v>
      </c>
      <c r="E1100" t="s">
        <v>14</v>
      </c>
      <c r="F1100" t="s">
        <v>28</v>
      </c>
      <c r="H1100">
        <v>0</v>
      </c>
      <c r="I1100" t="s">
        <v>17</v>
      </c>
      <c r="K1100" t="s">
        <v>3413</v>
      </c>
      <c r="L1100">
        <v>105</v>
      </c>
      <c r="M1100" t="s">
        <v>3414</v>
      </c>
    </row>
    <row r="1101" spans="1:13">
      <c r="A1101" t="s">
        <v>13</v>
      </c>
      <c r="B1101">
        <v>1111589</v>
      </c>
      <c r="C1101">
        <v>1112860</v>
      </c>
      <c r="E1101" t="s">
        <v>35</v>
      </c>
      <c r="F1101" t="s">
        <v>3415</v>
      </c>
      <c r="H1101">
        <v>0</v>
      </c>
      <c r="I1101" t="s">
        <v>17</v>
      </c>
      <c r="K1101" t="s">
        <v>3416</v>
      </c>
      <c r="L1101">
        <v>423</v>
      </c>
      <c r="M1101" t="s">
        <v>3417</v>
      </c>
    </row>
    <row r="1102" spans="1:13">
      <c r="A1102" t="s">
        <v>13</v>
      </c>
      <c r="B1102">
        <v>1112939</v>
      </c>
      <c r="C1102">
        <v>1114792</v>
      </c>
      <c r="E1102" t="s">
        <v>35</v>
      </c>
      <c r="F1102" t="s">
        <v>3418</v>
      </c>
      <c r="G1102" t="s">
        <v>3419</v>
      </c>
      <c r="H1102">
        <v>0</v>
      </c>
      <c r="I1102" t="s">
        <v>17</v>
      </c>
      <c r="K1102" t="s">
        <v>3420</v>
      </c>
      <c r="L1102">
        <v>617</v>
      </c>
      <c r="M1102" t="s">
        <v>3421</v>
      </c>
    </row>
    <row r="1103" spans="1:13">
      <c r="A1103" t="s">
        <v>13</v>
      </c>
      <c r="B1103">
        <v>1114849</v>
      </c>
      <c r="C1103">
        <v>1115391</v>
      </c>
      <c r="E1103" t="s">
        <v>35</v>
      </c>
      <c r="F1103" t="s">
        <v>3422</v>
      </c>
      <c r="G1103" t="s">
        <v>3423</v>
      </c>
      <c r="H1103">
        <v>0</v>
      </c>
      <c r="I1103" t="s">
        <v>17</v>
      </c>
      <c r="K1103" t="s">
        <v>3424</v>
      </c>
      <c r="L1103">
        <v>180</v>
      </c>
      <c r="M1103" t="s">
        <v>3425</v>
      </c>
    </row>
    <row r="1104" spans="1:13">
      <c r="A1104" t="s">
        <v>13</v>
      </c>
      <c r="B1104">
        <v>1115697</v>
      </c>
      <c r="C1104">
        <v>1117547</v>
      </c>
      <c r="E1104" t="s">
        <v>14</v>
      </c>
      <c r="F1104" t="s">
        <v>3426</v>
      </c>
      <c r="G1104" t="s">
        <v>3427</v>
      </c>
      <c r="H1104">
        <v>0</v>
      </c>
      <c r="I1104" t="s">
        <v>17</v>
      </c>
      <c r="K1104" t="s">
        <v>3428</v>
      </c>
      <c r="L1104">
        <v>616</v>
      </c>
      <c r="M1104" t="s">
        <v>3429</v>
      </c>
    </row>
    <row r="1105" spans="1:13">
      <c r="A1105" t="s">
        <v>13</v>
      </c>
      <c r="B1105">
        <v>1117551</v>
      </c>
      <c r="C1105">
        <v>1118066</v>
      </c>
      <c r="E1105" t="s">
        <v>14</v>
      </c>
      <c r="F1105" t="s">
        <v>3430</v>
      </c>
      <c r="G1105" t="s">
        <v>3431</v>
      </c>
      <c r="H1105">
        <v>0</v>
      </c>
      <c r="I1105" t="s">
        <v>17</v>
      </c>
      <c r="K1105" t="s">
        <v>3432</v>
      </c>
      <c r="L1105">
        <v>171</v>
      </c>
      <c r="M1105" t="s">
        <v>3433</v>
      </c>
    </row>
    <row r="1106" spans="1:13">
      <c r="A1106" t="s">
        <v>13</v>
      </c>
      <c r="B1106">
        <v>1118169</v>
      </c>
      <c r="C1106">
        <v>1119182</v>
      </c>
      <c r="E1106" t="s">
        <v>14</v>
      </c>
      <c r="F1106" t="s">
        <v>3434</v>
      </c>
      <c r="G1106" t="s">
        <v>3435</v>
      </c>
      <c r="H1106">
        <v>0</v>
      </c>
      <c r="I1106" t="s">
        <v>17</v>
      </c>
      <c r="K1106" t="s">
        <v>3436</v>
      </c>
      <c r="L1106">
        <v>337</v>
      </c>
      <c r="M1106" t="s">
        <v>3437</v>
      </c>
    </row>
    <row r="1107" spans="1:13">
      <c r="A1107" t="s">
        <v>13</v>
      </c>
      <c r="B1107">
        <v>1119307</v>
      </c>
      <c r="C1107">
        <v>1121097</v>
      </c>
      <c r="E1107" t="s">
        <v>14</v>
      </c>
      <c r="F1107" t="s">
        <v>28</v>
      </c>
      <c r="H1107">
        <v>0</v>
      </c>
      <c r="I1107" t="s">
        <v>17</v>
      </c>
      <c r="K1107" t="s">
        <v>3438</v>
      </c>
      <c r="L1107">
        <v>596</v>
      </c>
      <c r="M1107" t="s">
        <v>3439</v>
      </c>
    </row>
    <row r="1108" spans="1:13">
      <c r="A1108" t="s">
        <v>13</v>
      </c>
      <c r="B1108">
        <v>1121045</v>
      </c>
      <c r="C1108">
        <v>1121992</v>
      </c>
      <c r="E1108" t="s">
        <v>14</v>
      </c>
      <c r="F1108" t="s">
        <v>28</v>
      </c>
      <c r="H1108">
        <v>0</v>
      </c>
      <c r="I1108" t="s">
        <v>17</v>
      </c>
      <c r="K1108" t="s">
        <v>3440</v>
      </c>
      <c r="L1108">
        <v>315</v>
      </c>
      <c r="M1108" t="s">
        <v>3441</v>
      </c>
    </row>
    <row r="1109" spans="1:13">
      <c r="A1109" t="s">
        <v>13</v>
      </c>
      <c r="B1109">
        <v>1122057</v>
      </c>
      <c r="C1109">
        <v>1123643</v>
      </c>
      <c r="E1109" t="s">
        <v>14</v>
      </c>
      <c r="F1109" t="s">
        <v>3442</v>
      </c>
      <c r="G1109" t="s">
        <v>3443</v>
      </c>
      <c r="H1109">
        <v>0</v>
      </c>
      <c r="I1109" t="s">
        <v>17</v>
      </c>
      <c r="K1109" t="s">
        <v>3444</v>
      </c>
      <c r="L1109">
        <v>528</v>
      </c>
      <c r="M1109" t="s">
        <v>3445</v>
      </c>
    </row>
    <row r="1110" spans="1:13">
      <c r="A1110" t="s">
        <v>13</v>
      </c>
      <c r="B1110">
        <v>1123777</v>
      </c>
      <c r="C1110">
        <v>1124796</v>
      </c>
      <c r="E1110" t="s">
        <v>14</v>
      </c>
      <c r="F1110" t="s">
        <v>3446</v>
      </c>
      <c r="G1110" t="s">
        <v>3447</v>
      </c>
      <c r="H1110">
        <v>0</v>
      </c>
      <c r="I1110" t="s">
        <v>17</v>
      </c>
      <c r="K1110" t="s">
        <v>3448</v>
      </c>
      <c r="L1110">
        <v>339</v>
      </c>
      <c r="M1110" t="s">
        <v>3449</v>
      </c>
    </row>
    <row r="1111" spans="1:13">
      <c r="A1111" t="s">
        <v>13</v>
      </c>
      <c r="B1111">
        <v>1124912</v>
      </c>
      <c r="C1111">
        <v>1125724</v>
      </c>
      <c r="E1111" t="s">
        <v>14</v>
      </c>
      <c r="F1111" t="s">
        <v>2719</v>
      </c>
      <c r="H1111">
        <v>0</v>
      </c>
      <c r="I1111" t="s">
        <v>17</v>
      </c>
      <c r="K1111" t="s">
        <v>3450</v>
      </c>
      <c r="L1111">
        <v>270</v>
      </c>
      <c r="M1111" t="s">
        <v>3451</v>
      </c>
    </row>
    <row r="1112" spans="1:13">
      <c r="A1112" t="s">
        <v>13</v>
      </c>
      <c r="B1112">
        <v>1125777</v>
      </c>
      <c r="C1112">
        <v>1126349</v>
      </c>
      <c r="E1112" t="s">
        <v>14</v>
      </c>
      <c r="F1112" t="s">
        <v>3452</v>
      </c>
      <c r="H1112">
        <v>0</v>
      </c>
      <c r="I1112" t="s">
        <v>17</v>
      </c>
      <c r="K1112" t="s">
        <v>3453</v>
      </c>
      <c r="L1112">
        <v>190</v>
      </c>
      <c r="M1112" t="s">
        <v>3454</v>
      </c>
    </row>
    <row r="1113" spans="1:13">
      <c r="A1113" t="s">
        <v>13</v>
      </c>
      <c r="B1113">
        <v>1126364</v>
      </c>
      <c r="C1113">
        <v>1127467</v>
      </c>
      <c r="E1113" t="s">
        <v>35</v>
      </c>
      <c r="F1113" t="s">
        <v>3455</v>
      </c>
      <c r="G1113" t="s">
        <v>3456</v>
      </c>
      <c r="H1113">
        <v>0</v>
      </c>
      <c r="I1113" t="s">
        <v>17</v>
      </c>
      <c r="K1113" t="s">
        <v>3457</v>
      </c>
      <c r="L1113">
        <v>367</v>
      </c>
      <c r="M1113" t="s">
        <v>3458</v>
      </c>
    </row>
    <row r="1114" spans="1:13">
      <c r="A1114" t="s">
        <v>13</v>
      </c>
      <c r="B1114">
        <v>1127523</v>
      </c>
      <c r="C1114">
        <v>1128629</v>
      </c>
      <c r="E1114" t="s">
        <v>14</v>
      </c>
      <c r="F1114" t="s">
        <v>3459</v>
      </c>
      <c r="H1114">
        <v>0</v>
      </c>
      <c r="I1114" t="s">
        <v>17</v>
      </c>
      <c r="K1114" t="s">
        <v>3460</v>
      </c>
      <c r="L1114">
        <v>368</v>
      </c>
      <c r="M1114" t="s">
        <v>3461</v>
      </c>
    </row>
    <row r="1115" spans="1:13">
      <c r="A1115" t="s">
        <v>13</v>
      </c>
      <c r="B1115">
        <v>1128656</v>
      </c>
      <c r="C1115">
        <v>1130194</v>
      </c>
      <c r="E1115" t="s">
        <v>35</v>
      </c>
      <c r="F1115" t="s">
        <v>28</v>
      </c>
      <c r="H1115">
        <v>0</v>
      </c>
      <c r="I1115" t="s">
        <v>17</v>
      </c>
      <c r="K1115" t="s">
        <v>3462</v>
      </c>
      <c r="L1115">
        <v>512</v>
      </c>
      <c r="M1115" t="s">
        <v>3463</v>
      </c>
    </row>
    <row r="1116" spans="1:13">
      <c r="A1116" t="s">
        <v>13</v>
      </c>
      <c r="B1116">
        <v>1130191</v>
      </c>
      <c r="C1116">
        <v>1131111</v>
      </c>
      <c r="E1116" t="s">
        <v>35</v>
      </c>
      <c r="F1116" t="s">
        <v>3464</v>
      </c>
      <c r="G1116" t="s">
        <v>3465</v>
      </c>
      <c r="H1116">
        <v>0</v>
      </c>
      <c r="I1116" t="s">
        <v>17</v>
      </c>
      <c r="K1116" t="s">
        <v>3466</v>
      </c>
      <c r="L1116">
        <v>306</v>
      </c>
      <c r="M1116" t="s">
        <v>3467</v>
      </c>
    </row>
    <row r="1117" spans="1:13">
      <c r="A1117" t="s">
        <v>13</v>
      </c>
      <c r="B1117">
        <v>1131108</v>
      </c>
      <c r="C1117">
        <v>1131836</v>
      </c>
      <c r="E1117" t="s">
        <v>35</v>
      </c>
      <c r="F1117" t="s">
        <v>3468</v>
      </c>
      <c r="G1117" t="s">
        <v>3469</v>
      </c>
      <c r="H1117">
        <v>0</v>
      </c>
      <c r="I1117" t="s">
        <v>17</v>
      </c>
      <c r="K1117" t="s">
        <v>3470</v>
      </c>
      <c r="L1117">
        <v>242</v>
      </c>
      <c r="M1117" t="s">
        <v>3471</v>
      </c>
    </row>
    <row r="1118" spans="1:13">
      <c r="A1118" t="s">
        <v>13</v>
      </c>
      <c r="B1118">
        <v>1131829</v>
      </c>
      <c r="C1118">
        <v>1132719</v>
      </c>
      <c r="E1118" t="s">
        <v>35</v>
      </c>
      <c r="F1118" t="s">
        <v>28</v>
      </c>
      <c r="H1118">
        <v>0</v>
      </c>
      <c r="I1118" t="s">
        <v>17</v>
      </c>
      <c r="K1118" t="s">
        <v>3472</v>
      </c>
      <c r="L1118">
        <v>296</v>
      </c>
      <c r="M1118" t="s">
        <v>3473</v>
      </c>
    </row>
    <row r="1119" spans="1:13">
      <c r="A1119" t="s">
        <v>13</v>
      </c>
      <c r="B1119">
        <v>1132712</v>
      </c>
      <c r="C1119">
        <v>1134217</v>
      </c>
      <c r="E1119" t="s">
        <v>35</v>
      </c>
      <c r="F1119" t="s">
        <v>3474</v>
      </c>
      <c r="G1119" t="s">
        <v>3475</v>
      </c>
      <c r="H1119">
        <v>0</v>
      </c>
      <c r="I1119" t="s">
        <v>17</v>
      </c>
      <c r="K1119" t="s">
        <v>3476</v>
      </c>
      <c r="L1119">
        <v>501</v>
      </c>
      <c r="M1119" t="s">
        <v>3477</v>
      </c>
    </row>
    <row r="1120" spans="1:13">
      <c r="A1120" t="s">
        <v>13</v>
      </c>
      <c r="B1120">
        <v>1134217</v>
      </c>
      <c r="C1120">
        <v>1135809</v>
      </c>
      <c r="E1120" t="s">
        <v>35</v>
      </c>
      <c r="F1120" t="s">
        <v>28</v>
      </c>
      <c r="H1120">
        <v>0</v>
      </c>
      <c r="I1120" t="s">
        <v>17</v>
      </c>
      <c r="K1120" t="s">
        <v>3478</v>
      </c>
      <c r="L1120">
        <v>530</v>
      </c>
      <c r="M1120" t="s">
        <v>3479</v>
      </c>
    </row>
    <row r="1121" spans="1:13">
      <c r="A1121" t="s">
        <v>13</v>
      </c>
      <c r="B1121">
        <v>1135867</v>
      </c>
      <c r="C1121">
        <v>1138311</v>
      </c>
      <c r="E1121" t="s">
        <v>35</v>
      </c>
      <c r="F1121" t="s">
        <v>28</v>
      </c>
      <c r="H1121">
        <v>0</v>
      </c>
      <c r="I1121" t="s">
        <v>17</v>
      </c>
      <c r="K1121" t="s">
        <v>3480</v>
      </c>
      <c r="L1121">
        <v>814</v>
      </c>
      <c r="M1121" t="s">
        <v>3481</v>
      </c>
    </row>
    <row r="1122" spans="1:13">
      <c r="A1122" t="s">
        <v>13</v>
      </c>
      <c r="B1122">
        <v>1138492</v>
      </c>
      <c r="C1122">
        <v>1140036</v>
      </c>
      <c r="E1122" t="s">
        <v>14</v>
      </c>
      <c r="F1122" t="s">
        <v>3482</v>
      </c>
      <c r="G1122" t="s">
        <v>3483</v>
      </c>
      <c r="H1122">
        <v>0</v>
      </c>
      <c r="I1122" t="s">
        <v>17</v>
      </c>
      <c r="K1122" t="s">
        <v>3484</v>
      </c>
      <c r="L1122">
        <v>514</v>
      </c>
      <c r="M1122" t="s">
        <v>3485</v>
      </c>
    </row>
    <row r="1123" spans="1:13">
      <c r="A1123" t="s">
        <v>13</v>
      </c>
      <c r="B1123">
        <v>1140265</v>
      </c>
      <c r="C1123">
        <v>1140337</v>
      </c>
      <c r="E1123" t="s">
        <v>14</v>
      </c>
      <c r="F1123" t="s">
        <v>2760</v>
      </c>
      <c r="H1123">
        <v>0</v>
      </c>
      <c r="I1123" t="s">
        <v>53</v>
      </c>
      <c r="M1123" t="s">
        <v>3486</v>
      </c>
    </row>
    <row r="1124" spans="1:13">
      <c r="A1124" t="s">
        <v>13</v>
      </c>
      <c r="B1124">
        <v>1140375</v>
      </c>
      <c r="C1124">
        <v>1140448</v>
      </c>
      <c r="E1124" t="s">
        <v>14</v>
      </c>
      <c r="F1124" t="s">
        <v>3487</v>
      </c>
      <c r="H1124">
        <v>0</v>
      </c>
      <c r="I1124" t="s">
        <v>53</v>
      </c>
      <c r="M1124" t="s">
        <v>3488</v>
      </c>
    </row>
    <row r="1125" spans="1:13">
      <c r="A1125" t="s">
        <v>13</v>
      </c>
      <c r="B1125">
        <v>1140674</v>
      </c>
      <c r="C1125">
        <v>1140747</v>
      </c>
      <c r="E1125" t="s">
        <v>14</v>
      </c>
      <c r="F1125" t="s">
        <v>3487</v>
      </c>
      <c r="H1125">
        <v>0</v>
      </c>
      <c r="I1125" t="s">
        <v>53</v>
      </c>
      <c r="M1125" t="s">
        <v>3489</v>
      </c>
    </row>
    <row r="1126" spans="1:13">
      <c r="A1126" t="s">
        <v>13</v>
      </c>
      <c r="B1126">
        <v>1141369</v>
      </c>
      <c r="C1126">
        <v>1141815</v>
      </c>
      <c r="E1126" t="s">
        <v>14</v>
      </c>
      <c r="F1126" t="s">
        <v>28</v>
      </c>
      <c r="H1126">
        <v>0</v>
      </c>
      <c r="I1126" t="s">
        <v>17</v>
      </c>
      <c r="K1126" t="s">
        <v>3490</v>
      </c>
      <c r="L1126">
        <v>148</v>
      </c>
      <c r="M1126" t="s">
        <v>3491</v>
      </c>
    </row>
    <row r="1127" spans="1:13">
      <c r="A1127" t="s">
        <v>13</v>
      </c>
      <c r="B1127">
        <v>1142443</v>
      </c>
      <c r="C1127">
        <v>1144266</v>
      </c>
      <c r="E1127" t="s">
        <v>14</v>
      </c>
      <c r="F1127" t="s">
        <v>3492</v>
      </c>
      <c r="H1127">
        <v>0</v>
      </c>
      <c r="I1127" t="s">
        <v>17</v>
      </c>
      <c r="K1127" t="s">
        <v>3493</v>
      </c>
      <c r="L1127">
        <v>607</v>
      </c>
      <c r="M1127" t="s">
        <v>3494</v>
      </c>
    </row>
    <row r="1128" spans="1:13">
      <c r="A1128" t="s">
        <v>13</v>
      </c>
      <c r="B1128">
        <v>1144650</v>
      </c>
      <c r="C1128">
        <v>1145957</v>
      </c>
      <c r="E1128" t="s">
        <v>14</v>
      </c>
      <c r="F1128" t="s">
        <v>3495</v>
      </c>
      <c r="G1128" t="s">
        <v>3496</v>
      </c>
      <c r="H1128">
        <v>0</v>
      </c>
      <c r="I1128" t="s">
        <v>17</v>
      </c>
      <c r="K1128" t="s">
        <v>3497</v>
      </c>
      <c r="L1128">
        <v>435</v>
      </c>
      <c r="M1128" t="s">
        <v>3498</v>
      </c>
    </row>
    <row r="1129" spans="1:13">
      <c r="A1129" t="s">
        <v>13</v>
      </c>
      <c r="B1129">
        <v>1146372</v>
      </c>
      <c r="C1129">
        <v>1148561</v>
      </c>
      <c r="E1129" t="s">
        <v>35</v>
      </c>
      <c r="F1129" t="s">
        <v>3499</v>
      </c>
      <c r="G1129" t="s">
        <v>3500</v>
      </c>
      <c r="H1129">
        <v>0</v>
      </c>
      <c r="I1129" t="s">
        <v>17</v>
      </c>
      <c r="K1129" t="s">
        <v>3501</v>
      </c>
      <c r="L1129">
        <v>729</v>
      </c>
      <c r="M1129" t="s">
        <v>3502</v>
      </c>
    </row>
    <row r="1130" spans="1:13">
      <c r="A1130" t="s">
        <v>13</v>
      </c>
      <c r="B1130">
        <v>1148558</v>
      </c>
      <c r="C1130">
        <v>1151230</v>
      </c>
      <c r="E1130" t="s">
        <v>35</v>
      </c>
      <c r="F1130" t="s">
        <v>3499</v>
      </c>
      <c r="G1130" t="s">
        <v>3503</v>
      </c>
      <c r="H1130">
        <v>0</v>
      </c>
      <c r="I1130" t="s">
        <v>17</v>
      </c>
      <c r="K1130" t="s">
        <v>3504</v>
      </c>
      <c r="L1130">
        <v>890</v>
      </c>
      <c r="M1130" t="s">
        <v>3505</v>
      </c>
    </row>
    <row r="1131" spans="1:13">
      <c r="A1131" t="s">
        <v>13</v>
      </c>
      <c r="B1131">
        <v>1151464</v>
      </c>
      <c r="C1131">
        <v>1151757</v>
      </c>
      <c r="E1131" t="s">
        <v>35</v>
      </c>
      <c r="F1131" t="s">
        <v>28</v>
      </c>
      <c r="H1131">
        <v>0</v>
      </c>
      <c r="I1131" t="s">
        <v>17</v>
      </c>
      <c r="K1131" t="s">
        <v>3506</v>
      </c>
      <c r="L1131">
        <v>97</v>
      </c>
      <c r="M1131" t="s">
        <v>3507</v>
      </c>
    </row>
    <row r="1132" spans="1:13">
      <c r="A1132" t="s">
        <v>13</v>
      </c>
      <c r="B1132">
        <v>1151975</v>
      </c>
      <c r="C1132">
        <v>1152658</v>
      </c>
      <c r="E1132" t="s">
        <v>35</v>
      </c>
      <c r="F1132" t="s">
        <v>3508</v>
      </c>
      <c r="G1132" t="s">
        <v>3509</v>
      </c>
      <c r="H1132">
        <v>0</v>
      </c>
      <c r="I1132" t="s">
        <v>17</v>
      </c>
      <c r="K1132" t="s">
        <v>3510</v>
      </c>
      <c r="L1132">
        <v>227</v>
      </c>
      <c r="M1132" t="s">
        <v>3511</v>
      </c>
    </row>
    <row r="1133" spans="1:13">
      <c r="A1133" t="s">
        <v>13</v>
      </c>
      <c r="B1133">
        <v>1152711</v>
      </c>
      <c r="C1133">
        <v>1154132</v>
      </c>
      <c r="E1133" t="s">
        <v>14</v>
      </c>
      <c r="F1133" t="s">
        <v>3512</v>
      </c>
      <c r="G1133" t="s">
        <v>3513</v>
      </c>
      <c r="H1133">
        <v>0</v>
      </c>
      <c r="I1133" t="s">
        <v>17</v>
      </c>
      <c r="K1133" t="s">
        <v>3514</v>
      </c>
      <c r="L1133">
        <v>473</v>
      </c>
      <c r="M1133" t="s">
        <v>3515</v>
      </c>
    </row>
    <row r="1134" spans="1:13">
      <c r="A1134" t="s">
        <v>13</v>
      </c>
      <c r="B1134">
        <v>1154152</v>
      </c>
      <c r="C1134">
        <v>1154745</v>
      </c>
      <c r="E1134" t="s">
        <v>14</v>
      </c>
      <c r="F1134" t="s">
        <v>3516</v>
      </c>
      <c r="G1134" t="s">
        <v>3517</v>
      </c>
      <c r="H1134">
        <v>0</v>
      </c>
      <c r="I1134" t="s">
        <v>17</v>
      </c>
      <c r="K1134" t="s">
        <v>3518</v>
      </c>
      <c r="L1134">
        <v>197</v>
      </c>
      <c r="M1134" t="s">
        <v>3519</v>
      </c>
    </row>
    <row r="1135" spans="1:13">
      <c r="A1135" t="s">
        <v>13</v>
      </c>
      <c r="B1135">
        <v>1154794</v>
      </c>
      <c r="C1135">
        <v>1155579</v>
      </c>
      <c r="E1135" t="s">
        <v>14</v>
      </c>
      <c r="F1135" t="s">
        <v>28</v>
      </c>
      <c r="H1135">
        <v>0</v>
      </c>
      <c r="I1135" t="s">
        <v>17</v>
      </c>
      <c r="K1135" t="s">
        <v>3520</v>
      </c>
      <c r="L1135">
        <v>261</v>
      </c>
      <c r="M1135" t="s">
        <v>3521</v>
      </c>
    </row>
    <row r="1136" spans="1:13">
      <c r="A1136" t="s">
        <v>13</v>
      </c>
      <c r="B1136">
        <v>1155625</v>
      </c>
      <c r="C1136">
        <v>1156623</v>
      </c>
      <c r="E1136" t="s">
        <v>35</v>
      </c>
      <c r="F1136" t="s">
        <v>3522</v>
      </c>
      <c r="G1136" t="s">
        <v>3523</v>
      </c>
      <c r="H1136">
        <v>0</v>
      </c>
      <c r="I1136" t="s">
        <v>17</v>
      </c>
      <c r="K1136" t="s">
        <v>3524</v>
      </c>
      <c r="L1136">
        <v>332</v>
      </c>
      <c r="M1136" t="s">
        <v>3525</v>
      </c>
    </row>
    <row r="1137" spans="1:13">
      <c r="A1137" t="s">
        <v>13</v>
      </c>
      <c r="B1137">
        <v>1156774</v>
      </c>
      <c r="C1137">
        <v>1157772</v>
      </c>
      <c r="E1137" t="s">
        <v>14</v>
      </c>
      <c r="F1137" t="s">
        <v>3526</v>
      </c>
      <c r="G1137" t="s">
        <v>3527</v>
      </c>
      <c r="H1137">
        <v>0</v>
      </c>
      <c r="I1137" t="s">
        <v>17</v>
      </c>
      <c r="K1137" t="s">
        <v>3528</v>
      </c>
      <c r="L1137">
        <v>332</v>
      </c>
      <c r="M1137" t="s">
        <v>3529</v>
      </c>
    </row>
    <row r="1138" spans="1:13">
      <c r="A1138" t="s">
        <v>13</v>
      </c>
      <c r="B1138">
        <v>1157795</v>
      </c>
      <c r="C1138">
        <v>1158862</v>
      </c>
      <c r="E1138" t="s">
        <v>14</v>
      </c>
      <c r="F1138" t="s">
        <v>3530</v>
      </c>
      <c r="G1138" t="s">
        <v>3531</v>
      </c>
      <c r="H1138">
        <v>0</v>
      </c>
      <c r="I1138" t="s">
        <v>17</v>
      </c>
      <c r="K1138" t="s">
        <v>3532</v>
      </c>
      <c r="L1138">
        <v>355</v>
      </c>
      <c r="M1138" t="s">
        <v>3533</v>
      </c>
    </row>
    <row r="1139" spans="1:13">
      <c r="A1139" t="s">
        <v>13</v>
      </c>
      <c r="B1139">
        <v>1158878</v>
      </c>
      <c r="C1139">
        <v>1159777</v>
      </c>
      <c r="E1139" t="s">
        <v>35</v>
      </c>
      <c r="F1139" t="s">
        <v>28</v>
      </c>
      <c r="H1139">
        <v>0</v>
      </c>
      <c r="I1139" t="s">
        <v>17</v>
      </c>
      <c r="K1139" t="s">
        <v>3534</v>
      </c>
      <c r="L1139">
        <v>299</v>
      </c>
      <c r="M1139" t="s">
        <v>3535</v>
      </c>
    </row>
    <row r="1140" spans="1:13">
      <c r="A1140" t="s">
        <v>13</v>
      </c>
      <c r="B1140">
        <v>1159806</v>
      </c>
      <c r="C1140">
        <v>1160762</v>
      </c>
      <c r="E1140" t="s">
        <v>14</v>
      </c>
      <c r="F1140" t="s">
        <v>3536</v>
      </c>
      <c r="G1140" t="s">
        <v>3537</v>
      </c>
      <c r="H1140">
        <v>0</v>
      </c>
      <c r="I1140" t="s">
        <v>17</v>
      </c>
      <c r="K1140" t="s">
        <v>3538</v>
      </c>
      <c r="L1140">
        <v>318</v>
      </c>
      <c r="M1140" t="s">
        <v>3539</v>
      </c>
    </row>
    <row r="1141" spans="1:13">
      <c r="A1141" t="s">
        <v>13</v>
      </c>
      <c r="B1141">
        <v>1160765</v>
      </c>
      <c r="C1141">
        <v>1161403</v>
      </c>
      <c r="E1141" t="s">
        <v>14</v>
      </c>
      <c r="F1141" t="s">
        <v>3540</v>
      </c>
      <c r="G1141" t="s">
        <v>3541</v>
      </c>
      <c r="H1141">
        <v>0</v>
      </c>
      <c r="I1141" t="s">
        <v>17</v>
      </c>
      <c r="K1141" t="s">
        <v>3542</v>
      </c>
      <c r="L1141">
        <v>212</v>
      </c>
      <c r="M1141" t="s">
        <v>3543</v>
      </c>
    </row>
    <row r="1142" spans="1:13">
      <c r="A1142" t="s">
        <v>13</v>
      </c>
      <c r="B1142">
        <v>1161447</v>
      </c>
      <c r="C1142">
        <v>1162766</v>
      </c>
      <c r="E1142" t="s">
        <v>14</v>
      </c>
      <c r="F1142" t="s">
        <v>3544</v>
      </c>
      <c r="H1142">
        <v>0</v>
      </c>
      <c r="I1142" t="s">
        <v>17</v>
      </c>
      <c r="K1142" t="s">
        <v>3545</v>
      </c>
      <c r="L1142">
        <v>439</v>
      </c>
      <c r="M1142" t="s">
        <v>3546</v>
      </c>
    </row>
    <row r="1143" spans="1:13">
      <c r="A1143" t="s">
        <v>13</v>
      </c>
      <c r="B1143">
        <v>1162769</v>
      </c>
      <c r="C1143">
        <v>1164895</v>
      </c>
      <c r="E1143" t="s">
        <v>14</v>
      </c>
      <c r="F1143" t="s">
        <v>3547</v>
      </c>
      <c r="G1143" t="s">
        <v>3548</v>
      </c>
      <c r="H1143">
        <v>0</v>
      </c>
      <c r="I1143" t="s">
        <v>17</v>
      </c>
      <c r="K1143" t="s">
        <v>3549</v>
      </c>
      <c r="L1143">
        <v>708</v>
      </c>
      <c r="M1143" t="s">
        <v>3550</v>
      </c>
    </row>
    <row r="1144" spans="1:13">
      <c r="A1144" t="s">
        <v>13</v>
      </c>
      <c r="B1144">
        <v>1164915</v>
      </c>
      <c r="C1144">
        <v>1165127</v>
      </c>
      <c r="E1144" t="s">
        <v>14</v>
      </c>
      <c r="F1144" t="s">
        <v>3551</v>
      </c>
      <c r="G1144" t="s">
        <v>3552</v>
      </c>
      <c r="H1144">
        <v>0</v>
      </c>
      <c r="I1144" t="s">
        <v>17</v>
      </c>
      <c r="K1144" t="s">
        <v>3553</v>
      </c>
      <c r="L1144">
        <v>70</v>
      </c>
      <c r="M1144" t="s">
        <v>3554</v>
      </c>
    </row>
    <row r="1145" spans="1:13">
      <c r="A1145" t="s">
        <v>13</v>
      </c>
      <c r="B1145">
        <v>1165128</v>
      </c>
      <c r="C1145">
        <v>1165721</v>
      </c>
      <c r="E1145" t="s">
        <v>14</v>
      </c>
      <c r="F1145" t="s">
        <v>3555</v>
      </c>
      <c r="G1145" t="s">
        <v>3556</v>
      </c>
      <c r="H1145">
        <v>0</v>
      </c>
      <c r="I1145" t="s">
        <v>17</v>
      </c>
      <c r="K1145" t="s">
        <v>3557</v>
      </c>
      <c r="L1145">
        <v>197</v>
      </c>
      <c r="M1145" t="s">
        <v>3558</v>
      </c>
    </row>
    <row r="1146" spans="1:13">
      <c r="A1146" t="s">
        <v>13</v>
      </c>
      <c r="B1146">
        <v>1165737</v>
      </c>
      <c r="C1146">
        <v>1166210</v>
      </c>
      <c r="E1146" t="s">
        <v>14</v>
      </c>
      <c r="F1146" t="s">
        <v>3559</v>
      </c>
      <c r="G1146" t="s">
        <v>3560</v>
      </c>
      <c r="H1146">
        <v>0</v>
      </c>
      <c r="I1146" t="s">
        <v>17</v>
      </c>
      <c r="K1146" t="s">
        <v>3561</v>
      </c>
      <c r="L1146">
        <v>157</v>
      </c>
      <c r="M1146" t="s">
        <v>3562</v>
      </c>
    </row>
    <row r="1147" spans="1:13">
      <c r="A1147" t="s">
        <v>13</v>
      </c>
      <c r="B1147">
        <v>1166207</v>
      </c>
      <c r="C1147">
        <v>1166953</v>
      </c>
      <c r="E1147" t="s">
        <v>14</v>
      </c>
      <c r="F1147" t="s">
        <v>2062</v>
      </c>
      <c r="H1147">
        <v>0</v>
      </c>
      <c r="I1147" t="s">
        <v>17</v>
      </c>
      <c r="K1147" t="s">
        <v>3563</v>
      </c>
      <c r="L1147">
        <v>248</v>
      </c>
      <c r="M1147" t="s">
        <v>3564</v>
      </c>
    </row>
    <row r="1148" spans="1:13">
      <c r="A1148" t="s">
        <v>13</v>
      </c>
      <c r="B1148">
        <v>1166982</v>
      </c>
      <c r="C1148">
        <v>1167746</v>
      </c>
      <c r="E1148" t="s">
        <v>35</v>
      </c>
      <c r="F1148" t="s">
        <v>3565</v>
      </c>
      <c r="G1148" t="s">
        <v>3566</v>
      </c>
      <c r="H1148">
        <v>0</v>
      </c>
      <c r="I1148" t="s">
        <v>17</v>
      </c>
      <c r="K1148" t="s">
        <v>3567</v>
      </c>
      <c r="L1148">
        <v>254</v>
      </c>
      <c r="M1148" t="s">
        <v>3568</v>
      </c>
    </row>
    <row r="1149" spans="1:13">
      <c r="A1149" t="s">
        <v>13</v>
      </c>
      <c r="B1149">
        <v>1167746</v>
      </c>
      <c r="C1149">
        <v>1168699</v>
      </c>
      <c r="E1149" t="s">
        <v>35</v>
      </c>
      <c r="F1149" t="s">
        <v>3569</v>
      </c>
      <c r="G1149" t="s">
        <v>3570</v>
      </c>
      <c r="H1149">
        <v>0</v>
      </c>
      <c r="I1149" t="s">
        <v>17</v>
      </c>
      <c r="K1149" t="s">
        <v>3571</v>
      </c>
      <c r="L1149">
        <v>317</v>
      </c>
      <c r="M1149" t="s">
        <v>3572</v>
      </c>
    </row>
    <row r="1150" spans="1:13">
      <c r="A1150" t="s">
        <v>13</v>
      </c>
      <c r="B1150">
        <v>1168692</v>
      </c>
      <c r="C1150">
        <v>1169579</v>
      </c>
      <c r="E1150" t="s">
        <v>35</v>
      </c>
      <c r="F1150" t="s">
        <v>3573</v>
      </c>
      <c r="G1150" t="s">
        <v>3574</v>
      </c>
      <c r="H1150">
        <v>0</v>
      </c>
      <c r="I1150" t="s">
        <v>17</v>
      </c>
      <c r="K1150" t="s">
        <v>3575</v>
      </c>
      <c r="L1150">
        <v>295</v>
      </c>
      <c r="M1150" t="s">
        <v>3576</v>
      </c>
    </row>
    <row r="1151" spans="1:13">
      <c r="A1151" t="s">
        <v>13</v>
      </c>
      <c r="B1151">
        <v>1169579</v>
      </c>
      <c r="C1151">
        <v>1170415</v>
      </c>
      <c r="E1151" t="s">
        <v>35</v>
      </c>
      <c r="F1151" t="s">
        <v>28</v>
      </c>
      <c r="H1151">
        <v>0</v>
      </c>
      <c r="I1151" t="s">
        <v>17</v>
      </c>
      <c r="K1151" t="s">
        <v>3577</v>
      </c>
      <c r="L1151">
        <v>278</v>
      </c>
      <c r="M1151" t="s">
        <v>3578</v>
      </c>
    </row>
    <row r="1152" spans="1:13">
      <c r="A1152" t="s">
        <v>13</v>
      </c>
      <c r="B1152">
        <v>1171308</v>
      </c>
      <c r="C1152">
        <v>1171382</v>
      </c>
      <c r="E1152" t="s">
        <v>35</v>
      </c>
      <c r="F1152" t="s">
        <v>2802</v>
      </c>
      <c r="H1152">
        <v>0</v>
      </c>
      <c r="I1152" t="s">
        <v>53</v>
      </c>
      <c r="M1152" t="s">
        <v>3579</v>
      </c>
    </row>
    <row r="1153" spans="1:13">
      <c r="A1153" t="s">
        <v>13</v>
      </c>
      <c r="B1153">
        <v>1171506</v>
      </c>
      <c r="C1153">
        <v>1174175</v>
      </c>
      <c r="E1153" t="s">
        <v>14</v>
      </c>
      <c r="F1153" t="s">
        <v>3580</v>
      </c>
      <c r="G1153" t="s">
        <v>3581</v>
      </c>
      <c r="H1153">
        <v>0</v>
      </c>
      <c r="I1153" t="s">
        <v>17</v>
      </c>
      <c r="K1153" t="s">
        <v>3582</v>
      </c>
      <c r="L1153">
        <v>889</v>
      </c>
      <c r="M1153" t="s">
        <v>3583</v>
      </c>
    </row>
    <row r="1154" spans="1:13">
      <c r="A1154" t="s">
        <v>13</v>
      </c>
      <c r="B1154">
        <v>1174180</v>
      </c>
      <c r="C1154">
        <v>1175118</v>
      </c>
      <c r="E1154" t="s">
        <v>14</v>
      </c>
      <c r="F1154" t="s">
        <v>28</v>
      </c>
      <c r="H1154">
        <v>0</v>
      </c>
      <c r="I1154" t="s">
        <v>17</v>
      </c>
      <c r="K1154" t="s">
        <v>3584</v>
      </c>
      <c r="L1154">
        <v>312</v>
      </c>
      <c r="M1154" t="s">
        <v>3585</v>
      </c>
    </row>
    <row r="1155" spans="1:13">
      <c r="A1155" t="s">
        <v>13</v>
      </c>
      <c r="B1155">
        <v>1175157</v>
      </c>
      <c r="C1155">
        <v>1175528</v>
      </c>
      <c r="E1155" t="s">
        <v>14</v>
      </c>
      <c r="F1155" t="s">
        <v>28</v>
      </c>
      <c r="H1155">
        <v>0</v>
      </c>
      <c r="I1155" t="s">
        <v>17</v>
      </c>
      <c r="K1155" t="s">
        <v>3586</v>
      </c>
      <c r="L1155">
        <v>123</v>
      </c>
      <c r="M1155" t="s">
        <v>3587</v>
      </c>
    </row>
    <row r="1156" spans="1:13">
      <c r="A1156" t="s">
        <v>13</v>
      </c>
      <c r="B1156">
        <v>1175492</v>
      </c>
      <c r="C1156">
        <v>1175959</v>
      </c>
      <c r="E1156" t="s">
        <v>35</v>
      </c>
      <c r="F1156" t="s">
        <v>1789</v>
      </c>
      <c r="H1156">
        <v>0</v>
      </c>
      <c r="I1156" t="s">
        <v>17</v>
      </c>
      <c r="K1156" t="s">
        <v>3588</v>
      </c>
      <c r="L1156">
        <v>155</v>
      </c>
      <c r="M1156" t="s">
        <v>3589</v>
      </c>
    </row>
    <row r="1157" spans="1:13">
      <c r="A1157" t="s">
        <v>13</v>
      </c>
      <c r="B1157">
        <v>1175970</v>
      </c>
      <c r="C1157">
        <v>1176701</v>
      </c>
      <c r="E1157" t="s">
        <v>35</v>
      </c>
      <c r="F1157" t="s">
        <v>3590</v>
      </c>
      <c r="H1157">
        <v>0</v>
      </c>
      <c r="I1157" t="s">
        <v>17</v>
      </c>
      <c r="K1157" t="s">
        <v>3591</v>
      </c>
      <c r="L1157">
        <v>243</v>
      </c>
      <c r="M1157" t="s">
        <v>3592</v>
      </c>
    </row>
    <row r="1158" spans="1:13">
      <c r="A1158" t="s">
        <v>13</v>
      </c>
      <c r="B1158">
        <v>1176951</v>
      </c>
      <c r="C1158">
        <v>1178414</v>
      </c>
      <c r="E1158" t="s">
        <v>14</v>
      </c>
      <c r="F1158" t="s">
        <v>3593</v>
      </c>
      <c r="G1158" t="s">
        <v>3594</v>
      </c>
      <c r="H1158">
        <v>0</v>
      </c>
      <c r="I1158" t="s">
        <v>17</v>
      </c>
      <c r="K1158" t="s">
        <v>3595</v>
      </c>
      <c r="L1158">
        <v>487</v>
      </c>
      <c r="M1158" t="s">
        <v>3596</v>
      </c>
    </row>
    <row r="1159" spans="1:13">
      <c r="A1159" t="s">
        <v>13</v>
      </c>
      <c r="B1159">
        <v>1178728</v>
      </c>
      <c r="C1159">
        <v>1180776</v>
      </c>
      <c r="E1159" t="s">
        <v>14</v>
      </c>
      <c r="F1159" t="s">
        <v>3597</v>
      </c>
      <c r="G1159" t="s">
        <v>3598</v>
      </c>
      <c r="H1159">
        <v>0</v>
      </c>
      <c r="I1159" t="s">
        <v>17</v>
      </c>
      <c r="K1159" t="s">
        <v>3599</v>
      </c>
      <c r="L1159">
        <v>682</v>
      </c>
      <c r="M1159" t="s">
        <v>3600</v>
      </c>
    </row>
    <row r="1160" spans="1:13">
      <c r="A1160" t="s">
        <v>13</v>
      </c>
      <c r="B1160">
        <v>1180850</v>
      </c>
      <c r="C1160">
        <v>1181452</v>
      </c>
      <c r="E1160" t="s">
        <v>14</v>
      </c>
      <c r="F1160" t="s">
        <v>3601</v>
      </c>
      <c r="G1160" t="s">
        <v>3602</v>
      </c>
      <c r="H1160">
        <v>0</v>
      </c>
      <c r="I1160" t="s">
        <v>17</v>
      </c>
      <c r="K1160" t="s">
        <v>3603</v>
      </c>
      <c r="L1160">
        <v>200</v>
      </c>
      <c r="M1160" t="s">
        <v>3604</v>
      </c>
    </row>
    <row r="1161" spans="1:13">
      <c r="A1161" t="s">
        <v>13</v>
      </c>
      <c r="B1161">
        <v>1181642</v>
      </c>
      <c r="C1161">
        <v>1181890</v>
      </c>
      <c r="E1161" t="s">
        <v>14</v>
      </c>
      <c r="F1161" t="s">
        <v>28</v>
      </c>
      <c r="H1161">
        <v>0</v>
      </c>
      <c r="I1161" t="s">
        <v>17</v>
      </c>
      <c r="K1161" t="s">
        <v>3605</v>
      </c>
      <c r="L1161">
        <v>82</v>
      </c>
      <c r="M1161" t="s">
        <v>3606</v>
      </c>
    </row>
    <row r="1162" spans="1:13">
      <c r="A1162" t="s">
        <v>13</v>
      </c>
      <c r="B1162">
        <v>1181930</v>
      </c>
      <c r="C1162">
        <v>1184023</v>
      </c>
      <c r="E1162" t="s">
        <v>14</v>
      </c>
      <c r="F1162" t="s">
        <v>3607</v>
      </c>
      <c r="G1162" t="s">
        <v>3608</v>
      </c>
      <c r="H1162">
        <v>0</v>
      </c>
      <c r="I1162" t="s">
        <v>17</v>
      </c>
      <c r="K1162" t="s">
        <v>3609</v>
      </c>
      <c r="L1162">
        <v>697</v>
      </c>
      <c r="M1162" t="s">
        <v>3610</v>
      </c>
    </row>
    <row r="1163" spans="1:13">
      <c r="A1163" t="s">
        <v>13</v>
      </c>
      <c r="B1163">
        <v>1184173</v>
      </c>
      <c r="C1163">
        <v>1184625</v>
      </c>
      <c r="E1163" t="s">
        <v>14</v>
      </c>
      <c r="F1163" t="s">
        <v>3611</v>
      </c>
      <c r="H1163">
        <v>0</v>
      </c>
      <c r="I1163" t="s">
        <v>17</v>
      </c>
      <c r="K1163" t="s">
        <v>3612</v>
      </c>
      <c r="L1163">
        <v>150</v>
      </c>
      <c r="M1163" t="s">
        <v>3613</v>
      </c>
    </row>
    <row r="1164" spans="1:13">
      <c r="A1164" t="s">
        <v>13</v>
      </c>
      <c r="B1164">
        <v>1184709</v>
      </c>
      <c r="C1164">
        <v>1185149</v>
      </c>
      <c r="E1164" t="s">
        <v>14</v>
      </c>
      <c r="F1164" t="s">
        <v>3611</v>
      </c>
      <c r="H1164">
        <v>0</v>
      </c>
      <c r="I1164" t="s">
        <v>17</v>
      </c>
      <c r="K1164" t="s">
        <v>3614</v>
      </c>
      <c r="L1164">
        <v>146</v>
      </c>
      <c r="M1164" t="s">
        <v>3615</v>
      </c>
    </row>
    <row r="1165" spans="1:13">
      <c r="A1165" t="s">
        <v>13</v>
      </c>
      <c r="B1165">
        <v>1185239</v>
      </c>
      <c r="C1165">
        <v>1187497</v>
      </c>
      <c r="E1165" t="s">
        <v>35</v>
      </c>
      <c r="F1165" t="s">
        <v>3616</v>
      </c>
      <c r="G1165" t="s">
        <v>3617</v>
      </c>
      <c r="H1165">
        <v>0</v>
      </c>
      <c r="I1165" t="s">
        <v>17</v>
      </c>
      <c r="K1165" t="s">
        <v>3618</v>
      </c>
      <c r="L1165">
        <v>752</v>
      </c>
      <c r="M1165" t="s">
        <v>3619</v>
      </c>
    </row>
    <row r="1166" spans="1:13">
      <c r="A1166" t="s">
        <v>13</v>
      </c>
      <c r="B1166">
        <v>1187639</v>
      </c>
      <c r="C1166">
        <v>1188655</v>
      </c>
      <c r="E1166" t="s">
        <v>35</v>
      </c>
      <c r="F1166" t="s">
        <v>3408</v>
      </c>
      <c r="H1166">
        <v>0</v>
      </c>
      <c r="I1166" t="s">
        <v>17</v>
      </c>
      <c r="K1166" t="s">
        <v>3620</v>
      </c>
      <c r="L1166">
        <v>338</v>
      </c>
      <c r="M1166" t="s">
        <v>3621</v>
      </c>
    </row>
    <row r="1167" spans="1:13">
      <c r="A1167" t="s">
        <v>13</v>
      </c>
      <c r="B1167">
        <v>1188733</v>
      </c>
      <c r="C1167">
        <v>1189335</v>
      </c>
      <c r="E1167" t="s">
        <v>35</v>
      </c>
      <c r="F1167" t="s">
        <v>701</v>
      </c>
      <c r="G1167" t="s">
        <v>3622</v>
      </c>
      <c r="H1167">
        <v>0</v>
      </c>
      <c r="I1167" t="s">
        <v>17</v>
      </c>
      <c r="K1167" t="s">
        <v>3623</v>
      </c>
      <c r="L1167">
        <v>200</v>
      </c>
      <c r="M1167" t="s">
        <v>3624</v>
      </c>
    </row>
    <row r="1168" spans="1:13">
      <c r="A1168" t="s">
        <v>13</v>
      </c>
      <c r="B1168">
        <v>1189400</v>
      </c>
      <c r="C1168">
        <v>1192240</v>
      </c>
      <c r="E1168" t="s">
        <v>14</v>
      </c>
      <c r="F1168" t="s">
        <v>1156</v>
      </c>
      <c r="G1168" t="s">
        <v>3625</v>
      </c>
      <c r="H1168">
        <v>0</v>
      </c>
      <c r="I1168" t="s">
        <v>17</v>
      </c>
      <c r="K1168" t="s">
        <v>3626</v>
      </c>
      <c r="L1168">
        <v>946</v>
      </c>
      <c r="M1168" t="s">
        <v>3627</v>
      </c>
    </row>
    <row r="1169" spans="1:13">
      <c r="A1169" t="s">
        <v>13</v>
      </c>
      <c r="B1169">
        <v>1192306</v>
      </c>
      <c r="C1169">
        <v>1193160</v>
      </c>
      <c r="E1169" t="s">
        <v>14</v>
      </c>
      <c r="F1169" t="s">
        <v>28</v>
      </c>
      <c r="H1169">
        <v>0</v>
      </c>
      <c r="I1169" t="s">
        <v>17</v>
      </c>
      <c r="K1169" t="s">
        <v>3628</v>
      </c>
      <c r="L1169">
        <v>284</v>
      </c>
      <c r="M1169" t="s">
        <v>3629</v>
      </c>
    </row>
    <row r="1170" spans="1:13">
      <c r="A1170" t="s">
        <v>13</v>
      </c>
      <c r="B1170">
        <v>1193507</v>
      </c>
      <c r="C1170">
        <v>1193953</v>
      </c>
      <c r="E1170" t="s">
        <v>14</v>
      </c>
      <c r="F1170" t="s">
        <v>3630</v>
      </c>
      <c r="G1170" t="s">
        <v>3631</v>
      </c>
      <c r="H1170">
        <v>0</v>
      </c>
      <c r="I1170" t="s">
        <v>17</v>
      </c>
      <c r="K1170" t="s">
        <v>3632</v>
      </c>
      <c r="L1170">
        <v>148</v>
      </c>
      <c r="M1170" t="s">
        <v>3633</v>
      </c>
    </row>
    <row r="1171" spans="1:13">
      <c r="A1171" t="s">
        <v>13</v>
      </c>
      <c r="B1171">
        <v>1193990</v>
      </c>
      <c r="C1171">
        <v>1194184</v>
      </c>
      <c r="E1171" t="s">
        <v>14</v>
      </c>
      <c r="F1171" t="s">
        <v>3634</v>
      </c>
      <c r="G1171" t="s">
        <v>3635</v>
      </c>
      <c r="H1171">
        <v>0</v>
      </c>
      <c r="I1171" t="s">
        <v>17</v>
      </c>
      <c r="K1171" t="s">
        <v>3636</v>
      </c>
      <c r="L1171">
        <v>64</v>
      </c>
      <c r="M1171" t="s">
        <v>3637</v>
      </c>
    </row>
    <row r="1172" spans="1:13">
      <c r="A1172" t="s">
        <v>13</v>
      </c>
      <c r="B1172">
        <v>1194241</v>
      </c>
      <c r="C1172">
        <v>1194624</v>
      </c>
      <c r="E1172" t="s">
        <v>14</v>
      </c>
      <c r="F1172" t="s">
        <v>3638</v>
      </c>
      <c r="G1172" t="s">
        <v>3639</v>
      </c>
      <c r="H1172">
        <v>0</v>
      </c>
      <c r="I1172" t="s">
        <v>17</v>
      </c>
      <c r="K1172" t="s">
        <v>3640</v>
      </c>
      <c r="L1172">
        <v>127</v>
      </c>
      <c r="M1172" t="s">
        <v>3641</v>
      </c>
    </row>
    <row r="1173" spans="1:13">
      <c r="A1173" t="s">
        <v>13</v>
      </c>
      <c r="B1173">
        <v>1194788</v>
      </c>
      <c r="C1173">
        <v>1195213</v>
      </c>
      <c r="E1173" t="s">
        <v>14</v>
      </c>
      <c r="F1173" t="s">
        <v>3642</v>
      </c>
      <c r="H1173">
        <v>0</v>
      </c>
      <c r="I1173" t="s">
        <v>17</v>
      </c>
      <c r="K1173" t="s">
        <v>3643</v>
      </c>
      <c r="L1173">
        <v>141</v>
      </c>
      <c r="M1173" t="s">
        <v>3644</v>
      </c>
    </row>
    <row r="1174" spans="1:13">
      <c r="A1174" t="s">
        <v>13</v>
      </c>
      <c r="B1174">
        <v>1195307</v>
      </c>
      <c r="C1174">
        <v>1196113</v>
      </c>
      <c r="E1174" t="s">
        <v>14</v>
      </c>
      <c r="F1174" t="s">
        <v>3645</v>
      </c>
      <c r="H1174">
        <v>0</v>
      </c>
      <c r="I1174" t="s">
        <v>17</v>
      </c>
      <c r="K1174" t="s">
        <v>3646</v>
      </c>
      <c r="L1174">
        <v>268</v>
      </c>
      <c r="M1174" t="s">
        <v>3647</v>
      </c>
    </row>
    <row r="1175" spans="1:13">
      <c r="A1175" t="s">
        <v>13</v>
      </c>
      <c r="B1175">
        <v>1196234</v>
      </c>
      <c r="C1175">
        <v>1197280</v>
      </c>
      <c r="E1175" t="s">
        <v>14</v>
      </c>
      <c r="F1175" t="s">
        <v>3648</v>
      </c>
      <c r="G1175" t="s">
        <v>3649</v>
      </c>
      <c r="H1175">
        <v>0</v>
      </c>
      <c r="I1175" t="s">
        <v>17</v>
      </c>
      <c r="K1175" t="s">
        <v>3650</v>
      </c>
      <c r="L1175">
        <v>348</v>
      </c>
      <c r="M1175" t="s">
        <v>3651</v>
      </c>
    </row>
    <row r="1176" spans="1:13">
      <c r="A1176" t="s">
        <v>13</v>
      </c>
      <c r="B1176">
        <v>1197304</v>
      </c>
      <c r="C1176">
        <v>1199820</v>
      </c>
      <c r="E1176" t="s">
        <v>14</v>
      </c>
      <c r="F1176" t="s">
        <v>3652</v>
      </c>
      <c r="G1176" t="s">
        <v>3653</v>
      </c>
      <c r="H1176">
        <v>0</v>
      </c>
      <c r="I1176" t="s">
        <v>17</v>
      </c>
      <c r="K1176" t="s">
        <v>3654</v>
      </c>
      <c r="L1176">
        <v>838</v>
      </c>
      <c r="M1176" t="s">
        <v>3655</v>
      </c>
    </row>
    <row r="1177" spans="1:13">
      <c r="A1177" t="s">
        <v>13</v>
      </c>
      <c r="B1177">
        <v>1200023</v>
      </c>
      <c r="C1177">
        <v>1201066</v>
      </c>
      <c r="E1177" t="s">
        <v>14</v>
      </c>
      <c r="F1177" t="s">
        <v>3656</v>
      </c>
      <c r="G1177" t="s">
        <v>3657</v>
      </c>
      <c r="H1177">
        <v>0</v>
      </c>
      <c r="I1177" t="s">
        <v>17</v>
      </c>
      <c r="K1177" t="s">
        <v>3658</v>
      </c>
      <c r="L1177">
        <v>347</v>
      </c>
      <c r="M1177" t="s">
        <v>3659</v>
      </c>
    </row>
    <row r="1178" spans="1:13">
      <c r="A1178" t="s">
        <v>13</v>
      </c>
      <c r="B1178">
        <v>1201095</v>
      </c>
      <c r="C1178">
        <v>1202264</v>
      </c>
      <c r="E1178" t="s">
        <v>14</v>
      </c>
      <c r="F1178" t="s">
        <v>3660</v>
      </c>
      <c r="G1178" t="s">
        <v>3661</v>
      </c>
      <c r="H1178">
        <v>0</v>
      </c>
      <c r="I1178" t="s">
        <v>17</v>
      </c>
      <c r="K1178" t="s">
        <v>3662</v>
      </c>
      <c r="L1178">
        <v>389</v>
      </c>
      <c r="M1178" t="s">
        <v>3663</v>
      </c>
    </row>
    <row r="1179" spans="1:13">
      <c r="A1179" t="s">
        <v>13</v>
      </c>
      <c r="B1179">
        <v>1202273</v>
      </c>
      <c r="C1179">
        <v>1203208</v>
      </c>
      <c r="E1179" t="s">
        <v>14</v>
      </c>
      <c r="F1179" t="s">
        <v>3664</v>
      </c>
      <c r="G1179" t="s">
        <v>3665</v>
      </c>
      <c r="H1179">
        <v>0</v>
      </c>
      <c r="I1179" t="s">
        <v>17</v>
      </c>
      <c r="K1179" t="s">
        <v>3666</v>
      </c>
      <c r="L1179">
        <v>311</v>
      </c>
      <c r="M1179" t="s">
        <v>3667</v>
      </c>
    </row>
    <row r="1180" spans="1:13">
      <c r="A1180" t="s">
        <v>13</v>
      </c>
      <c r="B1180">
        <v>1203205</v>
      </c>
      <c r="C1180">
        <v>1204383</v>
      </c>
      <c r="E1180" t="s">
        <v>14</v>
      </c>
      <c r="F1180" t="s">
        <v>3668</v>
      </c>
      <c r="G1180" t="s">
        <v>3669</v>
      </c>
      <c r="H1180">
        <v>0</v>
      </c>
      <c r="I1180" t="s">
        <v>17</v>
      </c>
      <c r="K1180" t="s">
        <v>3670</v>
      </c>
      <c r="L1180">
        <v>392</v>
      </c>
      <c r="M1180" t="s">
        <v>3671</v>
      </c>
    </row>
    <row r="1181" spans="1:13">
      <c r="A1181" t="s">
        <v>13</v>
      </c>
      <c r="B1181">
        <v>1204380</v>
      </c>
      <c r="C1181">
        <v>1205300</v>
      </c>
      <c r="E1181" t="s">
        <v>14</v>
      </c>
      <c r="F1181" t="s">
        <v>3672</v>
      </c>
      <c r="G1181" t="s">
        <v>3673</v>
      </c>
      <c r="H1181">
        <v>0</v>
      </c>
      <c r="I1181" t="s">
        <v>17</v>
      </c>
      <c r="K1181" t="s">
        <v>3674</v>
      </c>
      <c r="L1181">
        <v>306</v>
      </c>
      <c r="M1181" t="s">
        <v>3675</v>
      </c>
    </row>
    <row r="1182" spans="1:13">
      <c r="A1182" t="s">
        <v>13</v>
      </c>
      <c r="B1182">
        <v>1205303</v>
      </c>
      <c r="C1182">
        <v>1205785</v>
      </c>
      <c r="E1182" t="s">
        <v>14</v>
      </c>
      <c r="F1182" t="s">
        <v>3676</v>
      </c>
      <c r="G1182" t="s">
        <v>3677</v>
      </c>
      <c r="H1182">
        <v>0</v>
      </c>
      <c r="I1182" t="s">
        <v>17</v>
      </c>
      <c r="K1182" t="s">
        <v>3678</v>
      </c>
      <c r="L1182">
        <v>160</v>
      </c>
      <c r="M1182" t="s">
        <v>3679</v>
      </c>
    </row>
    <row r="1183" spans="1:13">
      <c r="A1183" t="s">
        <v>13</v>
      </c>
      <c r="B1183">
        <v>1205864</v>
      </c>
      <c r="C1183">
        <v>1207084</v>
      </c>
      <c r="E1183" t="s">
        <v>14</v>
      </c>
      <c r="F1183" t="s">
        <v>3680</v>
      </c>
      <c r="G1183" t="s">
        <v>3681</v>
      </c>
      <c r="H1183">
        <v>0</v>
      </c>
      <c r="I1183" t="s">
        <v>17</v>
      </c>
      <c r="K1183" t="s">
        <v>3682</v>
      </c>
      <c r="L1183">
        <v>406</v>
      </c>
      <c r="M1183" t="s">
        <v>3683</v>
      </c>
    </row>
    <row r="1184" spans="1:13">
      <c r="A1184" t="s">
        <v>13</v>
      </c>
      <c r="B1184">
        <v>1207091</v>
      </c>
      <c r="C1184">
        <v>1208521</v>
      </c>
      <c r="E1184" t="s">
        <v>14</v>
      </c>
      <c r="F1184" t="s">
        <v>3684</v>
      </c>
      <c r="G1184" t="s">
        <v>3685</v>
      </c>
      <c r="H1184">
        <v>0</v>
      </c>
      <c r="I1184" t="s">
        <v>17</v>
      </c>
      <c r="K1184" t="s">
        <v>3686</v>
      </c>
      <c r="L1184">
        <v>476</v>
      </c>
      <c r="M1184" t="s">
        <v>3687</v>
      </c>
    </row>
    <row r="1185" spans="1:13">
      <c r="A1185" t="s">
        <v>13</v>
      </c>
      <c r="B1185">
        <v>1208738</v>
      </c>
      <c r="C1185">
        <v>1210255</v>
      </c>
      <c r="E1185" t="s">
        <v>14</v>
      </c>
      <c r="F1185" t="s">
        <v>3688</v>
      </c>
      <c r="G1185" t="s">
        <v>3689</v>
      </c>
      <c r="H1185">
        <v>0</v>
      </c>
      <c r="I1185" t="s">
        <v>17</v>
      </c>
      <c r="K1185" t="s">
        <v>3690</v>
      </c>
      <c r="L1185">
        <v>505</v>
      </c>
      <c r="M1185" t="s">
        <v>3691</v>
      </c>
    </row>
    <row r="1186" spans="1:13">
      <c r="A1186" t="s">
        <v>13</v>
      </c>
      <c r="B1186">
        <v>1210269</v>
      </c>
      <c r="C1186">
        <v>1211306</v>
      </c>
      <c r="E1186" t="s">
        <v>14</v>
      </c>
      <c r="F1186" t="s">
        <v>3692</v>
      </c>
      <c r="G1186" t="s">
        <v>3693</v>
      </c>
      <c r="H1186">
        <v>0</v>
      </c>
      <c r="I1186" t="s">
        <v>17</v>
      </c>
      <c r="K1186" t="s">
        <v>3694</v>
      </c>
      <c r="L1186">
        <v>345</v>
      </c>
      <c r="M1186" t="s">
        <v>3695</v>
      </c>
    </row>
    <row r="1187" spans="1:13">
      <c r="A1187" t="s">
        <v>13</v>
      </c>
      <c r="B1187">
        <v>1211444</v>
      </c>
      <c r="C1187">
        <v>1212604</v>
      </c>
      <c r="E1187" t="s">
        <v>35</v>
      </c>
      <c r="F1187" t="s">
        <v>456</v>
      </c>
      <c r="G1187" t="s">
        <v>3696</v>
      </c>
      <c r="H1187">
        <v>0</v>
      </c>
      <c r="I1187" t="s">
        <v>17</v>
      </c>
      <c r="K1187" t="s">
        <v>3697</v>
      </c>
      <c r="L1187">
        <v>386</v>
      </c>
      <c r="M1187" t="s">
        <v>3698</v>
      </c>
    </row>
    <row r="1188" spans="1:13">
      <c r="A1188" t="s">
        <v>13</v>
      </c>
      <c r="B1188">
        <v>1212604</v>
      </c>
      <c r="C1188">
        <v>1213386</v>
      </c>
      <c r="E1188" t="s">
        <v>35</v>
      </c>
      <c r="F1188" t="s">
        <v>3699</v>
      </c>
      <c r="G1188" t="s">
        <v>3700</v>
      </c>
      <c r="H1188">
        <v>0</v>
      </c>
      <c r="I1188" t="s">
        <v>17</v>
      </c>
      <c r="K1188" t="s">
        <v>3701</v>
      </c>
      <c r="L1188">
        <v>260</v>
      </c>
      <c r="M1188" t="s">
        <v>3702</v>
      </c>
    </row>
    <row r="1189" spans="1:13">
      <c r="A1189" t="s">
        <v>13</v>
      </c>
      <c r="B1189">
        <v>1213396</v>
      </c>
      <c r="C1189">
        <v>1213599</v>
      </c>
      <c r="E1189" t="s">
        <v>35</v>
      </c>
      <c r="F1189" t="s">
        <v>3703</v>
      </c>
      <c r="H1189">
        <v>0</v>
      </c>
      <c r="I1189" t="s">
        <v>17</v>
      </c>
      <c r="K1189" t="s">
        <v>3704</v>
      </c>
      <c r="L1189">
        <v>67</v>
      </c>
      <c r="M1189" t="s">
        <v>3705</v>
      </c>
    </row>
    <row r="1190" spans="1:13">
      <c r="A1190" t="s">
        <v>13</v>
      </c>
      <c r="B1190">
        <v>1213624</v>
      </c>
      <c r="C1190">
        <v>1214763</v>
      </c>
      <c r="E1190" t="s">
        <v>35</v>
      </c>
      <c r="F1190" t="s">
        <v>3706</v>
      </c>
      <c r="G1190" t="s">
        <v>3707</v>
      </c>
      <c r="H1190">
        <v>0</v>
      </c>
      <c r="I1190" t="s">
        <v>17</v>
      </c>
      <c r="K1190" t="s">
        <v>3708</v>
      </c>
      <c r="L1190">
        <v>379</v>
      </c>
      <c r="M1190" t="s">
        <v>3709</v>
      </c>
    </row>
    <row r="1191" spans="1:13">
      <c r="A1191" t="s">
        <v>13</v>
      </c>
      <c r="B1191">
        <v>1214738</v>
      </c>
      <c r="C1191">
        <v>1215355</v>
      </c>
      <c r="E1191" t="s">
        <v>35</v>
      </c>
      <c r="F1191" t="s">
        <v>3710</v>
      </c>
      <c r="G1191" t="s">
        <v>3711</v>
      </c>
      <c r="H1191">
        <v>0</v>
      </c>
      <c r="I1191" t="s">
        <v>17</v>
      </c>
      <c r="K1191" t="s">
        <v>3712</v>
      </c>
      <c r="L1191">
        <v>205</v>
      </c>
      <c r="M1191" t="s">
        <v>3713</v>
      </c>
    </row>
    <row r="1192" spans="1:13">
      <c r="A1192" t="s">
        <v>13</v>
      </c>
      <c r="B1192">
        <v>1215408</v>
      </c>
      <c r="C1192">
        <v>1217339</v>
      </c>
      <c r="E1192" t="s">
        <v>35</v>
      </c>
      <c r="F1192" t="s">
        <v>3714</v>
      </c>
      <c r="G1192" t="s">
        <v>3715</v>
      </c>
      <c r="H1192">
        <v>0</v>
      </c>
      <c r="I1192" t="s">
        <v>17</v>
      </c>
      <c r="K1192" t="s">
        <v>3716</v>
      </c>
      <c r="L1192">
        <v>643</v>
      </c>
      <c r="M1192" t="s">
        <v>3717</v>
      </c>
    </row>
    <row r="1193" spans="1:13">
      <c r="A1193" t="s">
        <v>13</v>
      </c>
      <c r="B1193">
        <v>1217584</v>
      </c>
      <c r="C1193">
        <v>1217751</v>
      </c>
      <c r="E1193" t="s">
        <v>14</v>
      </c>
      <c r="F1193" t="s">
        <v>28</v>
      </c>
      <c r="H1193">
        <v>0</v>
      </c>
      <c r="I1193" t="s">
        <v>17</v>
      </c>
      <c r="K1193" t="s">
        <v>3718</v>
      </c>
      <c r="L1193">
        <v>55</v>
      </c>
      <c r="M1193" t="s">
        <v>3719</v>
      </c>
    </row>
    <row r="1194" spans="1:13">
      <c r="A1194" t="s">
        <v>13</v>
      </c>
      <c r="B1194">
        <v>1217806</v>
      </c>
      <c r="C1194">
        <v>1219092</v>
      </c>
      <c r="E1194" t="s">
        <v>14</v>
      </c>
      <c r="F1194" t="s">
        <v>3720</v>
      </c>
      <c r="G1194" t="s">
        <v>3721</v>
      </c>
      <c r="H1194">
        <v>0</v>
      </c>
      <c r="I1194" t="s">
        <v>17</v>
      </c>
      <c r="K1194" t="s">
        <v>3722</v>
      </c>
      <c r="L1194">
        <v>428</v>
      </c>
      <c r="M1194" t="s">
        <v>3723</v>
      </c>
    </row>
    <row r="1195" spans="1:13">
      <c r="A1195" t="s">
        <v>13</v>
      </c>
      <c r="B1195">
        <v>1219729</v>
      </c>
      <c r="C1195">
        <v>1221234</v>
      </c>
      <c r="E1195" t="s">
        <v>14</v>
      </c>
      <c r="F1195" t="s">
        <v>2313</v>
      </c>
      <c r="H1195">
        <v>0</v>
      </c>
      <c r="I1195" t="s">
        <v>2314</v>
      </c>
      <c r="M1195" t="s">
        <v>3724</v>
      </c>
    </row>
    <row r="1196" spans="1:13">
      <c r="A1196" t="s">
        <v>13</v>
      </c>
      <c r="B1196">
        <v>1221746</v>
      </c>
      <c r="C1196">
        <v>1224827</v>
      </c>
      <c r="E1196" t="s">
        <v>14</v>
      </c>
      <c r="F1196" t="s">
        <v>2316</v>
      </c>
      <c r="H1196">
        <v>0</v>
      </c>
      <c r="I1196" t="s">
        <v>2314</v>
      </c>
      <c r="M1196" t="s">
        <v>3725</v>
      </c>
    </row>
    <row r="1197" spans="1:13">
      <c r="A1197" t="s">
        <v>13</v>
      </c>
      <c r="B1197">
        <v>1224983</v>
      </c>
      <c r="C1197">
        <v>1225100</v>
      </c>
      <c r="E1197" t="s">
        <v>14</v>
      </c>
      <c r="F1197" t="s">
        <v>2318</v>
      </c>
      <c r="H1197">
        <v>0</v>
      </c>
      <c r="I1197" t="s">
        <v>2314</v>
      </c>
      <c r="M1197" t="s">
        <v>3726</v>
      </c>
    </row>
    <row r="1198" spans="1:13">
      <c r="A1198" t="s">
        <v>13</v>
      </c>
      <c r="B1198">
        <v>1225429</v>
      </c>
      <c r="C1198">
        <v>1225917</v>
      </c>
      <c r="E1198" t="s">
        <v>14</v>
      </c>
      <c r="F1198" t="s">
        <v>28</v>
      </c>
      <c r="H1198">
        <v>0</v>
      </c>
      <c r="I1198" t="s">
        <v>17</v>
      </c>
      <c r="K1198" t="s">
        <v>3727</v>
      </c>
      <c r="L1198">
        <v>162</v>
      </c>
      <c r="M1198" t="s">
        <v>3728</v>
      </c>
    </row>
    <row r="1199" spans="1:13">
      <c r="A1199" t="s">
        <v>13</v>
      </c>
      <c r="B1199">
        <v>1225993</v>
      </c>
      <c r="C1199">
        <v>1226815</v>
      </c>
      <c r="E1199" t="s">
        <v>35</v>
      </c>
      <c r="F1199" t="s">
        <v>290</v>
      </c>
      <c r="H1199">
        <v>0</v>
      </c>
      <c r="I1199" t="s">
        <v>292</v>
      </c>
      <c r="M1199" t="s">
        <v>3729</v>
      </c>
    </row>
    <row r="1200" spans="1:13">
      <c r="A1200" t="s">
        <v>13</v>
      </c>
      <c r="B1200">
        <v>1227235</v>
      </c>
      <c r="C1200">
        <v>1227771</v>
      </c>
      <c r="E1200" t="s">
        <v>14</v>
      </c>
      <c r="F1200" t="s">
        <v>28</v>
      </c>
      <c r="H1200">
        <v>0</v>
      </c>
      <c r="I1200" t="s">
        <v>17</v>
      </c>
      <c r="K1200" t="s">
        <v>3730</v>
      </c>
      <c r="L1200">
        <v>178</v>
      </c>
      <c r="M1200" t="s">
        <v>3731</v>
      </c>
    </row>
    <row r="1201" spans="1:13">
      <c r="A1201" t="s">
        <v>13</v>
      </c>
      <c r="B1201">
        <v>1227678</v>
      </c>
      <c r="C1201">
        <v>1228574</v>
      </c>
      <c r="E1201" t="s">
        <v>35</v>
      </c>
      <c r="F1201" t="s">
        <v>915</v>
      </c>
      <c r="H1201">
        <v>0</v>
      </c>
      <c r="I1201" t="s">
        <v>17</v>
      </c>
      <c r="K1201" t="s">
        <v>3732</v>
      </c>
      <c r="L1201">
        <v>298</v>
      </c>
      <c r="M1201" t="s">
        <v>3733</v>
      </c>
    </row>
    <row r="1202" spans="1:13">
      <c r="A1202" t="s">
        <v>13</v>
      </c>
      <c r="B1202">
        <v>1228571</v>
      </c>
      <c r="C1202">
        <v>1228870</v>
      </c>
      <c r="E1202" t="s">
        <v>35</v>
      </c>
      <c r="F1202" t="s">
        <v>529</v>
      </c>
      <c r="H1202">
        <v>0</v>
      </c>
      <c r="I1202" t="s">
        <v>17</v>
      </c>
      <c r="K1202" t="s">
        <v>3734</v>
      </c>
      <c r="L1202">
        <v>99</v>
      </c>
      <c r="M1202" t="s">
        <v>3735</v>
      </c>
    </row>
    <row r="1203" spans="1:13">
      <c r="A1203" t="s">
        <v>13</v>
      </c>
      <c r="B1203">
        <v>1229003</v>
      </c>
      <c r="C1203">
        <v>1230346</v>
      </c>
      <c r="E1203" t="s">
        <v>14</v>
      </c>
      <c r="F1203" t="s">
        <v>518</v>
      </c>
      <c r="H1203">
        <v>0</v>
      </c>
      <c r="I1203" t="s">
        <v>17</v>
      </c>
      <c r="K1203" t="s">
        <v>3736</v>
      </c>
      <c r="L1203">
        <v>447</v>
      </c>
      <c r="M1203" t="s">
        <v>3737</v>
      </c>
    </row>
    <row r="1204" spans="1:13">
      <c r="A1204" t="s">
        <v>13</v>
      </c>
      <c r="B1204">
        <v>1230497</v>
      </c>
      <c r="C1204">
        <v>1230787</v>
      </c>
      <c r="E1204" t="s">
        <v>14</v>
      </c>
      <c r="F1204" t="s">
        <v>3738</v>
      </c>
      <c r="H1204">
        <v>0</v>
      </c>
      <c r="I1204" t="s">
        <v>17</v>
      </c>
      <c r="K1204" t="s">
        <v>3739</v>
      </c>
      <c r="L1204">
        <v>96</v>
      </c>
      <c r="M1204" t="s">
        <v>3740</v>
      </c>
    </row>
    <row r="1205" spans="1:13">
      <c r="A1205" t="s">
        <v>13</v>
      </c>
      <c r="B1205">
        <v>1230957</v>
      </c>
      <c r="C1205">
        <v>1231778</v>
      </c>
      <c r="E1205" t="s">
        <v>14</v>
      </c>
      <c r="F1205" t="s">
        <v>3741</v>
      </c>
      <c r="H1205">
        <v>0</v>
      </c>
      <c r="I1205" t="s">
        <v>17</v>
      </c>
      <c r="K1205" t="s">
        <v>3742</v>
      </c>
      <c r="L1205">
        <v>273</v>
      </c>
      <c r="M1205" t="s">
        <v>3743</v>
      </c>
    </row>
    <row r="1206" spans="1:13">
      <c r="A1206" t="s">
        <v>13</v>
      </c>
      <c r="B1206">
        <v>1231778</v>
      </c>
      <c r="C1206">
        <v>1232761</v>
      </c>
      <c r="E1206" t="s">
        <v>14</v>
      </c>
      <c r="F1206" t="s">
        <v>3744</v>
      </c>
      <c r="G1206" t="s">
        <v>3745</v>
      </c>
      <c r="H1206">
        <v>0</v>
      </c>
      <c r="I1206" t="s">
        <v>17</v>
      </c>
      <c r="K1206" t="s">
        <v>3746</v>
      </c>
      <c r="L1206">
        <v>327</v>
      </c>
      <c r="M1206" t="s">
        <v>3747</v>
      </c>
    </row>
    <row r="1207" spans="1:13">
      <c r="A1207" t="s">
        <v>13</v>
      </c>
      <c r="B1207">
        <v>1232752</v>
      </c>
      <c r="C1207">
        <v>1232913</v>
      </c>
      <c r="E1207" t="s">
        <v>14</v>
      </c>
      <c r="F1207" t="s">
        <v>28</v>
      </c>
      <c r="H1207">
        <v>0</v>
      </c>
      <c r="I1207" t="s">
        <v>17</v>
      </c>
      <c r="K1207" t="s">
        <v>3748</v>
      </c>
      <c r="L1207">
        <v>53</v>
      </c>
      <c r="M1207" t="s">
        <v>3749</v>
      </c>
    </row>
    <row r="1208" spans="1:13">
      <c r="A1208" t="s">
        <v>13</v>
      </c>
      <c r="B1208">
        <v>1232913</v>
      </c>
      <c r="C1208">
        <v>1233719</v>
      </c>
      <c r="E1208" t="s">
        <v>14</v>
      </c>
      <c r="F1208" t="s">
        <v>3750</v>
      </c>
      <c r="G1208" t="s">
        <v>3751</v>
      </c>
      <c r="H1208">
        <v>0</v>
      </c>
      <c r="I1208" t="s">
        <v>17</v>
      </c>
      <c r="K1208" t="s">
        <v>3752</v>
      </c>
      <c r="L1208">
        <v>268</v>
      </c>
      <c r="M1208" t="s">
        <v>3753</v>
      </c>
    </row>
    <row r="1209" spans="1:13">
      <c r="A1209" t="s">
        <v>13</v>
      </c>
      <c r="B1209">
        <v>1233719</v>
      </c>
      <c r="C1209">
        <v>1234600</v>
      </c>
      <c r="E1209" t="s">
        <v>14</v>
      </c>
      <c r="F1209" t="s">
        <v>3754</v>
      </c>
      <c r="G1209" t="s">
        <v>3755</v>
      </c>
      <c r="H1209">
        <v>0</v>
      </c>
      <c r="I1209" t="s">
        <v>17</v>
      </c>
      <c r="K1209" t="s">
        <v>3756</v>
      </c>
      <c r="L1209">
        <v>293</v>
      </c>
      <c r="M1209" t="s">
        <v>3757</v>
      </c>
    </row>
    <row r="1210" spans="1:13">
      <c r="A1210" t="s">
        <v>13</v>
      </c>
      <c r="B1210">
        <v>1234600</v>
      </c>
      <c r="C1210">
        <v>1236270</v>
      </c>
      <c r="E1210" t="s">
        <v>14</v>
      </c>
      <c r="F1210" t="s">
        <v>3758</v>
      </c>
      <c r="G1210" t="s">
        <v>3759</v>
      </c>
      <c r="H1210">
        <v>0</v>
      </c>
      <c r="I1210" t="s">
        <v>17</v>
      </c>
      <c r="K1210" t="s">
        <v>3760</v>
      </c>
      <c r="L1210">
        <v>556</v>
      </c>
      <c r="M1210" t="s">
        <v>3761</v>
      </c>
    </row>
    <row r="1211" spans="1:13">
      <c r="A1211" t="s">
        <v>13</v>
      </c>
      <c r="B1211">
        <v>1236290</v>
      </c>
      <c r="C1211">
        <v>1237441</v>
      </c>
      <c r="E1211" t="s">
        <v>14</v>
      </c>
      <c r="F1211" t="s">
        <v>28</v>
      </c>
      <c r="H1211">
        <v>0</v>
      </c>
      <c r="I1211" t="s">
        <v>17</v>
      </c>
      <c r="K1211" t="s">
        <v>3762</v>
      </c>
      <c r="L1211">
        <v>383</v>
      </c>
      <c r="M1211" t="s">
        <v>3763</v>
      </c>
    </row>
    <row r="1212" spans="1:13">
      <c r="A1212" t="s">
        <v>13</v>
      </c>
      <c r="B1212">
        <v>1237456</v>
      </c>
      <c r="C1212">
        <v>1238367</v>
      </c>
      <c r="E1212" t="s">
        <v>14</v>
      </c>
      <c r="F1212" t="s">
        <v>3764</v>
      </c>
      <c r="G1212" t="s">
        <v>3765</v>
      </c>
      <c r="H1212">
        <v>0</v>
      </c>
      <c r="I1212" t="s">
        <v>17</v>
      </c>
      <c r="K1212" t="s">
        <v>3766</v>
      </c>
      <c r="L1212">
        <v>303</v>
      </c>
      <c r="M1212" t="s">
        <v>3767</v>
      </c>
    </row>
    <row r="1213" spans="1:13">
      <c r="A1213" t="s">
        <v>13</v>
      </c>
      <c r="B1213">
        <v>1238367</v>
      </c>
      <c r="C1213">
        <v>1239005</v>
      </c>
      <c r="E1213" t="s">
        <v>14</v>
      </c>
      <c r="F1213" t="s">
        <v>3768</v>
      </c>
      <c r="G1213" t="s">
        <v>3769</v>
      </c>
      <c r="H1213">
        <v>0</v>
      </c>
      <c r="I1213" t="s">
        <v>17</v>
      </c>
      <c r="K1213" t="s">
        <v>3770</v>
      </c>
      <c r="L1213">
        <v>212</v>
      </c>
      <c r="M1213" t="s">
        <v>3771</v>
      </c>
    </row>
    <row r="1214" spans="1:13">
      <c r="A1214" t="s">
        <v>13</v>
      </c>
      <c r="B1214">
        <v>1239002</v>
      </c>
      <c r="C1214">
        <v>1239892</v>
      </c>
      <c r="E1214" t="s">
        <v>14</v>
      </c>
      <c r="F1214" t="s">
        <v>3772</v>
      </c>
      <c r="G1214" t="s">
        <v>3773</v>
      </c>
      <c r="H1214">
        <v>0</v>
      </c>
      <c r="I1214" t="s">
        <v>17</v>
      </c>
      <c r="K1214" t="s">
        <v>3774</v>
      </c>
      <c r="L1214">
        <v>296</v>
      </c>
      <c r="M1214" t="s">
        <v>3775</v>
      </c>
    </row>
    <row r="1215" spans="1:13">
      <c r="A1215" t="s">
        <v>13</v>
      </c>
      <c r="B1215">
        <v>1240045</v>
      </c>
      <c r="C1215">
        <v>1240917</v>
      </c>
      <c r="E1215" t="s">
        <v>14</v>
      </c>
      <c r="F1215" t="s">
        <v>3776</v>
      </c>
      <c r="G1215" t="s">
        <v>3777</v>
      </c>
      <c r="H1215">
        <v>0</v>
      </c>
      <c r="I1215" t="s">
        <v>17</v>
      </c>
      <c r="K1215" t="s">
        <v>3778</v>
      </c>
      <c r="L1215">
        <v>290</v>
      </c>
      <c r="M1215" t="s">
        <v>3779</v>
      </c>
    </row>
    <row r="1216" spans="1:13">
      <c r="A1216" t="s">
        <v>13</v>
      </c>
      <c r="B1216">
        <v>1240924</v>
      </c>
      <c r="C1216">
        <v>1241721</v>
      </c>
      <c r="E1216" t="s">
        <v>14</v>
      </c>
      <c r="F1216" t="s">
        <v>3780</v>
      </c>
      <c r="G1216" t="s">
        <v>3781</v>
      </c>
      <c r="H1216">
        <v>0</v>
      </c>
      <c r="I1216" t="s">
        <v>17</v>
      </c>
      <c r="K1216" t="s">
        <v>3782</v>
      </c>
      <c r="L1216">
        <v>265</v>
      </c>
      <c r="M1216" t="s">
        <v>3783</v>
      </c>
    </row>
    <row r="1217" spans="1:13">
      <c r="A1217" t="s">
        <v>13</v>
      </c>
      <c r="B1217">
        <v>1241759</v>
      </c>
      <c r="C1217">
        <v>1242313</v>
      </c>
      <c r="E1217" t="s">
        <v>14</v>
      </c>
      <c r="F1217" t="s">
        <v>3784</v>
      </c>
      <c r="G1217" t="s">
        <v>3785</v>
      </c>
      <c r="H1217">
        <v>0</v>
      </c>
      <c r="I1217" t="s">
        <v>17</v>
      </c>
      <c r="K1217" t="s">
        <v>3786</v>
      </c>
      <c r="L1217">
        <v>184</v>
      </c>
      <c r="M1217" t="s">
        <v>3787</v>
      </c>
    </row>
    <row r="1218" spans="1:13">
      <c r="A1218" t="s">
        <v>13</v>
      </c>
      <c r="B1218">
        <v>1242369</v>
      </c>
      <c r="C1218">
        <v>1243280</v>
      </c>
      <c r="E1218" t="s">
        <v>14</v>
      </c>
      <c r="F1218" t="s">
        <v>3788</v>
      </c>
      <c r="G1218" t="s">
        <v>3789</v>
      </c>
      <c r="H1218">
        <v>0</v>
      </c>
      <c r="I1218" t="s">
        <v>17</v>
      </c>
      <c r="K1218" t="s">
        <v>3790</v>
      </c>
      <c r="L1218">
        <v>303</v>
      </c>
      <c r="M1218" t="s">
        <v>3791</v>
      </c>
    </row>
    <row r="1219" spans="1:13">
      <c r="A1219" t="s">
        <v>13</v>
      </c>
      <c r="B1219">
        <v>1243280</v>
      </c>
      <c r="C1219">
        <v>1243972</v>
      </c>
      <c r="E1219" t="s">
        <v>14</v>
      </c>
      <c r="F1219" t="s">
        <v>3792</v>
      </c>
      <c r="G1219" t="s">
        <v>3793</v>
      </c>
      <c r="H1219">
        <v>0</v>
      </c>
      <c r="I1219" t="s">
        <v>17</v>
      </c>
      <c r="K1219" t="s">
        <v>3794</v>
      </c>
      <c r="L1219">
        <v>230</v>
      </c>
      <c r="M1219" t="s">
        <v>3795</v>
      </c>
    </row>
    <row r="1220" spans="1:13">
      <c r="A1220" t="s">
        <v>13</v>
      </c>
      <c r="B1220">
        <v>1243969</v>
      </c>
      <c r="C1220">
        <v>1245552</v>
      </c>
      <c r="E1220" t="s">
        <v>14</v>
      </c>
      <c r="F1220" t="s">
        <v>3796</v>
      </c>
      <c r="G1220" t="s">
        <v>3797</v>
      </c>
      <c r="H1220">
        <v>0</v>
      </c>
      <c r="I1220" t="s">
        <v>17</v>
      </c>
      <c r="K1220" t="s">
        <v>3798</v>
      </c>
      <c r="L1220">
        <v>527</v>
      </c>
      <c r="M1220" t="s">
        <v>3799</v>
      </c>
    </row>
    <row r="1221" spans="1:13">
      <c r="A1221" t="s">
        <v>13</v>
      </c>
      <c r="B1221">
        <v>1245700</v>
      </c>
      <c r="C1221">
        <v>1246296</v>
      </c>
      <c r="E1221" t="s">
        <v>14</v>
      </c>
      <c r="F1221" t="s">
        <v>2574</v>
      </c>
      <c r="G1221" t="s">
        <v>3800</v>
      </c>
      <c r="H1221">
        <v>0</v>
      </c>
      <c r="I1221" t="s">
        <v>17</v>
      </c>
      <c r="K1221" t="s">
        <v>3801</v>
      </c>
      <c r="L1221">
        <v>198</v>
      </c>
      <c r="M1221" t="s">
        <v>3802</v>
      </c>
    </row>
    <row r="1222" spans="1:13">
      <c r="A1222" t="s">
        <v>13</v>
      </c>
      <c r="B1222">
        <v>1246582</v>
      </c>
      <c r="C1222">
        <v>1247967</v>
      </c>
      <c r="E1222" t="s">
        <v>14</v>
      </c>
      <c r="F1222" t="s">
        <v>3803</v>
      </c>
      <c r="G1222" t="s">
        <v>3804</v>
      </c>
      <c r="H1222">
        <v>0</v>
      </c>
      <c r="I1222" t="s">
        <v>17</v>
      </c>
      <c r="K1222" t="s">
        <v>3805</v>
      </c>
      <c r="L1222">
        <v>461</v>
      </c>
      <c r="M1222" t="s">
        <v>3806</v>
      </c>
    </row>
    <row r="1223" spans="1:13">
      <c r="A1223" t="s">
        <v>13</v>
      </c>
      <c r="B1223">
        <v>1247968</v>
      </c>
      <c r="C1223">
        <v>1248783</v>
      </c>
      <c r="E1223" t="s">
        <v>35</v>
      </c>
      <c r="F1223" t="s">
        <v>28</v>
      </c>
      <c r="H1223">
        <v>0</v>
      </c>
      <c r="I1223" t="s">
        <v>17</v>
      </c>
      <c r="K1223" t="s">
        <v>3807</v>
      </c>
      <c r="L1223">
        <v>271</v>
      </c>
      <c r="M1223" t="s">
        <v>3808</v>
      </c>
    </row>
    <row r="1224" spans="1:13">
      <c r="A1224" t="s">
        <v>13</v>
      </c>
      <c r="B1224">
        <v>1248887</v>
      </c>
      <c r="C1224">
        <v>1250254</v>
      </c>
      <c r="E1224" t="s">
        <v>14</v>
      </c>
      <c r="F1224" t="s">
        <v>3809</v>
      </c>
      <c r="G1224" t="s">
        <v>3810</v>
      </c>
      <c r="H1224">
        <v>0</v>
      </c>
      <c r="I1224" t="s">
        <v>17</v>
      </c>
      <c r="K1224" t="s">
        <v>3811</v>
      </c>
      <c r="L1224">
        <v>455</v>
      </c>
      <c r="M1224" t="s">
        <v>3812</v>
      </c>
    </row>
    <row r="1225" spans="1:13">
      <c r="A1225" t="s">
        <v>13</v>
      </c>
      <c r="B1225">
        <v>1250254</v>
      </c>
      <c r="C1225">
        <v>1251996</v>
      </c>
      <c r="E1225" t="s">
        <v>14</v>
      </c>
      <c r="F1225" t="s">
        <v>3813</v>
      </c>
      <c r="G1225" t="s">
        <v>3814</v>
      </c>
      <c r="H1225">
        <v>0</v>
      </c>
      <c r="I1225" t="s">
        <v>17</v>
      </c>
      <c r="K1225" t="s">
        <v>3815</v>
      </c>
      <c r="L1225">
        <v>580</v>
      </c>
      <c r="M1225" t="s">
        <v>3816</v>
      </c>
    </row>
    <row r="1226" spans="1:13">
      <c r="A1226" t="s">
        <v>13</v>
      </c>
      <c r="B1226">
        <v>1251993</v>
      </c>
      <c r="C1226">
        <v>1252973</v>
      </c>
      <c r="E1226" t="s">
        <v>14</v>
      </c>
      <c r="F1226" t="s">
        <v>3817</v>
      </c>
      <c r="H1226">
        <v>0</v>
      </c>
      <c r="I1226" t="s">
        <v>17</v>
      </c>
      <c r="K1226" t="s">
        <v>3818</v>
      </c>
      <c r="L1226">
        <v>326</v>
      </c>
      <c r="M1226" t="s">
        <v>3819</v>
      </c>
    </row>
    <row r="1227" spans="1:13">
      <c r="A1227" t="s">
        <v>13</v>
      </c>
      <c r="B1227">
        <v>1252970</v>
      </c>
      <c r="C1227">
        <v>1254220</v>
      </c>
      <c r="E1227" t="s">
        <v>35</v>
      </c>
      <c r="F1227" t="s">
        <v>3820</v>
      </c>
      <c r="H1227">
        <v>0</v>
      </c>
      <c r="I1227" t="s">
        <v>17</v>
      </c>
      <c r="K1227" t="s">
        <v>3821</v>
      </c>
      <c r="L1227">
        <v>416</v>
      </c>
      <c r="M1227" t="s">
        <v>3822</v>
      </c>
    </row>
    <row r="1228" spans="1:13">
      <c r="A1228" t="s">
        <v>13</v>
      </c>
      <c r="B1228">
        <v>1254382</v>
      </c>
      <c r="C1228">
        <v>1254579</v>
      </c>
      <c r="E1228" t="s">
        <v>14</v>
      </c>
      <c r="F1228" t="s">
        <v>28</v>
      </c>
      <c r="H1228">
        <v>0</v>
      </c>
      <c r="I1228" t="s">
        <v>17</v>
      </c>
      <c r="K1228" t="s">
        <v>3823</v>
      </c>
      <c r="L1228">
        <v>65</v>
      </c>
      <c r="M1228" t="s">
        <v>3824</v>
      </c>
    </row>
    <row r="1229" spans="1:13">
      <c r="A1229" t="s">
        <v>13</v>
      </c>
      <c r="B1229">
        <v>1254708</v>
      </c>
      <c r="C1229">
        <v>1255325</v>
      </c>
      <c r="E1229" t="s">
        <v>35</v>
      </c>
      <c r="F1229" t="s">
        <v>3825</v>
      </c>
      <c r="G1229" t="s">
        <v>3826</v>
      </c>
      <c r="H1229">
        <v>0</v>
      </c>
      <c r="I1229" t="s">
        <v>17</v>
      </c>
      <c r="K1229" t="s">
        <v>3827</v>
      </c>
      <c r="L1229">
        <v>205</v>
      </c>
      <c r="M1229" t="s">
        <v>3828</v>
      </c>
    </row>
    <row r="1230" spans="1:13">
      <c r="A1230" t="s">
        <v>13</v>
      </c>
      <c r="B1230">
        <v>1255318</v>
      </c>
      <c r="C1230">
        <v>1256454</v>
      </c>
      <c r="E1230" t="s">
        <v>35</v>
      </c>
      <c r="F1230" t="s">
        <v>2712</v>
      </c>
      <c r="G1230" t="s">
        <v>3829</v>
      </c>
      <c r="H1230">
        <v>0</v>
      </c>
      <c r="I1230" t="s">
        <v>17</v>
      </c>
      <c r="K1230" t="s">
        <v>3830</v>
      </c>
      <c r="L1230">
        <v>378</v>
      </c>
      <c r="M1230" t="s">
        <v>3831</v>
      </c>
    </row>
    <row r="1231" spans="1:13">
      <c r="A1231" t="s">
        <v>13</v>
      </c>
      <c r="B1231">
        <v>1256454</v>
      </c>
      <c r="C1231">
        <v>1257209</v>
      </c>
      <c r="E1231" t="s">
        <v>35</v>
      </c>
      <c r="F1231" t="s">
        <v>28</v>
      </c>
      <c r="H1231">
        <v>0</v>
      </c>
      <c r="I1231" t="s">
        <v>17</v>
      </c>
      <c r="K1231" t="s">
        <v>3832</v>
      </c>
      <c r="L1231">
        <v>251</v>
      </c>
      <c r="M1231" t="s">
        <v>3833</v>
      </c>
    </row>
    <row r="1232" spans="1:13">
      <c r="A1232" t="s">
        <v>13</v>
      </c>
      <c r="B1232">
        <v>1257293</v>
      </c>
      <c r="C1232">
        <v>1258219</v>
      </c>
      <c r="E1232" t="s">
        <v>35</v>
      </c>
      <c r="F1232" t="s">
        <v>3147</v>
      </c>
      <c r="G1232" t="s">
        <v>3834</v>
      </c>
      <c r="H1232">
        <v>0</v>
      </c>
      <c r="I1232" t="s">
        <v>17</v>
      </c>
      <c r="K1232" t="s">
        <v>3835</v>
      </c>
      <c r="L1232">
        <v>308</v>
      </c>
      <c r="M1232" t="s">
        <v>3836</v>
      </c>
    </row>
    <row r="1233" spans="1:13">
      <c r="A1233" t="s">
        <v>13</v>
      </c>
      <c r="B1233">
        <v>1258316</v>
      </c>
      <c r="C1233">
        <v>1258885</v>
      </c>
      <c r="E1233" t="s">
        <v>14</v>
      </c>
      <c r="F1233" t="s">
        <v>3837</v>
      </c>
      <c r="H1233">
        <v>0</v>
      </c>
      <c r="I1233" t="s">
        <v>17</v>
      </c>
      <c r="K1233" t="s">
        <v>3838</v>
      </c>
      <c r="L1233">
        <v>189</v>
      </c>
      <c r="M1233" t="s">
        <v>3839</v>
      </c>
    </row>
    <row r="1234" spans="1:13">
      <c r="A1234" t="s">
        <v>13</v>
      </c>
      <c r="B1234">
        <v>1258944</v>
      </c>
      <c r="C1234">
        <v>1259018</v>
      </c>
      <c r="E1234" t="s">
        <v>35</v>
      </c>
      <c r="F1234" t="s">
        <v>679</v>
      </c>
      <c r="H1234">
        <v>0</v>
      </c>
      <c r="I1234" t="s">
        <v>53</v>
      </c>
      <c r="M1234" t="s">
        <v>3840</v>
      </c>
    </row>
    <row r="1235" spans="1:13">
      <c r="A1235" t="s">
        <v>13</v>
      </c>
      <c r="B1235">
        <v>1259095</v>
      </c>
      <c r="C1235">
        <v>1259493</v>
      </c>
      <c r="E1235" t="s">
        <v>35</v>
      </c>
      <c r="F1235" t="s">
        <v>28</v>
      </c>
      <c r="H1235">
        <v>0</v>
      </c>
      <c r="I1235" t="s">
        <v>17</v>
      </c>
      <c r="K1235" t="s">
        <v>3841</v>
      </c>
      <c r="L1235">
        <v>132</v>
      </c>
      <c r="M1235" t="s">
        <v>3842</v>
      </c>
    </row>
    <row r="1236" spans="1:13">
      <c r="A1236" t="s">
        <v>13</v>
      </c>
      <c r="B1236">
        <v>1259493</v>
      </c>
      <c r="C1236">
        <v>1260653</v>
      </c>
      <c r="E1236" t="s">
        <v>35</v>
      </c>
      <c r="F1236" t="s">
        <v>1567</v>
      </c>
      <c r="H1236">
        <v>0</v>
      </c>
      <c r="I1236" t="s">
        <v>17</v>
      </c>
      <c r="K1236" t="s">
        <v>3843</v>
      </c>
      <c r="L1236">
        <v>386</v>
      </c>
      <c r="M1236" t="s">
        <v>3844</v>
      </c>
    </row>
    <row r="1237" spans="1:13">
      <c r="A1237" t="s">
        <v>13</v>
      </c>
      <c r="B1237">
        <v>1260741</v>
      </c>
      <c r="C1237">
        <v>1263032</v>
      </c>
      <c r="E1237" t="s">
        <v>14</v>
      </c>
      <c r="F1237" t="s">
        <v>2142</v>
      </c>
      <c r="H1237">
        <v>0</v>
      </c>
      <c r="I1237" t="s">
        <v>17</v>
      </c>
      <c r="K1237" t="s">
        <v>3845</v>
      </c>
      <c r="L1237">
        <v>763</v>
      </c>
      <c r="M1237" t="s">
        <v>3846</v>
      </c>
    </row>
    <row r="1238" spans="1:13">
      <c r="A1238" t="s">
        <v>13</v>
      </c>
      <c r="B1238">
        <v>1263118</v>
      </c>
      <c r="C1238">
        <v>1263552</v>
      </c>
      <c r="E1238" t="s">
        <v>14</v>
      </c>
      <c r="F1238" t="s">
        <v>3847</v>
      </c>
      <c r="G1238" t="s">
        <v>3848</v>
      </c>
      <c r="H1238">
        <v>0</v>
      </c>
      <c r="I1238" t="s">
        <v>17</v>
      </c>
      <c r="K1238" t="s">
        <v>3849</v>
      </c>
      <c r="L1238">
        <v>144</v>
      </c>
      <c r="M1238" t="s">
        <v>3850</v>
      </c>
    </row>
    <row r="1239" spans="1:13">
      <c r="A1239" t="s">
        <v>13</v>
      </c>
      <c r="B1239">
        <v>1263722</v>
      </c>
      <c r="C1239">
        <v>1264399</v>
      </c>
      <c r="E1239" t="s">
        <v>14</v>
      </c>
      <c r="F1239" t="s">
        <v>3851</v>
      </c>
      <c r="H1239">
        <v>0</v>
      </c>
      <c r="I1239" t="s">
        <v>17</v>
      </c>
      <c r="K1239" t="s">
        <v>3852</v>
      </c>
      <c r="L1239">
        <v>225</v>
      </c>
      <c r="M1239" t="s">
        <v>3853</v>
      </c>
    </row>
    <row r="1240" spans="1:13">
      <c r="A1240" t="s">
        <v>13</v>
      </c>
      <c r="B1240">
        <v>1264438</v>
      </c>
      <c r="C1240">
        <v>1265031</v>
      </c>
      <c r="E1240" t="s">
        <v>14</v>
      </c>
      <c r="F1240" t="s">
        <v>28</v>
      </c>
      <c r="H1240">
        <v>0</v>
      </c>
      <c r="I1240" t="s">
        <v>17</v>
      </c>
      <c r="K1240" t="s">
        <v>3854</v>
      </c>
      <c r="L1240">
        <v>197</v>
      </c>
      <c r="M1240" t="s">
        <v>3855</v>
      </c>
    </row>
    <row r="1241" spans="1:13">
      <c r="A1241" t="s">
        <v>13</v>
      </c>
      <c r="B1241">
        <v>1265178</v>
      </c>
      <c r="C1241">
        <v>1265741</v>
      </c>
      <c r="E1241" t="s">
        <v>14</v>
      </c>
      <c r="F1241" t="s">
        <v>28</v>
      </c>
      <c r="H1241">
        <v>0</v>
      </c>
      <c r="I1241" t="s">
        <v>17</v>
      </c>
      <c r="K1241" t="s">
        <v>3856</v>
      </c>
      <c r="L1241">
        <v>187</v>
      </c>
      <c r="M1241" t="s">
        <v>3857</v>
      </c>
    </row>
    <row r="1242" spans="1:13">
      <c r="A1242" t="s">
        <v>13</v>
      </c>
      <c r="B1242">
        <v>1265804</v>
      </c>
      <c r="C1242">
        <v>1266643</v>
      </c>
      <c r="E1242" t="s">
        <v>35</v>
      </c>
      <c r="F1242" t="s">
        <v>28</v>
      </c>
      <c r="H1242">
        <v>0</v>
      </c>
      <c r="I1242" t="s">
        <v>17</v>
      </c>
      <c r="K1242" t="s">
        <v>3858</v>
      </c>
      <c r="L1242">
        <v>279</v>
      </c>
      <c r="M1242" t="s">
        <v>3859</v>
      </c>
    </row>
    <row r="1243" spans="1:13">
      <c r="A1243" t="s">
        <v>13</v>
      </c>
      <c r="B1243">
        <v>1266693</v>
      </c>
      <c r="C1243">
        <v>1267541</v>
      </c>
      <c r="E1243" t="s">
        <v>35</v>
      </c>
      <c r="F1243" t="s">
        <v>28</v>
      </c>
      <c r="H1243">
        <v>0</v>
      </c>
      <c r="I1243" t="s">
        <v>17</v>
      </c>
      <c r="K1243" t="s">
        <v>3860</v>
      </c>
      <c r="L1243">
        <v>282</v>
      </c>
      <c r="M1243" t="s">
        <v>3861</v>
      </c>
    </row>
    <row r="1244" spans="1:13">
      <c r="A1244" t="s">
        <v>13</v>
      </c>
      <c r="B1244">
        <v>1267573</v>
      </c>
      <c r="C1244">
        <v>1268880</v>
      </c>
      <c r="E1244" t="s">
        <v>35</v>
      </c>
      <c r="F1244" t="s">
        <v>3862</v>
      </c>
      <c r="G1244" t="s">
        <v>3863</v>
      </c>
      <c r="H1244">
        <v>0</v>
      </c>
      <c r="I1244" t="s">
        <v>17</v>
      </c>
      <c r="K1244" t="s">
        <v>3864</v>
      </c>
      <c r="L1244">
        <v>435</v>
      </c>
      <c r="M1244" t="s">
        <v>3865</v>
      </c>
    </row>
    <row r="1245" spans="1:13">
      <c r="A1245" t="s">
        <v>13</v>
      </c>
      <c r="B1245">
        <v>1269108</v>
      </c>
      <c r="C1245">
        <v>1270637</v>
      </c>
      <c r="E1245" t="s">
        <v>14</v>
      </c>
      <c r="F1245" t="s">
        <v>3866</v>
      </c>
      <c r="G1245" t="s">
        <v>3867</v>
      </c>
      <c r="H1245">
        <v>0</v>
      </c>
      <c r="I1245" t="s">
        <v>17</v>
      </c>
      <c r="K1245" t="s">
        <v>3868</v>
      </c>
      <c r="L1245">
        <v>509</v>
      </c>
      <c r="M1245" t="s">
        <v>3869</v>
      </c>
    </row>
    <row r="1246" spans="1:13">
      <c r="A1246" t="s">
        <v>13</v>
      </c>
      <c r="B1246">
        <v>1270700</v>
      </c>
      <c r="C1246">
        <v>1272151</v>
      </c>
      <c r="E1246" t="s">
        <v>35</v>
      </c>
      <c r="F1246" t="s">
        <v>3870</v>
      </c>
      <c r="G1246" t="s">
        <v>3871</v>
      </c>
      <c r="H1246">
        <v>0</v>
      </c>
      <c r="I1246" t="s">
        <v>17</v>
      </c>
      <c r="K1246" t="s">
        <v>3872</v>
      </c>
      <c r="L1246">
        <v>483</v>
      </c>
      <c r="M1246" t="s">
        <v>3873</v>
      </c>
    </row>
    <row r="1247" spans="1:13">
      <c r="A1247" t="s">
        <v>13</v>
      </c>
      <c r="B1247">
        <v>1272211</v>
      </c>
      <c r="C1247">
        <v>1272666</v>
      </c>
      <c r="E1247" t="s">
        <v>14</v>
      </c>
      <c r="F1247" t="s">
        <v>3817</v>
      </c>
      <c r="H1247">
        <v>0</v>
      </c>
      <c r="I1247" t="s">
        <v>17</v>
      </c>
      <c r="K1247" t="s">
        <v>3874</v>
      </c>
      <c r="L1247">
        <v>151</v>
      </c>
      <c r="M1247" t="s">
        <v>3875</v>
      </c>
    </row>
    <row r="1248" spans="1:13">
      <c r="A1248" t="s">
        <v>13</v>
      </c>
      <c r="B1248">
        <v>1272663</v>
      </c>
      <c r="C1248">
        <v>1273736</v>
      </c>
      <c r="E1248" t="s">
        <v>35</v>
      </c>
      <c r="F1248" t="s">
        <v>3876</v>
      </c>
      <c r="G1248" t="s">
        <v>3877</v>
      </c>
      <c r="H1248">
        <v>0</v>
      </c>
      <c r="I1248" t="s">
        <v>17</v>
      </c>
      <c r="K1248" t="s">
        <v>3878</v>
      </c>
      <c r="L1248">
        <v>357</v>
      </c>
      <c r="M1248" t="s">
        <v>3879</v>
      </c>
    </row>
    <row r="1249" spans="1:13">
      <c r="A1249" t="s">
        <v>13</v>
      </c>
      <c r="B1249">
        <v>1273853</v>
      </c>
      <c r="C1249">
        <v>1274455</v>
      </c>
      <c r="E1249" t="s">
        <v>14</v>
      </c>
      <c r="F1249" t="s">
        <v>3880</v>
      </c>
      <c r="G1249" t="s">
        <v>3881</v>
      </c>
      <c r="H1249">
        <v>0</v>
      </c>
      <c r="I1249" t="s">
        <v>17</v>
      </c>
      <c r="K1249" t="s">
        <v>3882</v>
      </c>
      <c r="L1249">
        <v>200</v>
      </c>
      <c r="M1249" t="s">
        <v>3883</v>
      </c>
    </row>
    <row r="1250" spans="1:13">
      <c r="A1250" t="s">
        <v>13</v>
      </c>
      <c r="B1250">
        <v>1274460</v>
      </c>
      <c r="C1250">
        <v>1275995</v>
      </c>
      <c r="E1250" t="s">
        <v>35</v>
      </c>
      <c r="F1250" t="s">
        <v>3884</v>
      </c>
      <c r="G1250" t="s">
        <v>3885</v>
      </c>
      <c r="H1250">
        <v>0</v>
      </c>
      <c r="I1250" t="s">
        <v>17</v>
      </c>
      <c r="K1250" t="s">
        <v>3886</v>
      </c>
      <c r="L1250">
        <v>511</v>
      </c>
      <c r="M1250" t="s">
        <v>3887</v>
      </c>
    </row>
    <row r="1251" spans="1:13">
      <c r="A1251" t="s">
        <v>13</v>
      </c>
      <c r="B1251">
        <v>1275988</v>
      </c>
      <c r="C1251">
        <v>1276617</v>
      </c>
      <c r="E1251" t="s">
        <v>35</v>
      </c>
      <c r="F1251" t="s">
        <v>3710</v>
      </c>
      <c r="G1251" t="s">
        <v>3888</v>
      </c>
      <c r="H1251">
        <v>0</v>
      </c>
      <c r="I1251" t="s">
        <v>17</v>
      </c>
      <c r="K1251" t="s">
        <v>3889</v>
      </c>
      <c r="L1251">
        <v>209</v>
      </c>
      <c r="M1251" t="s">
        <v>3890</v>
      </c>
    </row>
    <row r="1252" spans="1:13">
      <c r="A1252" t="s">
        <v>13</v>
      </c>
      <c r="B1252">
        <v>1276614</v>
      </c>
      <c r="C1252">
        <v>1277507</v>
      </c>
      <c r="E1252" t="s">
        <v>35</v>
      </c>
      <c r="F1252" t="s">
        <v>3891</v>
      </c>
      <c r="G1252" t="s">
        <v>3892</v>
      </c>
      <c r="H1252">
        <v>0</v>
      </c>
      <c r="I1252" t="s">
        <v>17</v>
      </c>
      <c r="K1252" t="s">
        <v>3893</v>
      </c>
      <c r="L1252">
        <v>297</v>
      </c>
      <c r="M1252" t="s">
        <v>3894</v>
      </c>
    </row>
    <row r="1253" spans="1:13">
      <c r="A1253" t="s">
        <v>13</v>
      </c>
      <c r="B1253">
        <v>1277626</v>
      </c>
      <c r="C1253">
        <v>1278975</v>
      </c>
      <c r="E1253" t="s">
        <v>35</v>
      </c>
      <c r="F1253" t="s">
        <v>3895</v>
      </c>
      <c r="H1253">
        <v>0</v>
      </c>
      <c r="I1253" t="s">
        <v>17</v>
      </c>
      <c r="K1253" t="s">
        <v>3896</v>
      </c>
      <c r="L1253">
        <v>449</v>
      </c>
      <c r="M1253" t="s">
        <v>3897</v>
      </c>
    </row>
    <row r="1254" spans="1:13">
      <c r="A1254" t="s">
        <v>13</v>
      </c>
      <c r="B1254">
        <v>1279180</v>
      </c>
      <c r="C1254">
        <v>1280493</v>
      </c>
      <c r="E1254" t="s">
        <v>14</v>
      </c>
      <c r="F1254" t="s">
        <v>3898</v>
      </c>
      <c r="H1254">
        <v>0</v>
      </c>
      <c r="I1254" t="s">
        <v>17</v>
      </c>
      <c r="K1254" t="s">
        <v>3899</v>
      </c>
      <c r="L1254">
        <v>437</v>
      </c>
      <c r="M1254" t="s">
        <v>3900</v>
      </c>
    </row>
    <row r="1255" spans="1:13">
      <c r="A1255" t="s">
        <v>13</v>
      </c>
      <c r="B1255">
        <v>1280509</v>
      </c>
      <c r="C1255">
        <v>1281426</v>
      </c>
      <c r="E1255" t="s">
        <v>35</v>
      </c>
      <c r="F1255" t="s">
        <v>3901</v>
      </c>
      <c r="G1255" t="s">
        <v>3902</v>
      </c>
      <c r="H1255">
        <v>0</v>
      </c>
      <c r="I1255" t="s">
        <v>17</v>
      </c>
      <c r="K1255" t="s">
        <v>3903</v>
      </c>
      <c r="L1255">
        <v>305</v>
      </c>
      <c r="M1255" t="s">
        <v>3904</v>
      </c>
    </row>
    <row r="1256" spans="1:13">
      <c r="A1256" t="s">
        <v>13</v>
      </c>
      <c r="B1256">
        <v>1282057</v>
      </c>
      <c r="C1256">
        <v>1282221</v>
      </c>
      <c r="E1256" t="s">
        <v>35</v>
      </c>
      <c r="F1256" t="s">
        <v>28</v>
      </c>
      <c r="H1256">
        <v>0</v>
      </c>
      <c r="I1256" t="s">
        <v>17</v>
      </c>
      <c r="K1256" t="s">
        <v>3905</v>
      </c>
      <c r="L1256">
        <v>54</v>
      </c>
      <c r="M1256" t="s">
        <v>3906</v>
      </c>
    </row>
    <row r="1257" spans="1:13">
      <c r="A1257" t="s">
        <v>13</v>
      </c>
      <c r="B1257">
        <v>1282238</v>
      </c>
      <c r="C1257">
        <v>1282939</v>
      </c>
      <c r="E1257" t="s">
        <v>35</v>
      </c>
      <c r="F1257" t="s">
        <v>3907</v>
      </c>
      <c r="H1257">
        <v>0</v>
      </c>
      <c r="I1257" t="s">
        <v>17</v>
      </c>
      <c r="K1257" t="s">
        <v>3908</v>
      </c>
      <c r="L1257">
        <v>233</v>
      </c>
      <c r="M1257" t="s">
        <v>3909</v>
      </c>
    </row>
    <row r="1258" spans="1:13">
      <c r="A1258" t="s">
        <v>13</v>
      </c>
      <c r="B1258">
        <v>1283412</v>
      </c>
      <c r="C1258">
        <v>1283789</v>
      </c>
      <c r="E1258" t="s">
        <v>14</v>
      </c>
      <c r="F1258" t="s">
        <v>3910</v>
      </c>
      <c r="G1258" t="s">
        <v>3911</v>
      </c>
      <c r="H1258">
        <v>0</v>
      </c>
      <c r="I1258" t="s">
        <v>17</v>
      </c>
      <c r="K1258" t="s">
        <v>3912</v>
      </c>
      <c r="L1258">
        <v>125</v>
      </c>
      <c r="M1258" t="s">
        <v>3913</v>
      </c>
    </row>
    <row r="1259" spans="1:13">
      <c r="A1259" t="s">
        <v>13</v>
      </c>
      <c r="B1259">
        <v>1283868</v>
      </c>
      <c r="C1259">
        <v>1284767</v>
      </c>
      <c r="E1259" t="s">
        <v>35</v>
      </c>
      <c r="F1259" t="s">
        <v>3914</v>
      </c>
      <c r="H1259">
        <v>0</v>
      </c>
      <c r="I1259" t="s">
        <v>17</v>
      </c>
      <c r="K1259" t="s">
        <v>3915</v>
      </c>
      <c r="L1259">
        <v>299</v>
      </c>
      <c r="M1259" t="s">
        <v>3916</v>
      </c>
    </row>
    <row r="1260" spans="1:13">
      <c r="A1260" t="s">
        <v>13</v>
      </c>
      <c r="B1260">
        <v>1284782</v>
      </c>
      <c r="C1260">
        <v>1286299</v>
      </c>
      <c r="E1260" t="s">
        <v>35</v>
      </c>
      <c r="F1260" t="s">
        <v>3917</v>
      </c>
      <c r="G1260" t="s">
        <v>3918</v>
      </c>
      <c r="H1260">
        <v>0</v>
      </c>
      <c r="I1260" t="s">
        <v>17</v>
      </c>
      <c r="K1260" t="s">
        <v>3919</v>
      </c>
      <c r="L1260">
        <v>505</v>
      </c>
      <c r="M1260" t="s">
        <v>3920</v>
      </c>
    </row>
    <row r="1261" spans="1:13">
      <c r="A1261" t="s">
        <v>13</v>
      </c>
      <c r="B1261">
        <v>1286300</v>
      </c>
      <c r="C1261">
        <v>1286923</v>
      </c>
      <c r="E1261" t="s">
        <v>35</v>
      </c>
      <c r="F1261" t="s">
        <v>3921</v>
      </c>
      <c r="H1261">
        <v>0</v>
      </c>
      <c r="I1261" t="s">
        <v>17</v>
      </c>
      <c r="K1261" t="s">
        <v>3922</v>
      </c>
      <c r="L1261">
        <v>207</v>
      </c>
      <c r="M1261" t="s">
        <v>3923</v>
      </c>
    </row>
    <row r="1262" spans="1:13">
      <c r="A1262" t="s">
        <v>13</v>
      </c>
      <c r="B1262">
        <v>1286934</v>
      </c>
      <c r="C1262">
        <v>1287770</v>
      </c>
      <c r="E1262" t="s">
        <v>14</v>
      </c>
      <c r="F1262" t="s">
        <v>28</v>
      </c>
      <c r="H1262">
        <v>0</v>
      </c>
      <c r="I1262" t="s">
        <v>17</v>
      </c>
      <c r="K1262" t="s">
        <v>3924</v>
      </c>
      <c r="L1262">
        <v>278</v>
      </c>
      <c r="M1262" t="s">
        <v>3925</v>
      </c>
    </row>
    <row r="1263" spans="1:13">
      <c r="A1263" t="s">
        <v>13</v>
      </c>
      <c r="B1263">
        <v>1287776</v>
      </c>
      <c r="C1263">
        <v>1288522</v>
      </c>
      <c r="E1263" t="s">
        <v>35</v>
      </c>
      <c r="F1263" t="s">
        <v>1645</v>
      </c>
      <c r="H1263">
        <v>0</v>
      </c>
      <c r="I1263" t="s">
        <v>17</v>
      </c>
      <c r="K1263" t="s">
        <v>3926</v>
      </c>
      <c r="L1263">
        <v>248</v>
      </c>
      <c r="M1263" t="s">
        <v>3927</v>
      </c>
    </row>
    <row r="1264" spans="1:13">
      <c r="A1264" t="s">
        <v>13</v>
      </c>
      <c r="B1264">
        <v>1288523</v>
      </c>
      <c r="C1264">
        <v>1289644</v>
      </c>
      <c r="E1264" t="s">
        <v>35</v>
      </c>
      <c r="F1264" t="s">
        <v>3928</v>
      </c>
      <c r="G1264" t="s">
        <v>3929</v>
      </c>
      <c r="H1264">
        <v>0</v>
      </c>
      <c r="I1264" t="s">
        <v>17</v>
      </c>
      <c r="K1264" t="s">
        <v>3930</v>
      </c>
      <c r="L1264">
        <v>373</v>
      </c>
      <c r="M1264" t="s">
        <v>3931</v>
      </c>
    </row>
    <row r="1265" spans="1:13">
      <c r="A1265" t="s">
        <v>13</v>
      </c>
      <c r="B1265">
        <v>1289680</v>
      </c>
      <c r="C1265">
        <v>1292496</v>
      </c>
      <c r="E1265" t="s">
        <v>35</v>
      </c>
      <c r="F1265" t="s">
        <v>3932</v>
      </c>
      <c r="H1265">
        <v>0</v>
      </c>
      <c r="I1265" t="s">
        <v>17</v>
      </c>
      <c r="K1265" t="s">
        <v>3933</v>
      </c>
      <c r="L1265">
        <v>938</v>
      </c>
      <c r="M1265" t="s">
        <v>3934</v>
      </c>
    </row>
    <row r="1266" spans="1:13">
      <c r="A1266" t="s">
        <v>13</v>
      </c>
      <c r="B1266">
        <v>1292518</v>
      </c>
      <c r="C1266">
        <v>1293585</v>
      </c>
      <c r="E1266" t="s">
        <v>35</v>
      </c>
      <c r="F1266" t="s">
        <v>3935</v>
      </c>
      <c r="G1266" t="s">
        <v>3936</v>
      </c>
      <c r="H1266">
        <v>0</v>
      </c>
      <c r="I1266" t="s">
        <v>17</v>
      </c>
      <c r="K1266" t="s">
        <v>3937</v>
      </c>
      <c r="L1266">
        <v>355</v>
      </c>
      <c r="M1266" t="s">
        <v>3938</v>
      </c>
    </row>
    <row r="1267" spans="1:13">
      <c r="A1267" t="s">
        <v>13</v>
      </c>
      <c r="B1267">
        <v>1293751</v>
      </c>
      <c r="C1267">
        <v>1294020</v>
      </c>
      <c r="E1267" t="s">
        <v>35</v>
      </c>
      <c r="F1267" t="s">
        <v>3939</v>
      </c>
      <c r="G1267" t="s">
        <v>3940</v>
      </c>
      <c r="H1267">
        <v>0</v>
      </c>
      <c r="I1267" t="s">
        <v>17</v>
      </c>
      <c r="K1267" t="s">
        <v>3941</v>
      </c>
      <c r="L1267">
        <v>89</v>
      </c>
      <c r="M1267" t="s">
        <v>3942</v>
      </c>
    </row>
    <row r="1268" spans="1:13">
      <c r="A1268" t="s">
        <v>13</v>
      </c>
      <c r="B1268">
        <v>1294135</v>
      </c>
      <c r="C1268">
        <v>1295088</v>
      </c>
      <c r="E1268" t="s">
        <v>35</v>
      </c>
      <c r="F1268" t="s">
        <v>28</v>
      </c>
      <c r="H1268">
        <v>0</v>
      </c>
      <c r="I1268" t="s">
        <v>17</v>
      </c>
      <c r="K1268" t="s">
        <v>3943</v>
      </c>
      <c r="L1268">
        <v>317</v>
      </c>
      <c r="M1268" t="s">
        <v>3944</v>
      </c>
    </row>
    <row r="1269" spans="1:13">
      <c r="A1269" t="s">
        <v>13</v>
      </c>
      <c r="B1269">
        <v>1295093</v>
      </c>
      <c r="C1269">
        <v>1296079</v>
      </c>
      <c r="E1269" t="s">
        <v>35</v>
      </c>
      <c r="F1269" t="s">
        <v>28</v>
      </c>
      <c r="H1269">
        <v>0</v>
      </c>
      <c r="I1269" t="s">
        <v>17</v>
      </c>
      <c r="K1269" t="s">
        <v>3945</v>
      </c>
      <c r="L1269">
        <v>328</v>
      </c>
      <c r="M1269" t="s">
        <v>3946</v>
      </c>
    </row>
    <row r="1270" spans="1:13">
      <c r="A1270" t="s">
        <v>13</v>
      </c>
      <c r="B1270">
        <v>1296115</v>
      </c>
      <c r="C1270">
        <v>1297530</v>
      </c>
      <c r="E1270" t="s">
        <v>35</v>
      </c>
      <c r="F1270" t="s">
        <v>3947</v>
      </c>
      <c r="G1270" t="s">
        <v>3948</v>
      </c>
      <c r="H1270">
        <v>0</v>
      </c>
      <c r="I1270" t="s">
        <v>17</v>
      </c>
      <c r="K1270" t="s">
        <v>3949</v>
      </c>
      <c r="L1270">
        <v>471</v>
      </c>
      <c r="M1270" t="s">
        <v>3950</v>
      </c>
    </row>
    <row r="1271" spans="1:13">
      <c r="A1271" t="s">
        <v>13</v>
      </c>
      <c r="B1271">
        <v>1297533</v>
      </c>
      <c r="C1271">
        <v>1297724</v>
      </c>
      <c r="E1271" t="s">
        <v>35</v>
      </c>
      <c r="F1271" t="s">
        <v>3951</v>
      </c>
      <c r="G1271" t="s">
        <v>3952</v>
      </c>
      <c r="H1271">
        <v>0</v>
      </c>
      <c r="I1271" t="s">
        <v>17</v>
      </c>
      <c r="K1271" t="s">
        <v>3953</v>
      </c>
      <c r="L1271">
        <v>63</v>
      </c>
      <c r="M1271" t="s">
        <v>3954</v>
      </c>
    </row>
    <row r="1272" spans="1:13">
      <c r="A1272" t="s">
        <v>13</v>
      </c>
      <c r="B1272">
        <v>1297756</v>
      </c>
      <c r="C1272">
        <v>1299300</v>
      </c>
      <c r="E1272" t="s">
        <v>35</v>
      </c>
      <c r="F1272" t="s">
        <v>3955</v>
      </c>
      <c r="G1272" t="s">
        <v>3956</v>
      </c>
      <c r="H1272">
        <v>0</v>
      </c>
      <c r="I1272" t="s">
        <v>17</v>
      </c>
      <c r="K1272" t="s">
        <v>3957</v>
      </c>
      <c r="L1272">
        <v>514</v>
      </c>
      <c r="M1272" t="s">
        <v>3958</v>
      </c>
    </row>
    <row r="1273" spans="1:13">
      <c r="A1273" t="s">
        <v>13</v>
      </c>
      <c r="B1273">
        <v>1299285</v>
      </c>
      <c r="C1273">
        <v>1300865</v>
      </c>
      <c r="E1273" t="s">
        <v>35</v>
      </c>
      <c r="F1273" t="s">
        <v>3959</v>
      </c>
      <c r="G1273" t="s">
        <v>3960</v>
      </c>
      <c r="H1273">
        <v>0</v>
      </c>
      <c r="I1273" t="s">
        <v>17</v>
      </c>
      <c r="K1273" t="s">
        <v>3961</v>
      </c>
      <c r="L1273">
        <v>526</v>
      </c>
      <c r="M1273" t="s">
        <v>3962</v>
      </c>
    </row>
    <row r="1274" spans="1:13">
      <c r="A1274" t="s">
        <v>13</v>
      </c>
      <c r="B1274">
        <v>1300948</v>
      </c>
      <c r="C1274">
        <v>1301784</v>
      </c>
      <c r="E1274" t="s">
        <v>35</v>
      </c>
      <c r="F1274" t="s">
        <v>3963</v>
      </c>
      <c r="G1274" t="s">
        <v>3964</v>
      </c>
      <c r="H1274">
        <v>0</v>
      </c>
      <c r="I1274" t="s">
        <v>17</v>
      </c>
      <c r="K1274" t="s">
        <v>3965</v>
      </c>
      <c r="L1274">
        <v>278</v>
      </c>
      <c r="M1274" t="s">
        <v>3966</v>
      </c>
    </row>
    <row r="1275" spans="1:13">
      <c r="A1275" t="s">
        <v>13</v>
      </c>
      <c r="B1275">
        <v>1301813</v>
      </c>
      <c r="C1275">
        <v>1303066</v>
      </c>
      <c r="E1275" t="s">
        <v>35</v>
      </c>
      <c r="F1275" t="s">
        <v>3967</v>
      </c>
      <c r="G1275" t="s">
        <v>3968</v>
      </c>
      <c r="H1275">
        <v>0</v>
      </c>
      <c r="I1275" t="s">
        <v>17</v>
      </c>
      <c r="K1275" t="s">
        <v>3969</v>
      </c>
      <c r="L1275">
        <v>417</v>
      </c>
      <c r="M1275" t="s">
        <v>3970</v>
      </c>
    </row>
    <row r="1276" spans="1:13">
      <c r="A1276" t="s">
        <v>13</v>
      </c>
      <c r="B1276">
        <v>1303113</v>
      </c>
      <c r="C1276">
        <v>1303934</v>
      </c>
      <c r="E1276" t="s">
        <v>14</v>
      </c>
      <c r="F1276" t="s">
        <v>3971</v>
      </c>
      <c r="H1276">
        <v>0</v>
      </c>
      <c r="I1276" t="s">
        <v>17</v>
      </c>
      <c r="K1276" t="s">
        <v>3972</v>
      </c>
      <c r="L1276">
        <v>273</v>
      </c>
      <c r="M1276" t="s">
        <v>3973</v>
      </c>
    </row>
    <row r="1277" spans="1:13">
      <c r="A1277" t="s">
        <v>13</v>
      </c>
      <c r="B1277">
        <v>1303941</v>
      </c>
      <c r="C1277">
        <v>1305608</v>
      </c>
      <c r="E1277" t="s">
        <v>35</v>
      </c>
      <c r="F1277" t="s">
        <v>3974</v>
      </c>
      <c r="G1277" t="s">
        <v>3975</v>
      </c>
      <c r="H1277">
        <v>0</v>
      </c>
      <c r="I1277" t="s">
        <v>17</v>
      </c>
      <c r="K1277" t="s">
        <v>3976</v>
      </c>
      <c r="L1277">
        <v>555</v>
      </c>
      <c r="M1277" t="s">
        <v>3977</v>
      </c>
    </row>
    <row r="1278" spans="1:13">
      <c r="A1278" t="s">
        <v>13</v>
      </c>
      <c r="B1278">
        <v>1305756</v>
      </c>
      <c r="C1278">
        <v>1307063</v>
      </c>
      <c r="E1278" t="s">
        <v>35</v>
      </c>
      <c r="F1278" t="s">
        <v>3978</v>
      </c>
      <c r="G1278" t="s">
        <v>3979</v>
      </c>
      <c r="H1278">
        <v>0</v>
      </c>
      <c r="I1278" t="s">
        <v>17</v>
      </c>
      <c r="K1278" t="s">
        <v>3980</v>
      </c>
      <c r="L1278">
        <v>435</v>
      </c>
      <c r="M1278" t="s">
        <v>3981</v>
      </c>
    </row>
    <row r="1279" spans="1:13">
      <c r="A1279" t="s">
        <v>13</v>
      </c>
      <c r="B1279">
        <v>1307389</v>
      </c>
      <c r="C1279">
        <v>1308948</v>
      </c>
      <c r="E1279" t="s">
        <v>35</v>
      </c>
      <c r="F1279" t="s">
        <v>3982</v>
      </c>
      <c r="G1279" t="s">
        <v>3983</v>
      </c>
      <c r="H1279">
        <v>0</v>
      </c>
      <c r="I1279" t="s">
        <v>17</v>
      </c>
      <c r="K1279" t="s">
        <v>3984</v>
      </c>
      <c r="L1279">
        <v>519</v>
      </c>
      <c r="M1279" t="s">
        <v>3985</v>
      </c>
    </row>
    <row r="1280" spans="1:13">
      <c r="A1280" t="s">
        <v>13</v>
      </c>
      <c r="B1280">
        <v>1309060</v>
      </c>
      <c r="C1280">
        <v>1309905</v>
      </c>
      <c r="E1280" t="s">
        <v>35</v>
      </c>
      <c r="F1280" t="s">
        <v>3986</v>
      </c>
      <c r="G1280" t="s">
        <v>3987</v>
      </c>
      <c r="H1280">
        <v>0</v>
      </c>
      <c r="I1280" t="s">
        <v>17</v>
      </c>
      <c r="K1280" t="s">
        <v>3988</v>
      </c>
      <c r="L1280">
        <v>281</v>
      </c>
      <c r="M1280" t="s">
        <v>3989</v>
      </c>
    </row>
    <row r="1281" spans="1:13">
      <c r="A1281" t="s">
        <v>13</v>
      </c>
      <c r="B1281">
        <v>1309948</v>
      </c>
      <c r="C1281">
        <v>1310211</v>
      </c>
      <c r="E1281" t="s">
        <v>35</v>
      </c>
      <c r="F1281" t="s">
        <v>3990</v>
      </c>
      <c r="G1281" t="s">
        <v>3991</v>
      </c>
      <c r="H1281">
        <v>0</v>
      </c>
      <c r="I1281" t="s">
        <v>17</v>
      </c>
      <c r="K1281" t="s">
        <v>3992</v>
      </c>
      <c r="L1281">
        <v>87</v>
      </c>
      <c r="M1281" t="s">
        <v>3993</v>
      </c>
    </row>
    <row r="1282" spans="1:13">
      <c r="A1282" t="s">
        <v>13</v>
      </c>
      <c r="B1282">
        <v>1310255</v>
      </c>
      <c r="C1282">
        <v>1310977</v>
      </c>
      <c r="E1282" t="s">
        <v>35</v>
      </c>
      <c r="F1282" t="s">
        <v>3994</v>
      </c>
      <c r="H1282">
        <v>0</v>
      </c>
      <c r="I1282" t="s">
        <v>17</v>
      </c>
      <c r="K1282" t="s">
        <v>3995</v>
      </c>
      <c r="L1282">
        <v>240</v>
      </c>
      <c r="M1282" t="s">
        <v>3996</v>
      </c>
    </row>
    <row r="1283" spans="1:13">
      <c r="A1283" t="s">
        <v>13</v>
      </c>
      <c r="B1283">
        <v>1311099</v>
      </c>
      <c r="C1283">
        <v>1311482</v>
      </c>
      <c r="E1283" t="s">
        <v>35</v>
      </c>
      <c r="F1283" t="s">
        <v>28</v>
      </c>
      <c r="H1283">
        <v>0</v>
      </c>
      <c r="I1283" t="s">
        <v>17</v>
      </c>
      <c r="K1283" t="s">
        <v>3997</v>
      </c>
      <c r="L1283">
        <v>127</v>
      </c>
      <c r="M1283" t="s">
        <v>3998</v>
      </c>
    </row>
    <row r="1284" spans="1:13">
      <c r="A1284" t="s">
        <v>13</v>
      </c>
      <c r="B1284">
        <v>1311507</v>
      </c>
      <c r="C1284">
        <v>1312745</v>
      </c>
      <c r="E1284" t="s">
        <v>35</v>
      </c>
      <c r="F1284" t="s">
        <v>3999</v>
      </c>
      <c r="G1284" t="s">
        <v>4000</v>
      </c>
      <c r="H1284">
        <v>0</v>
      </c>
      <c r="I1284" t="s">
        <v>17</v>
      </c>
      <c r="K1284" t="s">
        <v>4001</v>
      </c>
      <c r="L1284">
        <v>412</v>
      </c>
      <c r="M1284" t="s">
        <v>4002</v>
      </c>
    </row>
    <row r="1285" spans="1:13">
      <c r="A1285" t="s">
        <v>13</v>
      </c>
      <c r="B1285">
        <v>1312779</v>
      </c>
      <c r="C1285">
        <v>1313657</v>
      </c>
      <c r="E1285" t="s">
        <v>35</v>
      </c>
      <c r="F1285" t="s">
        <v>4003</v>
      </c>
      <c r="G1285" t="s">
        <v>4004</v>
      </c>
      <c r="H1285">
        <v>0</v>
      </c>
      <c r="I1285" t="s">
        <v>17</v>
      </c>
      <c r="K1285" t="s">
        <v>4005</v>
      </c>
      <c r="L1285">
        <v>292</v>
      </c>
      <c r="M1285" t="s">
        <v>4006</v>
      </c>
    </row>
    <row r="1286" spans="1:13">
      <c r="A1286" t="s">
        <v>13</v>
      </c>
      <c r="B1286">
        <v>1313700</v>
      </c>
      <c r="C1286">
        <v>1314752</v>
      </c>
      <c r="E1286" t="s">
        <v>14</v>
      </c>
      <c r="F1286" t="s">
        <v>28</v>
      </c>
      <c r="H1286">
        <v>0</v>
      </c>
      <c r="I1286" t="s">
        <v>17</v>
      </c>
      <c r="K1286" t="s">
        <v>4007</v>
      </c>
      <c r="L1286">
        <v>350</v>
      </c>
      <c r="M1286" t="s">
        <v>4008</v>
      </c>
    </row>
    <row r="1287" spans="1:13">
      <c r="A1287" t="s">
        <v>13</v>
      </c>
      <c r="B1287">
        <v>1314756</v>
      </c>
      <c r="C1287">
        <v>1315871</v>
      </c>
      <c r="E1287" t="s">
        <v>14</v>
      </c>
      <c r="F1287" t="s">
        <v>4009</v>
      </c>
      <c r="G1287" t="s">
        <v>4010</v>
      </c>
      <c r="H1287">
        <v>0</v>
      </c>
      <c r="I1287" t="s">
        <v>17</v>
      </c>
      <c r="K1287" t="s">
        <v>4011</v>
      </c>
      <c r="L1287">
        <v>371</v>
      </c>
      <c r="M1287" t="s">
        <v>4012</v>
      </c>
    </row>
    <row r="1288" spans="1:13">
      <c r="A1288" t="s">
        <v>13</v>
      </c>
      <c r="B1288">
        <v>1315938</v>
      </c>
      <c r="C1288">
        <v>1316330</v>
      </c>
      <c r="E1288" t="s">
        <v>35</v>
      </c>
      <c r="F1288" t="s">
        <v>28</v>
      </c>
      <c r="H1288">
        <v>0</v>
      </c>
      <c r="I1288" t="s">
        <v>17</v>
      </c>
      <c r="K1288" t="s">
        <v>4013</v>
      </c>
      <c r="L1288">
        <v>130</v>
      </c>
      <c r="M1288" t="s">
        <v>4014</v>
      </c>
    </row>
    <row r="1289" spans="1:13">
      <c r="A1289" t="s">
        <v>13</v>
      </c>
      <c r="B1289">
        <v>1316330</v>
      </c>
      <c r="C1289">
        <v>1316869</v>
      </c>
      <c r="E1289" t="s">
        <v>35</v>
      </c>
      <c r="F1289" t="s">
        <v>4015</v>
      </c>
      <c r="H1289">
        <v>0</v>
      </c>
      <c r="I1289" t="s">
        <v>17</v>
      </c>
      <c r="K1289" t="s">
        <v>4016</v>
      </c>
      <c r="L1289">
        <v>179</v>
      </c>
      <c r="M1289" t="s">
        <v>4017</v>
      </c>
    </row>
    <row r="1290" spans="1:13">
      <c r="A1290" t="s">
        <v>13</v>
      </c>
      <c r="B1290">
        <v>1317108</v>
      </c>
      <c r="C1290">
        <v>1317194</v>
      </c>
      <c r="E1290" t="s">
        <v>14</v>
      </c>
      <c r="F1290" t="s">
        <v>2802</v>
      </c>
      <c r="H1290">
        <v>0</v>
      </c>
      <c r="I1290" t="s">
        <v>53</v>
      </c>
      <c r="M1290" t="s">
        <v>4018</v>
      </c>
    </row>
    <row r="1291" spans="1:13">
      <c r="A1291" t="s">
        <v>13</v>
      </c>
      <c r="B1291">
        <v>1317296</v>
      </c>
      <c r="C1291">
        <v>1318036</v>
      </c>
      <c r="E1291" t="s">
        <v>14</v>
      </c>
      <c r="F1291" t="s">
        <v>4019</v>
      </c>
      <c r="G1291" t="s">
        <v>4020</v>
      </c>
      <c r="H1291">
        <v>0</v>
      </c>
      <c r="I1291" t="s">
        <v>17</v>
      </c>
      <c r="K1291" t="s">
        <v>4021</v>
      </c>
      <c r="L1291">
        <v>246</v>
      </c>
      <c r="M1291" t="s">
        <v>4022</v>
      </c>
    </row>
    <row r="1292" spans="1:13">
      <c r="A1292" t="s">
        <v>13</v>
      </c>
      <c r="B1292">
        <v>1318066</v>
      </c>
      <c r="C1292">
        <v>1318638</v>
      </c>
      <c r="E1292" t="s">
        <v>14</v>
      </c>
      <c r="F1292" t="s">
        <v>28</v>
      </c>
      <c r="H1292">
        <v>0</v>
      </c>
      <c r="I1292" t="s">
        <v>17</v>
      </c>
      <c r="K1292" t="s">
        <v>4023</v>
      </c>
      <c r="L1292">
        <v>190</v>
      </c>
      <c r="M1292" t="s">
        <v>4024</v>
      </c>
    </row>
    <row r="1293" spans="1:13">
      <c r="A1293" t="s">
        <v>13</v>
      </c>
      <c r="B1293">
        <v>1318665</v>
      </c>
      <c r="C1293">
        <v>1319504</v>
      </c>
      <c r="E1293" t="s">
        <v>35</v>
      </c>
      <c r="F1293" t="s">
        <v>28</v>
      </c>
      <c r="H1293">
        <v>0</v>
      </c>
      <c r="I1293" t="s">
        <v>17</v>
      </c>
      <c r="K1293" t="s">
        <v>4025</v>
      </c>
      <c r="L1293">
        <v>279</v>
      </c>
      <c r="M1293" t="s">
        <v>4026</v>
      </c>
    </row>
    <row r="1294" spans="1:13">
      <c r="A1294" t="s">
        <v>13</v>
      </c>
      <c r="B1294">
        <v>1319538</v>
      </c>
      <c r="C1294">
        <v>1320311</v>
      </c>
      <c r="E1294" t="s">
        <v>14</v>
      </c>
      <c r="F1294" t="s">
        <v>28</v>
      </c>
      <c r="H1294">
        <v>0</v>
      </c>
      <c r="I1294" t="s">
        <v>17</v>
      </c>
      <c r="K1294" t="s">
        <v>4027</v>
      </c>
      <c r="L1294">
        <v>257</v>
      </c>
      <c r="M1294" t="s">
        <v>4028</v>
      </c>
    </row>
    <row r="1295" spans="1:13">
      <c r="A1295" t="s">
        <v>13</v>
      </c>
      <c r="B1295">
        <v>1320334</v>
      </c>
      <c r="C1295">
        <v>1321407</v>
      </c>
      <c r="E1295" t="s">
        <v>35</v>
      </c>
      <c r="F1295" t="s">
        <v>4029</v>
      </c>
      <c r="G1295" t="s">
        <v>4030</v>
      </c>
      <c r="H1295">
        <v>0</v>
      </c>
      <c r="I1295" t="s">
        <v>17</v>
      </c>
      <c r="K1295" t="s">
        <v>4031</v>
      </c>
      <c r="L1295">
        <v>357</v>
      </c>
      <c r="M1295" t="s">
        <v>4032</v>
      </c>
    </row>
    <row r="1296" spans="1:13">
      <c r="A1296" t="s">
        <v>13</v>
      </c>
      <c r="B1296">
        <v>1321440</v>
      </c>
      <c r="C1296">
        <v>1322795</v>
      </c>
      <c r="E1296" t="s">
        <v>35</v>
      </c>
      <c r="F1296" t="s">
        <v>4033</v>
      </c>
      <c r="G1296" t="s">
        <v>4034</v>
      </c>
      <c r="H1296">
        <v>0</v>
      </c>
      <c r="I1296" t="s">
        <v>17</v>
      </c>
      <c r="K1296" t="s">
        <v>4035</v>
      </c>
      <c r="L1296">
        <v>451</v>
      </c>
      <c r="M1296" t="s">
        <v>4036</v>
      </c>
    </row>
    <row r="1297" spans="1:13">
      <c r="A1297" t="s">
        <v>13</v>
      </c>
      <c r="B1297">
        <v>1323106</v>
      </c>
      <c r="C1297">
        <v>1323288</v>
      </c>
      <c r="E1297" t="s">
        <v>14</v>
      </c>
      <c r="F1297" t="s">
        <v>28</v>
      </c>
      <c r="H1297">
        <v>0</v>
      </c>
      <c r="I1297" t="s">
        <v>17</v>
      </c>
      <c r="K1297" t="s">
        <v>4037</v>
      </c>
      <c r="L1297">
        <v>60</v>
      </c>
      <c r="M1297" t="s">
        <v>4038</v>
      </c>
    </row>
    <row r="1298" spans="1:13">
      <c r="A1298" t="s">
        <v>13</v>
      </c>
      <c r="B1298">
        <v>1324476</v>
      </c>
      <c r="C1298">
        <v>1324949</v>
      </c>
      <c r="E1298" t="s">
        <v>35</v>
      </c>
      <c r="F1298" t="s">
        <v>28</v>
      </c>
      <c r="H1298">
        <v>0</v>
      </c>
      <c r="I1298" t="s">
        <v>17</v>
      </c>
      <c r="K1298" t="s">
        <v>4039</v>
      </c>
      <c r="L1298">
        <v>157</v>
      </c>
      <c r="M1298" t="s">
        <v>4040</v>
      </c>
    </row>
    <row r="1299" spans="1:13">
      <c r="A1299" t="s">
        <v>13</v>
      </c>
      <c r="B1299">
        <v>1325324</v>
      </c>
      <c r="C1299">
        <v>1328140</v>
      </c>
      <c r="E1299" t="s">
        <v>14</v>
      </c>
      <c r="F1299" t="s">
        <v>4041</v>
      </c>
      <c r="G1299" t="s">
        <v>4042</v>
      </c>
      <c r="H1299">
        <v>0</v>
      </c>
      <c r="I1299" t="s">
        <v>17</v>
      </c>
      <c r="K1299" t="s">
        <v>4043</v>
      </c>
      <c r="L1299">
        <v>938</v>
      </c>
      <c r="M1299" t="s">
        <v>4044</v>
      </c>
    </row>
    <row r="1300" spans="1:13">
      <c r="A1300" t="s">
        <v>13</v>
      </c>
      <c r="B1300">
        <v>1328335</v>
      </c>
      <c r="C1300">
        <v>1328910</v>
      </c>
      <c r="E1300" t="s">
        <v>14</v>
      </c>
      <c r="F1300" t="s">
        <v>4045</v>
      </c>
      <c r="G1300" t="s">
        <v>4046</v>
      </c>
      <c r="H1300">
        <v>0</v>
      </c>
      <c r="I1300" t="s">
        <v>17</v>
      </c>
      <c r="K1300" t="s">
        <v>4047</v>
      </c>
      <c r="L1300">
        <v>191</v>
      </c>
      <c r="M1300" t="s">
        <v>4048</v>
      </c>
    </row>
    <row r="1301" spans="1:13">
      <c r="A1301" t="s">
        <v>13</v>
      </c>
      <c r="B1301">
        <v>1329334</v>
      </c>
      <c r="C1301">
        <v>1330488</v>
      </c>
      <c r="E1301" t="s">
        <v>35</v>
      </c>
      <c r="F1301" t="s">
        <v>1284</v>
      </c>
      <c r="G1301" t="s">
        <v>4049</v>
      </c>
      <c r="H1301">
        <v>0</v>
      </c>
      <c r="I1301" t="s">
        <v>17</v>
      </c>
      <c r="K1301" t="s">
        <v>4050</v>
      </c>
      <c r="L1301">
        <v>384</v>
      </c>
      <c r="M1301" t="s">
        <v>4051</v>
      </c>
    </row>
    <row r="1302" spans="1:13">
      <c r="A1302" t="s">
        <v>13</v>
      </c>
      <c r="B1302">
        <v>1330479</v>
      </c>
      <c r="C1302">
        <v>1331171</v>
      </c>
      <c r="E1302" t="s">
        <v>35</v>
      </c>
      <c r="F1302" t="s">
        <v>28</v>
      </c>
      <c r="H1302">
        <v>0</v>
      </c>
      <c r="I1302" t="s">
        <v>17</v>
      </c>
      <c r="K1302" t="s">
        <v>4052</v>
      </c>
      <c r="L1302">
        <v>230</v>
      </c>
      <c r="M1302" t="s">
        <v>4053</v>
      </c>
    </row>
    <row r="1303" spans="1:13">
      <c r="A1303" t="s">
        <v>13</v>
      </c>
      <c r="B1303">
        <v>1331171</v>
      </c>
      <c r="C1303">
        <v>1331917</v>
      </c>
      <c r="E1303" t="s">
        <v>35</v>
      </c>
      <c r="F1303" t="s">
        <v>28</v>
      </c>
      <c r="H1303">
        <v>0</v>
      </c>
      <c r="I1303" t="s">
        <v>17</v>
      </c>
      <c r="K1303" t="s">
        <v>4054</v>
      </c>
      <c r="L1303">
        <v>248</v>
      </c>
      <c r="M1303" t="s">
        <v>4055</v>
      </c>
    </row>
    <row r="1304" spans="1:13">
      <c r="A1304" t="s">
        <v>13</v>
      </c>
      <c r="B1304">
        <v>1332039</v>
      </c>
      <c r="C1304">
        <v>1333016</v>
      </c>
      <c r="E1304" t="s">
        <v>35</v>
      </c>
      <c r="F1304" t="s">
        <v>4056</v>
      </c>
      <c r="G1304" t="s">
        <v>4057</v>
      </c>
      <c r="H1304">
        <v>0</v>
      </c>
      <c r="I1304" t="s">
        <v>17</v>
      </c>
      <c r="K1304" t="s">
        <v>4058</v>
      </c>
      <c r="L1304">
        <v>325</v>
      </c>
      <c r="M1304" t="s">
        <v>4059</v>
      </c>
    </row>
    <row r="1305" spans="1:13">
      <c r="A1305" t="s">
        <v>13</v>
      </c>
      <c r="B1305">
        <v>1333035</v>
      </c>
      <c r="C1305">
        <v>1333703</v>
      </c>
      <c r="E1305" t="s">
        <v>35</v>
      </c>
      <c r="F1305" t="s">
        <v>4060</v>
      </c>
      <c r="G1305" t="s">
        <v>4061</v>
      </c>
      <c r="H1305">
        <v>0</v>
      </c>
      <c r="I1305" t="s">
        <v>17</v>
      </c>
      <c r="K1305" t="s">
        <v>4062</v>
      </c>
      <c r="L1305">
        <v>222</v>
      </c>
      <c r="M1305" t="s">
        <v>4063</v>
      </c>
    </row>
    <row r="1306" spans="1:13">
      <c r="A1306" t="s">
        <v>13</v>
      </c>
      <c r="B1306">
        <v>1333732</v>
      </c>
      <c r="C1306">
        <v>1334088</v>
      </c>
      <c r="E1306" t="s">
        <v>14</v>
      </c>
      <c r="F1306" t="s">
        <v>28</v>
      </c>
      <c r="H1306">
        <v>0</v>
      </c>
      <c r="I1306" t="s">
        <v>17</v>
      </c>
      <c r="K1306" t="s">
        <v>4064</v>
      </c>
      <c r="L1306">
        <v>118</v>
      </c>
      <c r="M1306" t="s">
        <v>4065</v>
      </c>
    </row>
    <row r="1307" spans="1:13">
      <c r="A1307" t="s">
        <v>13</v>
      </c>
      <c r="B1307">
        <v>1334090</v>
      </c>
      <c r="C1307">
        <v>1335454</v>
      </c>
      <c r="E1307" t="s">
        <v>14</v>
      </c>
      <c r="F1307" t="s">
        <v>28</v>
      </c>
      <c r="H1307">
        <v>0</v>
      </c>
      <c r="I1307" t="s">
        <v>17</v>
      </c>
      <c r="K1307" t="s">
        <v>4066</v>
      </c>
      <c r="L1307">
        <v>454</v>
      </c>
      <c r="M1307" t="s">
        <v>4067</v>
      </c>
    </row>
    <row r="1308" spans="1:13">
      <c r="A1308" t="s">
        <v>13</v>
      </c>
      <c r="B1308">
        <v>1335515</v>
      </c>
      <c r="C1308">
        <v>1336843</v>
      </c>
      <c r="E1308" t="s">
        <v>35</v>
      </c>
      <c r="F1308" t="s">
        <v>28</v>
      </c>
      <c r="H1308">
        <v>0</v>
      </c>
      <c r="I1308" t="s">
        <v>17</v>
      </c>
      <c r="K1308" t="s">
        <v>4068</v>
      </c>
      <c r="L1308">
        <v>442</v>
      </c>
      <c r="M1308" t="s">
        <v>4069</v>
      </c>
    </row>
    <row r="1309" spans="1:13">
      <c r="A1309" t="s">
        <v>13</v>
      </c>
      <c r="B1309">
        <v>1336849</v>
      </c>
      <c r="C1309">
        <v>1338480</v>
      </c>
      <c r="E1309" t="s">
        <v>35</v>
      </c>
      <c r="F1309" t="s">
        <v>1862</v>
      </c>
      <c r="G1309" t="s">
        <v>4070</v>
      </c>
      <c r="H1309">
        <v>0</v>
      </c>
      <c r="I1309" t="s">
        <v>17</v>
      </c>
      <c r="K1309" t="s">
        <v>4071</v>
      </c>
      <c r="L1309">
        <v>543</v>
      </c>
      <c r="M1309" t="s">
        <v>4072</v>
      </c>
    </row>
    <row r="1310" spans="1:13">
      <c r="A1310" t="s">
        <v>13</v>
      </c>
      <c r="B1310">
        <v>1338574</v>
      </c>
      <c r="C1310">
        <v>1338981</v>
      </c>
      <c r="E1310" t="s">
        <v>35</v>
      </c>
      <c r="F1310" t="s">
        <v>28</v>
      </c>
      <c r="H1310">
        <v>0</v>
      </c>
      <c r="I1310" t="s">
        <v>17</v>
      </c>
      <c r="K1310" t="s">
        <v>4073</v>
      </c>
      <c r="L1310">
        <v>135</v>
      </c>
      <c r="M1310" t="s">
        <v>4074</v>
      </c>
    </row>
    <row r="1311" spans="1:13">
      <c r="A1311" t="s">
        <v>13</v>
      </c>
      <c r="B1311">
        <v>1338982</v>
      </c>
      <c r="C1311">
        <v>1339434</v>
      </c>
      <c r="E1311" t="s">
        <v>35</v>
      </c>
      <c r="F1311" t="s">
        <v>4075</v>
      </c>
      <c r="G1311" t="s">
        <v>4076</v>
      </c>
      <c r="H1311">
        <v>0</v>
      </c>
      <c r="I1311" t="s">
        <v>17</v>
      </c>
      <c r="K1311" t="s">
        <v>4077</v>
      </c>
      <c r="L1311">
        <v>150</v>
      </c>
      <c r="M1311" t="s">
        <v>4078</v>
      </c>
    </row>
    <row r="1312" spans="1:13">
      <c r="A1312" t="s">
        <v>13</v>
      </c>
      <c r="B1312">
        <v>1339434</v>
      </c>
      <c r="C1312">
        <v>1340678</v>
      </c>
      <c r="E1312" t="s">
        <v>35</v>
      </c>
      <c r="F1312" t="s">
        <v>4079</v>
      </c>
      <c r="G1312" t="s">
        <v>4080</v>
      </c>
      <c r="H1312">
        <v>0</v>
      </c>
      <c r="I1312" t="s">
        <v>17</v>
      </c>
      <c r="K1312" t="s">
        <v>4081</v>
      </c>
      <c r="L1312">
        <v>414</v>
      </c>
      <c r="M1312" t="s">
        <v>4082</v>
      </c>
    </row>
    <row r="1313" spans="1:13">
      <c r="A1313" t="s">
        <v>13</v>
      </c>
      <c r="B1313">
        <v>1340725</v>
      </c>
      <c r="C1313">
        <v>1341483</v>
      </c>
      <c r="E1313" t="s">
        <v>35</v>
      </c>
      <c r="F1313" t="s">
        <v>28</v>
      </c>
      <c r="H1313">
        <v>0</v>
      </c>
      <c r="I1313" t="s">
        <v>17</v>
      </c>
      <c r="K1313" t="s">
        <v>4083</v>
      </c>
      <c r="L1313">
        <v>252</v>
      </c>
      <c r="M1313" t="s">
        <v>4084</v>
      </c>
    </row>
    <row r="1314" spans="1:13">
      <c r="A1314" t="s">
        <v>13</v>
      </c>
      <c r="B1314">
        <v>1341513</v>
      </c>
      <c r="C1314">
        <v>1342667</v>
      </c>
      <c r="E1314" t="s">
        <v>35</v>
      </c>
      <c r="F1314" t="s">
        <v>4085</v>
      </c>
      <c r="G1314" t="s">
        <v>4086</v>
      </c>
      <c r="H1314">
        <v>0</v>
      </c>
      <c r="I1314" t="s">
        <v>17</v>
      </c>
      <c r="K1314" t="s">
        <v>4087</v>
      </c>
      <c r="L1314">
        <v>384</v>
      </c>
      <c r="M1314" t="s">
        <v>4088</v>
      </c>
    </row>
    <row r="1315" spans="1:13">
      <c r="A1315" t="s">
        <v>13</v>
      </c>
      <c r="B1315">
        <v>1342672</v>
      </c>
      <c r="C1315">
        <v>1344111</v>
      </c>
      <c r="E1315" t="s">
        <v>35</v>
      </c>
      <c r="F1315" t="s">
        <v>4089</v>
      </c>
      <c r="G1315" t="s">
        <v>4090</v>
      </c>
      <c r="H1315">
        <v>0</v>
      </c>
      <c r="I1315" t="s">
        <v>17</v>
      </c>
      <c r="K1315" t="s">
        <v>4091</v>
      </c>
      <c r="L1315">
        <v>479</v>
      </c>
      <c r="M1315" t="s">
        <v>4092</v>
      </c>
    </row>
    <row r="1316" spans="1:13">
      <c r="A1316" t="s">
        <v>13</v>
      </c>
      <c r="B1316">
        <v>1344108</v>
      </c>
      <c r="C1316">
        <v>1344845</v>
      </c>
      <c r="E1316" t="s">
        <v>35</v>
      </c>
      <c r="F1316" t="s">
        <v>924</v>
      </c>
      <c r="H1316">
        <v>0</v>
      </c>
      <c r="I1316" t="s">
        <v>17</v>
      </c>
      <c r="K1316" t="s">
        <v>4093</v>
      </c>
      <c r="L1316">
        <v>245</v>
      </c>
      <c r="M1316" t="s">
        <v>4094</v>
      </c>
    </row>
    <row r="1317" spans="1:13">
      <c r="A1317" t="s">
        <v>13</v>
      </c>
      <c r="B1317">
        <v>1345061</v>
      </c>
      <c r="C1317">
        <v>1346785</v>
      </c>
      <c r="E1317" t="s">
        <v>14</v>
      </c>
      <c r="F1317" t="s">
        <v>28</v>
      </c>
      <c r="H1317">
        <v>0</v>
      </c>
      <c r="I1317" t="s">
        <v>17</v>
      </c>
      <c r="K1317" t="s">
        <v>4095</v>
      </c>
      <c r="L1317">
        <v>574</v>
      </c>
      <c r="M1317" t="s">
        <v>4096</v>
      </c>
    </row>
    <row r="1318" spans="1:13">
      <c r="A1318" t="s">
        <v>13</v>
      </c>
      <c r="B1318">
        <v>1346792</v>
      </c>
      <c r="C1318">
        <v>1347721</v>
      </c>
      <c r="E1318" t="s">
        <v>14</v>
      </c>
      <c r="F1318" t="s">
        <v>4097</v>
      </c>
      <c r="G1318" t="s">
        <v>4098</v>
      </c>
      <c r="H1318">
        <v>0</v>
      </c>
      <c r="I1318" t="s">
        <v>17</v>
      </c>
      <c r="K1318" t="s">
        <v>4099</v>
      </c>
      <c r="L1318">
        <v>309</v>
      </c>
      <c r="M1318" t="s">
        <v>4100</v>
      </c>
    </row>
    <row r="1319" spans="1:13">
      <c r="A1319" t="s">
        <v>13</v>
      </c>
      <c r="B1319">
        <v>1347806</v>
      </c>
      <c r="C1319">
        <v>1348570</v>
      </c>
      <c r="E1319" t="s">
        <v>14</v>
      </c>
      <c r="F1319" t="s">
        <v>3144</v>
      </c>
      <c r="H1319">
        <v>0</v>
      </c>
      <c r="I1319" t="s">
        <v>17</v>
      </c>
      <c r="K1319" t="s">
        <v>4101</v>
      </c>
      <c r="L1319">
        <v>254</v>
      </c>
      <c r="M1319" t="s">
        <v>4102</v>
      </c>
    </row>
    <row r="1320" spans="1:13">
      <c r="A1320" t="s">
        <v>13</v>
      </c>
      <c r="B1320">
        <v>1348641</v>
      </c>
      <c r="C1320">
        <v>1349669</v>
      </c>
      <c r="E1320" t="s">
        <v>14</v>
      </c>
      <c r="F1320" t="s">
        <v>4103</v>
      </c>
      <c r="G1320" t="s">
        <v>4104</v>
      </c>
      <c r="H1320">
        <v>0</v>
      </c>
      <c r="I1320" t="s">
        <v>17</v>
      </c>
      <c r="K1320" t="s">
        <v>4105</v>
      </c>
      <c r="L1320">
        <v>342</v>
      </c>
      <c r="M1320" t="s">
        <v>4106</v>
      </c>
    </row>
    <row r="1321" spans="1:13">
      <c r="A1321" t="s">
        <v>13</v>
      </c>
      <c r="B1321">
        <v>1349727</v>
      </c>
      <c r="C1321">
        <v>1350695</v>
      </c>
      <c r="E1321" t="s">
        <v>14</v>
      </c>
      <c r="F1321" t="s">
        <v>423</v>
      </c>
      <c r="G1321" t="s">
        <v>4107</v>
      </c>
      <c r="H1321">
        <v>0</v>
      </c>
      <c r="I1321" t="s">
        <v>17</v>
      </c>
      <c r="K1321" t="s">
        <v>4108</v>
      </c>
      <c r="L1321">
        <v>322</v>
      </c>
      <c r="M1321" t="s">
        <v>4109</v>
      </c>
    </row>
    <row r="1322" spans="1:13">
      <c r="A1322" t="s">
        <v>13</v>
      </c>
      <c r="B1322">
        <v>1350749</v>
      </c>
      <c r="C1322">
        <v>1351693</v>
      </c>
      <c r="E1322" t="s">
        <v>35</v>
      </c>
      <c r="F1322" t="s">
        <v>4110</v>
      </c>
      <c r="G1322" t="s">
        <v>4111</v>
      </c>
      <c r="H1322">
        <v>0</v>
      </c>
      <c r="I1322" t="s">
        <v>17</v>
      </c>
      <c r="K1322" t="s">
        <v>4112</v>
      </c>
      <c r="L1322">
        <v>314</v>
      </c>
      <c r="M1322" t="s">
        <v>4113</v>
      </c>
    </row>
    <row r="1323" spans="1:13">
      <c r="A1323" t="s">
        <v>13</v>
      </c>
      <c r="B1323">
        <v>1352022</v>
      </c>
      <c r="C1323">
        <v>1354130</v>
      </c>
      <c r="E1323" t="s">
        <v>14</v>
      </c>
      <c r="F1323" t="s">
        <v>4114</v>
      </c>
      <c r="G1323" t="s">
        <v>4115</v>
      </c>
      <c r="H1323">
        <v>0</v>
      </c>
      <c r="I1323" t="s">
        <v>17</v>
      </c>
      <c r="K1323" t="s">
        <v>4116</v>
      </c>
      <c r="L1323">
        <v>702</v>
      </c>
      <c r="M1323" t="s">
        <v>4117</v>
      </c>
    </row>
    <row r="1324" spans="1:13">
      <c r="A1324" t="s">
        <v>13</v>
      </c>
      <c r="B1324">
        <v>1354163</v>
      </c>
      <c r="C1324">
        <v>1355248</v>
      </c>
      <c r="E1324" t="s">
        <v>14</v>
      </c>
      <c r="F1324" t="s">
        <v>4118</v>
      </c>
      <c r="G1324" t="s">
        <v>4119</v>
      </c>
      <c r="H1324">
        <v>0</v>
      </c>
      <c r="I1324" t="s">
        <v>17</v>
      </c>
      <c r="K1324" t="s">
        <v>4120</v>
      </c>
      <c r="L1324">
        <v>361</v>
      </c>
      <c r="M1324" t="s">
        <v>4121</v>
      </c>
    </row>
    <row r="1325" spans="1:13">
      <c r="A1325" t="s">
        <v>13</v>
      </c>
      <c r="B1325">
        <v>1355348</v>
      </c>
      <c r="C1325">
        <v>1356880</v>
      </c>
      <c r="E1325" t="s">
        <v>14</v>
      </c>
      <c r="F1325" t="s">
        <v>4122</v>
      </c>
      <c r="G1325" t="s">
        <v>4123</v>
      </c>
      <c r="H1325">
        <v>0</v>
      </c>
      <c r="I1325" t="s">
        <v>17</v>
      </c>
      <c r="K1325" t="s">
        <v>4124</v>
      </c>
      <c r="L1325">
        <v>510</v>
      </c>
      <c r="M1325" t="s">
        <v>4125</v>
      </c>
    </row>
    <row r="1326" spans="1:13">
      <c r="A1326" t="s">
        <v>13</v>
      </c>
      <c r="B1326">
        <v>1356895</v>
      </c>
      <c r="C1326">
        <v>1357830</v>
      </c>
      <c r="E1326" t="s">
        <v>14</v>
      </c>
      <c r="F1326" t="s">
        <v>4126</v>
      </c>
      <c r="H1326">
        <v>0</v>
      </c>
      <c r="I1326" t="s">
        <v>17</v>
      </c>
      <c r="K1326" t="s">
        <v>4127</v>
      </c>
      <c r="L1326">
        <v>311</v>
      </c>
      <c r="M1326" t="s">
        <v>4128</v>
      </c>
    </row>
    <row r="1327" spans="1:13">
      <c r="A1327" t="s">
        <v>13</v>
      </c>
      <c r="B1327">
        <v>1357878</v>
      </c>
      <c r="C1327">
        <v>1358639</v>
      </c>
      <c r="E1327" t="s">
        <v>14</v>
      </c>
      <c r="F1327" t="s">
        <v>4129</v>
      </c>
      <c r="G1327" t="s">
        <v>4130</v>
      </c>
      <c r="H1327">
        <v>0</v>
      </c>
      <c r="I1327" t="s">
        <v>17</v>
      </c>
      <c r="K1327" t="s">
        <v>4131</v>
      </c>
      <c r="L1327">
        <v>253</v>
      </c>
      <c r="M1327" t="s">
        <v>4132</v>
      </c>
    </row>
    <row r="1328" spans="1:13">
      <c r="A1328" t="s">
        <v>13</v>
      </c>
      <c r="B1328">
        <v>1358763</v>
      </c>
      <c r="C1328">
        <v>1358999</v>
      </c>
      <c r="E1328" t="s">
        <v>35</v>
      </c>
      <c r="F1328" t="s">
        <v>4133</v>
      </c>
      <c r="H1328">
        <v>0</v>
      </c>
      <c r="I1328" t="s">
        <v>17</v>
      </c>
      <c r="K1328" t="s">
        <v>4134</v>
      </c>
      <c r="L1328">
        <v>78</v>
      </c>
      <c r="M1328" t="s">
        <v>4135</v>
      </c>
    </row>
    <row r="1329" spans="1:13">
      <c r="A1329" t="s">
        <v>13</v>
      </c>
      <c r="B1329">
        <v>1359198</v>
      </c>
      <c r="C1329">
        <v>1359980</v>
      </c>
      <c r="E1329" t="s">
        <v>35</v>
      </c>
      <c r="F1329" t="s">
        <v>4136</v>
      </c>
      <c r="G1329" t="s">
        <v>4137</v>
      </c>
      <c r="H1329">
        <v>0</v>
      </c>
      <c r="I1329" t="s">
        <v>17</v>
      </c>
      <c r="K1329" t="s">
        <v>4138</v>
      </c>
      <c r="L1329">
        <v>260</v>
      </c>
      <c r="M1329" t="s">
        <v>4139</v>
      </c>
    </row>
    <row r="1330" spans="1:13">
      <c r="A1330" t="s">
        <v>13</v>
      </c>
      <c r="B1330">
        <v>1360027</v>
      </c>
      <c r="C1330">
        <v>1361244</v>
      </c>
      <c r="E1330" t="s">
        <v>35</v>
      </c>
      <c r="F1330" t="s">
        <v>4140</v>
      </c>
      <c r="G1330" t="s">
        <v>4141</v>
      </c>
      <c r="H1330">
        <v>0</v>
      </c>
      <c r="I1330" t="s">
        <v>17</v>
      </c>
      <c r="K1330" t="s">
        <v>4142</v>
      </c>
      <c r="L1330">
        <v>405</v>
      </c>
      <c r="M1330" t="s">
        <v>4143</v>
      </c>
    </row>
    <row r="1331" spans="1:13">
      <c r="A1331" t="s">
        <v>13</v>
      </c>
      <c r="B1331">
        <v>1361374</v>
      </c>
      <c r="C1331">
        <v>1362381</v>
      </c>
      <c r="E1331" t="s">
        <v>35</v>
      </c>
      <c r="F1331" t="s">
        <v>2694</v>
      </c>
      <c r="G1331" t="s">
        <v>4144</v>
      </c>
      <c r="H1331">
        <v>0</v>
      </c>
      <c r="I1331" t="s">
        <v>17</v>
      </c>
      <c r="K1331" t="s">
        <v>4145</v>
      </c>
      <c r="L1331">
        <v>335</v>
      </c>
      <c r="M1331" t="s">
        <v>4146</v>
      </c>
    </row>
    <row r="1332" spans="1:13">
      <c r="A1332" t="s">
        <v>13</v>
      </c>
      <c r="B1332">
        <v>1362927</v>
      </c>
      <c r="C1332">
        <v>1364573</v>
      </c>
      <c r="E1332" t="s">
        <v>14</v>
      </c>
      <c r="F1332" t="s">
        <v>4147</v>
      </c>
      <c r="G1332" t="s">
        <v>4148</v>
      </c>
      <c r="H1332">
        <v>0</v>
      </c>
      <c r="I1332" t="s">
        <v>17</v>
      </c>
      <c r="K1332" t="s">
        <v>4149</v>
      </c>
      <c r="L1332">
        <v>548</v>
      </c>
      <c r="M1332" t="s">
        <v>4150</v>
      </c>
    </row>
    <row r="1333" spans="1:13">
      <c r="A1333" t="s">
        <v>13</v>
      </c>
      <c r="B1333">
        <v>1364749</v>
      </c>
      <c r="C1333">
        <v>1365738</v>
      </c>
      <c r="E1333" t="s">
        <v>35</v>
      </c>
      <c r="F1333" t="s">
        <v>4151</v>
      </c>
      <c r="G1333" t="s">
        <v>4152</v>
      </c>
      <c r="H1333">
        <v>0</v>
      </c>
      <c r="I1333" t="s">
        <v>17</v>
      </c>
      <c r="K1333" t="s">
        <v>4153</v>
      </c>
      <c r="L1333">
        <v>329</v>
      </c>
      <c r="M1333" t="s">
        <v>4154</v>
      </c>
    </row>
    <row r="1334" spans="1:13">
      <c r="A1334" t="s">
        <v>13</v>
      </c>
      <c r="B1334">
        <v>1365882</v>
      </c>
      <c r="C1334">
        <v>1366859</v>
      </c>
      <c r="E1334" t="s">
        <v>35</v>
      </c>
      <c r="F1334" t="s">
        <v>4155</v>
      </c>
      <c r="H1334">
        <v>0</v>
      </c>
      <c r="I1334" t="s">
        <v>17</v>
      </c>
      <c r="K1334" t="s">
        <v>4156</v>
      </c>
      <c r="L1334">
        <v>325</v>
      </c>
      <c r="M1334" t="s">
        <v>4157</v>
      </c>
    </row>
    <row r="1335" spans="1:13">
      <c r="A1335" t="s">
        <v>13</v>
      </c>
      <c r="B1335">
        <v>1366883</v>
      </c>
      <c r="C1335">
        <v>1367755</v>
      </c>
      <c r="E1335" t="s">
        <v>35</v>
      </c>
      <c r="F1335" t="s">
        <v>4158</v>
      </c>
      <c r="H1335">
        <v>0</v>
      </c>
      <c r="I1335" t="s">
        <v>17</v>
      </c>
      <c r="K1335" t="s">
        <v>4159</v>
      </c>
      <c r="L1335">
        <v>290</v>
      </c>
      <c r="M1335" t="s">
        <v>4160</v>
      </c>
    </row>
    <row r="1336" spans="1:13">
      <c r="A1336" t="s">
        <v>13</v>
      </c>
      <c r="B1336">
        <v>1367809</v>
      </c>
      <c r="C1336">
        <v>1369878</v>
      </c>
      <c r="E1336" t="s">
        <v>35</v>
      </c>
      <c r="F1336" t="s">
        <v>4161</v>
      </c>
      <c r="G1336" t="s">
        <v>4162</v>
      </c>
      <c r="H1336">
        <v>0</v>
      </c>
      <c r="I1336" t="s">
        <v>17</v>
      </c>
      <c r="K1336" t="s">
        <v>4163</v>
      </c>
      <c r="L1336">
        <v>689</v>
      </c>
      <c r="M1336" t="s">
        <v>4164</v>
      </c>
    </row>
    <row r="1337" spans="1:13">
      <c r="A1337" t="s">
        <v>13</v>
      </c>
      <c r="B1337">
        <v>1369882</v>
      </c>
      <c r="C1337">
        <v>1370430</v>
      </c>
      <c r="E1337" t="s">
        <v>35</v>
      </c>
      <c r="F1337" t="s">
        <v>28</v>
      </c>
      <c r="H1337">
        <v>0</v>
      </c>
      <c r="I1337" t="s">
        <v>17</v>
      </c>
      <c r="K1337" t="s">
        <v>4165</v>
      </c>
      <c r="L1337">
        <v>182</v>
      </c>
      <c r="M1337" t="s">
        <v>4166</v>
      </c>
    </row>
    <row r="1338" spans="1:13">
      <c r="A1338" t="s">
        <v>13</v>
      </c>
      <c r="B1338">
        <v>1370462</v>
      </c>
      <c r="C1338">
        <v>1370935</v>
      </c>
      <c r="E1338" t="s">
        <v>35</v>
      </c>
      <c r="F1338" t="s">
        <v>4167</v>
      </c>
      <c r="G1338" t="s">
        <v>4168</v>
      </c>
      <c r="H1338">
        <v>0</v>
      </c>
      <c r="I1338" t="s">
        <v>17</v>
      </c>
      <c r="K1338" t="s">
        <v>4169</v>
      </c>
      <c r="L1338">
        <v>157</v>
      </c>
      <c r="M1338" t="s">
        <v>4170</v>
      </c>
    </row>
    <row r="1339" spans="1:13">
      <c r="A1339" t="s">
        <v>13</v>
      </c>
      <c r="B1339">
        <v>1370932</v>
      </c>
      <c r="C1339">
        <v>1372209</v>
      </c>
      <c r="E1339" t="s">
        <v>35</v>
      </c>
      <c r="F1339" t="s">
        <v>4171</v>
      </c>
      <c r="G1339" t="s">
        <v>4172</v>
      </c>
      <c r="H1339">
        <v>0</v>
      </c>
      <c r="I1339" t="s">
        <v>17</v>
      </c>
      <c r="K1339" t="s">
        <v>4173</v>
      </c>
      <c r="L1339">
        <v>425</v>
      </c>
      <c r="M1339" t="s">
        <v>4174</v>
      </c>
    </row>
    <row r="1340" spans="1:13">
      <c r="A1340" t="s">
        <v>13</v>
      </c>
      <c r="B1340">
        <v>1372233</v>
      </c>
      <c r="C1340">
        <v>1372835</v>
      </c>
      <c r="E1340" t="s">
        <v>35</v>
      </c>
      <c r="F1340" t="s">
        <v>4175</v>
      </c>
      <c r="G1340" t="s">
        <v>4176</v>
      </c>
      <c r="H1340">
        <v>0</v>
      </c>
      <c r="I1340" t="s">
        <v>17</v>
      </c>
      <c r="K1340" t="s">
        <v>4177</v>
      </c>
      <c r="L1340">
        <v>200</v>
      </c>
      <c r="M1340" t="s">
        <v>4178</v>
      </c>
    </row>
    <row r="1341" spans="1:13">
      <c r="A1341" t="s">
        <v>13</v>
      </c>
      <c r="B1341">
        <v>1372874</v>
      </c>
      <c r="C1341">
        <v>1373908</v>
      </c>
      <c r="E1341" t="s">
        <v>35</v>
      </c>
      <c r="F1341" t="s">
        <v>4179</v>
      </c>
      <c r="G1341" t="s">
        <v>4180</v>
      </c>
      <c r="H1341">
        <v>0</v>
      </c>
      <c r="I1341" t="s">
        <v>17</v>
      </c>
      <c r="K1341" t="s">
        <v>4181</v>
      </c>
      <c r="L1341">
        <v>344</v>
      </c>
      <c r="M1341" t="s">
        <v>4182</v>
      </c>
    </row>
    <row r="1342" spans="1:13">
      <c r="A1342" t="s">
        <v>13</v>
      </c>
      <c r="B1342">
        <v>1373908</v>
      </c>
      <c r="C1342">
        <v>1374576</v>
      </c>
      <c r="E1342" t="s">
        <v>35</v>
      </c>
      <c r="F1342" t="s">
        <v>4183</v>
      </c>
      <c r="G1342" t="s">
        <v>4184</v>
      </c>
      <c r="H1342">
        <v>0</v>
      </c>
      <c r="I1342" t="s">
        <v>17</v>
      </c>
      <c r="K1342" t="s">
        <v>4185</v>
      </c>
      <c r="L1342">
        <v>222</v>
      </c>
      <c r="M1342" t="s">
        <v>4186</v>
      </c>
    </row>
    <row r="1343" spans="1:13">
      <c r="A1343" t="s">
        <v>13</v>
      </c>
      <c r="B1343">
        <v>1374587</v>
      </c>
      <c r="C1343">
        <v>1376212</v>
      </c>
      <c r="E1343" t="s">
        <v>35</v>
      </c>
      <c r="F1343" t="s">
        <v>4187</v>
      </c>
      <c r="G1343" t="s">
        <v>4188</v>
      </c>
      <c r="H1343">
        <v>0</v>
      </c>
      <c r="I1343" t="s">
        <v>17</v>
      </c>
      <c r="K1343" t="s">
        <v>4189</v>
      </c>
      <c r="L1343">
        <v>541</v>
      </c>
      <c r="M1343" t="s">
        <v>4190</v>
      </c>
    </row>
    <row r="1344" spans="1:13">
      <c r="A1344" t="s">
        <v>13</v>
      </c>
      <c r="B1344">
        <v>1376209</v>
      </c>
      <c r="C1344">
        <v>1377150</v>
      </c>
      <c r="E1344" t="s">
        <v>35</v>
      </c>
      <c r="F1344" t="s">
        <v>4191</v>
      </c>
      <c r="G1344" t="s">
        <v>4192</v>
      </c>
      <c r="H1344">
        <v>0</v>
      </c>
      <c r="I1344" t="s">
        <v>17</v>
      </c>
      <c r="K1344" t="s">
        <v>4193</v>
      </c>
      <c r="L1344">
        <v>313</v>
      </c>
      <c r="M1344" t="s">
        <v>4194</v>
      </c>
    </row>
    <row r="1345" spans="1:13">
      <c r="A1345" t="s">
        <v>13</v>
      </c>
      <c r="B1345">
        <v>1377226</v>
      </c>
      <c r="C1345">
        <v>1377741</v>
      </c>
      <c r="E1345" t="s">
        <v>35</v>
      </c>
      <c r="F1345" t="s">
        <v>4195</v>
      </c>
      <c r="G1345" t="s">
        <v>4196</v>
      </c>
      <c r="H1345">
        <v>0</v>
      </c>
      <c r="I1345" t="s">
        <v>17</v>
      </c>
      <c r="K1345" t="s">
        <v>4197</v>
      </c>
      <c r="L1345">
        <v>171</v>
      </c>
      <c r="M1345" t="s">
        <v>4198</v>
      </c>
    </row>
    <row r="1346" spans="1:13">
      <c r="A1346" t="s">
        <v>13</v>
      </c>
      <c r="B1346">
        <v>1377794</v>
      </c>
      <c r="C1346">
        <v>1379824</v>
      </c>
      <c r="E1346" t="s">
        <v>35</v>
      </c>
      <c r="F1346" t="s">
        <v>4199</v>
      </c>
      <c r="G1346" t="s">
        <v>4200</v>
      </c>
      <c r="H1346">
        <v>0</v>
      </c>
      <c r="I1346" t="s">
        <v>17</v>
      </c>
      <c r="K1346" t="s">
        <v>4201</v>
      </c>
      <c r="L1346">
        <v>676</v>
      </c>
      <c r="M1346" t="s">
        <v>4202</v>
      </c>
    </row>
    <row r="1347" spans="1:13">
      <c r="A1347" t="s">
        <v>13</v>
      </c>
      <c r="B1347">
        <v>1379836</v>
      </c>
      <c r="C1347">
        <v>1381068</v>
      </c>
      <c r="E1347" t="s">
        <v>35</v>
      </c>
      <c r="F1347" t="s">
        <v>4203</v>
      </c>
      <c r="G1347" t="s">
        <v>4204</v>
      </c>
      <c r="H1347">
        <v>0</v>
      </c>
      <c r="I1347" t="s">
        <v>17</v>
      </c>
      <c r="K1347" t="s">
        <v>4205</v>
      </c>
      <c r="L1347">
        <v>410</v>
      </c>
      <c r="M1347" t="s">
        <v>4206</v>
      </c>
    </row>
    <row r="1348" spans="1:13">
      <c r="A1348" t="s">
        <v>13</v>
      </c>
      <c r="B1348">
        <v>1381166</v>
      </c>
      <c r="C1348">
        <v>1382389</v>
      </c>
      <c r="E1348" t="s">
        <v>35</v>
      </c>
      <c r="F1348" t="s">
        <v>4207</v>
      </c>
      <c r="G1348" t="s">
        <v>4208</v>
      </c>
      <c r="H1348">
        <v>0</v>
      </c>
      <c r="I1348" t="s">
        <v>17</v>
      </c>
      <c r="K1348" t="s">
        <v>4209</v>
      </c>
      <c r="L1348">
        <v>407</v>
      </c>
      <c r="M1348" t="s">
        <v>4210</v>
      </c>
    </row>
    <row r="1349" spans="1:13">
      <c r="A1349" t="s">
        <v>13</v>
      </c>
      <c r="B1349">
        <v>1382558</v>
      </c>
      <c r="C1349">
        <v>1382860</v>
      </c>
      <c r="E1349" t="s">
        <v>35</v>
      </c>
      <c r="F1349" t="s">
        <v>4211</v>
      </c>
      <c r="G1349" t="s">
        <v>4212</v>
      </c>
      <c r="H1349">
        <v>0</v>
      </c>
      <c r="I1349" t="s">
        <v>17</v>
      </c>
      <c r="K1349" t="s">
        <v>4213</v>
      </c>
      <c r="L1349">
        <v>100</v>
      </c>
      <c r="M1349" t="s">
        <v>4214</v>
      </c>
    </row>
    <row r="1350" spans="1:13">
      <c r="A1350" t="s">
        <v>13</v>
      </c>
      <c r="B1350">
        <v>1382901</v>
      </c>
      <c r="C1350">
        <v>1383470</v>
      </c>
      <c r="E1350" t="s">
        <v>35</v>
      </c>
      <c r="F1350" t="s">
        <v>4215</v>
      </c>
      <c r="G1350" t="s">
        <v>4216</v>
      </c>
      <c r="H1350">
        <v>0</v>
      </c>
      <c r="I1350" t="s">
        <v>17</v>
      </c>
      <c r="K1350" t="s">
        <v>4217</v>
      </c>
      <c r="L1350">
        <v>189</v>
      </c>
      <c r="M1350" t="s">
        <v>4218</v>
      </c>
    </row>
    <row r="1351" spans="1:13">
      <c r="A1351" t="s">
        <v>13</v>
      </c>
      <c r="B1351">
        <v>1383479</v>
      </c>
      <c r="C1351">
        <v>1383802</v>
      </c>
      <c r="E1351" t="s">
        <v>35</v>
      </c>
      <c r="F1351" t="s">
        <v>28</v>
      </c>
      <c r="H1351">
        <v>0</v>
      </c>
      <c r="I1351" t="s">
        <v>17</v>
      </c>
      <c r="K1351" t="s">
        <v>4219</v>
      </c>
      <c r="L1351">
        <v>107</v>
      </c>
      <c r="M1351" t="s">
        <v>4220</v>
      </c>
    </row>
    <row r="1352" spans="1:13">
      <c r="A1352" t="s">
        <v>13</v>
      </c>
      <c r="B1352">
        <v>1384062</v>
      </c>
      <c r="C1352">
        <v>1384901</v>
      </c>
      <c r="E1352" t="s">
        <v>35</v>
      </c>
      <c r="F1352" t="s">
        <v>4221</v>
      </c>
      <c r="H1352">
        <v>0</v>
      </c>
      <c r="I1352" t="s">
        <v>17</v>
      </c>
      <c r="K1352" t="s">
        <v>4222</v>
      </c>
      <c r="L1352">
        <v>279</v>
      </c>
      <c r="M1352" t="s">
        <v>4223</v>
      </c>
    </row>
    <row r="1353" spans="1:13">
      <c r="A1353" t="s">
        <v>13</v>
      </c>
      <c r="B1353">
        <v>1384885</v>
      </c>
      <c r="C1353">
        <v>1388226</v>
      </c>
      <c r="E1353" t="s">
        <v>35</v>
      </c>
      <c r="F1353" t="s">
        <v>4224</v>
      </c>
      <c r="G1353" t="s">
        <v>4225</v>
      </c>
      <c r="H1353">
        <v>0</v>
      </c>
      <c r="I1353" t="s">
        <v>17</v>
      </c>
      <c r="K1353" t="s">
        <v>4226</v>
      </c>
      <c r="L1353">
        <v>1113</v>
      </c>
      <c r="M1353" t="s">
        <v>4227</v>
      </c>
    </row>
    <row r="1354" spans="1:13">
      <c r="A1354" t="s">
        <v>13</v>
      </c>
      <c r="B1354">
        <v>1388252</v>
      </c>
      <c r="C1354">
        <v>1389412</v>
      </c>
      <c r="E1354" t="s">
        <v>35</v>
      </c>
      <c r="F1354" t="s">
        <v>4228</v>
      </c>
      <c r="G1354" t="s">
        <v>4229</v>
      </c>
      <c r="H1354">
        <v>0</v>
      </c>
      <c r="I1354" t="s">
        <v>17</v>
      </c>
      <c r="K1354" t="s">
        <v>4230</v>
      </c>
      <c r="L1354">
        <v>386</v>
      </c>
      <c r="M1354" t="s">
        <v>4231</v>
      </c>
    </row>
    <row r="1355" spans="1:13">
      <c r="A1355" t="s">
        <v>13</v>
      </c>
      <c r="B1355">
        <v>1389455</v>
      </c>
      <c r="C1355">
        <v>1390792</v>
      </c>
      <c r="E1355" t="s">
        <v>35</v>
      </c>
      <c r="F1355" t="s">
        <v>4232</v>
      </c>
      <c r="G1355" t="s">
        <v>4233</v>
      </c>
      <c r="H1355">
        <v>0</v>
      </c>
      <c r="I1355" t="s">
        <v>17</v>
      </c>
      <c r="K1355" t="s">
        <v>4234</v>
      </c>
      <c r="L1355">
        <v>445</v>
      </c>
      <c r="M1355" t="s">
        <v>4235</v>
      </c>
    </row>
    <row r="1356" spans="1:13">
      <c r="A1356" t="s">
        <v>13</v>
      </c>
      <c r="B1356">
        <v>1390830</v>
      </c>
      <c r="C1356">
        <v>1391786</v>
      </c>
      <c r="E1356" t="s">
        <v>35</v>
      </c>
      <c r="F1356" t="s">
        <v>4236</v>
      </c>
      <c r="G1356" t="s">
        <v>4237</v>
      </c>
      <c r="H1356">
        <v>0</v>
      </c>
      <c r="I1356" t="s">
        <v>17</v>
      </c>
      <c r="K1356" t="s">
        <v>4238</v>
      </c>
      <c r="L1356">
        <v>318</v>
      </c>
      <c r="M1356" t="s">
        <v>4239</v>
      </c>
    </row>
    <row r="1357" spans="1:13">
      <c r="A1357" t="s">
        <v>13</v>
      </c>
      <c r="B1357">
        <v>1391783</v>
      </c>
      <c r="C1357">
        <v>1392391</v>
      </c>
      <c r="E1357" t="s">
        <v>35</v>
      </c>
      <c r="F1357" t="s">
        <v>4240</v>
      </c>
      <c r="G1357" t="s">
        <v>4241</v>
      </c>
      <c r="H1357">
        <v>0</v>
      </c>
      <c r="I1357" t="s">
        <v>17</v>
      </c>
      <c r="K1357" t="s">
        <v>4242</v>
      </c>
      <c r="L1357">
        <v>202</v>
      </c>
      <c r="M1357" t="s">
        <v>4243</v>
      </c>
    </row>
    <row r="1358" spans="1:13">
      <c r="A1358" t="s">
        <v>13</v>
      </c>
      <c r="B1358">
        <v>1392501</v>
      </c>
      <c r="C1358">
        <v>1393889</v>
      </c>
      <c r="E1358" t="s">
        <v>14</v>
      </c>
      <c r="F1358" t="s">
        <v>4244</v>
      </c>
      <c r="H1358">
        <v>0</v>
      </c>
      <c r="I1358" t="s">
        <v>17</v>
      </c>
      <c r="K1358" t="s">
        <v>4245</v>
      </c>
      <c r="L1358">
        <v>462</v>
      </c>
      <c r="M1358" t="s">
        <v>4246</v>
      </c>
    </row>
    <row r="1359" spans="1:13">
      <c r="A1359" t="s">
        <v>13</v>
      </c>
      <c r="B1359">
        <v>1393964</v>
      </c>
      <c r="C1359">
        <v>1394455</v>
      </c>
      <c r="E1359" t="s">
        <v>14</v>
      </c>
      <c r="F1359" t="s">
        <v>28</v>
      </c>
      <c r="H1359">
        <v>0</v>
      </c>
      <c r="I1359" t="s">
        <v>17</v>
      </c>
      <c r="K1359" t="s">
        <v>4247</v>
      </c>
      <c r="L1359">
        <v>163</v>
      </c>
      <c r="M1359" t="s">
        <v>4248</v>
      </c>
    </row>
    <row r="1360" spans="1:13">
      <c r="A1360" t="s">
        <v>13</v>
      </c>
      <c r="B1360">
        <v>1394448</v>
      </c>
      <c r="C1360">
        <v>1394969</v>
      </c>
      <c r="E1360" t="s">
        <v>14</v>
      </c>
      <c r="F1360" t="s">
        <v>28</v>
      </c>
      <c r="H1360">
        <v>0</v>
      </c>
      <c r="I1360" t="s">
        <v>17</v>
      </c>
      <c r="K1360" t="s">
        <v>4249</v>
      </c>
      <c r="L1360">
        <v>173</v>
      </c>
      <c r="M1360" t="s">
        <v>4250</v>
      </c>
    </row>
    <row r="1361" spans="1:13">
      <c r="A1361" t="s">
        <v>13</v>
      </c>
      <c r="B1361">
        <v>1395106</v>
      </c>
      <c r="C1361">
        <v>1395960</v>
      </c>
      <c r="E1361" t="s">
        <v>35</v>
      </c>
      <c r="F1361" t="s">
        <v>2716</v>
      </c>
      <c r="H1361">
        <v>0</v>
      </c>
      <c r="I1361" t="s">
        <v>17</v>
      </c>
      <c r="K1361" t="s">
        <v>4251</v>
      </c>
      <c r="L1361">
        <v>284</v>
      </c>
      <c r="M1361" t="s">
        <v>4252</v>
      </c>
    </row>
    <row r="1362" spans="1:13">
      <c r="A1362" t="s">
        <v>13</v>
      </c>
      <c r="B1362">
        <v>1396117</v>
      </c>
      <c r="C1362">
        <v>1396752</v>
      </c>
      <c r="E1362" t="s">
        <v>35</v>
      </c>
      <c r="F1362" t="s">
        <v>28</v>
      </c>
      <c r="H1362">
        <v>0</v>
      </c>
      <c r="I1362" t="s">
        <v>17</v>
      </c>
      <c r="K1362" t="s">
        <v>4253</v>
      </c>
      <c r="L1362">
        <v>211</v>
      </c>
      <c r="M1362" t="s">
        <v>4254</v>
      </c>
    </row>
    <row r="1363" spans="1:13">
      <c r="A1363" t="s">
        <v>13</v>
      </c>
      <c r="B1363">
        <v>1396762</v>
      </c>
      <c r="C1363">
        <v>1397325</v>
      </c>
      <c r="E1363" t="s">
        <v>35</v>
      </c>
      <c r="F1363" t="s">
        <v>4255</v>
      </c>
      <c r="G1363" t="s">
        <v>4256</v>
      </c>
      <c r="H1363">
        <v>0</v>
      </c>
      <c r="I1363" t="s">
        <v>17</v>
      </c>
      <c r="K1363" t="s">
        <v>4257</v>
      </c>
      <c r="L1363">
        <v>187</v>
      </c>
      <c r="M1363" t="s">
        <v>4258</v>
      </c>
    </row>
    <row r="1364" spans="1:13">
      <c r="A1364" t="s">
        <v>13</v>
      </c>
      <c r="B1364">
        <v>1397466</v>
      </c>
      <c r="C1364">
        <v>1398572</v>
      </c>
      <c r="E1364" t="s">
        <v>35</v>
      </c>
      <c r="F1364" t="s">
        <v>3928</v>
      </c>
      <c r="G1364" t="s">
        <v>4259</v>
      </c>
      <c r="H1364">
        <v>0</v>
      </c>
      <c r="I1364" t="s">
        <v>17</v>
      </c>
      <c r="K1364" t="s">
        <v>4260</v>
      </c>
      <c r="L1364">
        <v>368</v>
      </c>
      <c r="M1364" t="s">
        <v>4261</v>
      </c>
    </row>
    <row r="1365" spans="1:13">
      <c r="A1365" t="s">
        <v>13</v>
      </c>
      <c r="B1365">
        <v>1398709</v>
      </c>
      <c r="C1365">
        <v>1399137</v>
      </c>
      <c r="E1365" t="s">
        <v>35</v>
      </c>
      <c r="F1365" t="s">
        <v>4262</v>
      </c>
      <c r="G1365" t="s">
        <v>4263</v>
      </c>
      <c r="H1365">
        <v>0</v>
      </c>
      <c r="I1365" t="s">
        <v>17</v>
      </c>
      <c r="K1365" t="s">
        <v>4264</v>
      </c>
      <c r="L1365">
        <v>142</v>
      </c>
      <c r="M1365" t="s">
        <v>4265</v>
      </c>
    </row>
    <row r="1366" spans="1:13">
      <c r="A1366" t="s">
        <v>13</v>
      </c>
      <c r="B1366">
        <v>1399140</v>
      </c>
      <c r="C1366">
        <v>1400210</v>
      </c>
      <c r="E1366" t="s">
        <v>35</v>
      </c>
      <c r="F1366" t="s">
        <v>4266</v>
      </c>
      <c r="G1366" t="s">
        <v>4267</v>
      </c>
      <c r="H1366">
        <v>0</v>
      </c>
      <c r="I1366" t="s">
        <v>17</v>
      </c>
      <c r="K1366" t="s">
        <v>4268</v>
      </c>
      <c r="L1366">
        <v>356</v>
      </c>
      <c r="M1366" t="s">
        <v>4269</v>
      </c>
    </row>
    <row r="1367" spans="1:13">
      <c r="A1367" t="s">
        <v>13</v>
      </c>
      <c r="B1367">
        <v>1400266</v>
      </c>
      <c r="C1367">
        <v>1400802</v>
      </c>
      <c r="E1367" t="s">
        <v>35</v>
      </c>
      <c r="F1367" t="s">
        <v>4270</v>
      </c>
      <c r="G1367" t="s">
        <v>4271</v>
      </c>
      <c r="H1367">
        <v>0</v>
      </c>
      <c r="I1367" t="s">
        <v>17</v>
      </c>
      <c r="K1367" t="s">
        <v>4272</v>
      </c>
      <c r="L1367">
        <v>178</v>
      </c>
      <c r="M1367" t="s">
        <v>4273</v>
      </c>
    </row>
    <row r="1368" spans="1:13">
      <c r="A1368" t="s">
        <v>13</v>
      </c>
      <c r="B1368">
        <v>1400806</v>
      </c>
      <c r="C1368">
        <v>1402038</v>
      </c>
      <c r="E1368" t="s">
        <v>35</v>
      </c>
      <c r="F1368" t="s">
        <v>4274</v>
      </c>
      <c r="G1368" t="s">
        <v>4275</v>
      </c>
      <c r="H1368">
        <v>0</v>
      </c>
      <c r="I1368" t="s">
        <v>17</v>
      </c>
      <c r="K1368" t="s">
        <v>4276</v>
      </c>
      <c r="L1368">
        <v>410</v>
      </c>
      <c r="M1368" t="s">
        <v>4277</v>
      </c>
    </row>
    <row r="1369" spans="1:13">
      <c r="A1369" t="s">
        <v>13</v>
      </c>
      <c r="B1369">
        <v>1402039</v>
      </c>
      <c r="C1369">
        <v>1402479</v>
      </c>
      <c r="E1369" t="s">
        <v>35</v>
      </c>
      <c r="F1369" t="s">
        <v>4278</v>
      </c>
      <c r="H1369">
        <v>0</v>
      </c>
      <c r="I1369" t="s">
        <v>17</v>
      </c>
      <c r="K1369" t="s">
        <v>4279</v>
      </c>
      <c r="L1369">
        <v>146</v>
      </c>
      <c r="M1369" t="s">
        <v>4280</v>
      </c>
    </row>
    <row r="1370" spans="1:13">
      <c r="A1370" t="s">
        <v>13</v>
      </c>
      <c r="B1370">
        <v>1402551</v>
      </c>
      <c r="C1370">
        <v>1403369</v>
      </c>
      <c r="E1370" t="s">
        <v>35</v>
      </c>
      <c r="F1370" t="s">
        <v>4281</v>
      </c>
      <c r="G1370" t="s">
        <v>4282</v>
      </c>
      <c r="H1370">
        <v>0</v>
      </c>
      <c r="I1370" t="s">
        <v>17</v>
      </c>
      <c r="K1370" t="s">
        <v>4283</v>
      </c>
      <c r="L1370">
        <v>272</v>
      </c>
      <c r="M1370" t="s">
        <v>4284</v>
      </c>
    </row>
    <row r="1371" spans="1:13">
      <c r="A1371" t="s">
        <v>13</v>
      </c>
      <c r="B1371">
        <v>1403405</v>
      </c>
      <c r="C1371">
        <v>1404631</v>
      </c>
      <c r="E1371" t="s">
        <v>35</v>
      </c>
      <c r="F1371" t="s">
        <v>4285</v>
      </c>
      <c r="H1371">
        <v>0</v>
      </c>
      <c r="I1371" t="s">
        <v>17</v>
      </c>
      <c r="K1371" t="s">
        <v>4286</v>
      </c>
      <c r="L1371">
        <v>408</v>
      </c>
      <c r="M1371" t="s">
        <v>4287</v>
      </c>
    </row>
    <row r="1372" spans="1:13">
      <c r="A1372" t="s">
        <v>13</v>
      </c>
      <c r="B1372">
        <v>1404636</v>
      </c>
      <c r="C1372">
        <v>1405187</v>
      </c>
      <c r="E1372" t="s">
        <v>35</v>
      </c>
      <c r="F1372" t="s">
        <v>4288</v>
      </c>
      <c r="G1372" t="s">
        <v>4289</v>
      </c>
      <c r="H1372">
        <v>0</v>
      </c>
      <c r="I1372" t="s">
        <v>17</v>
      </c>
      <c r="K1372" t="s">
        <v>4290</v>
      </c>
      <c r="L1372">
        <v>183</v>
      </c>
      <c r="M1372" t="s">
        <v>4291</v>
      </c>
    </row>
    <row r="1373" spans="1:13">
      <c r="A1373" t="s">
        <v>13</v>
      </c>
      <c r="B1373">
        <v>1405197</v>
      </c>
      <c r="C1373">
        <v>1407881</v>
      </c>
      <c r="E1373" t="s">
        <v>35</v>
      </c>
      <c r="F1373" t="s">
        <v>4292</v>
      </c>
      <c r="G1373" t="s">
        <v>4293</v>
      </c>
      <c r="H1373">
        <v>0</v>
      </c>
      <c r="I1373" t="s">
        <v>17</v>
      </c>
      <c r="K1373" t="s">
        <v>4294</v>
      </c>
      <c r="L1373">
        <v>894</v>
      </c>
      <c r="M1373" t="s">
        <v>4295</v>
      </c>
    </row>
    <row r="1374" spans="1:13">
      <c r="A1374" t="s">
        <v>13</v>
      </c>
      <c r="B1374">
        <v>1408009</v>
      </c>
      <c r="C1374">
        <v>1409394</v>
      </c>
      <c r="E1374" t="s">
        <v>35</v>
      </c>
      <c r="F1374" t="s">
        <v>4296</v>
      </c>
      <c r="G1374" t="s">
        <v>4297</v>
      </c>
      <c r="H1374">
        <v>0</v>
      </c>
      <c r="I1374" t="s">
        <v>17</v>
      </c>
      <c r="K1374" t="s">
        <v>4298</v>
      </c>
      <c r="L1374">
        <v>461</v>
      </c>
      <c r="M1374" t="s">
        <v>4299</v>
      </c>
    </row>
    <row r="1375" spans="1:13">
      <c r="A1375" t="s">
        <v>13</v>
      </c>
      <c r="B1375">
        <v>1409426</v>
      </c>
      <c r="C1375">
        <v>1410640</v>
      </c>
      <c r="E1375" t="s">
        <v>35</v>
      </c>
      <c r="F1375" t="s">
        <v>4300</v>
      </c>
      <c r="H1375">
        <v>0</v>
      </c>
      <c r="I1375" t="s">
        <v>17</v>
      </c>
      <c r="K1375" t="s">
        <v>4301</v>
      </c>
      <c r="L1375">
        <v>404</v>
      </c>
      <c r="M1375" t="s">
        <v>4302</v>
      </c>
    </row>
    <row r="1376" spans="1:13">
      <c r="A1376" t="s">
        <v>13</v>
      </c>
      <c r="B1376">
        <v>1410766</v>
      </c>
      <c r="C1376">
        <v>1412592</v>
      </c>
      <c r="E1376" t="s">
        <v>35</v>
      </c>
      <c r="F1376" t="s">
        <v>4303</v>
      </c>
      <c r="G1376" t="s">
        <v>4304</v>
      </c>
      <c r="H1376">
        <v>0</v>
      </c>
      <c r="I1376" t="s">
        <v>17</v>
      </c>
      <c r="K1376" t="s">
        <v>4305</v>
      </c>
      <c r="L1376">
        <v>608</v>
      </c>
      <c r="M1376" t="s">
        <v>4306</v>
      </c>
    </row>
    <row r="1377" spans="1:13">
      <c r="A1377" t="s">
        <v>13</v>
      </c>
      <c r="B1377">
        <v>1412833</v>
      </c>
      <c r="C1377">
        <v>1413714</v>
      </c>
      <c r="E1377" t="s">
        <v>14</v>
      </c>
      <c r="F1377" t="s">
        <v>4307</v>
      </c>
      <c r="H1377">
        <v>0</v>
      </c>
      <c r="I1377" t="s">
        <v>17</v>
      </c>
      <c r="K1377" t="s">
        <v>4308</v>
      </c>
      <c r="L1377">
        <v>293</v>
      </c>
      <c r="M1377" t="s">
        <v>4309</v>
      </c>
    </row>
    <row r="1378" spans="1:13">
      <c r="A1378" t="s">
        <v>13</v>
      </c>
      <c r="B1378">
        <v>1413820</v>
      </c>
      <c r="C1378">
        <v>1414932</v>
      </c>
      <c r="E1378" t="s">
        <v>14</v>
      </c>
      <c r="F1378" t="s">
        <v>4310</v>
      </c>
      <c r="G1378" t="s">
        <v>4311</v>
      </c>
      <c r="H1378">
        <v>0</v>
      </c>
      <c r="I1378" t="s">
        <v>17</v>
      </c>
      <c r="K1378" t="s">
        <v>4312</v>
      </c>
      <c r="L1378">
        <v>370</v>
      </c>
      <c r="M1378" t="s">
        <v>4313</v>
      </c>
    </row>
    <row r="1379" spans="1:13">
      <c r="A1379" t="s">
        <v>13</v>
      </c>
      <c r="B1379">
        <v>1414936</v>
      </c>
      <c r="C1379">
        <v>1415604</v>
      </c>
      <c r="E1379" t="s">
        <v>14</v>
      </c>
      <c r="F1379" t="s">
        <v>4314</v>
      </c>
      <c r="G1379" t="s">
        <v>4315</v>
      </c>
      <c r="H1379">
        <v>0</v>
      </c>
      <c r="I1379" t="s">
        <v>17</v>
      </c>
      <c r="K1379" t="s">
        <v>4316</v>
      </c>
      <c r="L1379">
        <v>222</v>
      </c>
      <c r="M1379" t="s">
        <v>4317</v>
      </c>
    </row>
    <row r="1380" spans="1:13">
      <c r="A1380" t="s">
        <v>13</v>
      </c>
      <c r="B1380">
        <v>1415773</v>
      </c>
      <c r="C1380">
        <v>1417182</v>
      </c>
      <c r="E1380" t="s">
        <v>14</v>
      </c>
      <c r="F1380" t="s">
        <v>4318</v>
      </c>
      <c r="G1380" t="s">
        <v>4319</v>
      </c>
      <c r="H1380">
        <v>0</v>
      </c>
      <c r="I1380" t="s">
        <v>17</v>
      </c>
      <c r="K1380" t="s">
        <v>4320</v>
      </c>
      <c r="L1380">
        <v>469</v>
      </c>
      <c r="M1380" t="s">
        <v>4321</v>
      </c>
    </row>
    <row r="1381" spans="1:13">
      <c r="A1381" t="s">
        <v>13</v>
      </c>
      <c r="B1381">
        <v>1417252</v>
      </c>
      <c r="C1381">
        <v>1418535</v>
      </c>
      <c r="E1381" t="s">
        <v>35</v>
      </c>
      <c r="F1381" t="s">
        <v>4322</v>
      </c>
      <c r="G1381" t="s">
        <v>4323</v>
      </c>
      <c r="H1381">
        <v>0</v>
      </c>
      <c r="I1381" t="s">
        <v>17</v>
      </c>
      <c r="K1381" t="s">
        <v>4324</v>
      </c>
      <c r="L1381">
        <v>427</v>
      </c>
      <c r="M1381" t="s">
        <v>4325</v>
      </c>
    </row>
    <row r="1382" spans="1:13">
      <c r="A1382" t="s">
        <v>13</v>
      </c>
      <c r="B1382">
        <v>1418541</v>
      </c>
      <c r="C1382">
        <v>1419176</v>
      </c>
      <c r="E1382" t="s">
        <v>35</v>
      </c>
      <c r="F1382" t="s">
        <v>4326</v>
      </c>
      <c r="H1382">
        <v>0</v>
      </c>
      <c r="I1382" t="s">
        <v>17</v>
      </c>
      <c r="K1382" t="s">
        <v>4327</v>
      </c>
      <c r="L1382">
        <v>211</v>
      </c>
      <c r="M1382" t="s">
        <v>4328</v>
      </c>
    </row>
    <row r="1383" spans="1:13">
      <c r="A1383" t="s">
        <v>13</v>
      </c>
      <c r="B1383">
        <v>1419343</v>
      </c>
      <c r="C1383">
        <v>1419840</v>
      </c>
      <c r="E1383" t="s">
        <v>35</v>
      </c>
      <c r="F1383" t="s">
        <v>4329</v>
      </c>
      <c r="G1383" t="s">
        <v>4330</v>
      </c>
      <c r="H1383">
        <v>0</v>
      </c>
      <c r="I1383" t="s">
        <v>17</v>
      </c>
      <c r="K1383" t="s">
        <v>4331</v>
      </c>
      <c r="L1383">
        <v>165</v>
      </c>
      <c r="M1383" t="s">
        <v>4332</v>
      </c>
    </row>
    <row r="1384" spans="1:13">
      <c r="A1384" t="s">
        <v>13</v>
      </c>
      <c r="B1384">
        <v>1419997</v>
      </c>
      <c r="C1384">
        <v>1420878</v>
      </c>
      <c r="E1384" t="s">
        <v>14</v>
      </c>
      <c r="F1384" t="s">
        <v>4333</v>
      </c>
      <c r="G1384" t="s">
        <v>4334</v>
      </c>
      <c r="H1384">
        <v>0</v>
      </c>
      <c r="I1384" t="s">
        <v>17</v>
      </c>
      <c r="K1384" t="s">
        <v>4335</v>
      </c>
      <c r="L1384">
        <v>293</v>
      </c>
      <c r="M1384" t="s">
        <v>4336</v>
      </c>
    </row>
    <row r="1385" spans="1:13">
      <c r="A1385" t="s">
        <v>13</v>
      </c>
      <c r="B1385">
        <v>1420978</v>
      </c>
      <c r="C1385">
        <v>1421481</v>
      </c>
      <c r="E1385" t="s">
        <v>14</v>
      </c>
      <c r="F1385" t="s">
        <v>4337</v>
      </c>
      <c r="G1385" t="s">
        <v>4338</v>
      </c>
      <c r="H1385">
        <v>0</v>
      </c>
      <c r="I1385" t="s">
        <v>17</v>
      </c>
      <c r="K1385" t="s">
        <v>4339</v>
      </c>
      <c r="L1385">
        <v>167</v>
      </c>
      <c r="M1385" t="s">
        <v>4340</v>
      </c>
    </row>
    <row r="1386" spans="1:13">
      <c r="A1386" t="s">
        <v>13</v>
      </c>
      <c r="B1386">
        <v>1422067</v>
      </c>
      <c r="C1386">
        <v>1422282</v>
      </c>
      <c r="E1386" t="s">
        <v>35</v>
      </c>
      <c r="F1386" t="s">
        <v>28</v>
      </c>
      <c r="H1386">
        <v>0</v>
      </c>
      <c r="I1386" t="s">
        <v>17</v>
      </c>
      <c r="K1386" t="s">
        <v>4341</v>
      </c>
      <c r="L1386">
        <v>71</v>
      </c>
      <c r="M1386" t="s">
        <v>4342</v>
      </c>
    </row>
    <row r="1387" spans="1:13">
      <c r="A1387" t="s">
        <v>13</v>
      </c>
      <c r="B1387">
        <v>1422328</v>
      </c>
      <c r="C1387">
        <v>1423671</v>
      </c>
      <c r="E1387" t="s">
        <v>35</v>
      </c>
      <c r="F1387" t="s">
        <v>518</v>
      </c>
      <c r="H1387">
        <v>0</v>
      </c>
      <c r="I1387" t="s">
        <v>17</v>
      </c>
      <c r="K1387" t="s">
        <v>4343</v>
      </c>
      <c r="L1387">
        <v>447</v>
      </c>
      <c r="M1387" t="s">
        <v>4344</v>
      </c>
    </row>
    <row r="1388" spans="1:13">
      <c r="A1388" t="s">
        <v>13</v>
      </c>
      <c r="B1388">
        <v>1424310</v>
      </c>
      <c r="C1388">
        <v>1424663</v>
      </c>
      <c r="E1388" t="s">
        <v>14</v>
      </c>
      <c r="F1388" t="s">
        <v>28</v>
      </c>
      <c r="H1388">
        <v>0</v>
      </c>
      <c r="I1388" t="s">
        <v>17</v>
      </c>
      <c r="K1388" t="s">
        <v>4345</v>
      </c>
      <c r="L1388">
        <v>117</v>
      </c>
      <c r="M1388" t="s">
        <v>4346</v>
      </c>
    </row>
    <row r="1389" spans="1:13">
      <c r="A1389" t="s">
        <v>13</v>
      </c>
      <c r="B1389">
        <v>1424774</v>
      </c>
      <c r="C1389">
        <v>1425271</v>
      </c>
      <c r="E1389" t="s">
        <v>35</v>
      </c>
      <c r="F1389" t="s">
        <v>28</v>
      </c>
      <c r="H1389">
        <v>0</v>
      </c>
      <c r="I1389" t="s">
        <v>17</v>
      </c>
      <c r="K1389" t="s">
        <v>4347</v>
      </c>
      <c r="L1389">
        <v>165</v>
      </c>
      <c r="M1389" t="s">
        <v>4348</v>
      </c>
    </row>
    <row r="1390" spans="1:13">
      <c r="A1390" t="s">
        <v>13</v>
      </c>
      <c r="B1390">
        <v>1425459</v>
      </c>
      <c r="C1390">
        <v>1427513</v>
      </c>
      <c r="E1390" t="s">
        <v>35</v>
      </c>
      <c r="F1390" t="s">
        <v>4349</v>
      </c>
      <c r="G1390" t="s">
        <v>4350</v>
      </c>
      <c r="H1390">
        <v>0</v>
      </c>
      <c r="I1390" t="s">
        <v>17</v>
      </c>
      <c r="K1390" t="s">
        <v>4351</v>
      </c>
      <c r="L1390">
        <v>684</v>
      </c>
      <c r="M1390" t="s">
        <v>4352</v>
      </c>
    </row>
    <row r="1391" spans="1:13">
      <c r="A1391" t="s">
        <v>13</v>
      </c>
      <c r="B1391">
        <v>1427707</v>
      </c>
      <c r="C1391">
        <v>1429950</v>
      </c>
      <c r="E1391" t="s">
        <v>35</v>
      </c>
      <c r="F1391" t="s">
        <v>4353</v>
      </c>
      <c r="G1391" t="s">
        <v>4354</v>
      </c>
      <c r="H1391">
        <v>0</v>
      </c>
      <c r="I1391" t="s">
        <v>17</v>
      </c>
      <c r="K1391" t="s">
        <v>4355</v>
      </c>
      <c r="L1391">
        <v>747</v>
      </c>
      <c r="M1391" t="s">
        <v>4356</v>
      </c>
    </row>
    <row r="1392" spans="1:13">
      <c r="A1392" t="s">
        <v>13</v>
      </c>
      <c r="B1392">
        <v>1430087</v>
      </c>
      <c r="C1392">
        <v>1430632</v>
      </c>
      <c r="E1392" t="s">
        <v>35</v>
      </c>
      <c r="F1392" t="s">
        <v>4357</v>
      </c>
      <c r="G1392" t="s">
        <v>4358</v>
      </c>
      <c r="H1392">
        <v>0</v>
      </c>
      <c r="I1392" t="s">
        <v>17</v>
      </c>
      <c r="K1392" t="s">
        <v>4359</v>
      </c>
      <c r="L1392">
        <v>181</v>
      </c>
      <c r="M1392" t="s">
        <v>4360</v>
      </c>
    </row>
    <row r="1393" spans="1:13">
      <c r="A1393" t="s">
        <v>13</v>
      </c>
      <c r="B1393">
        <v>1430683</v>
      </c>
      <c r="C1393">
        <v>1432434</v>
      </c>
      <c r="E1393" t="s">
        <v>35</v>
      </c>
      <c r="F1393" t="s">
        <v>4361</v>
      </c>
      <c r="H1393">
        <v>0</v>
      </c>
      <c r="I1393" t="s">
        <v>17</v>
      </c>
      <c r="K1393" t="s">
        <v>4362</v>
      </c>
      <c r="L1393">
        <v>583</v>
      </c>
      <c r="M1393" t="s">
        <v>4363</v>
      </c>
    </row>
    <row r="1394" spans="1:13">
      <c r="A1394" t="s">
        <v>13</v>
      </c>
      <c r="B1394">
        <v>1432499</v>
      </c>
      <c r="C1394">
        <v>1433671</v>
      </c>
      <c r="E1394" t="s">
        <v>35</v>
      </c>
      <c r="F1394" t="s">
        <v>4364</v>
      </c>
      <c r="H1394">
        <v>0</v>
      </c>
      <c r="I1394" t="s">
        <v>17</v>
      </c>
      <c r="K1394" t="s">
        <v>4365</v>
      </c>
      <c r="L1394">
        <v>390</v>
      </c>
      <c r="M1394" t="s">
        <v>4366</v>
      </c>
    </row>
    <row r="1395" spans="1:13">
      <c r="A1395" t="s">
        <v>13</v>
      </c>
      <c r="B1395">
        <v>1433674</v>
      </c>
      <c r="C1395">
        <v>1435557</v>
      </c>
      <c r="E1395" t="s">
        <v>35</v>
      </c>
      <c r="F1395" t="s">
        <v>4367</v>
      </c>
      <c r="H1395">
        <v>0</v>
      </c>
      <c r="I1395" t="s">
        <v>17</v>
      </c>
      <c r="K1395" t="s">
        <v>4368</v>
      </c>
      <c r="L1395">
        <v>627</v>
      </c>
      <c r="M1395" t="s">
        <v>4369</v>
      </c>
    </row>
    <row r="1396" spans="1:13">
      <c r="A1396" t="s">
        <v>13</v>
      </c>
      <c r="B1396">
        <v>1435839</v>
      </c>
      <c r="C1396">
        <v>1436189</v>
      </c>
      <c r="E1396" t="s">
        <v>35</v>
      </c>
      <c r="F1396" t="s">
        <v>4370</v>
      </c>
      <c r="H1396">
        <v>0</v>
      </c>
      <c r="I1396" t="s">
        <v>17</v>
      </c>
      <c r="K1396" t="s">
        <v>4371</v>
      </c>
      <c r="L1396">
        <v>116</v>
      </c>
      <c r="M1396" t="s">
        <v>4372</v>
      </c>
    </row>
    <row r="1397" spans="1:13">
      <c r="A1397" t="s">
        <v>13</v>
      </c>
      <c r="B1397">
        <v>1436279</v>
      </c>
      <c r="C1397">
        <v>1437358</v>
      </c>
      <c r="E1397" t="s">
        <v>35</v>
      </c>
      <c r="F1397" t="s">
        <v>4373</v>
      </c>
      <c r="G1397" t="s">
        <v>4374</v>
      </c>
      <c r="H1397">
        <v>0</v>
      </c>
      <c r="I1397" t="s">
        <v>17</v>
      </c>
      <c r="K1397" t="s">
        <v>4375</v>
      </c>
      <c r="L1397">
        <v>359</v>
      </c>
      <c r="M1397" t="s">
        <v>4376</v>
      </c>
    </row>
    <row r="1398" spans="1:13">
      <c r="A1398" t="s">
        <v>13</v>
      </c>
      <c r="B1398">
        <v>1437395</v>
      </c>
      <c r="C1398">
        <v>1438003</v>
      </c>
      <c r="E1398" t="s">
        <v>35</v>
      </c>
      <c r="F1398" t="s">
        <v>4377</v>
      </c>
      <c r="G1398" t="s">
        <v>4378</v>
      </c>
      <c r="H1398">
        <v>0</v>
      </c>
      <c r="I1398" t="s">
        <v>17</v>
      </c>
      <c r="K1398" t="s">
        <v>4379</v>
      </c>
      <c r="L1398">
        <v>202</v>
      </c>
      <c r="M1398" t="s">
        <v>4380</v>
      </c>
    </row>
    <row r="1399" spans="1:13">
      <c r="A1399" t="s">
        <v>13</v>
      </c>
      <c r="B1399">
        <v>1438085</v>
      </c>
      <c r="C1399">
        <v>1438657</v>
      </c>
      <c r="E1399" t="s">
        <v>35</v>
      </c>
      <c r="F1399" t="s">
        <v>4381</v>
      </c>
      <c r="G1399" t="s">
        <v>4382</v>
      </c>
      <c r="H1399">
        <v>0</v>
      </c>
      <c r="I1399" t="s">
        <v>17</v>
      </c>
      <c r="K1399" t="s">
        <v>4383</v>
      </c>
      <c r="L1399">
        <v>190</v>
      </c>
      <c r="M1399" t="s">
        <v>4384</v>
      </c>
    </row>
    <row r="1400" spans="1:13">
      <c r="A1400" t="s">
        <v>13</v>
      </c>
      <c r="B1400">
        <v>1438846</v>
      </c>
      <c r="C1400">
        <v>1439601</v>
      </c>
      <c r="E1400" t="s">
        <v>35</v>
      </c>
      <c r="F1400" t="s">
        <v>4385</v>
      </c>
      <c r="H1400">
        <v>0</v>
      </c>
      <c r="I1400" t="s">
        <v>17</v>
      </c>
      <c r="K1400" t="s">
        <v>4386</v>
      </c>
      <c r="L1400">
        <v>251</v>
      </c>
      <c r="M1400" t="s">
        <v>4387</v>
      </c>
    </row>
    <row r="1401" spans="1:13">
      <c r="A1401" t="s">
        <v>13</v>
      </c>
      <c r="B1401">
        <v>1439694</v>
      </c>
      <c r="C1401">
        <v>1440566</v>
      </c>
      <c r="E1401" t="s">
        <v>35</v>
      </c>
      <c r="F1401" t="s">
        <v>4388</v>
      </c>
      <c r="G1401" t="s">
        <v>4389</v>
      </c>
      <c r="H1401">
        <v>0</v>
      </c>
      <c r="I1401" t="s">
        <v>17</v>
      </c>
      <c r="K1401" t="s">
        <v>4390</v>
      </c>
      <c r="L1401">
        <v>290</v>
      </c>
      <c r="M1401" t="s">
        <v>4391</v>
      </c>
    </row>
    <row r="1402" spans="1:13">
      <c r="A1402" t="s">
        <v>13</v>
      </c>
      <c r="B1402">
        <v>1440715</v>
      </c>
      <c r="C1402">
        <v>1442106</v>
      </c>
      <c r="E1402" t="s">
        <v>14</v>
      </c>
      <c r="F1402" t="s">
        <v>28</v>
      </c>
      <c r="H1402">
        <v>0</v>
      </c>
      <c r="I1402" t="s">
        <v>17</v>
      </c>
      <c r="K1402" t="s">
        <v>4392</v>
      </c>
      <c r="L1402">
        <v>463</v>
      </c>
      <c r="M1402" t="s">
        <v>4393</v>
      </c>
    </row>
    <row r="1403" spans="1:13">
      <c r="A1403" t="s">
        <v>13</v>
      </c>
      <c r="B1403">
        <v>1442111</v>
      </c>
      <c r="C1403">
        <v>1442575</v>
      </c>
      <c r="E1403" t="s">
        <v>35</v>
      </c>
      <c r="F1403" t="s">
        <v>28</v>
      </c>
      <c r="H1403">
        <v>0</v>
      </c>
      <c r="I1403" t="s">
        <v>17</v>
      </c>
      <c r="K1403" t="s">
        <v>4394</v>
      </c>
      <c r="L1403">
        <v>154</v>
      </c>
      <c r="M1403" t="s">
        <v>4395</v>
      </c>
    </row>
    <row r="1404" spans="1:13">
      <c r="A1404" t="s">
        <v>13</v>
      </c>
      <c r="B1404">
        <v>1442572</v>
      </c>
      <c r="C1404">
        <v>1443675</v>
      </c>
      <c r="E1404" t="s">
        <v>35</v>
      </c>
      <c r="F1404" t="s">
        <v>4396</v>
      </c>
      <c r="G1404" t="s">
        <v>4397</v>
      </c>
      <c r="H1404">
        <v>0</v>
      </c>
      <c r="I1404" t="s">
        <v>17</v>
      </c>
      <c r="K1404" t="s">
        <v>4398</v>
      </c>
      <c r="L1404">
        <v>367</v>
      </c>
      <c r="M1404" t="s">
        <v>4399</v>
      </c>
    </row>
    <row r="1405" spans="1:13">
      <c r="A1405" t="s">
        <v>13</v>
      </c>
      <c r="B1405">
        <v>1443675</v>
      </c>
      <c r="C1405">
        <v>1444577</v>
      </c>
      <c r="E1405" t="s">
        <v>35</v>
      </c>
      <c r="F1405" t="s">
        <v>4400</v>
      </c>
      <c r="H1405">
        <v>0</v>
      </c>
      <c r="I1405" t="s">
        <v>17</v>
      </c>
      <c r="K1405" t="s">
        <v>4401</v>
      </c>
      <c r="L1405">
        <v>300</v>
      </c>
      <c r="M1405" t="s">
        <v>4402</v>
      </c>
    </row>
    <row r="1406" spans="1:13">
      <c r="A1406" t="s">
        <v>13</v>
      </c>
      <c r="B1406">
        <v>1444664</v>
      </c>
      <c r="C1406">
        <v>1445272</v>
      </c>
      <c r="E1406" t="s">
        <v>35</v>
      </c>
      <c r="F1406" t="s">
        <v>4403</v>
      </c>
      <c r="G1406" t="s">
        <v>4404</v>
      </c>
      <c r="H1406">
        <v>0</v>
      </c>
      <c r="I1406" t="s">
        <v>17</v>
      </c>
      <c r="K1406" t="s">
        <v>4405</v>
      </c>
      <c r="L1406">
        <v>202</v>
      </c>
      <c r="M1406" t="s">
        <v>4406</v>
      </c>
    </row>
    <row r="1407" spans="1:13">
      <c r="A1407" t="s">
        <v>13</v>
      </c>
      <c r="B1407">
        <v>1445265</v>
      </c>
      <c r="C1407">
        <v>1445834</v>
      </c>
      <c r="E1407" t="s">
        <v>35</v>
      </c>
      <c r="F1407" t="s">
        <v>4407</v>
      </c>
      <c r="H1407">
        <v>0</v>
      </c>
      <c r="I1407" t="s">
        <v>17</v>
      </c>
      <c r="K1407" t="s">
        <v>4408</v>
      </c>
      <c r="L1407">
        <v>189</v>
      </c>
      <c r="M1407" t="s">
        <v>4409</v>
      </c>
    </row>
    <row r="1408" spans="1:13">
      <c r="A1408" t="s">
        <v>13</v>
      </c>
      <c r="B1408">
        <v>1445821</v>
      </c>
      <c r="C1408">
        <v>1447884</v>
      </c>
      <c r="E1408" t="s">
        <v>35</v>
      </c>
      <c r="F1408" t="s">
        <v>4410</v>
      </c>
      <c r="G1408" t="s">
        <v>4411</v>
      </c>
      <c r="H1408">
        <v>0</v>
      </c>
      <c r="I1408" t="s">
        <v>17</v>
      </c>
      <c r="K1408" t="s">
        <v>4412</v>
      </c>
      <c r="L1408">
        <v>687</v>
      </c>
      <c r="M1408" t="s">
        <v>4413</v>
      </c>
    </row>
    <row r="1409" spans="1:13">
      <c r="A1409" t="s">
        <v>13</v>
      </c>
      <c r="B1409">
        <v>1447962</v>
      </c>
      <c r="C1409">
        <v>1449188</v>
      </c>
      <c r="E1409" t="s">
        <v>35</v>
      </c>
      <c r="F1409" t="s">
        <v>4414</v>
      </c>
      <c r="G1409" t="s">
        <v>4415</v>
      </c>
      <c r="H1409">
        <v>0</v>
      </c>
      <c r="I1409" t="s">
        <v>17</v>
      </c>
      <c r="K1409" t="s">
        <v>4416</v>
      </c>
      <c r="L1409">
        <v>408</v>
      </c>
      <c r="M1409" t="s">
        <v>4417</v>
      </c>
    </row>
    <row r="1410" spans="1:13">
      <c r="A1410" t="s">
        <v>13</v>
      </c>
      <c r="B1410">
        <v>1449191</v>
      </c>
      <c r="C1410">
        <v>1449862</v>
      </c>
      <c r="E1410" t="s">
        <v>35</v>
      </c>
      <c r="F1410" t="s">
        <v>28</v>
      </c>
      <c r="H1410">
        <v>0</v>
      </c>
      <c r="I1410" t="s">
        <v>17</v>
      </c>
      <c r="K1410" t="s">
        <v>4418</v>
      </c>
      <c r="L1410">
        <v>223</v>
      </c>
      <c r="M1410" t="s">
        <v>4419</v>
      </c>
    </row>
    <row r="1411" spans="1:13">
      <c r="A1411" t="s">
        <v>13</v>
      </c>
      <c r="B1411">
        <v>1449862</v>
      </c>
      <c r="C1411">
        <v>1450470</v>
      </c>
      <c r="E1411" t="s">
        <v>35</v>
      </c>
      <c r="F1411" t="s">
        <v>28</v>
      </c>
      <c r="H1411">
        <v>0</v>
      </c>
      <c r="I1411" t="s">
        <v>17</v>
      </c>
      <c r="K1411" t="s">
        <v>4420</v>
      </c>
      <c r="L1411">
        <v>202</v>
      </c>
      <c r="M1411" t="s">
        <v>4421</v>
      </c>
    </row>
    <row r="1412" spans="1:13">
      <c r="A1412" t="s">
        <v>13</v>
      </c>
      <c r="B1412">
        <v>1450658</v>
      </c>
      <c r="C1412">
        <v>1450733</v>
      </c>
      <c r="E1412" t="s">
        <v>35</v>
      </c>
      <c r="F1412" t="s">
        <v>4422</v>
      </c>
      <c r="H1412">
        <v>0</v>
      </c>
      <c r="I1412" t="s">
        <v>53</v>
      </c>
      <c r="M1412" t="s">
        <v>4423</v>
      </c>
    </row>
    <row r="1413" spans="1:13">
      <c r="A1413" t="s">
        <v>13</v>
      </c>
      <c r="B1413">
        <v>1450776</v>
      </c>
      <c r="C1413">
        <v>1450848</v>
      </c>
      <c r="E1413" t="s">
        <v>35</v>
      </c>
      <c r="F1413" t="s">
        <v>4424</v>
      </c>
      <c r="H1413">
        <v>0</v>
      </c>
      <c r="I1413" t="s">
        <v>53</v>
      </c>
      <c r="M1413" t="s">
        <v>4425</v>
      </c>
    </row>
    <row r="1414" spans="1:13">
      <c r="A1414" t="s">
        <v>13</v>
      </c>
      <c r="B1414">
        <v>1450875</v>
      </c>
      <c r="C1414">
        <v>1450946</v>
      </c>
      <c r="E1414" t="s">
        <v>35</v>
      </c>
      <c r="F1414" t="s">
        <v>4426</v>
      </c>
      <c r="H1414">
        <v>0</v>
      </c>
      <c r="I1414" t="s">
        <v>53</v>
      </c>
      <c r="M1414" t="s">
        <v>4427</v>
      </c>
    </row>
    <row r="1415" spans="1:13">
      <c r="A1415" t="s">
        <v>13</v>
      </c>
      <c r="B1415">
        <v>1450977</v>
      </c>
      <c r="C1415">
        <v>1451052</v>
      </c>
      <c r="E1415" t="s">
        <v>35</v>
      </c>
      <c r="F1415" t="s">
        <v>4422</v>
      </c>
      <c r="H1415">
        <v>0</v>
      </c>
      <c r="I1415" t="s">
        <v>53</v>
      </c>
      <c r="M1415" t="s">
        <v>4428</v>
      </c>
    </row>
    <row r="1416" spans="1:13">
      <c r="A1416" t="s">
        <v>13</v>
      </c>
      <c r="B1416">
        <v>1451090</v>
      </c>
      <c r="C1416">
        <v>1451162</v>
      </c>
      <c r="E1416" t="s">
        <v>35</v>
      </c>
      <c r="F1416" t="s">
        <v>4424</v>
      </c>
      <c r="H1416">
        <v>0</v>
      </c>
      <c r="I1416" t="s">
        <v>53</v>
      </c>
      <c r="M1416" t="s">
        <v>4429</v>
      </c>
    </row>
    <row r="1417" spans="1:13">
      <c r="A1417" t="s">
        <v>13</v>
      </c>
      <c r="B1417">
        <v>1451217</v>
      </c>
      <c r="C1417">
        <v>1451292</v>
      </c>
      <c r="E1417" t="s">
        <v>35</v>
      </c>
      <c r="F1417" t="s">
        <v>4422</v>
      </c>
      <c r="H1417">
        <v>0</v>
      </c>
      <c r="I1417" t="s">
        <v>53</v>
      </c>
      <c r="M1417" t="s">
        <v>4430</v>
      </c>
    </row>
    <row r="1418" spans="1:13">
      <c r="A1418" t="s">
        <v>13</v>
      </c>
      <c r="B1418">
        <v>1451549</v>
      </c>
      <c r="C1418">
        <v>1451623</v>
      </c>
      <c r="E1418" t="s">
        <v>14</v>
      </c>
      <c r="F1418" t="s">
        <v>4424</v>
      </c>
      <c r="H1418">
        <v>0</v>
      </c>
      <c r="I1418" t="s">
        <v>53</v>
      </c>
      <c r="M1418" t="s">
        <v>4431</v>
      </c>
    </row>
    <row r="1419" spans="1:13">
      <c r="A1419" t="s">
        <v>13</v>
      </c>
      <c r="B1419">
        <v>1451712</v>
      </c>
      <c r="C1419">
        <v>1452614</v>
      </c>
      <c r="E1419" t="s">
        <v>14</v>
      </c>
      <c r="F1419" t="s">
        <v>28</v>
      </c>
      <c r="H1419">
        <v>0</v>
      </c>
      <c r="I1419" t="s">
        <v>17</v>
      </c>
      <c r="K1419" t="s">
        <v>4432</v>
      </c>
      <c r="L1419">
        <v>300</v>
      </c>
      <c r="M1419" t="s">
        <v>4433</v>
      </c>
    </row>
    <row r="1420" spans="1:13">
      <c r="A1420" t="s">
        <v>13</v>
      </c>
      <c r="B1420">
        <v>1452660</v>
      </c>
      <c r="C1420">
        <v>1453358</v>
      </c>
      <c r="E1420" t="s">
        <v>14</v>
      </c>
      <c r="F1420" t="s">
        <v>4434</v>
      </c>
      <c r="H1420">
        <v>0</v>
      </c>
      <c r="I1420" t="s">
        <v>17</v>
      </c>
      <c r="K1420" t="s">
        <v>4435</v>
      </c>
      <c r="L1420">
        <v>232</v>
      </c>
      <c r="M1420" t="s">
        <v>4436</v>
      </c>
    </row>
    <row r="1421" spans="1:13">
      <c r="A1421" t="s">
        <v>13</v>
      </c>
      <c r="B1421">
        <v>1453365</v>
      </c>
      <c r="C1421">
        <v>1454516</v>
      </c>
      <c r="E1421" t="s">
        <v>14</v>
      </c>
      <c r="F1421" t="s">
        <v>4437</v>
      </c>
      <c r="H1421">
        <v>0</v>
      </c>
      <c r="I1421" t="s">
        <v>17</v>
      </c>
      <c r="K1421" t="s">
        <v>4438</v>
      </c>
      <c r="L1421">
        <v>383</v>
      </c>
      <c r="M1421" t="s">
        <v>4439</v>
      </c>
    </row>
    <row r="1422" spans="1:13">
      <c r="A1422" t="s">
        <v>13</v>
      </c>
      <c r="B1422">
        <v>1454527</v>
      </c>
      <c r="C1422">
        <v>1454943</v>
      </c>
      <c r="E1422" t="s">
        <v>14</v>
      </c>
      <c r="F1422" t="s">
        <v>4440</v>
      </c>
      <c r="G1422" t="s">
        <v>4441</v>
      </c>
      <c r="H1422">
        <v>0</v>
      </c>
      <c r="I1422" t="s">
        <v>17</v>
      </c>
      <c r="K1422" t="s">
        <v>4442</v>
      </c>
      <c r="L1422">
        <v>138</v>
      </c>
      <c r="M1422" t="s">
        <v>4443</v>
      </c>
    </row>
    <row r="1423" spans="1:13">
      <c r="A1423" t="s">
        <v>13</v>
      </c>
      <c r="B1423">
        <v>1455031</v>
      </c>
      <c r="C1423">
        <v>1455732</v>
      </c>
      <c r="E1423" t="s">
        <v>35</v>
      </c>
      <c r="F1423" t="s">
        <v>4444</v>
      </c>
      <c r="G1423" t="s">
        <v>4445</v>
      </c>
      <c r="H1423">
        <v>0</v>
      </c>
      <c r="I1423" t="s">
        <v>17</v>
      </c>
      <c r="K1423" t="s">
        <v>4446</v>
      </c>
      <c r="L1423">
        <v>233</v>
      </c>
      <c r="M1423" t="s">
        <v>4447</v>
      </c>
    </row>
    <row r="1424" spans="1:13">
      <c r="A1424" t="s">
        <v>13</v>
      </c>
      <c r="B1424">
        <v>1455882</v>
      </c>
      <c r="C1424">
        <v>1456556</v>
      </c>
      <c r="E1424" t="s">
        <v>14</v>
      </c>
      <c r="F1424" t="s">
        <v>28</v>
      </c>
      <c r="H1424">
        <v>0</v>
      </c>
      <c r="I1424" t="s">
        <v>17</v>
      </c>
      <c r="K1424" t="s">
        <v>4448</v>
      </c>
      <c r="L1424">
        <v>224</v>
      </c>
      <c r="M1424" t="s">
        <v>4449</v>
      </c>
    </row>
    <row r="1425" spans="1:13">
      <c r="A1425" t="s">
        <v>13</v>
      </c>
      <c r="B1425">
        <v>1456558</v>
      </c>
      <c r="C1425">
        <v>1457778</v>
      </c>
      <c r="E1425" t="s">
        <v>14</v>
      </c>
      <c r="F1425" t="s">
        <v>4450</v>
      </c>
      <c r="G1425" t="s">
        <v>4451</v>
      </c>
      <c r="H1425">
        <v>0</v>
      </c>
      <c r="I1425" t="s">
        <v>17</v>
      </c>
      <c r="K1425" t="s">
        <v>4452</v>
      </c>
      <c r="L1425">
        <v>406</v>
      </c>
      <c r="M1425" t="s">
        <v>4453</v>
      </c>
    </row>
    <row r="1426" spans="1:13">
      <c r="A1426" t="s">
        <v>13</v>
      </c>
      <c r="B1426">
        <v>1457775</v>
      </c>
      <c r="C1426">
        <v>1459673</v>
      </c>
      <c r="E1426" t="s">
        <v>35</v>
      </c>
      <c r="F1426" t="s">
        <v>4454</v>
      </c>
      <c r="G1426" t="s">
        <v>4455</v>
      </c>
      <c r="H1426">
        <v>0</v>
      </c>
      <c r="I1426" t="s">
        <v>17</v>
      </c>
      <c r="K1426" t="s">
        <v>4456</v>
      </c>
      <c r="L1426">
        <v>632</v>
      </c>
      <c r="M1426" t="s">
        <v>4457</v>
      </c>
    </row>
    <row r="1427" spans="1:13">
      <c r="A1427" t="s">
        <v>13</v>
      </c>
      <c r="B1427">
        <v>1459780</v>
      </c>
      <c r="C1427">
        <v>1461036</v>
      </c>
      <c r="E1427" t="s">
        <v>35</v>
      </c>
      <c r="F1427" t="s">
        <v>4458</v>
      </c>
      <c r="H1427">
        <v>0</v>
      </c>
      <c r="I1427" t="s">
        <v>17</v>
      </c>
      <c r="K1427" t="s">
        <v>4459</v>
      </c>
      <c r="L1427">
        <v>418</v>
      </c>
      <c r="M1427" t="s">
        <v>4460</v>
      </c>
    </row>
    <row r="1428" spans="1:13">
      <c r="A1428" t="s">
        <v>13</v>
      </c>
      <c r="B1428">
        <v>1461029</v>
      </c>
      <c r="C1428">
        <v>1461748</v>
      </c>
      <c r="E1428" t="s">
        <v>35</v>
      </c>
      <c r="F1428" t="s">
        <v>28</v>
      </c>
      <c r="H1428">
        <v>0</v>
      </c>
      <c r="I1428" t="s">
        <v>17</v>
      </c>
      <c r="K1428" t="s">
        <v>4461</v>
      </c>
      <c r="L1428">
        <v>239</v>
      </c>
      <c r="M1428" t="s">
        <v>4462</v>
      </c>
    </row>
    <row r="1429" spans="1:13">
      <c r="A1429" t="s">
        <v>13</v>
      </c>
      <c r="B1429">
        <v>1461766</v>
      </c>
      <c r="C1429">
        <v>1462737</v>
      </c>
      <c r="E1429" t="s">
        <v>35</v>
      </c>
      <c r="F1429" t="s">
        <v>28</v>
      </c>
      <c r="H1429">
        <v>0</v>
      </c>
      <c r="I1429" t="s">
        <v>17</v>
      </c>
      <c r="K1429" t="s">
        <v>4463</v>
      </c>
      <c r="L1429">
        <v>323</v>
      </c>
      <c r="M1429" t="s">
        <v>4464</v>
      </c>
    </row>
    <row r="1430" spans="1:13">
      <c r="A1430" t="s">
        <v>13</v>
      </c>
      <c r="B1430">
        <v>1462752</v>
      </c>
      <c r="C1430">
        <v>1463225</v>
      </c>
      <c r="E1430" t="s">
        <v>35</v>
      </c>
      <c r="F1430" t="s">
        <v>4465</v>
      </c>
      <c r="G1430" t="s">
        <v>4466</v>
      </c>
      <c r="H1430">
        <v>0</v>
      </c>
      <c r="I1430" t="s">
        <v>17</v>
      </c>
      <c r="K1430" t="s">
        <v>4467</v>
      </c>
      <c r="L1430">
        <v>157</v>
      </c>
      <c r="M1430" t="s">
        <v>4468</v>
      </c>
    </row>
    <row r="1431" spans="1:13">
      <c r="A1431" t="s">
        <v>13</v>
      </c>
      <c r="B1431">
        <v>1463329</v>
      </c>
      <c r="C1431">
        <v>1463790</v>
      </c>
      <c r="E1431" t="s">
        <v>14</v>
      </c>
      <c r="F1431" t="s">
        <v>28</v>
      </c>
      <c r="H1431">
        <v>0</v>
      </c>
      <c r="I1431" t="s">
        <v>17</v>
      </c>
      <c r="K1431" t="s">
        <v>4469</v>
      </c>
      <c r="L1431">
        <v>153</v>
      </c>
      <c r="M1431" t="s">
        <v>4470</v>
      </c>
    </row>
    <row r="1432" spans="1:13">
      <c r="A1432" t="s">
        <v>13</v>
      </c>
      <c r="B1432">
        <v>1463977</v>
      </c>
      <c r="C1432">
        <v>1464309</v>
      </c>
      <c r="E1432" t="s">
        <v>14</v>
      </c>
      <c r="F1432" t="s">
        <v>28</v>
      </c>
      <c r="H1432">
        <v>0</v>
      </c>
      <c r="I1432" t="s">
        <v>17</v>
      </c>
      <c r="K1432" t="s">
        <v>4471</v>
      </c>
      <c r="L1432">
        <v>110</v>
      </c>
      <c r="M1432" t="s">
        <v>4472</v>
      </c>
    </row>
    <row r="1433" spans="1:13">
      <c r="A1433" t="s">
        <v>13</v>
      </c>
      <c r="B1433">
        <v>1464501</v>
      </c>
      <c r="C1433">
        <v>1464791</v>
      </c>
      <c r="E1433" t="s">
        <v>35</v>
      </c>
      <c r="F1433" t="s">
        <v>28</v>
      </c>
      <c r="H1433">
        <v>0</v>
      </c>
      <c r="I1433" t="s">
        <v>17</v>
      </c>
      <c r="K1433" t="s">
        <v>4473</v>
      </c>
      <c r="L1433">
        <v>96</v>
      </c>
      <c r="M1433" t="s">
        <v>4474</v>
      </c>
    </row>
    <row r="1434" spans="1:13">
      <c r="A1434" t="s">
        <v>13</v>
      </c>
      <c r="B1434">
        <v>1464903</v>
      </c>
      <c r="C1434">
        <v>1465763</v>
      </c>
      <c r="E1434" t="s">
        <v>35</v>
      </c>
      <c r="F1434" t="s">
        <v>4475</v>
      </c>
      <c r="G1434" t="s">
        <v>4476</v>
      </c>
      <c r="H1434">
        <v>0</v>
      </c>
      <c r="I1434" t="s">
        <v>17</v>
      </c>
      <c r="K1434" t="s">
        <v>4477</v>
      </c>
      <c r="L1434">
        <v>286</v>
      </c>
      <c r="M1434" t="s">
        <v>4478</v>
      </c>
    </row>
    <row r="1435" spans="1:13">
      <c r="A1435" t="s">
        <v>13</v>
      </c>
      <c r="B1435">
        <v>1465789</v>
      </c>
      <c r="C1435">
        <v>1466547</v>
      </c>
      <c r="E1435" t="s">
        <v>14</v>
      </c>
      <c r="F1435" t="s">
        <v>4479</v>
      </c>
      <c r="G1435" t="s">
        <v>4480</v>
      </c>
      <c r="H1435">
        <v>0</v>
      </c>
      <c r="I1435" t="s">
        <v>17</v>
      </c>
      <c r="K1435" t="s">
        <v>4481</v>
      </c>
      <c r="L1435">
        <v>252</v>
      </c>
      <c r="M1435" t="s">
        <v>4482</v>
      </c>
    </row>
    <row r="1436" spans="1:13">
      <c r="A1436" t="s">
        <v>13</v>
      </c>
      <c r="B1436">
        <v>1466745</v>
      </c>
      <c r="C1436">
        <v>1468226</v>
      </c>
      <c r="E1436" t="s">
        <v>14</v>
      </c>
      <c r="F1436" t="s">
        <v>4483</v>
      </c>
      <c r="G1436" t="s">
        <v>4484</v>
      </c>
      <c r="H1436">
        <v>0</v>
      </c>
      <c r="I1436" t="s">
        <v>17</v>
      </c>
      <c r="K1436" t="s">
        <v>4485</v>
      </c>
      <c r="L1436">
        <v>493</v>
      </c>
      <c r="M1436" t="s">
        <v>4486</v>
      </c>
    </row>
    <row r="1437" spans="1:13">
      <c r="A1437" t="s">
        <v>13</v>
      </c>
      <c r="B1437">
        <v>1468372</v>
      </c>
      <c r="C1437">
        <v>1470135</v>
      </c>
      <c r="E1437" t="s">
        <v>35</v>
      </c>
      <c r="F1437" t="s">
        <v>2330</v>
      </c>
      <c r="H1437">
        <v>0</v>
      </c>
      <c r="I1437" t="s">
        <v>17</v>
      </c>
      <c r="K1437" t="s">
        <v>4487</v>
      </c>
      <c r="L1437">
        <v>587</v>
      </c>
      <c r="M1437" t="s">
        <v>4488</v>
      </c>
    </row>
    <row r="1438" spans="1:13">
      <c r="A1438" t="s">
        <v>13</v>
      </c>
      <c r="B1438">
        <v>1470132</v>
      </c>
      <c r="C1438">
        <v>1470383</v>
      </c>
      <c r="E1438" t="s">
        <v>35</v>
      </c>
      <c r="F1438" t="s">
        <v>28</v>
      </c>
      <c r="H1438">
        <v>0</v>
      </c>
      <c r="I1438" t="s">
        <v>17</v>
      </c>
      <c r="K1438" t="s">
        <v>4489</v>
      </c>
      <c r="L1438">
        <v>83</v>
      </c>
      <c r="M1438" t="s">
        <v>4490</v>
      </c>
    </row>
    <row r="1439" spans="1:13">
      <c r="A1439" t="s">
        <v>13</v>
      </c>
      <c r="B1439">
        <v>1470522</v>
      </c>
      <c r="C1439">
        <v>1470905</v>
      </c>
      <c r="E1439" t="s">
        <v>14</v>
      </c>
      <c r="F1439" t="s">
        <v>28</v>
      </c>
      <c r="H1439">
        <v>0</v>
      </c>
      <c r="I1439" t="s">
        <v>17</v>
      </c>
      <c r="K1439" t="s">
        <v>4491</v>
      </c>
      <c r="L1439">
        <v>127</v>
      </c>
      <c r="M1439" t="s">
        <v>4492</v>
      </c>
    </row>
    <row r="1440" spans="1:13">
      <c r="A1440" t="s">
        <v>13</v>
      </c>
      <c r="B1440">
        <v>1470954</v>
      </c>
      <c r="C1440">
        <v>1472531</v>
      </c>
      <c r="E1440" t="s">
        <v>14</v>
      </c>
      <c r="F1440" t="s">
        <v>4493</v>
      </c>
      <c r="H1440">
        <v>0</v>
      </c>
      <c r="I1440" t="s">
        <v>17</v>
      </c>
      <c r="K1440" t="s">
        <v>4494</v>
      </c>
      <c r="L1440">
        <v>525</v>
      </c>
      <c r="M1440" t="s">
        <v>4495</v>
      </c>
    </row>
    <row r="1441" spans="1:13">
      <c r="A1441" t="s">
        <v>13</v>
      </c>
      <c r="B1441">
        <v>1472563</v>
      </c>
      <c r="C1441">
        <v>1473006</v>
      </c>
      <c r="E1441" t="s">
        <v>14</v>
      </c>
      <c r="F1441" t="s">
        <v>4496</v>
      </c>
      <c r="G1441" t="s">
        <v>4497</v>
      </c>
      <c r="H1441">
        <v>0</v>
      </c>
      <c r="I1441" t="s">
        <v>17</v>
      </c>
      <c r="K1441" t="s">
        <v>4498</v>
      </c>
      <c r="L1441">
        <v>147</v>
      </c>
      <c r="M1441" t="s">
        <v>4499</v>
      </c>
    </row>
    <row r="1442" spans="1:13">
      <c r="A1442" t="s">
        <v>13</v>
      </c>
      <c r="B1442">
        <v>1473367</v>
      </c>
      <c r="C1442">
        <v>1474761</v>
      </c>
      <c r="E1442" t="s">
        <v>14</v>
      </c>
      <c r="F1442" t="s">
        <v>345</v>
      </c>
      <c r="G1442" t="s">
        <v>4500</v>
      </c>
      <c r="H1442">
        <v>0</v>
      </c>
      <c r="I1442" t="s">
        <v>17</v>
      </c>
      <c r="K1442" t="s">
        <v>4501</v>
      </c>
      <c r="L1442">
        <v>464</v>
      </c>
      <c r="M1442" t="s">
        <v>4502</v>
      </c>
    </row>
    <row r="1443" spans="1:13">
      <c r="A1443" t="s">
        <v>13</v>
      </c>
      <c r="B1443">
        <v>1474800</v>
      </c>
      <c r="C1443">
        <v>1476173</v>
      </c>
      <c r="E1443" t="s">
        <v>14</v>
      </c>
      <c r="F1443" t="s">
        <v>4503</v>
      </c>
      <c r="G1443" t="s">
        <v>4504</v>
      </c>
      <c r="H1443">
        <v>0</v>
      </c>
      <c r="I1443" t="s">
        <v>17</v>
      </c>
      <c r="K1443" t="s">
        <v>4505</v>
      </c>
      <c r="L1443">
        <v>457</v>
      </c>
      <c r="M1443" t="s">
        <v>4506</v>
      </c>
    </row>
    <row r="1444" spans="1:13">
      <c r="A1444" t="s">
        <v>13</v>
      </c>
      <c r="B1444">
        <v>1476302</v>
      </c>
      <c r="C1444">
        <v>1477066</v>
      </c>
      <c r="E1444" t="s">
        <v>14</v>
      </c>
      <c r="F1444" t="s">
        <v>4507</v>
      </c>
      <c r="H1444">
        <v>0</v>
      </c>
      <c r="I1444" t="s">
        <v>17</v>
      </c>
      <c r="K1444" t="s">
        <v>4508</v>
      </c>
      <c r="L1444">
        <v>254</v>
      </c>
      <c r="M1444" t="s">
        <v>4509</v>
      </c>
    </row>
    <row r="1445" spans="1:13">
      <c r="A1445" t="s">
        <v>13</v>
      </c>
      <c r="B1445">
        <v>1477260</v>
      </c>
      <c r="C1445">
        <v>1478273</v>
      </c>
      <c r="E1445" t="s">
        <v>14</v>
      </c>
      <c r="F1445" t="s">
        <v>4510</v>
      </c>
      <c r="G1445" t="s">
        <v>4511</v>
      </c>
      <c r="H1445">
        <v>0</v>
      </c>
      <c r="I1445" t="s">
        <v>17</v>
      </c>
      <c r="K1445" t="s">
        <v>4512</v>
      </c>
      <c r="L1445">
        <v>337</v>
      </c>
      <c r="M1445" t="s">
        <v>4513</v>
      </c>
    </row>
    <row r="1446" spans="1:13">
      <c r="A1446" t="s">
        <v>13</v>
      </c>
      <c r="B1446">
        <v>1478508</v>
      </c>
      <c r="C1446">
        <v>1479185</v>
      </c>
      <c r="E1446" t="s">
        <v>14</v>
      </c>
      <c r="F1446" t="s">
        <v>4514</v>
      </c>
      <c r="G1446" t="s">
        <v>4515</v>
      </c>
      <c r="H1446">
        <v>0</v>
      </c>
      <c r="I1446" t="s">
        <v>17</v>
      </c>
      <c r="K1446" t="s">
        <v>4516</v>
      </c>
      <c r="L1446">
        <v>225</v>
      </c>
      <c r="M1446" t="s">
        <v>4517</v>
      </c>
    </row>
    <row r="1447" spans="1:13">
      <c r="A1447" t="s">
        <v>13</v>
      </c>
      <c r="B1447">
        <v>1479189</v>
      </c>
      <c r="C1447">
        <v>1480172</v>
      </c>
      <c r="E1447" t="s">
        <v>14</v>
      </c>
      <c r="F1447" t="s">
        <v>4518</v>
      </c>
      <c r="G1447" t="s">
        <v>4519</v>
      </c>
      <c r="H1447">
        <v>0</v>
      </c>
      <c r="I1447" t="s">
        <v>17</v>
      </c>
      <c r="K1447" t="s">
        <v>4520</v>
      </c>
      <c r="L1447">
        <v>327</v>
      </c>
      <c r="M1447" t="s">
        <v>4521</v>
      </c>
    </row>
    <row r="1448" spans="1:13">
      <c r="A1448" t="s">
        <v>13</v>
      </c>
      <c r="B1448">
        <v>1480182</v>
      </c>
      <c r="C1448">
        <v>1481309</v>
      </c>
      <c r="E1448" t="s">
        <v>35</v>
      </c>
      <c r="F1448" t="s">
        <v>28</v>
      </c>
      <c r="H1448">
        <v>0</v>
      </c>
      <c r="I1448" t="s">
        <v>17</v>
      </c>
      <c r="K1448" t="s">
        <v>4522</v>
      </c>
      <c r="L1448">
        <v>375</v>
      </c>
      <c r="M1448" t="s">
        <v>4523</v>
      </c>
    </row>
    <row r="1449" spans="1:13">
      <c r="A1449" t="s">
        <v>13</v>
      </c>
      <c r="B1449">
        <v>1481528</v>
      </c>
      <c r="C1449">
        <v>1482544</v>
      </c>
      <c r="E1449" t="s">
        <v>14</v>
      </c>
      <c r="F1449" t="s">
        <v>4524</v>
      </c>
      <c r="H1449">
        <v>0</v>
      </c>
      <c r="I1449" t="s">
        <v>17</v>
      </c>
      <c r="K1449" t="s">
        <v>4525</v>
      </c>
      <c r="L1449">
        <v>338</v>
      </c>
      <c r="M1449" t="s">
        <v>4526</v>
      </c>
    </row>
    <row r="1450" spans="1:13">
      <c r="A1450" t="s">
        <v>13</v>
      </c>
      <c r="B1450">
        <v>1482579</v>
      </c>
      <c r="C1450">
        <v>1485122</v>
      </c>
      <c r="E1450" t="s">
        <v>14</v>
      </c>
      <c r="F1450" t="s">
        <v>3932</v>
      </c>
      <c r="H1450">
        <v>0</v>
      </c>
      <c r="I1450" t="s">
        <v>17</v>
      </c>
      <c r="K1450" t="s">
        <v>4527</v>
      </c>
      <c r="L1450">
        <v>847</v>
      </c>
      <c r="M1450" t="s">
        <v>4528</v>
      </c>
    </row>
    <row r="1451" spans="1:13">
      <c r="A1451" t="s">
        <v>13</v>
      </c>
      <c r="B1451">
        <v>1485247</v>
      </c>
      <c r="C1451">
        <v>1485771</v>
      </c>
      <c r="E1451" t="s">
        <v>35</v>
      </c>
      <c r="F1451" t="s">
        <v>4529</v>
      </c>
      <c r="G1451" t="s">
        <v>4530</v>
      </c>
      <c r="H1451">
        <v>0</v>
      </c>
      <c r="I1451" t="s">
        <v>17</v>
      </c>
      <c r="K1451" t="s">
        <v>4531</v>
      </c>
      <c r="L1451">
        <v>174</v>
      </c>
      <c r="M1451" t="s">
        <v>4532</v>
      </c>
    </row>
    <row r="1452" spans="1:13">
      <c r="A1452" t="s">
        <v>13</v>
      </c>
      <c r="B1452">
        <v>1485874</v>
      </c>
      <c r="C1452">
        <v>1486467</v>
      </c>
      <c r="E1452" t="s">
        <v>35</v>
      </c>
      <c r="F1452" t="s">
        <v>4533</v>
      </c>
      <c r="H1452">
        <v>0</v>
      </c>
      <c r="I1452" t="s">
        <v>17</v>
      </c>
      <c r="K1452" t="s">
        <v>4534</v>
      </c>
      <c r="L1452">
        <v>197</v>
      </c>
      <c r="M1452" t="s">
        <v>4535</v>
      </c>
    </row>
    <row r="1453" spans="1:13">
      <c r="A1453" t="s">
        <v>13</v>
      </c>
      <c r="B1453">
        <v>1486630</v>
      </c>
      <c r="C1453">
        <v>1487577</v>
      </c>
      <c r="E1453" t="s">
        <v>14</v>
      </c>
      <c r="F1453" t="s">
        <v>4536</v>
      </c>
      <c r="G1453" t="s">
        <v>4537</v>
      </c>
      <c r="H1453">
        <v>0</v>
      </c>
      <c r="I1453" t="s">
        <v>17</v>
      </c>
      <c r="K1453" t="s">
        <v>4538</v>
      </c>
      <c r="L1453">
        <v>315</v>
      </c>
      <c r="M1453" t="s">
        <v>4539</v>
      </c>
    </row>
    <row r="1454" spans="1:13">
      <c r="A1454" t="s">
        <v>13</v>
      </c>
      <c r="B1454">
        <v>1487687</v>
      </c>
      <c r="C1454">
        <v>1488604</v>
      </c>
      <c r="E1454" t="s">
        <v>35</v>
      </c>
      <c r="F1454" t="s">
        <v>28</v>
      </c>
      <c r="H1454">
        <v>0</v>
      </c>
      <c r="I1454" t="s">
        <v>17</v>
      </c>
      <c r="K1454" t="s">
        <v>4540</v>
      </c>
      <c r="L1454">
        <v>305</v>
      </c>
      <c r="M1454" t="s">
        <v>4541</v>
      </c>
    </row>
    <row r="1455" spans="1:13">
      <c r="A1455" t="s">
        <v>13</v>
      </c>
      <c r="B1455">
        <v>1488725</v>
      </c>
      <c r="C1455">
        <v>1492627</v>
      </c>
      <c r="E1455" t="s">
        <v>14</v>
      </c>
      <c r="F1455" t="s">
        <v>251</v>
      </c>
      <c r="G1455" t="s">
        <v>4542</v>
      </c>
      <c r="H1455">
        <v>0</v>
      </c>
      <c r="I1455" t="s">
        <v>17</v>
      </c>
      <c r="K1455" t="s">
        <v>4543</v>
      </c>
      <c r="L1455">
        <v>1300</v>
      </c>
      <c r="M1455" t="s">
        <v>4544</v>
      </c>
    </row>
    <row r="1456" spans="1:13">
      <c r="A1456" t="s">
        <v>13</v>
      </c>
      <c r="B1456">
        <v>1492820</v>
      </c>
      <c r="C1456">
        <v>1493278</v>
      </c>
      <c r="E1456" t="s">
        <v>35</v>
      </c>
      <c r="F1456" t="s">
        <v>4545</v>
      </c>
      <c r="G1456" t="s">
        <v>4546</v>
      </c>
      <c r="H1456">
        <v>0</v>
      </c>
      <c r="I1456" t="s">
        <v>17</v>
      </c>
      <c r="K1456" t="s">
        <v>4547</v>
      </c>
      <c r="L1456">
        <v>152</v>
      </c>
      <c r="M1456" t="s">
        <v>4548</v>
      </c>
    </row>
    <row r="1457" spans="1:13">
      <c r="A1457" t="s">
        <v>13</v>
      </c>
      <c r="B1457">
        <v>1493486</v>
      </c>
      <c r="C1457">
        <v>1493890</v>
      </c>
      <c r="E1457" t="s">
        <v>35</v>
      </c>
      <c r="F1457" t="s">
        <v>28</v>
      </c>
      <c r="H1457">
        <v>0</v>
      </c>
      <c r="I1457" t="s">
        <v>17</v>
      </c>
      <c r="K1457" t="s">
        <v>4549</v>
      </c>
      <c r="L1457">
        <v>134</v>
      </c>
      <c r="M1457" t="s">
        <v>4550</v>
      </c>
    </row>
    <row r="1458" spans="1:13">
      <c r="A1458" t="s">
        <v>13</v>
      </c>
      <c r="B1458">
        <v>1494144</v>
      </c>
      <c r="C1458">
        <v>1494854</v>
      </c>
      <c r="E1458" t="s">
        <v>14</v>
      </c>
      <c r="F1458" t="s">
        <v>4551</v>
      </c>
      <c r="G1458" t="s">
        <v>4552</v>
      </c>
      <c r="H1458">
        <v>0</v>
      </c>
      <c r="I1458" t="s">
        <v>17</v>
      </c>
      <c r="K1458" t="s">
        <v>4553</v>
      </c>
      <c r="L1458">
        <v>236</v>
      </c>
      <c r="M1458" t="s">
        <v>4554</v>
      </c>
    </row>
    <row r="1459" spans="1:13">
      <c r="A1459" t="s">
        <v>13</v>
      </c>
      <c r="B1459">
        <v>1495338</v>
      </c>
      <c r="C1459">
        <v>1496120</v>
      </c>
      <c r="E1459" t="s">
        <v>14</v>
      </c>
      <c r="F1459" t="s">
        <v>4555</v>
      </c>
      <c r="G1459" t="s">
        <v>4556</v>
      </c>
      <c r="H1459">
        <v>0</v>
      </c>
      <c r="I1459" t="s">
        <v>17</v>
      </c>
      <c r="K1459" t="s">
        <v>4557</v>
      </c>
      <c r="L1459">
        <v>260</v>
      </c>
      <c r="M1459" t="s">
        <v>4558</v>
      </c>
    </row>
    <row r="1460" spans="1:13">
      <c r="A1460" t="s">
        <v>13</v>
      </c>
      <c r="B1460">
        <v>1496190</v>
      </c>
      <c r="C1460">
        <v>1497878</v>
      </c>
      <c r="E1460" t="s">
        <v>35</v>
      </c>
      <c r="F1460" t="s">
        <v>4559</v>
      </c>
      <c r="G1460" t="s">
        <v>4560</v>
      </c>
      <c r="H1460">
        <v>0</v>
      </c>
      <c r="I1460" t="s">
        <v>17</v>
      </c>
      <c r="K1460" t="s">
        <v>4561</v>
      </c>
      <c r="L1460">
        <v>562</v>
      </c>
      <c r="M1460" t="s">
        <v>4562</v>
      </c>
    </row>
    <row r="1461" spans="1:13">
      <c r="A1461" t="s">
        <v>13</v>
      </c>
      <c r="B1461">
        <v>1498088</v>
      </c>
      <c r="C1461">
        <v>1499050</v>
      </c>
      <c r="E1461" t="s">
        <v>14</v>
      </c>
      <c r="F1461" t="s">
        <v>4563</v>
      </c>
      <c r="G1461" t="s">
        <v>4564</v>
      </c>
      <c r="H1461">
        <v>0</v>
      </c>
      <c r="I1461" t="s">
        <v>17</v>
      </c>
      <c r="K1461" t="s">
        <v>4565</v>
      </c>
      <c r="L1461">
        <v>320</v>
      </c>
      <c r="M1461" t="s">
        <v>4566</v>
      </c>
    </row>
    <row r="1462" spans="1:13">
      <c r="A1462" t="s">
        <v>13</v>
      </c>
      <c r="B1462">
        <v>1499069</v>
      </c>
      <c r="C1462">
        <v>1501165</v>
      </c>
      <c r="E1462" t="s">
        <v>14</v>
      </c>
      <c r="F1462" t="s">
        <v>4567</v>
      </c>
      <c r="G1462" t="s">
        <v>4568</v>
      </c>
      <c r="H1462">
        <v>0</v>
      </c>
      <c r="I1462" t="s">
        <v>17</v>
      </c>
      <c r="K1462" t="s">
        <v>4569</v>
      </c>
      <c r="L1462">
        <v>698</v>
      </c>
      <c r="M1462" t="s">
        <v>4570</v>
      </c>
    </row>
    <row r="1463" spans="1:13">
      <c r="A1463" t="s">
        <v>13</v>
      </c>
      <c r="B1463">
        <v>1501221</v>
      </c>
      <c r="C1463">
        <v>1501493</v>
      </c>
      <c r="E1463" t="s">
        <v>14</v>
      </c>
      <c r="F1463" t="s">
        <v>4571</v>
      </c>
      <c r="G1463" t="s">
        <v>4572</v>
      </c>
      <c r="H1463">
        <v>0</v>
      </c>
      <c r="I1463" t="s">
        <v>17</v>
      </c>
      <c r="K1463" t="s">
        <v>4573</v>
      </c>
      <c r="L1463">
        <v>90</v>
      </c>
      <c r="M1463" t="s">
        <v>4574</v>
      </c>
    </row>
    <row r="1464" spans="1:13">
      <c r="A1464" t="s">
        <v>13</v>
      </c>
      <c r="B1464">
        <v>1501712</v>
      </c>
      <c r="C1464">
        <v>1502743</v>
      </c>
      <c r="E1464" t="s">
        <v>35</v>
      </c>
      <c r="F1464" t="s">
        <v>28</v>
      </c>
      <c r="H1464">
        <v>0</v>
      </c>
      <c r="I1464" t="s">
        <v>17</v>
      </c>
      <c r="K1464" t="s">
        <v>4575</v>
      </c>
      <c r="L1464">
        <v>343</v>
      </c>
      <c r="M1464" t="s">
        <v>4576</v>
      </c>
    </row>
    <row r="1465" spans="1:13">
      <c r="A1465" t="s">
        <v>13</v>
      </c>
      <c r="B1465">
        <v>1502870</v>
      </c>
      <c r="C1465">
        <v>1504150</v>
      </c>
      <c r="E1465" t="s">
        <v>35</v>
      </c>
      <c r="F1465" t="s">
        <v>4577</v>
      </c>
      <c r="G1465" t="s">
        <v>4578</v>
      </c>
      <c r="H1465">
        <v>0</v>
      </c>
      <c r="I1465" t="s">
        <v>17</v>
      </c>
      <c r="K1465" t="s">
        <v>4579</v>
      </c>
      <c r="L1465">
        <v>426</v>
      </c>
      <c r="M1465" t="s">
        <v>4580</v>
      </c>
    </row>
    <row r="1466" spans="1:13">
      <c r="A1466" t="s">
        <v>13</v>
      </c>
      <c r="B1466">
        <v>1504183</v>
      </c>
      <c r="C1466">
        <v>1505691</v>
      </c>
      <c r="E1466" t="s">
        <v>35</v>
      </c>
      <c r="F1466" t="s">
        <v>4581</v>
      </c>
      <c r="G1466" t="s">
        <v>4582</v>
      </c>
      <c r="H1466">
        <v>0</v>
      </c>
      <c r="I1466" t="s">
        <v>17</v>
      </c>
      <c r="K1466" t="s">
        <v>4583</v>
      </c>
      <c r="L1466">
        <v>502</v>
      </c>
      <c r="M1466" t="s">
        <v>4584</v>
      </c>
    </row>
    <row r="1467" spans="1:13">
      <c r="A1467" t="s">
        <v>13</v>
      </c>
      <c r="B1467">
        <v>1505767</v>
      </c>
      <c r="C1467">
        <v>1506576</v>
      </c>
      <c r="E1467" t="s">
        <v>14</v>
      </c>
      <c r="F1467" t="s">
        <v>28</v>
      </c>
      <c r="H1467">
        <v>0</v>
      </c>
      <c r="I1467" t="s">
        <v>17</v>
      </c>
      <c r="K1467" t="s">
        <v>4585</v>
      </c>
      <c r="L1467">
        <v>269</v>
      </c>
      <c r="M1467" t="s">
        <v>4586</v>
      </c>
    </row>
    <row r="1468" spans="1:13">
      <c r="A1468" t="s">
        <v>13</v>
      </c>
      <c r="B1468">
        <v>1506670</v>
      </c>
      <c r="C1468">
        <v>1507137</v>
      </c>
      <c r="E1468" t="s">
        <v>14</v>
      </c>
      <c r="F1468" t="s">
        <v>28</v>
      </c>
      <c r="H1468">
        <v>0</v>
      </c>
      <c r="I1468" t="s">
        <v>17</v>
      </c>
      <c r="K1468" t="s">
        <v>4587</v>
      </c>
      <c r="L1468">
        <v>155</v>
      </c>
      <c r="M1468" t="s">
        <v>4588</v>
      </c>
    </row>
    <row r="1469" spans="1:13">
      <c r="A1469" t="s">
        <v>13</v>
      </c>
      <c r="B1469">
        <v>1507143</v>
      </c>
      <c r="C1469">
        <v>1507988</v>
      </c>
      <c r="E1469" t="s">
        <v>35</v>
      </c>
      <c r="F1469" t="s">
        <v>4589</v>
      </c>
      <c r="G1469" t="s">
        <v>4590</v>
      </c>
      <c r="H1469">
        <v>0</v>
      </c>
      <c r="I1469" t="s">
        <v>17</v>
      </c>
      <c r="K1469" t="s">
        <v>4591</v>
      </c>
      <c r="L1469">
        <v>281</v>
      </c>
      <c r="M1469" t="s">
        <v>4592</v>
      </c>
    </row>
    <row r="1470" spans="1:13">
      <c r="A1470" t="s">
        <v>13</v>
      </c>
      <c r="B1470">
        <v>1507999</v>
      </c>
      <c r="C1470">
        <v>1508898</v>
      </c>
      <c r="E1470" t="s">
        <v>35</v>
      </c>
      <c r="F1470" t="s">
        <v>4593</v>
      </c>
      <c r="G1470" t="s">
        <v>4594</v>
      </c>
      <c r="H1470">
        <v>0</v>
      </c>
      <c r="I1470" t="s">
        <v>17</v>
      </c>
      <c r="K1470" t="s">
        <v>4595</v>
      </c>
      <c r="L1470">
        <v>299</v>
      </c>
      <c r="M1470" t="s">
        <v>4596</v>
      </c>
    </row>
    <row r="1471" spans="1:13">
      <c r="A1471" t="s">
        <v>13</v>
      </c>
      <c r="B1471">
        <v>1508880</v>
      </c>
      <c r="C1471">
        <v>1509500</v>
      </c>
      <c r="E1471" t="s">
        <v>35</v>
      </c>
      <c r="F1471" t="s">
        <v>28</v>
      </c>
      <c r="H1471">
        <v>0</v>
      </c>
      <c r="I1471" t="s">
        <v>17</v>
      </c>
      <c r="K1471" t="s">
        <v>4597</v>
      </c>
      <c r="L1471">
        <v>206</v>
      </c>
      <c r="M1471" t="s">
        <v>4598</v>
      </c>
    </row>
    <row r="1472" spans="1:13">
      <c r="A1472" t="s">
        <v>13</v>
      </c>
      <c r="B1472">
        <v>1509637</v>
      </c>
      <c r="C1472">
        <v>1510941</v>
      </c>
      <c r="E1472" t="s">
        <v>14</v>
      </c>
      <c r="F1472" t="s">
        <v>28</v>
      </c>
      <c r="H1472">
        <v>0</v>
      </c>
      <c r="I1472" t="s">
        <v>17</v>
      </c>
      <c r="K1472" t="s">
        <v>4599</v>
      </c>
      <c r="L1472">
        <v>434</v>
      </c>
      <c r="M1472" t="s">
        <v>4600</v>
      </c>
    </row>
    <row r="1473" spans="1:13">
      <c r="A1473" t="s">
        <v>13</v>
      </c>
      <c r="B1473">
        <v>1510941</v>
      </c>
      <c r="C1473">
        <v>1512041</v>
      </c>
      <c r="E1473" t="s">
        <v>14</v>
      </c>
      <c r="F1473" t="s">
        <v>28</v>
      </c>
      <c r="H1473">
        <v>0</v>
      </c>
      <c r="I1473" t="s">
        <v>17</v>
      </c>
      <c r="K1473" t="s">
        <v>4601</v>
      </c>
      <c r="L1473">
        <v>366</v>
      </c>
      <c r="M1473" t="s">
        <v>4602</v>
      </c>
    </row>
    <row r="1474" spans="1:13">
      <c r="A1474" t="s">
        <v>13</v>
      </c>
      <c r="B1474">
        <v>1512038</v>
      </c>
      <c r="C1474">
        <v>1512664</v>
      </c>
      <c r="E1474" t="s">
        <v>35</v>
      </c>
      <c r="F1474" t="s">
        <v>28</v>
      </c>
      <c r="H1474">
        <v>0</v>
      </c>
      <c r="I1474" t="s">
        <v>17</v>
      </c>
      <c r="K1474" t="s">
        <v>4603</v>
      </c>
      <c r="L1474">
        <v>208</v>
      </c>
      <c r="M1474" t="s">
        <v>4604</v>
      </c>
    </row>
    <row r="1475" spans="1:13">
      <c r="A1475" t="s">
        <v>13</v>
      </c>
      <c r="B1475">
        <v>1512687</v>
      </c>
      <c r="C1475">
        <v>1514213</v>
      </c>
      <c r="E1475" t="s">
        <v>35</v>
      </c>
      <c r="F1475" t="s">
        <v>4605</v>
      </c>
      <c r="G1475" t="s">
        <v>4606</v>
      </c>
      <c r="H1475">
        <v>0</v>
      </c>
      <c r="I1475" t="s">
        <v>17</v>
      </c>
      <c r="K1475" t="s">
        <v>4607</v>
      </c>
      <c r="L1475">
        <v>508</v>
      </c>
      <c r="M1475" t="s">
        <v>4608</v>
      </c>
    </row>
    <row r="1476" spans="1:13">
      <c r="A1476" t="s">
        <v>13</v>
      </c>
      <c r="B1476">
        <v>1514397</v>
      </c>
      <c r="C1476">
        <v>1514996</v>
      </c>
      <c r="E1476" t="s">
        <v>35</v>
      </c>
      <c r="F1476" t="s">
        <v>4609</v>
      </c>
      <c r="G1476" t="s">
        <v>4610</v>
      </c>
      <c r="H1476">
        <v>0</v>
      </c>
      <c r="I1476" t="s">
        <v>17</v>
      </c>
      <c r="K1476" t="s">
        <v>4611</v>
      </c>
      <c r="L1476">
        <v>199</v>
      </c>
      <c r="M1476" t="s">
        <v>4612</v>
      </c>
    </row>
    <row r="1477" spans="1:13">
      <c r="A1477" t="s">
        <v>13</v>
      </c>
      <c r="B1477">
        <v>1515036</v>
      </c>
      <c r="C1477">
        <v>1516172</v>
      </c>
      <c r="E1477" t="s">
        <v>35</v>
      </c>
      <c r="F1477" t="s">
        <v>4613</v>
      </c>
      <c r="H1477">
        <v>0</v>
      </c>
      <c r="I1477" t="s">
        <v>17</v>
      </c>
      <c r="K1477" t="s">
        <v>4614</v>
      </c>
      <c r="L1477">
        <v>378</v>
      </c>
      <c r="M1477" t="s">
        <v>4615</v>
      </c>
    </row>
    <row r="1478" spans="1:13">
      <c r="A1478" t="s">
        <v>13</v>
      </c>
      <c r="B1478">
        <v>1516389</v>
      </c>
      <c r="C1478">
        <v>1516484</v>
      </c>
      <c r="E1478" t="s">
        <v>14</v>
      </c>
      <c r="F1478" t="s">
        <v>28</v>
      </c>
      <c r="H1478">
        <v>0</v>
      </c>
      <c r="I1478" t="s">
        <v>17</v>
      </c>
      <c r="K1478" t="s">
        <v>4616</v>
      </c>
      <c r="L1478">
        <v>31</v>
      </c>
      <c r="M1478" t="s">
        <v>4617</v>
      </c>
    </row>
    <row r="1479" spans="1:13">
      <c r="A1479" t="s">
        <v>13</v>
      </c>
      <c r="B1479">
        <v>1516700</v>
      </c>
      <c r="C1479">
        <v>1517263</v>
      </c>
      <c r="E1479" t="s">
        <v>14</v>
      </c>
      <c r="F1479" t="s">
        <v>4618</v>
      </c>
      <c r="G1479" t="s">
        <v>4619</v>
      </c>
      <c r="H1479">
        <v>0</v>
      </c>
      <c r="I1479" t="s">
        <v>17</v>
      </c>
      <c r="K1479" t="s">
        <v>4620</v>
      </c>
      <c r="L1479">
        <v>187</v>
      </c>
      <c r="M1479" t="s">
        <v>4621</v>
      </c>
    </row>
    <row r="1480" spans="1:13">
      <c r="A1480" t="s">
        <v>13</v>
      </c>
      <c r="B1480">
        <v>1517263</v>
      </c>
      <c r="C1480">
        <v>1517955</v>
      </c>
      <c r="E1480" t="s">
        <v>14</v>
      </c>
      <c r="F1480" t="s">
        <v>4622</v>
      </c>
      <c r="G1480" t="s">
        <v>4623</v>
      </c>
      <c r="H1480">
        <v>0</v>
      </c>
      <c r="I1480" t="s">
        <v>17</v>
      </c>
      <c r="K1480" t="s">
        <v>4624</v>
      </c>
      <c r="L1480">
        <v>230</v>
      </c>
      <c r="M1480" t="s">
        <v>4625</v>
      </c>
    </row>
    <row r="1481" spans="1:13">
      <c r="A1481" t="s">
        <v>13</v>
      </c>
      <c r="B1481">
        <v>1517969</v>
      </c>
      <c r="C1481">
        <v>1518592</v>
      </c>
      <c r="E1481" t="s">
        <v>14</v>
      </c>
      <c r="F1481" t="s">
        <v>4626</v>
      </c>
      <c r="G1481" t="s">
        <v>4627</v>
      </c>
      <c r="H1481">
        <v>0</v>
      </c>
      <c r="I1481" t="s">
        <v>17</v>
      </c>
      <c r="K1481" t="s">
        <v>4628</v>
      </c>
      <c r="L1481">
        <v>207</v>
      </c>
      <c r="M1481" t="s">
        <v>4629</v>
      </c>
    </row>
    <row r="1482" spans="1:13">
      <c r="A1482" t="s">
        <v>13</v>
      </c>
      <c r="B1482">
        <v>1518718</v>
      </c>
      <c r="C1482">
        <v>1519575</v>
      </c>
      <c r="E1482" t="s">
        <v>35</v>
      </c>
      <c r="F1482" t="s">
        <v>4630</v>
      </c>
      <c r="H1482">
        <v>0</v>
      </c>
      <c r="I1482" t="s">
        <v>17</v>
      </c>
      <c r="K1482" t="s">
        <v>4631</v>
      </c>
      <c r="L1482">
        <v>285</v>
      </c>
      <c r="M1482" t="s">
        <v>4632</v>
      </c>
    </row>
    <row r="1483" spans="1:13">
      <c r="A1483" t="s">
        <v>13</v>
      </c>
      <c r="B1483">
        <v>1519709</v>
      </c>
      <c r="C1483">
        <v>1520086</v>
      </c>
      <c r="E1483" t="s">
        <v>35</v>
      </c>
      <c r="F1483" t="s">
        <v>4633</v>
      </c>
      <c r="G1483" t="s">
        <v>4634</v>
      </c>
      <c r="H1483">
        <v>0</v>
      </c>
      <c r="I1483" t="s">
        <v>17</v>
      </c>
      <c r="K1483" t="s">
        <v>4635</v>
      </c>
      <c r="L1483">
        <v>125</v>
      </c>
      <c r="M1483" t="s">
        <v>4636</v>
      </c>
    </row>
    <row r="1484" spans="1:13">
      <c r="A1484" t="s">
        <v>13</v>
      </c>
      <c r="B1484">
        <v>1520095</v>
      </c>
      <c r="C1484">
        <v>1520610</v>
      </c>
      <c r="E1484" t="s">
        <v>35</v>
      </c>
      <c r="F1484" t="s">
        <v>4637</v>
      </c>
      <c r="G1484" t="s">
        <v>4638</v>
      </c>
      <c r="H1484">
        <v>0</v>
      </c>
      <c r="I1484" t="s">
        <v>17</v>
      </c>
      <c r="K1484" t="s">
        <v>4639</v>
      </c>
      <c r="L1484">
        <v>171</v>
      </c>
      <c r="M1484" t="s">
        <v>4640</v>
      </c>
    </row>
    <row r="1485" spans="1:13">
      <c r="A1485" t="s">
        <v>13</v>
      </c>
      <c r="B1485">
        <v>1520616</v>
      </c>
      <c r="C1485">
        <v>1521200</v>
      </c>
      <c r="E1485" t="s">
        <v>35</v>
      </c>
      <c r="F1485" t="s">
        <v>4641</v>
      </c>
      <c r="G1485" t="s">
        <v>4642</v>
      </c>
      <c r="H1485">
        <v>0</v>
      </c>
      <c r="I1485" t="s">
        <v>17</v>
      </c>
      <c r="K1485" t="s">
        <v>4643</v>
      </c>
      <c r="L1485">
        <v>194</v>
      </c>
      <c r="M1485" t="s">
        <v>4644</v>
      </c>
    </row>
    <row r="1486" spans="1:13">
      <c r="A1486" t="s">
        <v>13</v>
      </c>
      <c r="B1486">
        <v>1521260</v>
      </c>
      <c r="C1486">
        <v>1521550</v>
      </c>
      <c r="E1486" t="s">
        <v>14</v>
      </c>
      <c r="F1486" t="s">
        <v>4645</v>
      </c>
      <c r="H1486">
        <v>0</v>
      </c>
      <c r="I1486" t="s">
        <v>17</v>
      </c>
      <c r="K1486" t="s">
        <v>4646</v>
      </c>
      <c r="L1486">
        <v>96</v>
      </c>
      <c r="M1486" t="s">
        <v>4647</v>
      </c>
    </row>
    <row r="1487" spans="1:13">
      <c r="A1487" t="s">
        <v>13</v>
      </c>
      <c r="B1487">
        <v>1521561</v>
      </c>
      <c r="C1487">
        <v>1522682</v>
      </c>
      <c r="E1487" t="s">
        <v>35</v>
      </c>
      <c r="F1487" t="s">
        <v>4648</v>
      </c>
      <c r="G1487" t="s">
        <v>4649</v>
      </c>
      <c r="H1487">
        <v>0</v>
      </c>
      <c r="I1487" t="s">
        <v>17</v>
      </c>
      <c r="K1487" t="s">
        <v>4650</v>
      </c>
      <c r="L1487">
        <v>373</v>
      </c>
      <c r="M1487" t="s">
        <v>4651</v>
      </c>
    </row>
    <row r="1488" spans="1:13">
      <c r="A1488" t="s">
        <v>13</v>
      </c>
      <c r="B1488">
        <v>1522852</v>
      </c>
      <c r="C1488">
        <v>1526208</v>
      </c>
      <c r="E1488" t="s">
        <v>35</v>
      </c>
      <c r="F1488" t="s">
        <v>4652</v>
      </c>
      <c r="G1488" t="s">
        <v>4653</v>
      </c>
      <c r="H1488">
        <v>0</v>
      </c>
      <c r="I1488" t="s">
        <v>17</v>
      </c>
      <c r="K1488" t="s">
        <v>4654</v>
      </c>
      <c r="L1488">
        <v>1118</v>
      </c>
      <c r="M1488" t="s">
        <v>4655</v>
      </c>
    </row>
    <row r="1489" spans="1:13">
      <c r="A1489" t="s">
        <v>13</v>
      </c>
      <c r="B1489">
        <v>1526340</v>
      </c>
      <c r="C1489">
        <v>1527005</v>
      </c>
      <c r="E1489" t="s">
        <v>35</v>
      </c>
      <c r="F1489" t="s">
        <v>28</v>
      </c>
      <c r="H1489">
        <v>0</v>
      </c>
      <c r="I1489" t="s">
        <v>17</v>
      </c>
      <c r="K1489" t="s">
        <v>4656</v>
      </c>
      <c r="L1489">
        <v>221</v>
      </c>
      <c r="M1489" t="s">
        <v>4657</v>
      </c>
    </row>
    <row r="1490" spans="1:13">
      <c r="A1490" t="s">
        <v>13</v>
      </c>
      <c r="B1490">
        <v>1527044</v>
      </c>
      <c r="C1490">
        <v>1529188</v>
      </c>
      <c r="E1490" t="s">
        <v>35</v>
      </c>
      <c r="F1490" t="s">
        <v>4658</v>
      </c>
      <c r="H1490">
        <v>0</v>
      </c>
      <c r="I1490" t="s">
        <v>17</v>
      </c>
      <c r="K1490" t="s">
        <v>4659</v>
      </c>
      <c r="L1490">
        <v>714</v>
      </c>
      <c r="M1490" t="s">
        <v>4660</v>
      </c>
    </row>
    <row r="1491" spans="1:13">
      <c r="A1491" t="s">
        <v>13</v>
      </c>
      <c r="B1491">
        <v>1529191</v>
      </c>
      <c r="C1491">
        <v>1530087</v>
      </c>
      <c r="E1491" t="s">
        <v>35</v>
      </c>
      <c r="F1491" t="s">
        <v>4661</v>
      </c>
      <c r="G1491" t="s">
        <v>4662</v>
      </c>
      <c r="H1491">
        <v>0</v>
      </c>
      <c r="I1491" t="s">
        <v>17</v>
      </c>
      <c r="K1491" t="s">
        <v>4663</v>
      </c>
      <c r="L1491">
        <v>298</v>
      </c>
      <c r="M1491" t="s">
        <v>4664</v>
      </c>
    </row>
    <row r="1492" spans="1:13">
      <c r="A1492" t="s">
        <v>13</v>
      </c>
      <c r="B1492">
        <v>1530154</v>
      </c>
      <c r="C1492">
        <v>1530900</v>
      </c>
      <c r="E1492" t="s">
        <v>35</v>
      </c>
      <c r="F1492" t="s">
        <v>4665</v>
      </c>
      <c r="G1492" t="s">
        <v>4666</v>
      </c>
      <c r="H1492">
        <v>0</v>
      </c>
      <c r="I1492" t="s">
        <v>17</v>
      </c>
      <c r="K1492" t="s">
        <v>4667</v>
      </c>
      <c r="L1492">
        <v>248</v>
      </c>
      <c r="M1492" t="s">
        <v>4668</v>
      </c>
    </row>
    <row r="1493" spans="1:13">
      <c r="A1493" t="s">
        <v>13</v>
      </c>
      <c r="B1493">
        <v>1530905</v>
      </c>
      <c r="C1493">
        <v>1531651</v>
      </c>
      <c r="E1493" t="s">
        <v>35</v>
      </c>
      <c r="F1493" t="s">
        <v>4669</v>
      </c>
      <c r="G1493" t="s">
        <v>4670</v>
      </c>
      <c r="H1493">
        <v>0</v>
      </c>
      <c r="I1493" t="s">
        <v>17</v>
      </c>
      <c r="K1493" t="s">
        <v>4671</v>
      </c>
      <c r="L1493">
        <v>248</v>
      </c>
      <c r="M1493" t="s">
        <v>4672</v>
      </c>
    </row>
    <row r="1494" spans="1:13">
      <c r="A1494" t="s">
        <v>13</v>
      </c>
      <c r="B1494">
        <v>1531778</v>
      </c>
      <c r="C1494">
        <v>1532167</v>
      </c>
      <c r="E1494" t="s">
        <v>14</v>
      </c>
      <c r="F1494" t="s">
        <v>4673</v>
      </c>
      <c r="H1494">
        <v>0</v>
      </c>
      <c r="I1494" t="s">
        <v>17</v>
      </c>
      <c r="K1494" t="s">
        <v>4674</v>
      </c>
      <c r="L1494">
        <v>129</v>
      </c>
      <c r="M1494" t="s">
        <v>4675</v>
      </c>
    </row>
    <row r="1495" spans="1:13">
      <c r="A1495" t="s">
        <v>13</v>
      </c>
      <c r="B1495">
        <v>1532286</v>
      </c>
      <c r="C1495">
        <v>1533017</v>
      </c>
      <c r="E1495" t="s">
        <v>14</v>
      </c>
      <c r="F1495" t="s">
        <v>28</v>
      </c>
      <c r="H1495">
        <v>0</v>
      </c>
      <c r="I1495" t="s">
        <v>17</v>
      </c>
      <c r="K1495" t="s">
        <v>4676</v>
      </c>
      <c r="L1495">
        <v>243</v>
      </c>
      <c r="M1495" t="s">
        <v>4677</v>
      </c>
    </row>
    <row r="1496" spans="1:13">
      <c r="A1496" t="s">
        <v>13</v>
      </c>
      <c r="B1496">
        <v>1533104</v>
      </c>
      <c r="C1496">
        <v>1535350</v>
      </c>
      <c r="E1496" t="s">
        <v>35</v>
      </c>
      <c r="F1496" t="s">
        <v>4678</v>
      </c>
      <c r="G1496" t="s">
        <v>4679</v>
      </c>
      <c r="H1496">
        <v>0</v>
      </c>
      <c r="I1496" t="s">
        <v>17</v>
      </c>
      <c r="K1496" t="s">
        <v>4680</v>
      </c>
      <c r="L1496">
        <v>748</v>
      </c>
      <c r="M1496" t="s">
        <v>4681</v>
      </c>
    </row>
    <row r="1497" spans="1:13">
      <c r="A1497" t="s">
        <v>13</v>
      </c>
      <c r="B1497">
        <v>1535564</v>
      </c>
      <c r="C1497">
        <v>1535833</v>
      </c>
      <c r="E1497" t="s">
        <v>35</v>
      </c>
      <c r="F1497" t="s">
        <v>4682</v>
      </c>
      <c r="G1497" t="s">
        <v>4683</v>
      </c>
      <c r="H1497">
        <v>0</v>
      </c>
      <c r="I1497" t="s">
        <v>17</v>
      </c>
      <c r="K1497" t="s">
        <v>4684</v>
      </c>
      <c r="L1497">
        <v>89</v>
      </c>
      <c r="M1497" t="s">
        <v>4685</v>
      </c>
    </row>
    <row r="1498" spans="1:13">
      <c r="A1498" t="s">
        <v>13</v>
      </c>
      <c r="B1498">
        <v>1535983</v>
      </c>
      <c r="C1498">
        <v>1536924</v>
      </c>
      <c r="E1498" t="s">
        <v>35</v>
      </c>
      <c r="F1498" t="s">
        <v>4056</v>
      </c>
      <c r="G1498" t="s">
        <v>4686</v>
      </c>
      <c r="H1498">
        <v>0</v>
      </c>
      <c r="I1498" t="s">
        <v>17</v>
      </c>
      <c r="K1498" t="s">
        <v>4687</v>
      </c>
      <c r="L1498">
        <v>313</v>
      </c>
      <c r="M1498" t="s">
        <v>4688</v>
      </c>
    </row>
    <row r="1499" spans="1:13">
      <c r="A1499" t="s">
        <v>13</v>
      </c>
      <c r="B1499">
        <v>1536925</v>
      </c>
      <c r="C1499">
        <v>1537947</v>
      </c>
      <c r="E1499" t="s">
        <v>35</v>
      </c>
      <c r="F1499" t="s">
        <v>4689</v>
      </c>
      <c r="G1499" t="s">
        <v>4690</v>
      </c>
      <c r="H1499">
        <v>0</v>
      </c>
      <c r="I1499" t="s">
        <v>17</v>
      </c>
      <c r="K1499" t="s">
        <v>4691</v>
      </c>
      <c r="L1499">
        <v>340</v>
      </c>
      <c r="M1499" t="s">
        <v>4692</v>
      </c>
    </row>
    <row r="1500" spans="1:13">
      <c r="A1500" t="s">
        <v>13</v>
      </c>
      <c r="B1500">
        <v>1537971</v>
      </c>
      <c r="C1500">
        <v>1538864</v>
      </c>
      <c r="E1500" t="s">
        <v>14</v>
      </c>
      <c r="F1500" t="s">
        <v>4693</v>
      </c>
      <c r="G1500" t="s">
        <v>4694</v>
      </c>
      <c r="H1500">
        <v>0</v>
      </c>
      <c r="I1500" t="s">
        <v>17</v>
      </c>
      <c r="K1500" t="s">
        <v>4695</v>
      </c>
      <c r="L1500">
        <v>297</v>
      </c>
      <c r="M1500" t="s">
        <v>4696</v>
      </c>
    </row>
    <row r="1501" spans="1:13">
      <c r="A1501" t="s">
        <v>13</v>
      </c>
      <c r="B1501">
        <v>1538912</v>
      </c>
      <c r="C1501">
        <v>1539586</v>
      </c>
      <c r="E1501" t="s">
        <v>35</v>
      </c>
      <c r="F1501" t="s">
        <v>4697</v>
      </c>
      <c r="G1501" t="s">
        <v>4698</v>
      </c>
      <c r="H1501">
        <v>0</v>
      </c>
      <c r="I1501" t="s">
        <v>17</v>
      </c>
      <c r="K1501" t="s">
        <v>4699</v>
      </c>
      <c r="L1501">
        <v>224</v>
      </c>
      <c r="M1501" t="s">
        <v>4700</v>
      </c>
    </row>
    <row r="1502" spans="1:13">
      <c r="A1502" t="s">
        <v>13</v>
      </c>
      <c r="B1502">
        <v>1539586</v>
      </c>
      <c r="C1502">
        <v>1540392</v>
      </c>
      <c r="E1502" t="s">
        <v>35</v>
      </c>
      <c r="F1502" t="s">
        <v>4701</v>
      </c>
      <c r="H1502">
        <v>0</v>
      </c>
      <c r="I1502" t="s">
        <v>17</v>
      </c>
      <c r="K1502" t="s">
        <v>4702</v>
      </c>
      <c r="L1502">
        <v>268</v>
      </c>
      <c r="M1502" t="s">
        <v>4703</v>
      </c>
    </row>
    <row r="1503" spans="1:13">
      <c r="A1503" t="s">
        <v>13</v>
      </c>
      <c r="B1503">
        <v>1540469</v>
      </c>
      <c r="C1503">
        <v>1541779</v>
      </c>
      <c r="E1503" t="s">
        <v>35</v>
      </c>
      <c r="F1503" t="s">
        <v>4704</v>
      </c>
      <c r="G1503" t="s">
        <v>4705</v>
      </c>
      <c r="H1503">
        <v>0</v>
      </c>
      <c r="I1503" t="s">
        <v>17</v>
      </c>
      <c r="K1503" t="s">
        <v>4706</v>
      </c>
      <c r="L1503">
        <v>436</v>
      </c>
      <c r="M1503" t="s">
        <v>4707</v>
      </c>
    </row>
    <row r="1504" spans="1:13">
      <c r="A1504" t="s">
        <v>13</v>
      </c>
      <c r="B1504">
        <v>1541769</v>
      </c>
      <c r="C1504">
        <v>1542737</v>
      </c>
      <c r="E1504" t="s">
        <v>35</v>
      </c>
      <c r="F1504" t="s">
        <v>4708</v>
      </c>
      <c r="G1504" t="s">
        <v>4709</v>
      </c>
      <c r="H1504">
        <v>0</v>
      </c>
      <c r="I1504" t="s">
        <v>17</v>
      </c>
      <c r="K1504" t="s">
        <v>4710</v>
      </c>
      <c r="L1504">
        <v>322</v>
      </c>
      <c r="M1504" t="s">
        <v>4711</v>
      </c>
    </row>
    <row r="1505" spans="1:13">
      <c r="A1505" t="s">
        <v>13</v>
      </c>
      <c r="B1505">
        <v>1542738</v>
      </c>
      <c r="C1505">
        <v>1543181</v>
      </c>
      <c r="E1505" t="s">
        <v>35</v>
      </c>
      <c r="F1505" t="s">
        <v>4712</v>
      </c>
      <c r="G1505" t="s">
        <v>4713</v>
      </c>
      <c r="H1505">
        <v>0</v>
      </c>
      <c r="I1505" t="s">
        <v>17</v>
      </c>
      <c r="K1505" t="s">
        <v>4714</v>
      </c>
      <c r="L1505">
        <v>147</v>
      </c>
      <c r="M1505" t="s">
        <v>4715</v>
      </c>
    </row>
    <row r="1506" spans="1:13">
      <c r="A1506" t="s">
        <v>13</v>
      </c>
      <c r="B1506">
        <v>1543403</v>
      </c>
      <c r="C1506">
        <v>1546273</v>
      </c>
      <c r="E1506" t="s">
        <v>35</v>
      </c>
      <c r="F1506" t="s">
        <v>4716</v>
      </c>
      <c r="G1506" t="s">
        <v>4717</v>
      </c>
      <c r="H1506">
        <v>0</v>
      </c>
      <c r="I1506" t="s">
        <v>17</v>
      </c>
      <c r="K1506" t="s">
        <v>4718</v>
      </c>
      <c r="L1506">
        <v>956</v>
      </c>
      <c r="M1506" t="s">
        <v>4719</v>
      </c>
    </row>
    <row r="1507" spans="1:13">
      <c r="A1507" t="s">
        <v>13</v>
      </c>
      <c r="B1507">
        <v>1546381</v>
      </c>
      <c r="C1507">
        <v>1546743</v>
      </c>
      <c r="E1507" t="s">
        <v>35</v>
      </c>
      <c r="F1507" t="s">
        <v>28</v>
      </c>
      <c r="H1507">
        <v>0</v>
      </c>
      <c r="I1507" t="s">
        <v>17</v>
      </c>
      <c r="K1507" t="s">
        <v>4720</v>
      </c>
      <c r="L1507">
        <v>120</v>
      </c>
      <c r="M1507" t="s">
        <v>4721</v>
      </c>
    </row>
    <row r="1508" spans="1:13">
      <c r="A1508" t="s">
        <v>13</v>
      </c>
      <c r="B1508">
        <v>1546828</v>
      </c>
      <c r="C1508">
        <v>1547844</v>
      </c>
      <c r="E1508" t="s">
        <v>35</v>
      </c>
      <c r="F1508" t="s">
        <v>28</v>
      </c>
      <c r="H1508">
        <v>0</v>
      </c>
      <c r="I1508" t="s">
        <v>17</v>
      </c>
      <c r="K1508" t="s">
        <v>4722</v>
      </c>
      <c r="L1508">
        <v>338</v>
      </c>
      <c r="M1508" t="s">
        <v>4723</v>
      </c>
    </row>
    <row r="1509" spans="1:13">
      <c r="A1509" t="s">
        <v>13</v>
      </c>
      <c r="B1509">
        <v>1547868</v>
      </c>
      <c r="C1509">
        <v>1548413</v>
      </c>
      <c r="E1509" t="s">
        <v>35</v>
      </c>
      <c r="F1509" t="s">
        <v>4724</v>
      </c>
      <c r="G1509" t="s">
        <v>4725</v>
      </c>
      <c r="H1509">
        <v>0</v>
      </c>
      <c r="I1509" t="s">
        <v>17</v>
      </c>
      <c r="K1509" t="s">
        <v>4726</v>
      </c>
      <c r="L1509">
        <v>181</v>
      </c>
      <c r="M1509" t="s">
        <v>4727</v>
      </c>
    </row>
    <row r="1510" spans="1:13">
      <c r="A1510" t="s">
        <v>13</v>
      </c>
      <c r="B1510">
        <v>1548446</v>
      </c>
      <c r="C1510">
        <v>1549294</v>
      </c>
      <c r="E1510" t="s">
        <v>14</v>
      </c>
      <c r="F1510" t="s">
        <v>28</v>
      </c>
      <c r="H1510">
        <v>0</v>
      </c>
      <c r="I1510" t="s">
        <v>17</v>
      </c>
      <c r="K1510" t="s">
        <v>4728</v>
      </c>
      <c r="L1510">
        <v>282</v>
      </c>
      <c r="M1510" t="s">
        <v>4729</v>
      </c>
    </row>
    <row r="1511" spans="1:13">
      <c r="A1511" t="s">
        <v>13</v>
      </c>
      <c r="B1511">
        <v>1549472</v>
      </c>
      <c r="C1511">
        <v>1549801</v>
      </c>
      <c r="E1511" t="s">
        <v>14</v>
      </c>
      <c r="F1511" t="s">
        <v>4730</v>
      </c>
      <c r="G1511" t="s">
        <v>4731</v>
      </c>
      <c r="H1511">
        <v>0</v>
      </c>
      <c r="I1511" t="s">
        <v>17</v>
      </c>
      <c r="K1511" t="s">
        <v>4732</v>
      </c>
      <c r="L1511">
        <v>109</v>
      </c>
      <c r="M1511" t="s">
        <v>4733</v>
      </c>
    </row>
    <row r="1512" spans="1:13">
      <c r="A1512" t="s">
        <v>13</v>
      </c>
      <c r="B1512">
        <v>1549926</v>
      </c>
      <c r="C1512">
        <v>1550288</v>
      </c>
      <c r="E1512" t="s">
        <v>35</v>
      </c>
      <c r="F1512" t="s">
        <v>28</v>
      </c>
      <c r="H1512">
        <v>0</v>
      </c>
      <c r="I1512" t="s">
        <v>17</v>
      </c>
      <c r="K1512" t="s">
        <v>4734</v>
      </c>
      <c r="L1512">
        <v>120</v>
      </c>
      <c r="M1512" t="s">
        <v>4735</v>
      </c>
    </row>
    <row r="1513" spans="1:13">
      <c r="A1513" t="s">
        <v>13</v>
      </c>
      <c r="B1513">
        <v>1550349</v>
      </c>
      <c r="C1513">
        <v>1552133</v>
      </c>
      <c r="E1513" t="s">
        <v>35</v>
      </c>
      <c r="F1513" t="s">
        <v>4736</v>
      </c>
      <c r="G1513" t="s">
        <v>4737</v>
      </c>
      <c r="H1513">
        <v>0</v>
      </c>
      <c r="I1513" t="s">
        <v>17</v>
      </c>
      <c r="K1513" t="s">
        <v>4738</v>
      </c>
      <c r="L1513">
        <v>594</v>
      </c>
      <c r="M1513" t="s">
        <v>4739</v>
      </c>
    </row>
    <row r="1514" spans="1:13">
      <c r="A1514" t="s">
        <v>13</v>
      </c>
      <c r="B1514">
        <v>1552149</v>
      </c>
      <c r="C1514">
        <v>1552871</v>
      </c>
      <c r="E1514" t="s">
        <v>14</v>
      </c>
      <c r="F1514" t="s">
        <v>28</v>
      </c>
      <c r="H1514">
        <v>0</v>
      </c>
      <c r="I1514" t="s">
        <v>17</v>
      </c>
      <c r="K1514" t="s">
        <v>4740</v>
      </c>
      <c r="L1514">
        <v>240</v>
      </c>
      <c r="M1514" t="s">
        <v>4741</v>
      </c>
    </row>
    <row r="1515" spans="1:13">
      <c r="A1515" t="s">
        <v>13</v>
      </c>
      <c r="B1515">
        <v>1552894</v>
      </c>
      <c r="C1515">
        <v>1553631</v>
      </c>
      <c r="E1515" t="s">
        <v>35</v>
      </c>
      <c r="F1515" t="s">
        <v>3144</v>
      </c>
      <c r="H1515">
        <v>0</v>
      </c>
      <c r="I1515" t="s">
        <v>17</v>
      </c>
      <c r="K1515" t="s">
        <v>4742</v>
      </c>
      <c r="L1515">
        <v>245</v>
      </c>
      <c r="M1515" t="s">
        <v>4743</v>
      </c>
    </row>
    <row r="1516" spans="1:13">
      <c r="A1516" t="s">
        <v>13</v>
      </c>
      <c r="B1516">
        <v>1553670</v>
      </c>
      <c r="C1516">
        <v>1554569</v>
      </c>
      <c r="E1516" t="s">
        <v>35</v>
      </c>
      <c r="F1516" t="s">
        <v>2704</v>
      </c>
      <c r="G1516" t="s">
        <v>4744</v>
      </c>
      <c r="H1516">
        <v>0</v>
      </c>
      <c r="I1516" t="s">
        <v>17</v>
      </c>
      <c r="K1516" t="s">
        <v>4745</v>
      </c>
      <c r="L1516">
        <v>299</v>
      </c>
      <c r="M1516" t="s">
        <v>4746</v>
      </c>
    </row>
    <row r="1517" spans="1:13">
      <c r="A1517" t="s">
        <v>13</v>
      </c>
      <c r="B1517">
        <v>1554629</v>
      </c>
      <c r="C1517">
        <v>1555390</v>
      </c>
      <c r="E1517" t="s">
        <v>35</v>
      </c>
      <c r="F1517" t="s">
        <v>2708</v>
      </c>
      <c r="G1517" t="s">
        <v>4747</v>
      </c>
      <c r="H1517">
        <v>0</v>
      </c>
      <c r="I1517" t="s">
        <v>17</v>
      </c>
      <c r="K1517" t="s">
        <v>4748</v>
      </c>
      <c r="L1517">
        <v>253</v>
      </c>
      <c r="M1517" t="s">
        <v>4749</v>
      </c>
    </row>
    <row r="1518" spans="1:13">
      <c r="A1518" t="s">
        <v>13</v>
      </c>
      <c r="B1518">
        <v>1555383</v>
      </c>
      <c r="C1518">
        <v>1556564</v>
      </c>
      <c r="E1518" t="s">
        <v>35</v>
      </c>
      <c r="F1518" t="s">
        <v>2712</v>
      </c>
      <c r="G1518" t="s">
        <v>4750</v>
      </c>
      <c r="H1518">
        <v>0</v>
      </c>
      <c r="I1518" t="s">
        <v>17</v>
      </c>
      <c r="K1518" t="s">
        <v>4751</v>
      </c>
      <c r="L1518">
        <v>393</v>
      </c>
      <c r="M1518" t="s">
        <v>4752</v>
      </c>
    </row>
    <row r="1519" spans="1:13">
      <c r="A1519" t="s">
        <v>13</v>
      </c>
      <c r="B1519">
        <v>1556631</v>
      </c>
      <c r="C1519">
        <v>1557455</v>
      </c>
      <c r="E1519" t="s">
        <v>14</v>
      </c>
      <c r="F1519" t="s">
        <v>4753</v>
      </c>
      <c r="G1519" t="s">
        <v>4754</v>
      </c>
      <c r="H1519">
        <v>0</v>
      </c>
      <c r="I1519" t="s">
        <v>17</v>
      </c>
      <c r="K1519" t="s">
        <v>4755</v>
      </c>
      <c r="L1519">
        <v>274</v>
      </c>
      <c r="M1519" t="s">
        <v>4756</v>
      </c>
    </row>
    <row r="1520" spans="1:13">
      <c r="A1520" t="s">
        <v>13</v>
      </c>
      <c r="B1520">
        <v>1557457</v>
      </c>
      <c r="C1520">
        <v>1558812</v>
      </c>
      <c r="E1520" t="s">
        <v>14</v>
      </c>
      <c r="F1520" t="s">
        <v>28</v>
      </c>
      <c r="H1520">
        <v>0</v>
      </c>
      <c r="I1520" t="s">
        <v>17</v>
      </c>
      <c r="K1520" t="s">
        <v>4757</v>
      </c>
      <c r="L1520">
        <v>451</v>
      </c>
      <c r="M1520" t="s">
        <v>4758</v>
      </c>
    </row>
    <row r="1521" spans="1:13">
      <c r="A1521" t="s">
        <v>13</v>
      </c>
      <c r="B1521">
        <v>1558921</v>
      </c>
      <c r="C1521">
        <v>1560417</v>
      </c>
      <c r="E1521" t="s">
        <v>35</v>
      </c>
      <c r="F1521" t="s">
        <v>4759</v>
      </c>
      <c r="G1521" t="s">
        <v>4760</v>
      </c>
      <c r="H1521">
        <v>0</v>
      </c>
      <c r="I1521" t="s">
        <v>17</v>
      </c>
      <c r="K1521" t="s">
        <v>4761</v>
      </c>
      <c r="L1521">
        <v>498</v>
      </c>
      <c r="M1521" t="s">
        <v>4762</v>
      </c>
    </row>
    <row r="1522" spans="1:13">
      <c r="A1522" t="s">
        <v>13</v>
      </c>
      <c r="B1522">
        <v>1560703</v>
      </c>
      <c r="C1522">
        <v>1561749</v>
      </c>
      <c r="E1522" t="s">
        <v>14</v>
      </c>
      <c r="F1522" t="s">
        <v>1567</v>
      </c>
      <c r="H1522">
        <v>0</v>
      </c>
      <c r="I1522" t="s">
        <v>17</v>
      </c>
      <c r="K1522" t="s">
        <v>4763</v>
      </c>
      <c r="L1522">
        <v>348</v>
      </c>
      <c r="M1522" t="s">
        <v>4764</v>
      </c>
    </row>
    <row r="1523" spans="1:13">
      <c r="A1523" t="s">
        <v>13</v>
      </c>
      <c r="B1523">
        <v>1561785</v>
      </c>
      <c r="C1523">
        <v>1563185</v>
      </c>
      <c r="E1523" t="s">
        <v>14</v>
      </c>
      <c r="F1523" t="s">
        <v>4765</v>
      </c>
      <c r="G1523" t="s">
        <v>4766</v>
      </c>
      <c r="H1523">
        <v>0</v>
      </c>
      <c r="I1523" t="s">
        <v>17</v>
      </c>
      <c r="K1523" t="s">
        <v>4767</v>
      </c>
      <c r="L1523">
        <v>466</v>
      </c>
      <c r="M1523" t="s">
        <v>4768</v>
      </c>
    </row>
    <row r="1524" spans="1:13">
      <c r="A1524" t="s">
        <v>13</v>
      </c>
      <c r="B1524">
        <v>1563306</v>
      </c>
      <c r="C1524">
        <v>1564175</v>
      </c>
      <c r="E1524" t="s">
        <v>35</v>
      </c>
      <c r="F1524" t="s">
        <v>4769</v>
      </c>
      <c r="G1524" t="s">
        <v>4770</v>
      </c>
      <c r="H1524">
        <v>0</v>
      </c>
      <c r="I1524" t="s">
        <v>17</v>
      </c>
      <c r="K1524" t="s">
        <v>4771</v>
      </c>
      <c r="L1524">
        <v>289</v>
      </c>
      <c r="M1524" t="s">
        <v>4772</v>
      </c>
    </row>
    <row r="1525" spans="1:13">
      <c r="A1525" t="s">
        <v>13</v>
      </c>
      <c r="B1525">
        <v>1564241</v>
      </c>
      <c r="C1525">
        <v>1566136</v>
      </c>
      <c r="E1525" t="s">
        <v>35</v>
      </c>
      <c r="F1525" t="s">
        <v>4773</v>
      </c>
      <c r="G1525" t="s">
        <v>4774</v>
      </c>
      <c r="H1525">
        <v>0</v>
      </c>
      <c r="I1525" t="s">
        <v>17</v>
      </c>
      <c r="K1525" t="s">
        <v>4775</v>
      </c>
      <c r="L1525">
        <v>631</v>
      </c>
      <c r="M1525" t="s">
        <v>4776</v>
      </c>
    </row>
    <row r="1526" spans="1:13">
      <c r="A1526" t="s">
        <v>13</v>
      </c>
      <c r="B1526">
        <v>1566185</v>
      </c>
      <c r="C1526">
        <v>1567348</v>
      </c>
      <c r="E1526" t="s">
        <v>35</v>
      </c>
      <c r="F1526" t="s">
        <v>4777</v>
      </c>
      <c r="G1526" t="s">
        <v>4778</v>
      </c>
      <c r="H1526">
        <v>0</v>
      </c>
      <c r="I1526" t="s">
        <v>17</v>
      </c>
      <c r="K1526" t="s">
        <v>4779</v>
      </c>
      <c r="L1526">
        <v>387</v>
      </c>
      <c r="M1526" t="s">
        <v>4780</v>
      </c>
    </row>
    <row r="1527" spans="1:13">
      <c r="A1527" t="s">
        <v>13</v>
      </c>
      <c r="B1527">
        <v>1567526</v>
      </c>
      <c r="C1527">
        <v>1568734</v>
      </c>
      <c r="E1527" t="s">
        <v>35</v>
      </c>
      <c r="F1527" t="s">
        <v>4781</v>
      </c>
      <c r="G1527" t="s">
        <v>4782</v>
      </c>
      <c r="H1527">
        <v>0</v>
      </c>
      <c r="I1527" t="s">
        <v>17</v>
      </c>
      <c r="K1527" t="s">
        <v>4783</v>
      </c>
      <c r="L1527">
        <v>402</v>
      </c>
      <c r="M1527" t="s">
        <v>4784</v>
      </c>
    </row>
    <row r="1528" spans="1:13">
      <c r="A1528" t="s">
        <v>13</v>
      </c>
      <c r="B1528">
        <v>1568748</v>
      </c>
      <c r="C1528">
        <v>1569908</v>
      </c>
      <c r="E1528" t="s">
        <v>35</v>
      </c>
      <c r="F1528" t="s">
        <v>4785</v>
      </c>
      <c r="G1528" t="s">
        <v>4786</v>
      </c>
      <c r="H1528">
        <v>0</v>
      </c>
      <c r="I1528" t="s">
        <v>17</v>
      </c>
      <c r="K1528" t="s">
        <v>4787</v>
      </c>
      <c r="L1528">
        <v>386</v>
      </c>
      <c r="M1528" t="s">
        <v>4788</v>
      </c>
    </row>
    <row r="1529" spans="1:13">
      <c r="A1529" t="s">
        <v>13</v>
      </c>
      <c r="B1529">
        <v>1570079</v>
      </c>
      <c r="C1529">
        <v>1570537</v>
      </c>
      <c r="E1529" t="s">
        <v>14</v>
      </c>
      <c r="F1529" t="s">
        <v>28</v>
      </c>
      <c r="H1529">
        <v>0</v>
      </c>
      <c r="I1529" t="s">
        <v>17</v>
      </c>
      <c r="K1529" t="s">
        <v>4789</v>
      </c>
      <c r="L1529">
        <v>152</v>
      </c>
      <c r="M1529" t="s">
        <v>4790</v>
      </c>
    </row>
    <row r="1530" spans="1:13">
      <c r="A1530" t="s">
        <v>13</v>
      </c>
      <c r="B1530">
        <v>1570721</v>
      </c>
      <c r="C1530">
        <v>1571833</v>
      </c>
      <c r="E1530" t="s">
        <v>35</v>
      </c>
      <c r="F1530" t="s">
        <v>4791</v>
      </c>
      <c r="G1530" t="s">
        <v>4792</v>
      </c>
      <c r="H1530">
        <v>0</v>
      </c>
      <c r="I1530" t="s">
        <v>17</v>
      </c>
      <c r="K1530" t="s">
        <v>4793</v>
      </c>
      <c r="L1530">
        <v>370</v>
      </c>
      <c r="M1530" t="s">
        <v>4794</v>
      </c>
    </row>
    <row r="1531" spans="1:13">
      <c r="A1531" t="s">
        <v>13</v>
      </c>
      <c r="B1531">
        <v>1571938</v>
      </c>
      <c r="C1531">
        <v>1572345</v>
      </c>
      <c r="E1531" t="s">
        <v>14</v>
      </c>
      <c r="F1531" t="s">
        <v>28</v>
      </c>
      <c r="H1531">
        <v>0</v>
      </c>
      <c r="I1531" t="s">
        <v>17</v>
      </c>
      <c r="K1531" t="s">
        <v>4795</v>
      </c>
      <c r="L1531">
        <v>135</v>
      </c>
      <c r="M1531" t="s">
        <v>4796</v>
      </c>
    </row>
    <row r="1532" spans="1:13">
      <c r="A1532" t="s">
        <v>13</v>
      </c>
      <c r="B1532">
        <v>1572454</v>
      </c>
      <c r="C1532">
        <v>1573332</v>
      </c>
      <c r="E1532" t="s">
        <v>35</v>
      </c>
      <c r="F1532" t="s">
        <v>4797</v>
      </c>
      <c r="G1532" t="s">
        <v>4798</v>
      </c>
      <c r="H1532">
        <v>0</v>
      </c>
      <c r="I1532" t="s">
        <v>17</v>
      </c>
      <c r="K1532" t="s">
        <v>4799</v>
      </c>
      <c r="L1532">
        <v>292</v>
      </c>
      <c r="M1532" t="s">
        <v>4800</v>
      </c>
    </row>
    <row r="1533" spans="1:13">
      <c r="A1533" t="s">
        <v>13</v>
      </c>
      <c r="B1533">
        <v>1573457</v>
      </c>
      <c r="C1533">
        <v>1574014</v>
      </c>
      <c r="E1533" t="s">
        <v>35</v>
      </c>
      <c r="F1533" t="s">
        <v>4801</v>
      </c>
      <c r="G1533" t="s">
        <v>4802</v>
      </c>
      <c r="H1533">
        <v>0</v>
      </c>
      <c r="I1533" t="s">
        <v>17</v>
      </c>
      <c r="K1533" t="s">
        <v>4803</v>
      </c>
      <c r="L1533">
        <v>185</v>
      </c>
      <c r="M1533" t="s">
        <v>4804</v>
      </c>
    </row>
    <row r="1534" spans="1:13">
      <c r="A1534" t="s">
        <v>13</v>
      </c>
      <c r="B1534">
        <v>1574085</v>
      </c>
      <c r="C1534">
        <v>1574813</v>
      </c>
      <c r="E1534" t="s">
        <v>35</v>
      </c>
      <c r="F1534" t="s">
        <v>4805</v>
      </c>
      <c r="G1534" t="s">
        <v>4806</v>
      </c>
      <c r="H1534">
        <v>0</v>
      </c>
      <c r="I1534" t="s">
        <v>17</v>
      </c>
      <c r="K1534" t="s">
        <v>4807</v>
      </c>
      <c r="L1534">
        <v>242</v>
      </c>
      <c r="M1534" t="s">
        <v>4808</v>
      </c>
    </row>
    <row r="1535" spans="1:13">
      <c r="A1535" t="s">
        <v>13</v>
      </c>
      <c r="B1535">
        <v>1574999</v>
      </c>
      <c r="C1535">
        <v>1575811</v>
      </c>
      <c r="E1535" t="s">
        <v>35</v>
      </c>
      <c r="F1535" t="s">
        <v>4809</v>
      </c>
      <c r="G1535" t="s">
        <v>4810</v>
      </c>
      <c r="H1535">
        <v>0</v>
      </c>
      <c r="I1535" t="s">
        <v>17</v>
      </c>
      <c r="K1535" t="s">
        <v>4811</v>
      </c>
      <c r="L1535">
        <v>270</v>
      </c>
      <c r="M1535" t="s">
        <v>4812</v>
      </c>
    </row>
    <row r="1536" spans="1:13">
      <c r="A1536" t="s">
        <v>13</v>
      </c>
      <c r="B1536">
        <v>1576116</v>
      </c>
      <c r="C1536">
        <v>1576949</v>
      </c>
      <c r="E1536" t="s">
        <v>35</v>
      </c>
      <c r="F1536" t="s">
        <v>4813</v>
      </c>
      <c r="G1536" t="s">
        <v>4814</v>
      </c>
      <c r="H1536">
        <v>0</v>
      </c>
      <c r="I1536" t="s">
        <v>17</v>
      </c>
      <c r="K1536" t="s">
        <v>4815</v>
      </c>
      <c r="L1536">
        <v>277</v>
      </c>
      <c r="M1536" t="s">
        <v>4816</v>
      </c>
    </row>
    <row r="1537" spans="1:13">
      <c r="A1537" t="s">
        <v>13</v>
      </c>
      <c r="B1537">
        <v>1577342</v>
      </c>
      <c r="C1537">
        <v>1577863</v>
      </c>
      <c r="E1537" t="s">
        <v>14</v>
      </c>
      <c r="F1537" t="s">
        <v>4817</v>
      </c>
      <c r="H1537">
        <v>0</v>
      </c>
      <c r="I1537" t="s">
        <v>17</v>
      </c>
      <c r="K1537" t="s">
        <v>4818</v>
      </c>
      <c r="L1537">
        <v>173</v>
      </c>
      <c r="M1537" t="s">
        <v>4819</v>
      </c>
    </row>
    <row r="1538" spans="1:13">
      <c r="A1538" t="s">
        <v>13</v>
      </c>
      <c r="B1538">
        <v>1577871</v>
      </c>
      <c r="C1538">
        <v>1578788</v>
      </c>
      <c r="E1538" t="s">
        <v>35</v>
      </c>
      <c r="F1538" t="s">
        <v>3772</v>
      </c>
      <c r="G1538" t="s">
        <v>4820</v>
      </c>
      <c r="H1538">
        <v>0</v>
      </c>
      <c r="I1538" t="s">
        <v>17</v>
      </c>
      <c r="K1538" t="s">
        <v>4821</v>
      </c>
      <c r="L1538">
        <v>305</v>
      </c>
      <c r="M1538" t="s">
        <v>4822</v>
      </c>
    </row>
    <row r="1539" spans="1:13">
      <c r="A1539" t="s">
        <v>13</v>
      </c>
      <c r="B1539">
        <v>1578811</v>
      </c>
      <c r="C1539">
        <v>1579992</v>
      </c>
      <c r="E1539" t="s">
        <v>35</v>
      </c>
      <c r="F1539" t="s">
        <v>28</v>
      </c>
      <c r="H1539">
        <v>0</v>
      </c>
      <c r="I1539" t="s">
        <v>17</v>
      </c>
      <c r="K1539" t="s">
        <v>4823</v>
      </c>
      <c r="L1539">
        <v>393</v>
      </c>
      <c r="M1539" t="s">
        <v>4824</v>
      </c>
    </row>
    <row r="1540" spans="1:13">
      <c r="A1540" t="s">
        <v>13</v>
      </c>
      <c r="B1540">
        <v>1579989</v>
      </c>
      <c r="C1540">
        <v>1581554</v>
      </c>
      <c r="E1540" t="s">
        <v>35</v>
      </c>
      <c r="F1540" t="s">
        <v>4825</v>
      </c>
      <c r="G1540" t="s">
        <v>4826</v>
      </c>
      <c r="H1540">
        <v>0</v>
      </c>
      <c r="I1540" t="s">
        <v>17</v>
      </c>
      <c r="K1540" t="s">
        <v>4827</v>
      </c>
      <c r="L1540">
        <v>521</v>
      </c>
      <c r="M1540" t="s">
        <v>4828</v>
      </c>
    </row>
    <row r="1541" spans="1:13">
      <c r="A1541" t="s">
        <v>13</v>
      </c>
      <c r="B1541">
        <v>1581541</v>
      </c>
      <c r="C1541">
        <v>1581939</v>
      </c>
      <c r="E1541" t="s">
        <v>35</v>
      </c>
      <c r="F1541" t="s">
        <v>28</v>
      </c>
      <c r="H1541">
        <v>0</v>
      </c>
      <c r="I1541" t="s">
        <v>17</v>
      </c>
      <c r="K1541" t="s">
        <v>4829</v>
      </c>
      <c r="L1541">
        <v>132</v>
      </c>
      <c r="M1541" t="s">
        <v>4830</v>
      </c>
    </row>
    <row r="1542" spans="1:13">
      <c r="A1542" t="s">
        <v>13</v>
      </c>
      <c r="B1542">
        <v>1582122</v>
      </c>
      <c r="C1542">
        <v>1582427</v>
      </c>
      <c r="E1542" t="s">
        <v>35</v>
      </c>
      <c r="F1542" t="s">
        <v>28</v>
      </c>
      <c r="H1542">
        <v>0</v>
      </c>
      <c r="I1542" t="s">
        <v>17</v>
      </c>
      <c r="K1542" t="s">
        <v>4831</v>
      </c>
      <c r="L1542">
        <v>101</v>
      </c>
      <c r="M1542" t="s">
        <v>4832</v>
      </c>
    </row>
    <row r="1543" spans="1:13">
      <c r="A1543" t="s">
        <v>13</v>
      </c>
      <c r="B1543">
        <v>1582490</v>
      </c>
      <c r="C1543">
        <v>1583131</v>
      </c>
      <c r="E1543" t="s">
        <v>35</v>
      </c>
      <c r="F1543" t="s">
        <v>4833</v>
      </c>
      <c r="G1543" t="s">
        <v>4834</v>
      </c>
      <c r="H1543">
        <v>0</v>
      </c>
      <c r="I1543" t="s">
        <v>17</v>
      </c>
      <c r="K1543" t="s">
        <v>4835</v>
      </c>
      <c r="L1543">
        <v>213</v>
      </c>
      <c r="M1543" t="s">
        <v>4836</v>
      </c>
    </row>
    <row r="1544" spans="1:13">
      <c r="A1544" t="s">
        <v>13</v>
      </c>
      <c r="B1544">
        <v>1583118</v>
      </c>
      <c r="C1544">
        <v>1583855</v>
      </c>
      <c r="E1544" t="s">
        <v>35</v>
      </c>
      <c r="F1544" t="s">
        <v>4837</v>
      </c>
      <c r="G1544" t="s">
        <v>4838</v>
      </c>
      <c r="H1544">
        <v>0</v>
      </c>
      <c r="I1544" t="s">
        <v>17</v>
      </c>
      <c r="K1544" t="s">
        <v>4839</v>
      </c>
      <c r="L1544">
        <v>245</v>
      </c>
      <c r="M1544" t="s">
        <v>4840</v>
      </c>
    </row>
    <row r="1545" spans="1:13">
      <c r="A1545" t="s">
        <v>13</v>
      </c>
      <c r="B1545">
        <v>1583833</v>
      </c>
      <c r="C1545">
        <v>1584597</v>
      </c>
      <c r="E1545" t="s">
        <v>35</v>
      </c>
      <c r="F1545" t="s">
        <v>4837</v>
      </c>
      <c r="G1545" t="s">
        <v>4841</v>
      </c>
      <c r="H1545">
        <v>0</v>
      </c>
      <c r="I1545" t="s">
        <v>17</v>
      </c>
      <c r="K1545" t="s">
        <v>4842</v>
      </c>
      <c r="L1545">
        <v>254</v>
      </c>
      <c r="M1545" t="s">
        <v>4843</v>
      </c>
    </row>
    <row r="1546" spans="1:13">
      <c r="A1546" t="s">
        <v>13</v>
      </c>
      <c r="B1546">
        <v>1584774</v>
      </c>
      <c r="C1546">
        <v>1585118</v>
      </c>
      <c r="E1546" t="s">
        <v>35</v>
      </c>
      <c r="F1546" t="s">
        <v>4844</v>
      </c>
      <c r="G1546" t="s">
        <v>4845</v>
      </c>
      <c r="H1546">
        <v>0</v>
      </c>
      <c r="I1546" t="s">
        <v>17</v>
      </c>
      <c r="K1546" t="s">
        <v>4846</v>
      </c>
      <c r="L1546">
        <v>114</v>
      </c>
      <c r="M1546" t="s">
        <v>4847</v>
      </c>
    </row>
    <row r="1547" spans="1:13">
      <c r="A1547" t="s">
        <v>13</v>
      </c>
      <c r="B1547">
        <v>1585293</v>
      </c>
      <c r="C1547">
        <v>1587500</v>
      </c>
      <c r="E1547" t="s">
        <v>35</v>
      </c>
      <c r="F1547" t="s">
        <v>3144</v>
      </c>
      <c r="H1547">
        <v>0</v>
      </c>
      <c r="I1547" t="s">
        <v>17</v>
      </c>
      <c r="K1547" t="s">
        <v>4848</v>
      </c>
      <c r="L1547">
        <v>735</v>
      </c>
      <c r="M1547" t="s">
        <v>4849</v>
      </c>
    </row>
    <row r="1548" spans="1:13">
      <c r="A1548" t="s">
        <v>13</v>
      </c>
      <c r="B1548">
        <v>1587756</v>
      </c>
      <c r="C1548">
        <v>1590080</v>
      </c>
      <c r="E1548" t="s">
        <v>35</v>
      </c>
      <c r="F1548" t="s">
        <v>28</v>
      </c>
      <c r="H1548">
        <v>0</v>
      </c>
      <c r="I1548" t="s">
        <v>17</v>
      </c>
      <c r="K1548" t="s">
        <v>4850</v>
      </c>
      <c r="L1548">
        <v>774</v>
      </c>
      <c r="M1548" t="s">
        <v>4851</v>
      </c>
    </row>
    <row r="1549" spans="1:13">
      <c r="A1549" t="s">
        <v>13</v>
      </c>
      <c r="B1549">
        <v>1590239</v>
      </c>
      <c r="C1549">
        <v>1590829</v>
      </c>
      <c r="E1549" t="s">
        <v>35</v>
      </c>
      <c r="F1549" t="s">
        <v>28</v>
      </c>
      <c r="H1549">
        <v>0</v>
      </c>
      <c r="I1549" t="s">
        <v>17</v>
      </c>
      <c r="K1549" t="s">
        <v>4852</v>
      </c>
      <c r="L1549">
        <v>196</v>
      </c>
      <c r="M1549" t="s">
        <v>4853</v>
      </c>
    </row>
    <row r="1550" spans="1:13">
      <c r="A1550" t="s">
        <v>13</v>
      </c>
      <c r="B1550">
        <v>1590928</v>
      </c>
      <c r="C1550">
        <v>1591308</v>
      </c>
      <c r="E1550" t="s">
        <v>35</v>
      </c>
      <c r="F1550" t="s">
        <v>28</v>
      </c>
      <c r="H1550">
        <v>0</v>
      </c>
      <c r="I1550" t="s">
        <v>17</v>
      </c>
      <c r="K1550" t="s">
        <v>4854</v>
      </c>
      <c r="L1550">
        <v>126</v>
      </c>
      <c r="M1550" t="s">
        <v>4855</v>
      </c>
    </row>
    <row r="1551" spans="1:13">
      <c r="A1551" t="s">
        <v>13</v>
      </c>
      <c r="B1551">
        <v>1591308</v>
      </c>
      <c r="C1551">
        <v>1592198</v>
      </c>
      <c r="E1551" t="s">
        <v>35</v>
      </c>
      <c r="F1551" t="s">
        <v>4856</v>
      </c>
      <c r="G1551" t="s">
        <v>4857</v>
      </c>
      <c r="H1551">
        <v>0</v>
      </c>
      <c r="I1551" t="s">
        <v>17</v>
      </c>
      <c r="K1551" t="s">
        <v>4858</v>
      </c>
      <c r="L1551">
        <v>296</v>
      </c>
      <c r="M1551" t="s">
        <v>4859</v>
      </c>
    </row>
    <row r="1552" spans="1:13">
      <c r="A1552" t="s">
        <v>13</v>
      </c>
      <c r="B1552">
        <v>1592195</v>
      </c>
      <c r="C1552">
        <v>1592683</v>
      </c>
      <c r="E1552" t="s">
        <v>35</v>
      </c>
      <c r="F1552" t="s">
        <v>4860</v>
      </c>
      <c r="G1552" t="s">
        <v>4861</v>
      </c>
      <c r="H1552">
        <v>0</v>
      </c>
      <c r="I1552" t="s">
        <v>17</v>
      </c>
      <c r="K1552" t="s">
        <v>4862</v>
      </c>
      <c r="L1552">
        <v>162</v>
      </c>
      <c r="M1552" t="s">
        <v>4863</v>
      </c>
    </row>
    <row r="1553" spans="1:13">
      <c r="A1553" t="s">
        <v>13</v>
      </c>
      <c r="B1553">
        <v>1592779</v>
      </c>
      <c r="C1553">
        <v>1593204</v>
      </c>
      <c r="E1553" t="s">
        <v>14</v>
      </c>
      <c r="F1553" t="s">
        <v>4864</v>
      </c>
      <c r="H1553">
        <v>0</v>
      </c>
      <c r="I1553" t="s">
        <v>17</v>
      </c>
      <c r="K1553" t="s">
        <v>4865</v>
      </c>
      <c r="L1553">
        <v>141</v>
      </c>
      <c r="M1553" t="s">
        <v>4866</v>
      </c>
    </row>
    <row r="1554" spans="1:13">
      <c r="A1554" t="s">
        <v>13</v>
      </c>
      <c r="B1554">
        <v>1593234</v>
      </c>
      <c r="C1554">
        <v>1593938</v>
      </c>
      <c r="E1554" t="s">
        <v>14</v>
      </c>
      <c r="F1554" t="s">
        <v>4867</v>
      </c>
      <c r="H1554">
        <v>0</v>
      </c>
      <c r="I1554" t="s">
        <v>17</v>
      </c>
      <c r="K1554" t="s">
        <v>4868</v>
      </c>
      <c r="L1554">
        <v>234</v>
      </c>
      <c r="M1554" t="s">
        <v>4869</v>
      </c>
    </row>
    <row r="1555" spans="1:13">
      <c r="A1555" t="s">
        <v>13</v>
      </c>
      <c r="B1555">
        <v>1594084</v>
      </c>
      <c r="C1555">
        <v>1594584</v>
      </c>
      <c r="E1555" t="s">
        <v>35</v>
      </c>
      <c r="F1555" t="s">
        <v>4870</v>
      </c>
      <c r="G1555" t="s">
        <v>4871</v>
      </c>
      <c r="H1555">
        <v>0</v>
      </c>
      <c r="I1555" t="s">
        <v>17</v>
      </c>
      <c r="K1555" t="s">
        <v>4872</v>
      </c>
      <c r="L1555">
        <v>166</v>
      </c>
      <c r="M1555" t="s">
        <v>4873</v>
      </c>
    </row>
    <row r="1556" spans="1:13">
      <c r="A1556" t="s">
        <v>13</v>
      </c>
      <c r="B1556">
        <v>1594942</v>
      </c>
      <c r="C1556">
        <v>1597209</v>
      </c>
      <c r="E1556" t="s">
        <v>14</v>
      </c>
      <c r="F1556" t="s">
        <v>2639</v>
      </c>
      <c r="G1556" t="s">
        <v>4874</v>
      </c>
      <c r="H1556">
        <v>0</v>
      </c>
      <c r="I1556" t="s">
        <v>17</v>
      </c>
      <c r="K1556" t="s">
        <v>4875</v>
      </c>
      <c r="L1556">
        <v>755</v>
      </c>
      <c r="M1556" t="s">
        <v>4876</v>
      </c>
    </row>
    <row r="1557" spans="1:13">
      <c r="A1557" t="s">
        <v>13</v>
      </c>
      <c r="B1557">
        <v>1597292</v>
      </c>
      <c r="C1557">
        <v>1598932</v>
      </c>
      <c r="E1557" t="s">
        <v>35</v>
      </c>
      <c r="F1557" t="s">
        <v>4877</v>
      </c>
      <c r="G1557" t="s">
        <v>4878</v>
      </c>
      <c r="H1557">
        <v>0</v>
      </c>
      <c r="I1557" t="s">
        <v>17</v>
      </c>
      <c r="K1557" t="s">
        <v>4879</v>
      </c>
      <c r="L1557">
        <v>546</v>
      </c>
      <c r="M1557" t="s">
        <v>4880</v>
      </c>
    </row>
    <row r="1558" spans="1:13">
      <c r="A1558" t="s">
        <v>13</v>
      </c>
      <c r="B1558">
        <v>1598984</v>
      </c>
      <c r="C1558">
        <v>1601116</v>
      </c>
      <c r="E1558" t="s">
        <v>35</v>
      </c>
      <c r="F1558" t="s">
        <v>4881</v>
      </c>
      <c r="G1558" t="s">
        <v>4882</v>
      </c>
      <c r="H1558">
        <v>0</v>
      </c>
      <c r="I1558" t="s">
        <v>17</v>
      </c>
      <c r="K1558" t="s">
        <v>4883</v>
      </c>
      <c r="L1558">
        <v>710</v>
      </c>
      <c r="M1558" t="s">
        <v>4884</v>
      </c>
    </row>
    <row r="1559" spans="1:13">
      <c r="A1559" t="s">
        <v>13</v>
      </c>
      <c r="B1559">
        <v>1601123</v>
      </c>
      <c r="C1559">
        <v>1601461</v>
      </c>
      <c r="E1559" t="s">
        <v>35</v>
      </c>
      <c r="F1559" t="s">
        <v>2396</v>
      </c>
      <c r="G1559" t="s">
        <v>4885</v>
      </c>
      <c r="H1559">
        <v>0</v>
      </c>
      <c r="I1559" t="s">
        <v>17</v>
      </c>
      <c r="K1559" t="s">
        <v>4886</v>
      </c>
      <c r="L1559">
        <v>112</v>
      </c>
      <c r="M1559" t="s">
        <v>4887</v>
      </c>
    </row>
    <row r="1560" spans="1:13">
      <c r="A1560" t="s">
        <v>13</v>
      </c>
      <c r="B1560">
        <v>1601692</v>
      </c>
      <c r="C1560">
        <v>1602060</v>
      </c>
      <c r="E1560" t="s">
        <v>35</v>
      </c>
      <c r="F1560" t="s">
        <v>4888</v>
      </c>
      <c r="H1560">
        <v>0</v>
      </c>
      <c r="I1560" t="s">
        <v>17</v>
      </c>
      <c r="K1560" t="s">
        <v>4889</v>
      </c>
      <c r="L1560">
        <v>122</v>
      </c>
      <c r="M1560" t="s">
        <v>4890</v>
      </c>
    </row>
    <row r="1561" spans="1:13">
      <c r="A1561" t="s">
        <v>13</v>
      </c>
      <c r="B1561">
        <v>1602064</v>
      </c>
      <c r="C1561">
        <v>1602354</v>
      </c>
      <c r="E1561" t="s">
        <v>35</v>
      </c>
      <c r="F1561" t="s">
        <v>4891</v>
      </c>
      <c r="H1561">
        <v>0</v>
      </c>
      <c r="I1561" t="s">
        <v>17</v>
      </c>
      <c r="K1561" t="s">
        <v>4892</v>
      </c>
      <c r="L1561">
        <v>96</v>
      </c>
      <c r="M1561" t="s">
        <v>4893</v>
      </c>
    </row>
    <row r="1562" spans="1:13">
      <c r="A1562" t="s">
        <v>13</v>
      </c>
      <c r="B1562">
        <v>1602351</v>
      </c>
      <c r="C1562">
        <v>1602884</v>
      </c>
      <c r="E1562" t="s">
        <v>35</v>
      </c>
      <c r="F1562" t="s">
        <v>4894</v>
      </c>
      <c r="H1562">
        <v>0</v>
      </c>
      <c r="I1562" t="s">
        <v>17</v>
      </c>
      <c r="K1562" t="s">
        <v>4895</v>
      </c>
      <c r="L1562">
        <v>177</v>
      </c>
      <c r="M1562" t="s">
        <v>4896</v>
      </c>
    </row>
    <row r="1563" spans="1:13">
      <c r="A1563" t="s">
        <v>13</v>
      </c>
      <c r="B1563">
        <v>1602885</v>
      </c>
      <c r="C1563">
        <v>1604426</v>
      </c>
      <c r="E1563" t="s">
        <v>35</v>
      </c>
      <c r="F1563" t="s">
        <v>4897</v>
      </c>
      <c r="G1563" t="s">
        <v>4898</v>
      </c>
      <c r="H1563">
        <v>0</v>
      </c>
      <c r="I1563" t="s">
        <v>17</v>
      </c>
      <c r="K1563" t="s">
        <v>4899</v>
      </c>
      <c r="L1563">
        <v>513</v>
      </c>
      <c r="M1563" t="s">
        <v>4900</v>
      </c>
    </row>
    <row r="1564" spans="1:13">
      <c r="A1564" t="s">
        <v>13</v>
      </c>
      <c r="B1564">
        <v>1604426</v>
      </c>
      <c r="C1564">
        <v>1604902</v>
      </c>
      <c r="E1564" t="s">
        <v>35</v>
      </c>
      <c r="F1564" t="s">
        <v>4901</v>
      </c>
      <c r="G1564" t="s">
        <v>4902</v>
      </c>
      <c r="H1564">
        <v>0</v>
      </c>
      <c r="I1564" t="s">
        <v>17</v>
      </c>
      <c r="K1564" t="s">
        <v>4903</v>
      </c>
      <c r="L1564">
        <v>158</v>
      </c>
      <c r="M1564" t="s">
        <v>4904</v>
      </c>
    </row>
    <row r="1565" spans="1:13">
      <c r="A1565" t="s">
        <v>13</v>
      </c>
      <c r="B1565">
        <v>1604902</v>
      </c>
      <c r="C1565">
        <v>1607883</v>
      </c>
      <c r="E1565" t="s">
        <v>35</v>
      </c>
      <c r="F1565" t="s">
        <v>4905</v>
      </c>
      <c r="G1565" t="s">
        <v>4906</v>
      </c>
      <c r="H1565">
        <v>0</v>
      </c>
      <c r="I1565" t="s">
        <v>17</v>
      </c>
      <c r="K1565" t="s">
        <v>4907</v>
      </c>
      <c r="L1565">
        <v>993</v>
      </c>
      <c r="M1565" t="s">
        <v>4908</v>
      </c>
    </row>
    <row r="1566" spans="1:13">
      <c r="A1566" t="s">
        <v>13</v>
      </c>
      <c r="B1566">
        <v>1608133</v>
      </c>
      <c r="C1566">
        <v>1610271</v>
      </c>
      <c r="E1566" t="s">
        <v>35</v>
      </c>
      <c r="F1566" t="s">
        <v>4909</v>
      </c>
      <c r="G1566" t="s">
        <v>4910</v>
      </c>
      <c r="H1566">
        <v>0</v>
      </c>
      <c r="I1566" t="s">
        <v>17</v>
      </c>
      <c r="K1566" t="s">
        <v>4911</v>
      </c>
      <c r="L1566">
        <v>712</v>
      </c>
      <c r="M1566" t="s">
        <v>4912</v>
      </c>
    </row>
    <row r="1567" spans="1:13">
      <c r="A1567" t="s">
        <v>13</v>
      </c>
      <c r="B1567">
        <v>1610326</v>
      </c>
      <c r="C1567">
        <v>1613856</v>
      </c>
      <c r="E1567" t="s">
        <v>35</v>
      </c>
      <c r="F1567" t="s">
        <v>3499</v>
      </c>
      <c r="G1567" t="s">
        <v>4913</v>
      </c>
      <c r="H1567">
        <v>0</v>
      </c>
      <c r="I1567" t="s">
        <v>17</v>
      </c>
      <c r="K1567" t="s">
        <v>4914</v>
      </c>
      <c r="L1567">
        <v>1176</v>
      </c>
      <c r="M1567" t="s">
        <v>4915</v>
      </c>
    </row>
    <row r="1568" spans="1:13">
      <c r="A1568" t="s">
        <v>13</v>
      </c>
      <c r="B1568">
        <v>1613914</v>
      </c>
      <c r="C1568">
        <v>1614192</v>
      </c>
      <c r="E1568" t="s">
        <v>35</v>
      </c>
      <c r="F1568" t="s">
        <v>4916</v>
      </c>
      <c r="G1568" t="s">
        <v>4917</v>
      </c>
      <c r="H1568">
        <v>0</v>
      </c>
      <c r="I1568" t="s">
        <v>17</v>
      </c>
      <c r="K1568" t="s">
        <v>4918</v>
      </c>
      <c r="L1568">
        <v>92</v>
      </c>
      <c r="M1568" t="s">
        <v>4919</v>
      </c>
    </row>
    <row r="1569" spans="1:13">
      <c r="A1569" t="s">
        <v>13</v>
      </c>
      <c r="B1569">
        <v>1614211</v>
      </c>
      <c r="C1569">
        <v>1615713</v>
      </c>
      <c r="E1569" t="s">
        <v>35</v>
      </c>
      <c r="F1569" t="s">
        <v>4920</v>
      </c>
      <c r="G1569" t="s">
        <v>4921</v>
      </c>
      <c r="H1569">
        <v>0</v>
      </c>
      <c r="I1569" t="s">
        <v>17</v>
      </c>
      <c r="K1569" t="s">
        <v>4922</v>
      </c>
      <c r="L1569">
        <v>500</v>
      </c>
      <c r="M1569" t="s">
        <v>4923</v>
      </c>
    </row>
    <row r="1570" spans="1:13">
      <c r="A1570" t="s">
        <v>13</v>
      </c>
      <c r="B1570">
        <v>1615767</v>
      </c>
      <c r="C1570">
        <v>1616582</v>
      </c>
      <c r="E1570" t="s">
        <v>35</v>
      </c>
      <c r="F1570" t="s">
        <v>4924</v>
      </c>
      <c r="G1570" t="s">
        <v>4925</v>
      </c>
      <c r="H1570">
        <v>0</v>
      </c>
      <c r="I1570" t="s">
        <v>17</v>
      </c>
      <c r="K1570" t="s">
        <v>4926</v>
      </c>
      <c r="L1570">
        <v>271</v>
      </c>
      <c r="M1570" t="s">
        <v>4927</v>
      </c>
    </row>
    <row r="1571" spans="1:13">
      <c r="A1571" t="s">
        <v>13</v>
      </c>
      <c r="B1571">
        <v>1616586</v>
      </c>
      <c r="C1571">
        <v>1617356</v>
      </c>
      <c r="E1571" t="s">
        <v>35</v>
      </c>
      <c r="F1571" t="s">
        <v>4928</v>
      </c>
      <c r="G1571" t="s">
        <v>4929</v>
      </c>
      <c r="H1571">
        <v>0</v>
      </c>
      <c r="I1571" t="s">
        <v>17</v>
      </c>
      <c r="K1571" t="s">
        <v>4930</v>
      </c>
      <c r="L1571">
        <v>256</v>
      </c>
      <c r="M1571" t="s">
        <v>4931</v>
      </c>
    </row>
    <row r="1572" spans="1:13">
      <c r="A1572" t="s">
        <v>13</v>
      </c>
      <c r="B1572">
        <v>1617353</v>
      </c>
      <c r="C1572">
        <v>1617901</v>
      </c>
      <c r="E1572" t="s">
        <v>35</v>
      </c>
      <c r="F1572" t="s">
        <v>28</v>
      </c>
      <c r="H1572">
        <v>0</v>
      </c>
      <c r="I1572" t="s">
        <v>17</v>
      </c>
      <c r="K1572" t="s">
        <v>4932</v>
      </c>
      <c r="L1572">
        <v>182</v>
      </c>
      <c r="M1572" t="s">
        <v>4933</v>
      </c>
    </row>
    <row r="1573" spans="1:13">
      <c r="A1573" t="s">
        <v>13</v>
      </c>
      <c r="B1573">
        <v>1618052</v>
      </c>
      <c r="C1573">
        <v>1618666</v>
      </c>
      <c r="E1573" t="s">
        <v>14</v>
      </c>
      <c r="F1573" t="s">
        <v>28</v>
      </c>
      <c r="H1573">
        <v>0</v>
      </c>
      <c r="I1573" t="s">
        <v>17</v>
      </c>
      <c r="K1573" t="s">
        <v>4934</v>
      </c>
      <c r="L1573">
        <v>204</v>
      </c>
      <c r="M1573" t="s">
        <v>4935</v>
      </c>
    </row>
    <row r="1574" spans="1:13">
      <c r="A1574" t="s">
        <v>13</v>
      </c>
      <c r="B1574">
        <v>1618769</v>
      </c>
      <c r="C1574">
        <v>1619659</v>
      </c>
      <c r="E1574" t="s">
        <v>35</v>
      </c>
      <c r="F1574" t="s">
        <v>4936</v>
      </c>
      <c r="H1574">
        <v>0</v>
      </c>
      <c r="I1574" t="s">
        <v>17</v>
      </c>
      <c r="K1574" t="s">
        <v>4937</v>
      </c>
      <c r="L1574">
        <v>296</v>
      </c>
      <c r="M1574" t="s">
        <v>4938</v>
      </c>
    </row>
    <row r="1575" spans="1:13">
      <c r="A1575" t="s">
        <v>13</v>
      </c>
      <c r="B1575">
        <v>1619796</v>
      </c>
      <c r="C1575">
        <v>1621142</v>
      </c>
      <c r="E1575" t="s">
        <v>35</v>
      </c>
      <c r="F1575" t="s">
        <v>4939</v>
      </c>
      <c r="G1575" t="s">
        <v>4940</v>
      </c>
      <c r="H1575">
        <v>0</v>
      </c>
      <c r="I1575" t="s">
        <v>17</v>
      </c>
      <c r="K1575" t="s">
        <v>4941</v>
      </c>
      <c r="L1575">
        <v>448</v>
      </c>
      <c r="M1575" t="s">
        <v>4942</v>
      </c>
    </row>
    <row r="1576" spans="1:13">
      <c r="A1576" t="s">
        <v>13</v>
      </c>
      <c r="B1576">
        <v>1621323</v>
      </c>
      <c r="C1576">
        <v>1622429</v>
      </c>
      <c r="E1576" t="s">
        <v>14</v>
      </c>
      <c r="F1576" t="s">
        <v>4943</v>
      </c>
      <c r="G1576" t="s">
        <v>4944</v>
      </c>
      <c r="H1576">
        <v>0</v>
      </c>
      <c r="I1576" t="s">
        <v>17</v>
      </c>
      <c r="K1576" t="s">
        <v>4945</v>
      </c>
      <c r="L1576">
        <v>368</v>
      </c>
      <c r="M1576" t="s">
        <v>4946</v>
      </c>
    </row>
    <row r="1577" spans="1:13">
      <c r="A1577" t="s">
        <v>13</v>
      </c>
      <c r="B1577">
        <v>1622426</v>
      </c>
      <c r="C1577">
        <v>1622824</v>
      </c>
      <c r="E1577" t="s">
        <v>35</v>
      </c>
      <c r="F1577" t="s">
        <v>28</v>
      </c>
      <c r="H1577">
        <v>0</v>
      </c>
      <c r="I1577" t="s">
        <v>17</v>
      </c>
      <c r="K1577" t="s">
        <v>4947</v>
      </c>
      <c r="L1577">
        <v>132</v>
      </c>
      <c r="M1577" t="s">
        <v>4948</v>
      </c>
    </row>
    <row r="1578" spans="1:13">
      <c r="A1578" t="s">
        <v>13</v>
      </c>
      <c r="B1578">
        <v>1622861</v>
      </c>
      <c r="C1578">
        <v>1624063</v>
      </c>
      <c r="E1578" t="s">
        <v>14</v>
      </c>
      <c r="F1578" t="s">
        <v>1818</v>
      </c>
      <c r="G1578" t="s">
        <v>4949</v>
      </c>
      <c r="H1578">
        <v>0</v>
      </c>
      <c r="I1578" t="s">
        <v>17</v>
      </c>
      <c r="K1578" t="s">
        <v>4950</v>
      </c>
      <c r="L1578">
        <v>400</v>
      </c>
      <c r="M1578" t="s">
        <v>4951</v>
      </c>
    </row>
    <row r="1579" spans="1:13">
      <c r="A1579" t="s">
        <v>13</v>
      </c>
      <c r="B1579">
        <v>1624133</v>
      </c>
      <c r="C1579">
        <v>1625554</v>
      </c>
      <c r="E1579" t="s">
        <v>35</v>
      </c>
      <c r="F1579" t="s">
        <v>4952</v>
      </c>
      <c r="G1579" t="s">
        <v>4953</v>
      </c>
      <c r="H1579">
        <v>0</v>
      </c>
      <c r="I1579" t="s">
        <v>17</v>
      </c>
      <c r="K1579" t="s">
        <v>4954</v>
      </c>
      <c r="L1579">
        <v>473</v>
      </c>
      <c r="M1579" t="s">
        <v>4955</v>
      </c>
    </row>
    <row r="1580" spans="1:13">
      <c r="A1580" t="s">
        <v>13</v>
      </c>
      <c r="B1580">
        <v>1625673</v>
      </c>
      <c r="C1580">
        <v>1626644</v>
      </c>
      <c r="E1580" t="s">
        <v>35</v>
      </c>
      <c r="F1580" t="s">
        <v>4956</v>
      </c>
      <c r="G1580" t="s">
        <v>4957</v>
      </c>
      <c r="H1580">
        <v>0</v>
      </c>
      <c r="I1580" t="s">
        <v>17</v>
      </c>
      <c r="K1580" t="s">
        <v>4958</v>
      </c>
      <c r="L1580">
        <v>323</v>
      </c>
      <c r="M1580" t="s">
        <v>4959</v>
      </c>
    </row>
    <row r="1581" spans="1:13">
      <c r="A1581" t="s">
        <v>13</v>
      </c>
      <c r="B1581">
        <v>1626698</v>
      </c>
      <c r="C1581">
        <v>1627528</v>
      </c>
      <c r="E1581" t="s">
        <v>35</v>
      </c>
      <c r="F1581" t="s">
        <v>4960</v>
      </c>
      <c r="G1581" t="s">
        <v>4961</v>
      </c>
      <c r="H1581">
        <v>0</v>
      </c>
      <c r="I1581" t="s">
        <v>17</v>
      </c>
      <c r="K1581" t="s">
        <v>4962</v>
      </c>
      <c r="L1581">
        <v>276</v>
      </c>
      <c r="M1581" t="s">
        <v>4963</v>
      </c>
    </row>
    <row r="1582" spans="1:13">
      <c r="A1582" t="s">
        <v>13</v>
      </c>
      <c r="B1582">
        <v>1627615</v>
      </c>
      <c r="C1582">
        <v>1628250</v>
      </c>
      <c r="E1582" t="s">
        <v>35</v>
      </c>
      <c r="F1582" t="s">
        <v>4964</v>
      </c>
      <c r="H1582">
        <v>0</v>
      </c>
      <c r="I1582" t="s">
        <v>17</v>
      </c>
      <c r="K1582" t="s">
        <v>4965</v>
      </c>
      <c r="L1582">
        <v>211</v>
      </c>
      <c r="M1582" t="s">
        <v>4966</v>
      </c>
    </row>
    <row r="1583" spans="1:13">
      <c r="A1583" t="s">
        <v>13</v>
      </c>
      <c r="B1583">
        <v>1628250</v>
      </c>
      <c r="C1583">
        <v>1628612</v>
      </c>
      <c r="E1583" t="s">
        <v>35</v>
      </c>
      <c r="F1583" t="s">
        <v>4967</v>
      </c>
      <c r="H1583">
        <v>0</v>
      </c>
      <c r="I1583" t="s">
        <v>17</v>
      </c>
      <c r="K1583" t="s">
        <v>4968</v>
      </c>
      <c r="L1583">
        <v>120</v>
      </c>
      <c r="M1583" t="s">
        <v>4969</v>
      </c>
    </row>
    <row r="1584" spans="1:13">
      <c r="A1584" t="s">
        <v>13</v>
      </c>
      <c r="B1584">
        <v>1628609</v>
      </c>
      <c r="C1584">
        <v>1629379</v>
      </c>
      <c r="E1584" t="s">
        <v>35</v>
      </c>
      <c r="F1584" t="s">
        <v>4970</v>
      </c>
      <c r="G1584" t="s">
        <v>4971</v>
      </c>
      <c r="H1584">
        <v>0</v>
      </c>
      <c r="I1584" t="s">
        <v>17</v>
      </c>
      <c r="K1584" t="s">
        <v>4972</v>
      </c>
      <c r="L1584">
        <v>256</v>
      </c>
      <c r="M1584" t="s">
        <v>4973</v>
      </c>
    </row>
    <row r="1585" spans="1:13">
      <c r="A1585" t="s">
        <v>13</v>
      </c>
      <c r="B1585">
        <v>1629403</v>
      </c>
      <c r="C1585">
        <v>1630173</v>
      </c>
      <c r="E1585" t="s">
        <v>35</v>
      </c>
      <c r="F1585" t="s">
        <v>4974</v>
      </c>
      <c r="G1585" t="s">
        <v>4975</v>
      </c>
      <c r="H1585">
        <v>0</v>
      </c>
      <c r="I1585" t="s">
        <v>17</v>
      </c>
      <c r="K1585" t="s">
        <v>4976</v>
      </c>
      <c r="L1585">
        <v>256</v>
      </c>
      <c r="M1585" t="s">
        <v>4977</v>
      </c>
    </row>
    <row r="1586" spans="1:13">
      <c r="A1586" t="s">
        <v>13</v>
      </c>
      <c r="B1586">
        <v>1630177</v>
      </c>
      <c r="C1586">
        <v>1630965</v>
      </c>
      <c r="E1586" t="s">
        <v>35</v>
      </c>
      <c r="F1586" t="s">
        <v>4978</v>
      </c>
      <c r="G1586" t="s">
        <v>4979</v>
      </c>
      <c r="H1586">
        <v>0</v>
      </c>
      <c r="I1586" t="s">
        <v>17</v>
      </c>
      <c r="K1586" t="s">
        <v>4980</v>
      </c>
      <c r="L1586">
        <v>262</v>
      </c>
      <c r="M1586" t="s">
        <v>4981</v>
      </c>
    </row>
    <row r="1587" spans="1:13">
      <c r="A1587" t="s">
        <v>13</v>
      </c>
      <c r="B1587">
        <v>1630979</v>
      </c>
      <c r="C1587">
        <v>1631611</v>
      </c>
      <c r="E1587" t="s">
        <v>35</v>
      </c>
      <c r="F1587" t="s">
        <v>4982</v>
      </c>
      <c r="G1587" t="s">
        <v>4983</v>
      </c>
      <c r="H1587">
        <v>0</v>
      </c>
      <c r="I1587" t="s">
        <v>17</v>
      </c>
      <c r="K1587" t="s">
        <v>4984</v>
      </c>
      <c r="L1587">
        <v>210</v>
      </c>
      <c r="M1587" t="s">
        <v>4985</v>
      </c>
    </row>
    <row r="1588" spans="1:13">
      <c r="A1588" t="s">
        <v>13</v>
      </c>
      <c r="B1588">
        <v>1631615</v>
      </c>
      <c r="C1588">
        <v>1632865</v>
      </c>
      <c r="E1588" t="s">
        <v>35</v>
      </c>
      <c r="F1588" t="s">
        <v>2414</v>
      </c>
      <c r="H1588">
        <v>0</v>
      </c>
      <c r="I1588" t="s">
        <v>17</v>
      </c>
      <c r="K1588" t="s">
        <v>4986</v>
      </c>
      <c r="L1588">
        <v>416</v>
      </c>
      <c r="M1588" t="s">
        <v>4987</v>
      </c>
    </row>
    <row r="1589" spans="1:13">
      <c r="A1589" t="s">
        <v>13</v>
      </c>
      <c r="B1589">
        <v>1632862</v>
      </c>
      <c r="C1589">
        <v>1633029</v>
      </c>
      <c r="E1589" t="s">
        <v>35</v>
      </c>
      <c r="F1589" t="s">
        <v>28</v>
      </c>
      <c r="H1589">
        <v>0</v>
      </c>
      <c r="I1589" t="s">
        <v>17</v>
      </c>
      <c r="K1589" t="s">
        <v>4988</v>
      </c>
      <c r="L1589">
        <v>55</v>
      </c>
      <c r="M1589" t="s">
        <v>4989</v>
      </c>
    </row>
    <row r="1590" spans="1:13">
      <c r="A1590" t="s">
        <v>13</v>
      </c>
      <c r="B1590">
        <v>1633033</v>
      </c>
      <c r="C1590">
        <v>1633635</v>
      </c>
      <c r="E1590" t="s">
        <v>35</v>
      </c>
      <c r="F1590" t="s">
        <v>4990</v>
      </c>
      <c r="G1590" t="s">
        <v>4991</v>
      </c>
      <c r="H1590">
        <v>0</v>
      </c>
      <c r="I1590" t="s">
        <v>17</v>
      </c>
      <c r="K1590" t="s">
        <v>4992</v>
      </c>
      <c r="L1590">
        <v>200</v>
      </c>
      <c r="M1590" t="s">
        <v>4993</v>
      </c>
    </row>
    <row r="1591" spans="1:13">
      <c r="A1591" t="s">
        <v>13</v>
      </c>
      <c r="B1591">
        <v>1633639</v>
      </c>
      <c r="C1591">
        <v>1634751</v>
      </c>
      <c r="E1591" t="s">
        <v>35</v>
      </c>
      <c r="F1591" t="s">
        <v>4994</v>
      </c>
      <c r="G1591" t="s">
        <v>4995</v>
      </c>
      <c r="H1591">
        <v>0</v>
      </c>
      <c r="I1591" t="s">
        <v>17</v>
      </c>
      <c r="K1591" t="s">
        <v>4996</v>
      </c>
      <c r="L1591">
        <v>370</v>
      </c>
      <c r="M1591" t="s">
        <v>4997</v>
      </c>
    </row>
    <row r="1592" spans="1:13">
      <c r="A1592" t="s">
        <v>13</v>
      </c>
      <c r="B1592">
        <v>1634752</v>
      </c>
      <c r="C1592">
        <v>1636062</v>
      </c>
      <c r="E1592" t="s">
        <v>35</v>
      </c>
      <c r="F1592" t="s">
        <v>4998</v>
      </c>
      <c r="G1592" t="s">
        <v>4999</v>
      </c>
      <c r="H1592">
        <v>0</v>
      </c>
      <c r="I1592" t="s">
        <v>17</v>
      </c>
      <c r="K1592" t="s">
        <v>5000</v>
      </c>
      <c r="L1592">
        <v>436</v>
      </c>
      <c r="M1592" t="s">
        <v>5001</v>
      </c>
    </row>
    <row r="1593" spans="1:13">
      <c r="A1593" t="s">
        <v>13</v>
      </c>
      <c r="B1593">
        <v>1636200</v>
      </c>
      <c r="C1593">
        <v>1637099</v>
      </c>
      <c r="E1593" t="s">
        <v>14</v>
      </c>
      <c r="F1593" t="s">
        <v>28</v>
      </c>
      <c r="H1593">
        <v>0</v>
      </c>
      <c r="I1593" t="s">
        <v>17</v>
      </c>
      <c r="K1593" t="s">
        <v>5002</v>
      </c>
      <c r="L1593">
        <v>299</v>
      </c>
      <c r="M1593" t="s">
        <v>5003</v>
      </c>
    </row>
    <row r="1594" spans="1:13">
      <c r="A1594" t="s">
        <v>13</v>
      </c>
      <c r="B1594">
        <v>1637086</v>
      </c>
      <c r="C1594">
        <v>1637625</v>
      </c>
      <c r="E1594" t="s">
        <v>35</v>
      </c>
      <c r="F1594" t="s">
        <v>28</v>
      </c>
      <c r="H1594">
        <v>0</v>
      </c>
      <c r="I1594" t="s">
        <v>17</v>
      </c>
      <c r="K1594" t="s">
        <v>5004</v>
      </c>
      <c r="L1594">
        <v>179</v>
      </c>
      <c r="M1594" t="s">
        <v>5005</v>
      </c>
    </row>
    <row r="1595" spans="1:13">
      <c r="A1595" t="s">
        <v>13</v>
      </c>
      <c r="B1595">
        <v>1637627</v>
      </c>
      <c r="C1595">
        <v>1638394</v>
      </c>
      <c r="E1595" t="s">
        <v>35</v>
      </c>
      <c r="F1595" t="s">
        <v>28</v>
      </c>
      <c r="H1595">
        <v>0</v>
      </c>
      <c r="I1595" t="s">
        <v>17</v>
      </c>
      <c r="K1595" t="s">
        <v>5006</v>
      </c>
      <c r="L1595">
        <v>255</v>
      </c>
      <c r="M1595" t="s">
        <v>5007</v>
      </c>
    </row>
    <row r="1596" spans="1:13">
      <c r="A1596" t="s">
        <v>13</v>
      </c>
      <c r="B1596">
        <v>1638556</v>
      </c>
      <c r="C1596">
        <v>1639089</v>
      </c>
      <c r="E1596" t="s">
        <v>14</v>
      </c>
      <c r="F1596" t="s">
        <v>5008</v>
      </c>
      <c r="G1596" t="s">
        <v>5009</v>
      </c>
      <c r="H1596">
        <v>0</v>
      </c>
      <c r="I1596" t="s">
        <v>17</v>
      </c>
      <c r="K1596" t="s">
        <v>5010</v>
      </c>
      <c r="L1596">
        <v>177</v>
      </c>
      <c r="M1596" t="s">
        <v>5011</v>
      </c>
    </row>
    <row r="1597" spans="1:13">
      <c r="A1597" t="s">
        <v>13</v>
      </c>
      <c r="B1597">
        <v>1639143</v>
      </c>
      <c r="C1597">
        <v>1640555</v>
      </c>
      <c r="E1597" t="s">
        <v>14</v>
      </c>
      <c r="F1597" t="s">
        <v>3353</v>
      </c>
      <c r="G1597" t="s">
        <v>5012</v>
      </c>
      <c r="H1597">
        <v>0</v>
      </c>
      <c r="I1597" t="s">
        <v>17</v>
      </c>
      <c r="K1597" t="s">
        <v>5013</v>
      </c>
      <c r="L1597">
        <v>470</v>
      </c>
      <c r="M1597" t="s">
        <v>5014</v>
      </c>
    </row>
    <row r="1598" spans="1:13">
      <c r="A1598" t="s">
        <v>13</v>
      </c>
      <c r="B1598">
        <v>1640628</v>
      </c>
      <c r="C1598">
        <v>1641245</v>
      </c>
      <c r="E1598" t="s">
        <v>14</v>
      </c>
      <c r="F1598" t="s">
        <v>28</v>
      </c>
      <c r="H1598">
        <v>0</v>
      </c>
      <c r="I1598" t="s">
        <v>17</v>
      </c>
      <c r="K1598" t="s">
        <v>5015</v>
      </c>
      <c r="L1598">
        <v>205</v>
      </c>
      <c r="M1598" t="s">
        <v>5016</v>
      </c>
    </row>
    <row r="1599" spans="1:13">
      <c r="A1599" t="s">
        <v>13</v>
      </c>
      <c r="B1599">
        <v>1641256</v>
      </c>
      <c r="C1599">
        <v>1642254</v>
      </c>
      <c r="E1599" t="s">
        <v>14</v>
      </c>
      <c r="F1599" t="s">
        <v>5017</v>
      </c>
      <c r="G1599" t="s">
        <v>5018</v>
      </c>
      <c r="H1599">
        <v>0</v>
      </c>
      <c r="I1599" t="s">
        <v>17</v>
      </c>
      <c r="K1599" t="s">
        <v>5019</v>
      </c>
      <c r="L1599">
        <v>332</v>
      </c>
      <c r="M1599" t="s">
        <v>5020</v>
      </c>
    </row>
    <row r="1600" spans="1:13">
      <c r="A1600" t="s">
        <v>13</v>
      </c>
      <c r="B1600">
        <v>1642251</v>
      </c>
      <c r="C1600">
        <v>1642640</v>
      </c>
      <c r="E1600" t="s">
        <v>35</v>
      </c>
      <c r="F1600" t="s">
        <v>5021</v>
      </c>
      <c r="G1600" t="s">
        <v>5022</v>
      </c>
      <c r="H1600">
        <v>0</v>
      </c>
      <c r="I1600" t="s">
        <v>17</v>
      </c>
      <c r="K1600" t="s">
        <v>5023</v>
      </c>
      <c r="L1600">
        <v>129</v>
      </c>
      <c r="M1600" t="s">
        <v>5024</v>
      </c>
    </row>
    <row r="1601" spans="1:13">
      <c r="A1601" t="s">
        <v>13</v>
      </c>
      <c r="B1601">
        <v>1642640</v>
      </c>
      <c r="C1601">
        <v>1642879</v>
      </c>
      <c r="E1601" t="s">
        <v>35</v>
      </c>
      <c r="F1601" t="s">
        <v>28</v>
      </c>
      <c r="H1601">
        <v>0</v>
      </c>
      <c r="I1601" t="s">
        <v>17</v>
      </c>
      <c r="K1601" t="s">
        <v>5025</v>
      </c>
      <c r="L1601">
        <v>79</v>
      </c>
      <c r="M1601" t="s">
        <v>5026</v>
      </c>
    </row>
    <row r="1602" spans="1:13">
      <c r="A1602" t="s">
        <v>13</v>
      </c>
      <c r="B1602">
        <v>1642876</v>
      </c>
      <c r="C1602">
        <v>1643520</v>
      </c>
      <c r="E1602" t="s">
        <v>35</v>
      </c>
      <c r="F1602" t="s">
        <v>5027</v>
      </c>
      <c r="G1602" t="s">
        <v>5028</v>
      </c>
      <c r="H1602">
        <v>0</v>
      </c>
      <c r="I1602" t="s">
        <v>17</v>
      </c>
      <c r="K1602" t="s">
        <v>5029</v>
      </c>
      <c r="L1602">
        <v>214</v>
      </c>
      <c r="M1602" t="s">
        <v>5030</v>
      </c>
    </row>
    <row r="1603" spans="1:13">
      <c r="A1603" t="s">
        <v>13</v>
      </c>
      <c r="B1603">
        <v>1643520</v>
      </c>
      <c r="C1603">
        <v>1644788</v>
      </c>
      <c r="E1603" t="s">
        <v>35</v>
      </c>
      <c r="F1603" t="s">
        <v>5031</v>
      </c>
      <c r="G1603" t="s">
        <v>5032</v>
      </c>
      <c r="H1603">
        <v>0</v>
      </c>
      <c r="I1603" t="s">
        <v>17</v>
      </c>
      <c r="K1603" t="s">
        <v>5033</v>
      </c>
      <c r="L1603">
        <v>422</v>
      </c>
      <c r="M1603" t="s">
        <v>5034</v>
      </c>
    </row>
    <row r="1604" spans="1:13">
      <c r="A1604" t="s">
        <v>13</v>
      </c>
      <c r="B1604">
        <v>1644911</v>
      </c>
      <c r="C1604">
        <v>1646800</v>
      </c>
      <c r="E1604" t="s">
        <v>14</v>
      </c>
      <c r="F1604" t="s">
        <v>28</v>
      </c>
      <c r="H1604">
        <v>0</v>
      </c>
      <c r="I1604" t="s">
        <v>17</v>
      </c>
      <c r="K1604" t="s">
        <v>5035</v>
      </c>
      <c r="L1604">
        <v>629</v>
      </c>
      <c r="M1604" t="s">
        <v>5036</v>
      </c>
    </row>
    <row r="1605" spans="1:13">
      <c r="A1605" t="s">
        <v>13</v>
      </c>
      <c r="B1605">
        <v>1646866</v>
      </c>
      <c r="C1605">
        <v>1647345</v>
      </c>
      <c r="E1605" t="s">
        <v>14</v>
      </c>
      <c r="F1605" t="s">
        <v>28</v>
      </c>
      <c r="H1605">
        <v>0</v>
      </c>
      <c r="I1605" t="s">
        <v>17</v>
      </c>
      <c r="K1605" t="s">
        <v>5037</v>
      </c>
      <c r="L1605">
        <v>159</v>
      </c>
      <c r="M1605" t="s">
        <v>5038</v>
      </c>
    </row>
    <row r="1606" spans="1:13">
      <c r="A1606" t="s">
        <v>13</v>
      </c>
      <c r="B1606">
        <v>1647513</v>
      </c>
      <c r="C1606">
        <v>1651085</v>
      </c>
      <c r="E1606" t="s">
        <v>35</v>
      </c>
      <c r="F1606" t="s">
        <v>5039</v>
      </c>
      <c r="G1606" t="s">
        <v>5040</v>
      </c>
      <c r="H1606">
        <v>0</v>
      </c>
      <c r="I1606" t="s">
        <v>17</v>
      </c>
      <c r="K1606" t="s">
        <v>5041</v>
      </c>
      <c r="L1606">
        <v>1190</v>
      </c>
      <c r="M1606" t="s">
        <v>5042</v>
      </c>
    </row>
    <row r="1607" spans="1:13">
      <c r="A1607" t="s">
        <v>13</v>
      </c>
      <c r="B1607">
        <v>1651131</v>
      </c>
      <c r="C1607">
        <v>1652006</v>
      </c>
      <c r="E1607" t="s">
        <v>14</v>
      </c>
      <c r="F1607" t="s">
        <v>5043</v>
      </c>
      <c r="H1607">
        <v>0</v>
      </c>
      <c r="I1607" t="s">
        <v>17</v>
      </c>
      <c r="K1607" t="s">
        <v>5044</v>
      </c>
      <c r="L1607">
        <v>291</v>
      </c>
      <c r="M1607" t="s">
        <v>5045</v>
      </c>
    </row>
    <row r="1608" spans="1:13">
      <c r="A1608" t="s">
        <v>13</v>
      </c>
      <c r="B1608">
        <v>1652279</v>
      </c>
      <c r="C1608">
        <v>1653259</v>
      </c>
      <c r="E1608" t="s">
        <v>35</v>
      </c>
      <c r="F1608" t="s">
        <v>28</v>
      </c>
      <c r="H1608">
        <v>0</v>
      </c>
      <c r="I1608" t="s">
        <v>17</v>
      </c>
      <c r="K1608" t="s">
        <v>5046</v>
      </c>
      <c r="L1608">
        <v>326</v>
      </c>
      <c r="M1608" t="s">
        <v>5047</v>
      </c>
    </row>
    <row r="1609" spans="1:13">
      <c r="A1609" t="s">
        <v>13</v>
      </c>
      <c r="B1609">
        <v>1653363</v>
      </c>
      <c r="C1609">
        <v>1653902</v>
      </c>
      <c r="E1609" t="s">
        <v>35</v>
      </c>
      <c r="F1609" t="s">
        <v>28</v>
      </c>
      <c r="H1609">
        <v>0</v>
      </c>
      <c r="I1609" t="s">
        <v>17</v>
      </c>
      <c r="K1609" t="s">
        <v>5048</v>
      </c>
      <c r="L1609">
        <v>179</v>
      </c>
      <c r="M1609" t="s">
        <v>5049</v>
      </c>
    </row>
    <row r="1610" spans="1:13">
      <c r="A1610" t="s">
        <v>13</v>
      </c>
      <c r="B1610">
        <v>1653899</v>
      </c>
      <c r="C1610">
        <v>1654825</v>
      </c>
      <c r="E1610" t="s">
        <v>35</v>
      </c>
      <c r="F1610" t="s">
        <v>5050</v>
      </c>
      <c r="G1610" t="s">
        <v>5051</v>
      </c>
      <c r="H1610">
        <v>0</v>
      </c>
      <c r="I1610" t="s">
        <v>17</v>
      </c>
      <c r="K1610" t="s">
        <v>5052</v>
      </c>
      <c r="L1610">
        <v>308</v>
      </c>
      <c r="M1610" t="s">
        <v>5053</v>
      </c>
    </row>
    <row r="1611" spans="1:13">
      <c r="A1611" t="s">
        <v>13</v>
      </c>
      <c r="B1611">
        <v>1654818</v>
      </c>
      <c r="C1611">
        <v>1655318</v>
      </c>
      <c r="E1611" t="s">
        <v>35</v>
      </c>
      <c r="F1611" t="s">
        <v>5054</v>
      </c>
      <c r="G1611" t="s">
        <v>5055</v>
      </c>
      <c r="H1611">
        <v>0</v>
      </c>
      <c r="I1611" t="s">
        <v>17</v>
      </c>
      <c r="K1611" t="s">
        <v>5056</v>
      </c>
      <c r="L1611">
        <v>166</v>
      </c>
      <c r="M1611" t="s">
        <v>5057</v>
      </c>
    </row>
    <row r="1612" spans="1:13">
      <c r="A1612" t="s">
        <v>13</v>
      </c>
      <c r="B1612">
        <v>1655351</v>
      </c>
      <c r="C1612">
        <v>1656295</v>
      </c>
      <c r="E1612" t="s">
        <v>14</v>
      </c>
      <c r="F1612" t="s">
        <v>28</v>
      </c>
      <c r="H1612">
        <v>0</v>
      </c>
      <c r="I1612" t="s">
        <v>17</v>
      </c>
      <c r="K1612" t="s">
        <v>5058</v>
      </c>
      <c r="L1612">
        <v>314</v>
      </c>
      <c r="M1612" t="s">
        <v>5059</v>
      </c>
    </row>
    <row r="1613" spans="1:13">
      <c r="A1613" t="s">
        <v>13</v>
      </c>
      <c r="B1613">
        <v>1656308</v>
      </c>
      <c r="C1613">
        <v>1656943</v>
      </c>
      <c r="E1613" t="s">
        <v>35</v>
      </c>
      <c r="F1613" t="s">
        <v>28</v>
      </c>
      <c r="H1613">
        <v>0</v>
      </c>
      <c r="I1613" t="s">
        <v>17</v>
      </c>
      <c r="K1613" t="s">
        <v>5060</v>
      </c>
      <c r="L1613">
        <v>211</v>
      </c>
      <c r="M1613" t="s">
        <v>5061</v>
      </c>
    </row>
    <row r="1614" spans="1:13">
      <c r="A1614" t="s">
        <v>13</v>
      </c>
      <c r="B1614">
        <v>1657051</v>
      </c>
      <c r="C1614">
        <v>1657965</v>
      </c>
      <c r="E1614" t="s">
        <v>14</v>
      </c>
      <c r="F1614" t="s">
        <v>5062</v>
      </c>
      <c r="G1614" t="s">
        <v>5063</v>
      </c>
      <c r="H1614">
        <v>0</v>
      </c>
      <c r="I1614" t="s">
        <v>17</v>
      </c>
      <c r="K1614" t="s">
        <v>5064</v>
      </c>
      <c r="L1614">
        <v>304</v>
      </c>
      <c r="M1614" t="s">
        <v>5065</v>
      </c>
    </row>
    <row r="1615" spans="1:13">
      <c r="A1615" t="s">
        <v>13</v>
      </c>
      <c r="B1615">
        <v>1657962</v>
      </c>
      <c r="C1615">
        <v>1659428</v>
      </c>
      <c r="E1615" t="s">
        <v>35</v>
      </c>
      <c r="F1615" t="s">
        <v>1658</v>
      </c>
      <c r="G1615" t="s">
        <v>5066</v>
      </c>
      <c r="H1615">
        <v>0</v>
      </c>
      <c r="I1615" t="s">
        <v>17</v>
      </c>
      <c r="K1615" t="s">
        <v>5067</v>
      </c>
      <c r="L1615">
        <v>488</v>
      </c>
      <c r="M1615" t="s">
        <v>5068</v>
      </c>
    </row>
    <row r="1616" spans="1:13">
      <c r="A1616" t="s">
        <v>13</v>
      </c>
      <c r="B1616">
        <v>1659442</v>
      </c>
      <c r="C1616">
        <v>1660071</v>
      </c>
      <c r="E1616" t="s">
        <v>14</v>
      </c>
      <c r="F1616" t="s">
        <v>5069</v>
      </c>
      <c r="G1616" t="s">
        <v>5070</v>
      </c>
      <c r="H1616">
        <v>0</v>
      </c>
      <c r="I1616" t="s">
        <v>17</v>
      </c>
      <c r="K1616" t="s">
        <v>5071</v>
      </c>
      <c r="L1616">
        <v>209</v>
      </c>
      <c r="M1616" t="s">
        <v>5072</v>
      </c>
    </row>
    <row r="1617" spans="1:13">
      <c r="A1617" t="s">
        <v>13</v>
      </c>
      <c r="B1617">
        <v>1660068</v>
      </c>
      <c r="C1617">
        <v>1661300</v>
      </c>
      <c r="E1617" t="s">
        <v>14</v>
      </c>
      <c r="F1617" t="s">
        <v>5073</v>
      </c>
      <c r="H1617">
        <v>0</v>
      </c>
      <c r="I1617" t="s">
        <v>17</v>
      </c>
      <c r="K1617" t="s">
        <v>5074</v>
      </c>
      <c r="L1617">
        <v>410</v>
      </c>
      <c r="M1617" t="s">
        <v>5075</v>
      </c>
    </row>
    <row r="1618" spans="1:13">
      <c r="A1618" t="s">
        <v>13</v>
      </c>
      <c r="B1618">
        <v>1661432</v>
      </c>
      <c r="C1618">
        <v>1662907</v>
      </c>
      <c r="E1618" t="s">
        <v>35</v>
      </c>
      <c r="F1618" t="s">
        <v>28</v>
      </c>
      <c r="H1618">
        <v>0</v>
      </c>
      <c r="I1618" t="s">
        <v>17</v>
      </c>
      <c r="K1618" t="s">
        <v>5076</v>
      </c>
      <c r="L1618">
        <v>491</v>
      </c>
      <c r="M1618" t="s">
        <v>5077</v>
      </c>
    </row>
    <row r="1619" spans="1:13">
      <c r="A1619" t="s">
        <v>13</v>
      </c>
      <c r="B1619">
        <v>1663415</v>
      </c>
      <c r="C1619">
        <v>1664380</v>
      </c>
      <c r="E1619" t="s">
        <v>35</v>
      </c>
      <c r="F1619" t="s">
        <v>28</v>
      </c>
      <c r="H1619">
        <v>0</v>
      </c>
      <c r="I1619" t="s">
        <v>17</v>
      </c>
      <c r="K1619" t="s">
        <v>5078</v>
      </c>
      <c r="L1619">
        <v>321</v>
      </c>
      <c r="M1619" t="s">
        <v>5079</v>
      </c>
    </row>
    <row r="1620" spans="1:13">
      <c r="A1620" t="s">
        <v>13</v>
      </c>
      <c r="B1620">
        <v>1664812</v>
      </c>
      <c r="C1620">
        <v>1665702</v>
      </c>
      <c r="E1620" t="s">
        <v>35</v>
      </c>
      <c r="F1620" t="s">
        <v>28</v>
      </c>
      <c r="H1620">
        <v>0</v>
      </c>
      <c r="I1620" t="s">
        <v>17</v>
      </c>
      <c r="K1620" t="s">
        <v>5080</v>
      </c>
      <c r="L1620">
        <v>296</v>
      </c>
      <c r="M1620" t="s">
        <v>5081</v>
      </c>
    </row>
    <row r="1621" spans="1:13">
      <c r="A1621" t="s">
        <v>13</v>
      </c>
      <c r="B1621">
        <v>1666322</v>
      </c>
      <c r="C1621">
        <v>1669486</v>
      </c>
      <c r="E1621" t="s">
        <v>35</v>
      </c>
      <c r="F1621" t="s">
        <v>5082</v>
      </c>
      <c r="G1621" t="s">
        <v>5083</v>
      </c>
      <c r="H1621">
        <v>0</v>
      </c>
      <c r="I1621" t="s">
        <v>17</v>
      </c>
      <c r="K1621" t="s">
        <v>5084</v>
      </c>
      <c r="L1621">
        <v>1054</v>
      </c>
      <c r="M1621" t="s">
        <v>5085</v>
      </c>
    </row>
    <row r="1622" spans="1:13">
      <c r="A1622" t="s">
        <v>13</v>
      </c>
      <c r="B1622">
        <v>1669772</v>
      </c>
      <c r="C1622">
        <v>1670770</v>
      </c>
      <c r="E1622" t="s">
        <v>14</v>
      </c>
      <c r="F1622" t="s">
        <v>28</v>
      </c>
      <c r="H1622">
        <v>0</v>
      </c>
      <c r="I1622" t="s">
        <v>17</v>
      </c>
      <c r="K1622" t="s">
        <v>5086</v>
      </c>
      <c r="L1622">
        <v>332</v>
      </c>
      <c r="M1622" t="s">
        <v>5087</v>
      </c>
    </row>
    <row r="1623" spans="1:13">
      <c r="A1623" t="s">
        <v>13</v>
      </c>
      <c r="B1623">
        <v>1671107</v>
      </c>
      <c r="C1623">
        <v>1671313</v>
      </c>
      <c r="E1623" t="s">
        <v>35</v>
      </c>
      <c r="F1623" t="s">
        <v>28</v>
      </c>
      <c r="H1623">
        <v>0</v>
      </c>
      <c r="I1623" t="s">
        <v>17</v>
      </c>
      <c r="K1623" t="s">
        <v>5088</v>
      </c>
      <c r="L1623">
        <v>68</v>
      </c>
      <c r="M1623" t="s">
        <v>5089</v>
      </c>
    </row>
    <row r="1624" spans="1:13">
      <c r="A1624" t="s">
        <v>13</v>
      </c>
      <c r="B1624">
        <v>1671452</v>
      </c>
      <c r="C1624">
        <v>1672648</v>
      </c>
      <c r="E1624" t="s">
        <v>35</v>
      </c>
      <c r="F1624" t="s">
        <v>4936</v>
      </c>
      <c r="H1624">
        <v>0</v>
      </c>
      <c r="I1624" t="s">
        <v>17</v>
      </c>
      <c r="K1624" t="s">
        <v>5090</v>
      </c>
      <c r="L1624">
        <v>398</v>
      </c>
      <c r="M1624" t="s">
        <v>5091</v>
      </c>
    </row>
    <row r="1625" spans="1:13">
      <c r="A1625" t="s">
        <v>13</v>
      </c>
      <c r="B1625">
        <v>1672857</v>
      </c>
      <c r="C1625">
        <v>1673147</v>
      </c>
      <c r="E1625" t="s">
        <v>35</v>
      </c>
      <c r="F1625" t="s">
        <v>5092</v>
      </c>
      <c r="H1625">
        <v>0</v>
      </c>
      <c r="I1625" t="s">
        <v>17</v>
      </c>
      <c r="K1625" t="s">
        <v>5093</v>
      </c>
      <c r="L1625">
        <v>96</v>
      </c>
      <c r="M1625" t="s">
        <v>5094</v>
      </c>
    </row>
    <row r="1626" spans="1:13">
      <c r="A1626" t="s">
        <v>13</v>
      </c>
      <c r="B1626">
        <v>1673242</v>
      </c>
      <c r="C1626">
        <v>1673715</v>
      </c>
      <c r="E1626" t="s">
        <v>35</v>
      </c>
      <c r="F1626" t="s">
        <v>5095</v>
      </c>
      <c r="G1626" t="s">
        <v>5096</v>
      </c>
      <c r="H1626">
        <v>0</v>
      </c>
      <c r="I1626" t="s">
        <v>17</v>
      </c>
      <c r="K1626" t="s">
        <v>5097</v>
      </c>
      <c r="L1626">
        <v>157</v>
      </c>
      <c r="M1626" t="s">
        <v>5098</v>
      </c>
    </row>
    <row r="1627" spans="1:13">
      <c r="A1627" t="s">
        <v>13</v>
      </c>
      <c r="B1627">
        <v>1673819</v>
      </c>
      <c r="C1627">
        <v>1674517</v>
      </c>
      <c r="E1627" t="s">
        <v>35</v>
      </c>
      <c r="F1627" t="s">
        <v>28</v>
      </c>
      <c r="H1627">
        <v>0</v>
      </c>
      <c r="I1627" t="s">
        <v>17</v>
      </c>
      <c r="K1627" t="s">
        <v>5099</v>
      </c>
      <c r="L1627">
        <v>232</v>
      </c>
      <c r="M1627" t="s">
        <v>5100</v>
      </c>
    </row>
    <row r="1628" spans="1:13">
      <c r="A1628" t="s">
        <v>13</v>
      </c>
      <c r="B1628">
        <v>1674510</v>
      </c>
      <c r="C1628">
        <v>1675247</v>
      </c>
      <c r="E1628" t="s">
        <v>35</v>
      </c>
      <c r="F1628" t="s">
        <v>5101</v>
      </c>
      <c r="G1628" t="s">
        <v>5102</v>
      </c>
      <c r="H1628">
        <v>0</v>
      </c>
      <c r="I1628" t="s">
        <v>17</v>
      </c>
      <c r="K1628" t="s">
        <v>5103</v>
      </c>
      <c r="L1628">
        <v>245</v>
      </c>
      <c r="M1628" t="s">
        <v>5104</v>
      </c>
    </row>
    <row r="1629" spans="1:13">
      <c r="A1629" t="s">
        <v>13</v>
      </c>
      <c r="B1629">
        <v>1675272</v>
      </c>
      <c r="C1629">
        <v>1676621</v>
      </c>
      <c r="E1629" t="s">
        <v>35</v>
      </c>
      <c r="F1629" t="s">
        <v>5105</v>
      </c>
      <c r="G1629" t="s">
        <v>5106</v>
      </c>
      <c r="H1629">
        <v>0</v>
      </c>
      <c r="I1629" t="s">
        <v>17</v>
      </c>
      <c r="K1629" t="s">
        <v>5107</v>
      </c>
      <c r="L1629">
        <v>449</v>
      </c>
      <c r="M1629" t="s">
        <v>5108</v>
      </c>
    </row>
    <row r="1630" spans="1:13">
      <c r="A1630" t="s">
        <v>13</v>
      </c>
      <c r="B1630">
        <v>1676932</v>
      </c>
      <c r="C1630">
        <v>1677603</v>
      </c>
      <c r="E1630" t="s">
        <v>35</v>
      </c>
      <c r="F1630" t="s">
        <v>5109</v>
      </c>
      <c r="G1630" t="s">
        <v>5110</v>
      </c>
      <c r="H1630">
        <v>0</v>
      </c>
      <c r="I1630" t="s">
        <v>17</v>
      </c>
      <c r="K1630" t="s">
        <v>5111</v>
      </c>
      <c r="L1630">
        <v>223</v>
      </c>
      <c r="M1630" t="s">
        <v>5112</v>
      </c>
    </row>
    <row r="1631" spans="1:13">
      <c r="A1631" t="s">
        <v>13</v>
      </c>
      <c r="B1631">
        <v>1677603</v>
      </c>
      <c r="C1631">
        <v>1679066</v>
      </c>
      <c r="E1631" t="s">
        <v>35</v>
      </c>
      <c r="F1631" t="s">
        <v>5113</v>
      </c>
      <c r="G1631" t="s">
        <v>5114</v>
      </c>
      <c r="H1631">
        <v>0</v>
      </c>
      <c r="I1631" t="s">
        <v>17</v>
      </c>
      <c r="K1631" t="s">
        <v>5115</v>
      </c>
      <c r="L1631">
        <v>487</v>
      </c>
      <c r="M1631" t="s">
        <v>5116</v>
      </c>
    </row>
    <row r="1632" spans="1:13">
      <c r="A1632" t="s">
        <v>13</v>
      </c>
      <c r="B1632">
        <v>1679067</v>
      </c>
      <c r="C1632">
        <v>1680176</v>
      </c>
      <c r="E1632" t="s">
        <v>35</v>
      </c>
      <c r="F1632" t="s">
        <v>5117</v>
      </c>
      <c r="G1632" t="s">
        <v>5118</v>
      </c>
      <c r="H1632">
        <v>0</v>
      </c>
      <c r="I1632" t="s">
        <v>17</v>
      </c>
      <c r="K1632" t="s">
        <v>5119</v>
      </c>
      <c r="L1632">
        <v>369</v>
      </c>
      <c r="M1632" t="s">
        <v>5120</v>
      </c>
    </row>
    <row r="1633" spans="1:13">
      <c r="A1633" t="s">
        <v>13</v>
      </c>
      <c r="B1633">
        <v>1680197</v>
      </c>
      <c r="C1633">
        <v>1681597</v>
      </c>
      <c r="E1633" t="s">
        <v>35</v>
      </c>
      <c r="F1633" t="s">
        <v>136</v>
      </c>
      <c r="G1633" t="s">
        <v>5121</v>
      </c>
      <c r="H1633">
        <v>0</v>
      </c>
      <c r="I1633" t="s">
        <v>17</v>
      </c>
      <c r="K1633" t="s">
        <v>5122</v>
      </c>
      <c r="L1633">
        <v>466</v>
      </c>
      <c r="M1633" t="s">
        <v>5123</v>
      </c>
    </row>
    <row r="1634" spans="1:13">
      <c r="A1634" t="s">
        <v>13</v>
      </c>
      <c r="B1634">
        <v>1681623</v>
      </c>
      <c r="C1634">
        <v>1683020</v>
      </c>
      <c r="E1634" t="s">
        <v>35</v>
      </c>
      <c r="F1634" t="s">
        <v>5124</v>
      </c>
      <c r="G1634" t="s">
        <v>5125</v>
      </c>
      <c r="H1634">
        <v>0</v>
      </c>
      <c r="I1634" t="s">
        <v>17</v>
      </c>
      <c r="K1634" t="s">
        <v>5126</v>
      </c>
      <c r="L1634">
        <v>465</v>
      </c>
      <c r="M1634" t="s">
        <v>5127</v>
      </c>
    </row>
    <row r="1635" spans="1:13">
      <c r="A1635" t="s">
        <v>13</v>
      </c>
      <c r="B1635">
        <v>1683060</v>
      </c>
      <c r="C1635">
        <v>1684172</v>
      </c>
      <c r="E1635" t="s">
        <v>35</v>
      </c>
      <c r="F1635" t="s">
        <v>5128</v>
      </c>
      <c r="G1635" t="s">
        <v>5129</v>
      </c>
      <c r="H1635">
        <v>0</v>
      </c>
      <c r="I1635" t="s">
        <v>17</v>
      </c>
      <c r="K1635" t="s">
        <v>5130</v>
      </c>
      <c r="L1635">
        <v>370</v>
      </c>
      <c r="M1635" t="s">
        <v>5131</v>
      </c>
    </row>
    <row r="1636" spans="1:13">
      <c r="A1636" t="s">
        <v>13</v>
      </c>
      <c r="B1636">
        <v>1684203</v>
      </c>
      <c r="C1636">
        <v>1685732</v>
      </c>
      <c r="E1636" t="s">
        <v>35</v>
      </c>
      <c r="F1636" t="s">
        <v>5132</v>
      </c>
      <c r="G1636" t="s">
        <v>5133</v>
      </c>
      <c r="H1636">
        <v>0</v>
      </c>
      <c r="I1636" t="s">
        <v>17</v>
      </c>
      <c r="K1636" t="s">
        <v>5134</v>
      </c>
      <c r="L1636">
        <v>509</v>
      </c>
      <c r="M1636" t="s">
        <v>5135</v>
      </c>
    </row>
    <row r="1637" spans="1:13">
      <c r="A1637" t="s">
        <v>13</v>
      </c>
      <c r="B1637">
        <v>1685735</v>
      </c>
      <c r="C1637">
        <v>1687270</v>
      </c>
      <c r="E1637" t="s">
        <v>35</v>
      </c>
      <c r="F1637" t="s">
        <v>5136</v>
      </c>
      <c r="G1637" t="s">
        <v>5137</v>
      </c>
      <c r="H1637">
        <v>0</v>
      </c>
      <c r="I1637" t="s">
        <v>17</v>
      </c>
      <c r="K1637" t="s">
        <v>5138</v>
      </c>
      <c r="L1637">
        <v>511</v>
      </c>
      <c r="M1637" t="s">
        <v>5139</v>
      </c>
    </row>
    <row r="1638" spans="1:13">
      <c r="A1638" t="s">
        <v>13</v>
      </c>
      <c r="B1638">
        <v>1687280</v>
      </c>
      <c r="C1638">
        <v>1689145</v>
      </c>
      <c r="E1638" t="s">
        <v>35</v>
      </c>
      <c r="F1638" t="s">
        <v>5140</v>
      </c>
      <c r="G1638" t="s">
        <v>5141</v>
      </c>
      <c r="H1638">
        <v>0</v>
      </c>
      <c r="I1638" t="s">
        <v>17</v>
      </c>
      <c r="K1638" t="s">
        <v>5142</v>
      </c>
      <c r="L1638">
        <v>621</v>
      </c>
      <c r="M1638" t="s">
        <v>5143</v>
      </c>
    </row>
    <row r="1639" spans="1:13">
      <c r="A1639" t="s">
        <v>13</v>
      </c>
      <c r="B1639">
        <v>1689357</v>
      </c>
      <c r="C1639">
        <v>1690187</v>
      </c>
      <c r="E1639" t="s">
        <v>35</v>
      </c>
      <c r="F1639" t="s">
        <v>2792</v>
      </c>
      <c r="G1639" t="s">
        <v>5144</v>
      </c>
      <c r="H1639">
        <v>0</v>
      </c>
      <c r="I1639" t="s">
        <v>17</v>
      </c>
      <c r="K1639" t="s">
        <v>5145</v>
      </c>
      <c r="L1639">
        <v>276</v>
      </c>
      <c r="M1639" t="s">
        <v>5146</v>
      </c>
    </row>
    <row r="1640" spans="1:13">
      <c r="A1640" t="s">
        <v>13</v>
      </c>
      <c r="B1640">
        <v>1690184</v>
      </c>
      <c r="C1640">
        <v>1691224</v>
      </c>
      <c r="E1640" t="s">
        <v>35</v>
      </c>
      <c r="F1640" t="s">
        <v>5147</v>
      </c>
      <c r="G1640" t="s">
        <v>5148</v>
      </c>
      <c r="H1640">
        <v>0</v>
      </c>
      <c r="I1640" t="s">
        <v>17</v>
      </c>
      <c r="K1640" t="s">
        <v>5149</v>
      </c>
      <c r="L1640">
        <v>346</v>
      </c>
      <c r="M1640" t="s">
        <v>5150</v>
      </c>
    </row>
    <row r="1641" spans="1:13">
      <c r="A1641" t="s">
        <v>13</v>
      </c>
      <c r="B1641">
        <v>1691393</v>
      </c>
      <c r="C1641">
        <v>1691848</v>
      </c>
      <c r="E1641" t="s">
        <v>35</v>
      </c>
      <c r="F1641" t="s">
        <v>5151</v>
      </c>
      <c r="H1641">
        <v>0</v>
      </c>
      <c r="I1641" t="s">
        <v>17</v>
      </c>
      <c r="K1641" t="s">
        <v>5152</v>
      </c>
      <c r="L1641">
        <v>151</v>
      </c>
      <c r="M1641" t="s">
        <v>5153</v>
      </c>
    </row>
    <row r="1642" spans="1:13">
      <c r="A1642" t="s">
        <v>13</v>
      </c>
      <c r="B1642">
        <v>1692268</v>
      </c>
      <c r="C1642">
        <v>1692669</v>
      </c>
      <c r="E1642" t="s">
        <v>35</v>
      </c>
      <c r="F1642" t="s">
        <v>28</v>
      </c>
      <c r="H1642">
        <v>0</v>
      </c>
      <c r="I1642" t="s">
        <v>17</v>
      </c>
      <c r="K1642" t="s">
        <v>5154</v>
      </c>
      <c r="L1642">
        <v>133</v>
      </c>
      <c r="M1642" t="s">
        <v>5155</v>
      </c>
    </row>
    <row r="1643" spans="1:13">
      <c r="A1643" t="s">
        <v>13</v>
      </c>
      <c r="B1643">
        <v>1692800</v>
      </c>
      <c r="C1643">
        <v>1693243</v>
      </c>
      <c r="E1643" t="s">
        <v>35</v>
      </c>
      <c r="F1643" t="s">
        <v>28</v>
      </c>
      <c r="H1643">
        <v>0</v>
      </c>
      <c r="I1643" t="s">
        <v>17</v>
      </c>
      <c r="K1643" t="s">
        <v>5156</v>
      </c>
      <c r="L1643">
        <v>147</v>
      </c>
      <c r="M1643" t="s">
        <v>5157</v>
      </c>
    </row>
    <row r="1644" spans="1:13">
      <c r="A1644" t="s">
        <v>13</v>
      </c>
      <c r="B1644">
        <v>1693521</v>
      </c>
      <c r="C1644">
        <v>1694033</v>
      </c>
      <c r="E1644" t="s">
        <v>14</v>
      </c>
      <c r="F1644" t="s">
        <v>28</v>
      </c>
      <c r="H1644">
        <v>0</v>
      </c>
      <c r="I1644" t="s">
        <v>17</v>
      </c>
      <c r="K1644" t="s">
        <v>5158</v>
      </c>
      <c r="L1644">
        <v>170</v>
      </c>
      <c r="M1644" t="s">
        <v>5159</v>
      </c>
    </row>
    <row r="1645" spans="1:13">
      <c r="A1645" t="s">
        <v>13</v>
      </c>
      <c r="B1645">
        <v>1694085</v>
      </c>
      <c r="C1645">
        <v>1695164</v>
      </c>
      <c r="E1645" t="s">
        <v>14</v>
      </c>
      <c r="F1645" t="s">
        <v>5160</v>
      </c>
      <c r="H1645">
        <v>0</v>
      </c>
      <c r="I1645" t="s">
        <v>17</v>
      </c>
      <c r="K1645" t="s">
        <v>5161</v>
      </c>
      <c r="L1645">
        <v>359</v>
      </c>
      <c r="M1645" t="s">
        <v>5162</v>
      </c>
    </row>
    <row r="1646" spans="1:13">
      <c r="A1646" t="s">
        <v>13</v>
      </c>
      <c r="B1646">
        <v>1695173</v>
      </c>
      <c r="C1646">
        <v>1696696</v>
      </c>
      <c r="E1646" t="s">
        <v>14</v>
      </c>
      <c r="F1646" t="s">
        <v>28</v>
      </c>
      <c r="H1646">
        <v>0</v>
      </c>
      <c r="I1646" t="s">
        <v>17</v>
      </c>
      <c r="K1646" t="s">
        <v>5163</v>
      </c>
      <c r="L1646">
        <v>507</v>
      </c>
      <c r="M1646" t="s">
        <v>5164</v>
      </c>
    </row>
    <row r="1647" spans="1:13">
      <c r="A1647" t="s">
        <v>13</v>
      </c>
      <c r="B1647">
        <v>1696665</v>
      </c>
      <c r="C1647">
        <v>1697069</v>
      </c>
      <c r="E1647" t="s">
        <v>35</v>
      </c>
      <c r="F1647" t="s">
        <v>5165</v>
      </c>
      <c r="H1647">
        <v>0</v>
      </c>
      <c r="I1647" t="s">
        <v>17</v>
      </c>
      <c r="K1647" t="s">
        <v>5166</v>
      </c>
      <c r="L1647">
        <v>134</v>
      </c>
      <c r="M1647" t="s">
        <v>5167</v>
      </c>
    </row>
    <row r="1648" spans="1:13">
      <c r="A1648" t="s">
        <v>13</v>
      </c>
      <c r="B1648">
        <v>1697080</v>
      </c>
      <c r="C1648">
        <v>1698435</v>
      </c>
      <c r="E1648" t="s">
        <v>14</v>
      </c>
      <c r="F1648" t="s">
        <v>5168</v>
      </c>
      <c r="G1648" t="s">
        <v>5169</v>
      </c>
      <c r="H1648">
        <v>0</v>
      </c>
      <c r="I1648" t="s">
        <v>17</v>
      </c>
      <c r="K1648" t="s">
        <v>5170</v>
      </c>
      <c r="L1648">
        <v>451</v>
      </c>
      <c r="M1648" t="s">
        <v>5171</v>
      </c>
    </row>
    <row r="1649" spans="1:13">
      <c r="A1649" t="s">
        <v>13</v>
      </c>
      <c r="B1649">
        <v>1698444</v>
      </c>
      <c r="C1649">
        <v>1699832</v>
      </c>
      <c r="E1649" t="s">
        <v>35</v>
      </c>
      <c r="F1649" t="s">
        <v>5172</v>
      </c>
      <c r="G1649" t="s">
        <v>5173</v>
      </c>
      <c r="H1649">
        <v>0</v>
      </c>
      <c r="I1649" t="s">
        <v>17</v>
      </c>
      <c r="K1649" t="s">
        <v>5174</v>
      </c>
      <c r="L1649">
        <v>462</v>
      </c>
      <c r="M1649" t="s">
        <v>5175</v>
      </c>
    </row>
    <row r="1650" spans="1:13">
      <c r="A1650" t="s">
        <v>13</v>
      </c>
      <c r="B1650">
        <v>1699877</v>
      </c>
      <c r="C1650">
        <v>1700386</v>
      </c>
      <c r="E1650" t="s">
        <v>35</v>
      </c>
      <c r="F1650" t="s">
        <v>5176</v>
      </c>
      <c r="H1650">
        <v>0</v>
      </c>
      <c r="I1650" t="s">
        <v>17</v>
      </c>
      <c r="K1650" t="s">
        <v>5177</v>
      </c>
      <c r="L1650">
        <v>169</v>
      </c>
      <c r="M1650" t="s">
        <v>5178</v>
      </c>
    </row>
    <row r="1651" spans="1:13">
      <c r="A1651" t="s">
        <v>13</v>
      </c>
      <c r="B1651">
        <v>1700462</v>
      </c>
      <c r="C1651">
        <v>1701649</v>
      </c>
      <c r="E1651" t="s">
        <v>14</v>
      </c>
      <c r="F1651" t="s">
        <v>3415</v>
      </c>
      <c r="H1651">
        <v>0</v>
      </c>
      <c r="I1651" t="s">
        <v>17</v>
      </c>
      <c r="K1651" t="s">
        <v>5179</v>
      </c>
      <c r="L1651">
        <v>395</v>
      </c>
      <c r="M1651" t="s">
        <v>5180</v>
      </c>
    </row>
    <row r="1652" spans="1:13">
      <c r="A1652" t="s">
        <v>13</v>
      </c>
      <c r="B1652">
        <v>1701555</v>
      </c>
      <c r="C1652">
        <v>1702649</v>
      </c>
      <c r="E1652" t="s">
        <v>35</v>
      </c>
      <c r="F1652" t="s">
        <v>28</v>
      </c>
      <c r="H1652">
        <v>0</v>
      </c>
      <c r="I1652" t="s">
        <v>17</v>
      </c>
      <c r="K1652" t="s">
        <v>5181</v>
      </c>
      <c r="L1652">
        <v>364</v>
      </c>
      <c r="M1652" t="s">
        <v>5182</v>
      </c>
    </row>
    <row r="1653" spans="1:13">
      <c r="A1653" t="s">
        <v>13</v>
      </c>
      <c r="B1653">
        <v>1702712</v>
      </c>
      <c r="C1653">
        <v>1703452</v>
      </c>
      <c r="E1653" t="s">
        <v>35</v>
      </c>
      <c r="F1653" t="s">
        <v>5183</v>
      </c>
      <c r="H1653">
        <v>0</v>
      </c>
      <c r="I1653" t="s">
        <v>17</v>
      </c>
      <c r="K1653" t="s">
        <v>5184</v>
      </c>
      <c r="L1653">
        <v>246</v>
      </c>
      <c r="M1653" t="s">
        <v>5185</v>
      </c>
    </row>
    <row r="1654" spans="1:13">
      <c r="A1654" t="s">
        <v>13</v>
      </c>
      <c r="B1654">
        <v>1703476</v>
      </c>
      <c r="C1654">
        <v>1704408</v>
      </c>
      <c r="E1654" t="s">
        <v>35</v>
      </c>
      <c r="F1654" t="s">
        <v>5186</v>
      </c>
      <c r="G1654" t="s">
        <v>5187</v>
      </c>
      <c r="H1654">
        <v>0</v>
      </c>
      <c r="I1654" t="s">
        <v>17</v>
      </c>
      <c r="K1654" t="s">
        <v>5188</v>
      </c>
      <c r="L1654">
        <v>310</v>
      </c>
      <c r="M1654" t="s">
        <v>5189</v>
      </c>
    </row>
    <row r="1655" spans="1:13">
      <c r="A1655" t="s">
        <v>13</v>
      </c>
      <c r="B1655">
        <v>1704447</v>
      </c>
      <c r="C1655">
        <v>1705550</v>
      </c>
      <c r="E1655" t="s">
        <v>35</v>
      </c>
      <c r="F1655" t="s">
        <v>5190</v>
      </c>
      <c r="G1655" t="s">
        <v>5191</v>
      </c>
      <c r="H1655">
        <v>0</v>
      </c>
      <c r="I1655" t="s">
        <v>17</v>
      </c>
      <c r="K1655" t="s">
        <v>5192</v>
      </c>
      <c r="L1655">
        <v>367</v>
      </c>
      <c r="M1655" t="s">
        <v>5193</v>
      </c>
    </row>
    <row r="1656" spans="1:13">
      <c r="A1656" t="s">
        <v>13</v>
      </c>
      <c r="B1656">
        <v>1705551</v>
      </c>
      <c r="C1656">
        <v>1706594</v>
      </c>
      <c r="E1656" t="s">
        <v>35</v>
      </c>
      <c r="F1656" t="s">
        <v>1805</v>
      </c>
      <c r="H1656">
        <v>0</v>
      </c>
      <c r="I1656" t="s">
        <v>17</v>
      </c>
      <c r="K1656" t="s">
        <v>5194</v>
      </c>
      <c r="L1656">
        <v>347</v>
      </c>
      <c r="M1656" t="s">
        <v>5195</v>
      </c>
    </row>
    <row r="1657" spans="1:13">
      <c r="A1657" t="s">
        <v>13</v>
      </c>
      <c r="B1657">
        <v>1706713</v>
      </c>
      <c r="C1657">
        <v>1707342</v>
      </c>
      <c r="E1657" t="s">
        <v>35</v>
      </c>
      <c r="F1657" t="s">
        <v>1805</v>
      </c>
      <c r="H1657">
        <v>0</v>
      </c>
      <c r="I1657" t="s">
        <v>17</v>
      </c>
      <c r="K1657" t="s">
        <v>5196</v>
      </c>
      <c r="L1657">
        <v>209</v>
      </c>
      <c r="M1657" t="s">
        <v>5197</v>
      </c>
    </row>
    <row r="1658" spans="1:13">
      <c r="A1658" t="s">
        <v>13</v>
      </c>
      <c r="B1658">
        <v>1708976</v>
      </c>
      <c r="C1658">
        <v>1710598</v>
      </c>
      <c r="E1658" t="s">
        <v>35</v>
      </c>
      <c r="F1658" t="s">
        <v>5198</v>
      </c>
      <c r="G1658" t="s">
        <v>5199</v>
      </c>
      <c r="H1658">
        <v>0</v>
      </c>
      <c r="I1658" t="s">
        <v>17</v>
      </c>
      <c r="K1658" t="s">
        <v>5200</v>
      </c>
      <c r="L1658">
        <v>540</v>
      </c>
      <c r="M1658" t="s">
        <v>5201</v>
      </c>
    </row>
    <row r="1659" spans="1:13">
      <c r="A1659" t="s">
        <v>13</v>
      </c>
      <c r="B1659">
        <v>1710598</v>
      </c>
      <c r="C1659">
        <v>1711875</v>
      </c>
      <c r="E1659" t="s">
        <v>35</v>
      </c>
      <c r="F1659" t="s">
        <v>5202</v>
      </c>
      <c r="G1659" t="s">
        <v>5203</v>
      </c>
      <c r="H1659">
        <v>0</v>
      </c>
      <c r="I1659" t="s">
        <v>17</v>
      </c>
      <c r="K1659" t="s">
        <v>5204</v>
      </c>
      <c r="L1659">
        <v>425</v>
      </c>
      <c r="M1659" t="s">
        <v>5205</v>
      </c>
    </row>
    <row r="1660" spans="1:13">
      <c r="A1660" t="s">
        <v>13</v>
      </c>
      <c r="B1660">
        <v>1711815</v>
      </c>
      <c r="C1660">
        <v>1712699</v>
      </c>
      <c r="E1660" t="s">
        <v>35</v>
      </c>
      <c r="F1660" t="s">
        <v>5206</v>
      </c>
      <c r="G1660" t="s">
        <v>5207</v>
      </c>
      <c r="H1660">
        <v>0</v>
      </c>
      <c r="I1660" t="s">
        <v>17</v>
      </c>
      <c r="K1660" t="s">
        <v>5208</v>
      </c>
      <c r="L1660">
        <v>294</v>
      </c>
      <c r="M1660" t="s">
        <v>5209</v>
      </c>
    </row>
    <row r="1661" spans="1:13">
      <c r="A1661" t="s">
        <v>13</v>
      </c>
      <c r="B1661">
        <v>1712759</v>
      </c>
      <c r="C1661">
        <v>1713406</v>
      </c>
      <c r="E1661" t="s">
        <v>35</v>
      </c>
      <c r="F1661" t="s">
        <v>5210</v>
      </c>
      <c r="G1661" t="s">
        <v>5211</v>
      </c>
      <c r="H1661">
        <v>0</v>
      </c>
      <c r="I1661" t="s">
        <v>17</v>
      </c>
      <c r="K1661" t="s">
        <v>5212</v>
      </c>
      <c r="L1661">
        <v>215</v>
      </c>
      <c r="M1661" t="s">
        <v>5213</v>
      </c>
    </row>
    <row r="1662" spans="1:13">
      <c r="A1662" t="s">
        <v>13</v>
      </c>
      <c r="B1662">
        <v>1713911</v>
      </c>
      <c r="C1662">
        <v>1714342</v>
      </c>
      <c r="E1662" t="s">
        <v>35</v>
      </c>
      <c r="F1662" t="s">
        <v>5214</v>
      </c>
      <c r="G1662" t="s">
        <v>5215</v>
      </c>
      <c r="H1662">
        <v>0</v>
      </c>
      <c r="I1662" t="s">
        <v>17</v>
      </c>
      <c r="K1662" t="s">
        <v>5216</v>
      </c>
      <c r="L1662">
        <v>143</v>
      </c>
      <c r="M1662" t="s">
        <v>5217</v>
      </c>
    </row>
    <row r="1663" spans="1:13">
      <c r="A1663" t="s">
        <v>13</v>
      </c>
      <c r="B1663">
        <v>1714362</v>
      </c>
      <c r="C1663">
        <v>1715435</v>
      </c>
      <c r="E1663" t="s">
        <v>35</v>
      </c>
      <c r="F1663" t="s">
        <v>5218</v>
      </c>
      <c r="G1663" t="s">
        <v>5219</v>
      </c>
      <c r="H1663">
        <v>0</v>
      </c>
      <c r="I1663" t="s">
        <v>17</v>
      </c>
      <c r="K1663" t="s">
        <v>5220</v>
      </c>
      <c r="L1663">
        <v>357</v>
      </c>
      <c r="M1663" t="s">
        <v>5221</v>
      </c>
    </row>
    <row r="1664" spans="1:13">
      <c r="A1664" t="s">
        <v>13</v>
      </c>
      <c r="B1664">
        <v>1715824</v>
      </c>
      <c r="C1664">
        <v>1717746</v>
      </c>
      <c r="E1664" t="s">
        <v>14</v>
      </c>
      <c r="F1664" t="s">
        <v>5222</v>
      </c>
      <c r="G1664" t="s">
        <v>5223</v>
      </c>
      <c r="H1664">
        <v>0</v>
      </c>
      <c r="I1664" t="s">
        <v>17</v>
      </c>
      <c r="K1664" t="s">
        <v>5224</v>
      </c>
      <c r="L1664">
        <v>640</v>
      </c>
      <c r="M1664" t="s">
        <v>5225</v>
      </c>
    </row>
    <row r="1665" spans="1:13">
      <c r="A1665" t="s">
        <v>13</v>
      </c>
      <c r="B1665">
        <v>1717839</v>
      </c>
      <c r="C1665">
        <v>1718183</v>
      </c>
      <c r="E1665" t="s">
        <v>35</v>
      </c>
      <c r="F1665" t="s">
        <v>5226</v>
      </c>
      <c r="G1665" t="s">
        <v>5227</v>
      </c>
      <c r="H1665">
        <v>0</v>
      </c>
      <c r="I1665" t="s">
        <v>17</v>
      </c>
      <c r="K1665" t="s">
        <v>5228</v>
      </c>
      <c r="L1665">
        <v>114</v>
      </c>
      <c r="M1665" t="s">
        <v>5229</v>
      </c>
    </row>
    <row r="1666" spans="1:13">
      <c r="A1666" t="s">
        <v>13</v>
      </c>
      <c r="B1666">
        <v>1718197</v>
      </c>
      <c r="C1666">
        <v>1719006</v>
      </c>
      <c r="E1666" t="s">
        <v>14</v>
      </c>
      <c r="F1666" t="s">
        <v>28</v>
      </c>
      <c r="H1666">
        <v>0</v>
      </c>
      <c r="I1666" t="s">
        <v>17</v>
      </c>
      <c r="K1666" t="s">
        <v>5230</v>
      </c>
      <c r="L1666">
        <v>269</v>
      </c>
      <c r="M1666" t="s">
        <v>5231</v>
      </c>
    </row>
    <row r="1667" spans="1:13">
      <c r="A1667" t="s">
        <v>13</v>
      </c>
      <c r="B1667">
        <v>1719019</v>
      </c>
      <c r="C1667">
        <v>1719795</v>
      </c>
      <c r="E1667" t="s">
        <v>14</v>
      </c>
      <c r="F1667" t="s">
        <v>5232</v>
      </c>
      <c r="G1667" t="s">
        <v>5233</v>
      </c>
      <c r="H1667">
        <v>0</v>
      </c>
      <c r="I1667" t="s">
        <v>17</v>
      </c>
      <c r="K1667" t="s">
        <v>5234</v>
      </c>
      <c r="L1667">
        <v>258</v>
      </c>
      <c r="M1667" t="s">
        <v>5235</v>
      </c>
    </row>
    <row r="1668" spans="1:13">
      <c r="A1668" t="s">
        <v>13</v>
      </c>
      <c r="B1668">
        <v>1719841</v>
      </c>
      <c r="C1668">
        <v>1720941</v>
      </c>
      <c r="E1668" t="s">
        <v>35</v>
      </c>
      <c r="F1668" t="s">
        <v>5236</v>
      </c>
      <c r="G1668" t="s">
        <v>5237</v>
      </c>
      <c r="H1668">
        <v>0</v>
      </c>
      <c r="I1668" t="s">
        <v>17</v>
      </c>
      <c r="K1668" t="s">
        <v>5238</v>
      </c>
      <c r="L1668">
        <v>366</v>
      </c>
      <c r="M1668" t="s">
        <v>5239</v>
      </c>
    </row>
    <row r="1669" spans="1:13">
      <c r="A1669" t="s">
        <v>13</v>
      </c>
      <c r="B1669">
        <v>1721041</v>
      </c>
      <c r="C1669">
        <v>1722537</v>
      </c>
      <c r="E1669" t="s">
        <v>14</v>
      </c>
      <c r="F1669" t="s">
        <v>5240</v>
      </c>
      <c r="G1669" t="s">
        <v>5241</v>
      </c>
      <c r="H1669">
        <v>0</v>
      </c>
      <c r="I1669" t="s">
        <v>17</v>
      </c>
      <c r="K1669" t="s">
        <v>5242</v>
      </c>
      <c r="L1669">
        <v>498</v>
      </c>
      <c r="M1669" t="s">
        <v>5243</v>
      </c>
    </row>
    <row r="1670" spans="1:13">
      <c r="A1670" t="s">
        <v>13</v>
      </c>
      <c r="B1670">
        <v>1722576</v>
      </c>
      <c r="C1670">
        <v>1723112</v>
      </c>
      <c r="E1670" t="s">
        <v>14</v>
      </c>
      <c r="F1670" t="s">
        <v>5244</v>
      </c>
      <c r="H1670">
        <v>0</v>
      </c>
      <c r="I1670" t="s">
        <v>17</v>
      </c>
      <c r="K1670" t="s">
        <v>5245</v>
      </c>
      <c r="L1670">
        <v>178</v>
      </c>
      <c r="M1670" t="s">
        <v>5246</v>
      </c>
    </row>
    <row r="1671" spans="1:13">
      <c r="A1671" t="s">
        <v>13</v>
      </c>
      <c r="B1671">
        <v>1723118</v>
      </c>
      <c r="C1671">
        <v>1723429</v>
      </c>
      <c r="E1671" t="s">
        <v>35</v>
      </c>
      <c r="F1671" t="s">
        <v>28</v>
      </c>
      <c r="H1671">
        <v>0</v>
      </c>
      <c r="I1671" t="s">
        <v>17</v>
      </c>
      <c r="K1671" t="s">
        <v>5247</v>
      </c>
      <c r="L1671">
        <v>103</v>
      </c>
      <c r="M1671" t="s">
        <v>5248</v>
      </c>
    </row>
    <row r="1672" spans="1:13">
      <c r="A1672" t="s">
        <v>13</v>
      </c>
      <c r="B1672">
        <v>1723654</v>
      </c>
      <c r="C1672">
        <v>1725759</v>
      </c>
      <c r="E1672" t="s">
        <v>14</v>
      </c>
      <c r="F1672" t="s">
        <v>5249</v>
      </c>
      <c r="G1672" t="s">
        <v>5250</v>
      </c>
      <c r="H1672">
        <v>0</v>
      </c>
      <c r="I1672" t="s">
        <v>17</v>
      </c>
      <c r="K1672" t="s">
        <v>5251</v>
      </c>
      <c r="L1672">
        <v>701</v>
      </c>
      <c r="M1672" t="s">
        <v>5252</v>
      </c>
    </row>
    <row r="1673" spans="1:13">
      <c r="A1673" t="s">
        <v>13</v>
      </c>
      <c r="B1673">
        <v>1726058</v>
      </c>
      <c r="C1673">
        <v>1728901</v>
      </c>
      <c r="E1673" t="s">
        <v>14</v>
      </c>
      <c r="F1673" t="s">
        <v>5253</v>
      </c>
      <c r="G1673" t="s">
        <v>5254</v>
      </c>
      <c r="H1673">
        <v>0</v>
      </c>
      <c r="I1673" t="s">
        <v>17</v>
      </c>
      <c r="K1673" t="s">
        <v>5255</v>
      </c>
      <c r="L1673">
        <v>947</v>
      </c>
      <c r="M1673" t="s">
        <v>5256</v>
      </c>
    </row>
    <row r="1674" spans="1:13">
      <c r="A1674" t="s">
        <v>13</v>
      </c>
      <c r="B1674">
        <v>1728904</v>
      </c>
      <c r="C1674">
        <v>1730016</v>
      </c>
      <c r="E1674" t="s">
        <v>14</v>
      </c>
      <c r="F1674" t="s">
        <v>5257</v>
      </c>
      <c r="G1674" t="s">
        <v>5258</v>
      </c>
      <c r="H1674">
        <v>0</v>
      </c>
      <c r="I1674" t="s">
        <v>17</v>
      </c>
      <c r="K1674" t="s">
        <v>5259</v>
      </c>
      <c r="L1674">
        <v>370</v>
      </c>
      <c r="M1674" t="s">
        <v>5260</v>
      </c>
    </row>
    <row r="1675" spans="1:13">
      <c r="A1675" t="s">
        <v>13</v>
      </c>
      <c r="B1675">
        <v>1730062</v>
      </c>
      <c r="C1675">
        <v>1730454</v>
      </c>
      <c r="E1675" t="s">
        <v>14</v>
      </c>
      <c r="F1675" t="s">
        <v>5261</v>
      </c>
      <c r="G1675" t="s">
        <v>5262</v>
      </c>
      <c r="H1675">
        <v>0</v>
      </c>
      <c r="I1675" t="s">
        <v>17</v>
      </c>
      <c r="K1675" t="s">
        <v>5263</v>
      </c>
      <c r="L1675">
        <v>130</v>
      </c>
      <c r="M1675" t="s">
        <v>5264</v>
      </c>
    </row>
    <row r="1676" spans="1:13">
      <c r="A1676" t="s">
        <v>13</v>
      </c>
      <c r="B1676">
        <v>1730558</v>
      </c>
      <c r="C1676">
        <v>1731361</v>
      </c>
      <c r="E1676" t="s">
        <v>14</v>
      </c>
      <c r="F1676" t="s">
        <v>5265</v>
      </c>
      <c r="G1676" t="s">
        <v>5266</v>
      </c>
      <c r="H1676">
        <v>0</v>
      </c>
      <c r="I1676" t="s">
        <v>17</v>
      </c>
      <c r="K1676" t="s">
        <v>5267</v>
      </c>
      <c r="L1676">
        <v>267</v>
      </c>
      <c r="M1676" t="s">
        <v>5268</v>
      </c>
    </row>
    <row r="1677" spans="1:13">
      <c r="A1677" t="s">
        <v>13</v>
      </c>
      <c r="B1677">
        <v>1731498</v>
      </c>
      <c r="C1677">
        <v>1732562</v>
      </c>
      <c r="E1677" t="s">
        <v>14</v>
      </c>
      <c r="F1677" t="s">
        <v>5269</v>
      </c>
      <c r="G1677" t="s">
        <v>5270</v>
      </c>
      <c r="H1677">
        <v>0</v>
      </c>
      <c r="I1677" t="s">
        <v>17</v>
      </c>
      <c r="K1677" t="s">
        <v>5271</v>
      </c>
      <c r="L1677">
        <v>354</v>
      </c>
      <c r="M1677" t="s">
        <v>5272</v>
      </c>
    </row>
    <row r="1678" spans="1:13">
      <c r="A1678" t="s">
        <v>13</v>
      </c>
      <c r="B1678">
        <v>1732645</v>
      </c>
      <c r="C1678">
        <v>1733430</v>
      </c>
      <c r="E1678" t="s">
        <v>14</v>
      </c>
      <c r="F1678" t="s">
        <v>28</v>
      </c>
      <c r="H1678">
        <v>0</v>
      </c>
      <c r="I1678" t="s">
        <v>17</v>
      </c>
      <c r="K1678" t="s">
        <v>5273</v>
      </c>
      <c r="L1678">
        <v>261</v>
      </c>
      <c r="M1678" t="s">
        <v>5274</v>
      </c>
    </row>
    <row r="1679" spans="1:13">
      <c r="A1679" t="s">
        <v>13</v>
      </c>
      <c r="B1679">
        <v>1733584</v>
      </c>
      <c r="C1679">
        <v>1734057</v>
      </c>
      <c r="E1679" t="s">
        <v>35</v>
      </c>
      <c r="F1679" t="s">
        <v>1789</v>
      </c>
      <c r="H1679">
        <v>0</v>
      </c>
      <c r="I1679" t="s">
        <v>17</v>
      </c>
      <c r="K1679" t="s">
        <v>5275</v>
      </c>
      <c r="L1679">
        <v>157</v>
      </c>
      <c r="M1679" t="s">
        <v>5276</v>
      </c>
    </row>
    <row r="1680" spans="1:13">
      <c r="A1680" t="s">
        <v>13</v>
      </c>
      <c r="B1680">
        <v>1734176</v>
      </c>
      <c r="C1680">
        <v>1735609</v>
      </c>
      <c r="E1680" t="s">
        <v>14</v>
      </c>
      <c r="F1680" t="s">
        <v>5277</v>
      </c>
      <c r="G1680" t="s">
        <v>5278</v>
      </c>
      <c r="H1680">
        <v>0</v>
      </c>
      <c r="I1680" t="s">
        <v>17</v>
      </c>
      <c r="K1680" t="s">
        <v>5279</v>
      </c>
      <c r="L1680">
        <v>477</v>
      </c>
      <c r="M1680" t="s">
        <v>5280</v>
      </c>
    </row>
    <row r="1681" spans="1:13">
      <c r="A1681" t="s">
        <v>13</v>
      </c>
      <c r="B1681">
        <v>1735682</v>
      </c>
      <c r="C1681">
        <v>1736437</v>
      </c>
      <c r="E1681" t="s">
        <v>14</v>
      </c>
      <c r="F1681" t="s">
        <v>28</v>
      </c>
      <c r="H1681">
        <v>0</v>
      </c>
      <c r="I1681" t="s">
        <v>17</v>
      </c>
      <c r="K1681" t="s">
        <v>5281</v>
      </c>
      <c r="L1681">
        <v>251</v>
      </c>
      <c r="M1681" t="s">
        <v>5282</v>
      </c>
    </row>
    <row r="1682" spans="1:13">
      <c r="A1682" t="s">
        <v>13</v>
      </c>
      <c r="B1682">
        <v>1736645</v>
      </c>
      <c r="C1682">
        <v>1737532</v>
      </c>
      <c r="E1682" t="s">
        <v>14</v>
      </c>
      <c r="F1682" t="s">
        <v>5283</v>
      </c>
      <c r="H1682">
        <v>0</v>
      </c>
      <c r="I1682" t="s">
        <v>17</v>
      </c>
      <c r="K1682" t="s">
        <v>5284</v>
      </c>
      <c r="L1682">
        <v>295</v>
      </c>
      <c r="M1682" t="s">
        <v>5285</v>
      </c>
    </row>
    <row r="1683" spans="1:13">
      <c r="A1683" t="s">
        <v>13</v>
      </c>
      <c r="B1683">
        <v>1737563</v>
      </c>
      <c r="C1683">
        <v>1737937</v>
      </c>
      <c r="E1683" t="s">
        <v>14</v>
      </c>
      <c r="F1683" t="s">
        <v>28</v>
      </c>
      <c r="H1683">
        <v>0</v>
      </c>
      <c r="I1683" t="s">
        <v>17</v>
      </c>
      <c r="K1683" t="s">
        <v>5286</v>
      </c>
      <c r="L1683">
        <v>124</v>
      </c>
      <c r="M1683" t="s">
        <v>5287</v>
      </c>
    </row>
    <row r="1684" spans="1:13">
      <c r="A1684" t="s">
        <v>13</v>
      </c>
      <c r="B1684">
        <v>1737934</v>
      </c>
      <c r="C1684">
        <v>1738479</v>
      </c>
      <c r="E1684" t="s">
        <v>35</v>
      </c>
      <c r="F1684" t="s">
        <v>5288</v>
      </c>
      <c r="H1684">
        <v>0</v>
      </c>
      <c r="I1684" t="s">
        <v>17</v>
      </c>
      <c r="K1684" t="s">
        <v>5289</v>
      </c>
      <c r="L1684">
        <v>181</v>
      </c>
      <c r="M1684" t="s">
        <v>5290</v>
      </c>
    </row>
    <row r="1685" spans="1:13">
      <c r="A1685" t="s">
        <v>13</v>
      </c>
      <c r="B1685">
        <v>1738510</v>
      </c>
      <c r="C1685">
        <v>1739304</v>
      </c>
      <c r="E1685" t="s">
        <v>35</v>
      </c>
      <c r="F1685" t="s">
        <v>28</v>
      </c>
      <c r="H1685">
        <v>0</v>
      </c>
      <c r="I1685" t="s">
        <v>17</v>
      </c>
      <c r="K1685" t="s">
        <v>5291</v>
      </c>
      <c r="L1685">
        <v>264</v>
      </c>
      <c r="M1685" t="s">
        <v>5292</v>
      </c>
    </row>
    <row r="1686" spans="1:13">
      <c r="A1686" t="s">
        <v>13</v>
      </c>
      <c r="B1686">
        <v>1739330</v>
      </c>
      <c r="C1686">
        <v>1739476</v>
      </c>
      <c r="E1686" t="s">
        <v>35</v>
      </c>
      <c r="F1686" t="s">
        <v>28</v>
      </c>
      <c r="H1686">
        <v>0</v>
      </c>
      <c r="I1686" t="s">
        <v>17</v>
      </c>
      <c r="K1686" t="s">
        <v>5293</v>
      </c>
      <c r="L1686">
        <v>48</v>
      </c>
      <c r="M1686" t="s">
        <v>5294</v>
      </c>
    </row>
    <row r="1687" spans="1:13">
      <c r="A1687" t="s">
        <v>13</v>
      </c>
      <c r="B1687">
        <v>1739484</v>
      </c>
      <c r="C1687">
        <v>1740926</v>
      </c>
      <c r="E1687" t="s">
        <v>35</v>
      </c>
      <c r="F1687" t="s">
        <v>5295</v>
      </c>
      <c r="G1687" t="s">
        <v>5296</v>
      </c>
      <c r="H1687">
        <v>0</v>
      </c>
      <c r="I1687" t="s">
        <v>17</v>
      </c>
      <c r="K1687" t="s">
        <v>5297</v>
      </c>
      <c r="L1687">
        <v>480</v>
      </c>
      <c r="M1687" t="s">
        <v>5298</v>
      </c>
    </row>
    <row r="1688" spans="1:13">
      <c r="A1688" t="s">
        <v>13</v>
      </c>
      <c r="B1688">
        <v>1741010</v>
      </c>
      <c r="C1688">
        <v>1742272</v>
      </c>
      <c r="E1688" t="s">
        <v>14</v>
      </c>
      <c r="F1688" t="s">
        <v>5299</v>
      </c>
      <c r="G1688" t="s">
        <v>5300</v>
      </c>
      <c r="H1688">
        <v>0</v>
      </c>
      <c r="I1688" t="s">
        <v>17</v>
      </c>
      <c r="K1688" t="s">
        <v>5301</v>
      </c>
      <c r="L1688">
        <v>420</v>
      </c>
      <c r="M1688" t="s">
        <v>5302</v>
      </c>
    </row>
    <row r="1689" spans="1:13">
      <c r="A1689" t="s">
        <v>13</v>
      </c>
      <c r="B1689">
        <v>1742277</v>
      </c>
      <c r="C1689">
        <v>1743038</v>
      </c>
      <c r="E1689" t="s">
        <v>35</v>
      </c>
      <c r="F1689" t="s">
        <v>5303</v>
      </c>
      <c r="G1689" t="s">
        <v>5304</v>
      </c>
      <c r="H1689">
        <v>0</v>
      </c>
      <c r="I1689" t="s">
        <v>17</v>
      </c>
      <c r="K1689" t="s">
        <v>5305</v>
      </c>
      <c r="L1689">
        <v>253</v>
      </c>
      <c r="M1689" t="s">
        <v>5306</v>
      </c>
    </row>
    <row r="1690" spans="1:13">
      <c r="A1690" t="s">
        <v>13</v>
      </c>
      <c r="B1690">
        <v>1743086</v>
      </c>
      <c r="C1690">
        <v>1743316</v>
      </c>
      <c r="E1690" t="s">
        <v>35</v>
      </c>
      <c r="F1690" t="s">
        <v>28</v>
      </c>
      <c r="H1690">
        <v>0</v>
      </c>
      <c r="I1690" t="s">
        <v>17</v>
      </c>
      <c r="K1690" t="s">
        <v>5307</v>
      </c>
      <c r="L1690">
        <v>76</v>
      </c>
      <c r="M1690" t="s">
        <v>5308</v>
      </c>
    </row>
    <row r="1691" spans="1:13">
      <c r="A1691" t="s">
        <v>13</v>
      </c>
      <c r="B1691">
        <v>1743442</v>
      </c>
      <c r="C1691">
        <v>1743945</v>
      </c>
      <c r="E1691" t="s">
        <v>35</v>
      </c>
      <c r="F1691" t="s">
        <v>28</v>
      </c>
      <c r="H1691">
        <v>0</v>
      </c>
      <c r="I1691" t="s">
        <v>17</v>
      </c>
      <c r="K1691" t="s">
        <v>5309</v>
      </c>
      <c r="L1691">
        <v>167</v>
      </c>
      <c r="M1691" t="s">
        <v>5310</v>
      </c>
    </row>
    <row r="1692" spans="1:13">
      <c r="A1692" t="s">
        <v>13</v>
      </c>
      <c r="B1692">
        <v>1743911</v>
      </c>
      <c r="C1692">
        <v>1744273</v>
      </c>
      <c r="E1692" t="s">
        <v>35</v>
      </c>
      <c r="F1692" t="s">
        <v>28</v>
      </c>
      <c r="H1692">
        <v>0</v>
      </c>
      <c r="I1692" t="s">
        <v>17</v>
      </c>
      <c r="K1692" t="s">
        <v>5311</v>
      </c>
      <c r="L1692">
        <v>120</v>
      </c>
      <c r="M1692" t="s">
        <v>5312</v>
      </c>
    </row>
    <row r="1693" spans="1:13">
      <c r="A1693" t="s">
        <v>13</v>
      </c>
      <c r="B1693">
        <v>1744370</v>
      </c>
      <c r="C1693">
        <v>1747429</v>
      </c>
      <c r="E1693" t="s">
        <v>35</v>
      </c>
      <c r="F1693" t="s">
        <v>5313</v>
      </c>
      <c r="G1693" t="s">
        <v>5314</v>
      </c>
      <c r="H1693">
        <v>0</v>
      </c>
      <c r="I1693" t="s">
        <v>17</v>
      </c>
      <c r="K1693" t="s">
        <v>5315</v>
      </c>
      <c r="L1693">
        <v>1019</v>
      </c>
      <c r="M1693" t="s">
        <v>5316</v>
      </c>
    </row>
    <row r="1694" spans="1:13">
      <c r="A1694" t="s">
        <v>13</v>
      </c>
      <c r="B1694">
        <v>1747437</v>
      </c>
      <c r="C1694">
        <v>1748774</v>
      </c>
      <c r="E1694" t="s">
        <v>35</v>
      </c>
      <c r="F1694" t="s">
        <v>5317</v>
      </c>
      <c r="G1694" t="s">
        <v>5318</v>
      </c>
      <c r="H1694">
        <v>0</v>
      </c>
      <c r="I1694" t="s">
        <v>17</v>
      </c>
      <c r="K1694" t="s">
        <v>5319</v>
      </c>
      <c r="L1694">
        <v>445</v>
      </c>
      <c r="M1694" t="s">
        <v>5320</v>
      </c>
    </row>
    <row r="1695" spans="1:13">
      <c r="A1695" t="s">
        <v>13</v>
      </c>
      <c r="B1695">
        <v>1748970</v>
      </c>
      <c r="C1695">
        <v>1750010</v>
      </c>
      <c r="E1695" t="s">
        <v>14</v>
      </c>
      <c r="F1695" t="s">
        <v>28</v>
      </c>
      <c r="H1695">
        <v>0</v>
      </c>
      <c r="I1695" t="s">
        <v>17</v>
      </c>
      <c r="K1695" t="s">
        <v>5321</v>
      </c>
      <c r="L1695">
        <v>346</v>
      </c>
      <c r="M1695" t="s">
        <v>5322</v>
      </c>
    </row>
    <row r="1696" spans="1:13">
      <c r="A1696" t="s">
        <v>13</v>
      </c>
      <c r="B1696">
        <v>1750185</v>
      </c>
      <c r="C1696">
        <v>1751942</v>
      </c>
      <c r="E1696" t="s">
        <v>14</v>
      </c>
      <c r="F1696" t="s">
        <v>5323</v>
      </c>
      <c r="H1696">
        <v>0</v>
      </c>
      <c r="I1696" t="s">
        <v>17</v>
      </c>
      <c r="K1696" t="s">
        <v>5324</v>
      </c>
      <c r="L1696">
        <v>585</v>
      </c>
      <c r="M1696" t="s">
        <v>5325</v>
      </c>
    </row>
    <row r="1697" spans="1:13">
      <c r="A1697" t="s">
        <v>13</v>
      </c>
      <c r="B1697">
        <v>1752012</v>
      </c>
      <c r="C1697">
        <v>1752206</v>
      </c>
      <c r="E1697" t="s">
        <v>35</v>
      </c>
      <c r="F1697" t="s">
        <v>28</v>
      </c>
      <c r="H1697">
        <v>0</v>
      </c>
      <c r="I1697" t="s">
        <v>17</v>
      </c>
      <c r="K1697" t="s">
        <v>5326</v>
      </c>
      <c r="L1697">
        <v>64</v>
      </c>
      <c r="M1697" t="s">
        <v>5327</v>
      </c>
    </row>
    <row r="1698" spans="1:13">
      <c r="A1698" t="s">
        <v>13</v>
      </c>
      <c r="B1698">
        <v>1752458</v>
      </c>
      <c r="C1698">
        <v>1753732</v>
      </c>
      <c r="E1698" t="s">
        <v>14</v>
      </c>
      <c r="F1698" t="s">
        <v>5328</v>
      </c>
      <c r="H1698">
        <v>0</v>
      </c>
      <c r="I1698" t="s">
        <v>17</v>
      </c>
      <c r="K1698" t="s">
        <v>5329</v>
      </c>
      <c r="L1698">
        <v>424</v>
      </c>
      <c r="M1698" t="s">
        <v>5330</v>
      </c>
    </row>
    <row r="1699" spans="1:13">
      <c r="A1699" t="s">
        <v>13</v>
      </c>
      <c r="B1699">
        <v>1753736</v>
      </c>
      <c r="C1699">
        <v>1754191</v>
      </c>
      <c r="E1699" t="s">
        <v>35</v>
      </c>
      <c r="F1699" t="s">
        <v>5331</v>
      </c>
      <c r="G1699" t="s">
        <v>5332</v>
      </c>
      <c r="H1699">
        <v>0</v>
      </c>
      <c r="I1699" t="s">
        <v>5333</v>
      </c>
      <c r="M1699" t="s">
        <v>5334</v>
      </c>
    </row>
    <row r="1700" spans="1:13">
      <c r="A1700" t="s">
        <v>13</v>
      </c>
      <c r="B1700">
        <v>1754260</v>
      </c>
      <c r="C1700">
        <v>1755324</v>
      </c>
      <c r="E1700" t="s">
        <v>35</v>
      </c>
      <c r="F1700" t="s">
        <v>5335</v>
      </c>
      <c r="G1700" t="s">
        <v>5336</v>
      </c>
      <c r="H1700">
        <v>0</v>
      </c>
      <c r="I1700" t="s">
        <v>17</v>
      </c>
      <c r="K1700" t="s">
        <v>5337</v>
      </c>
      <c r="L1700">
        <v>354</v>
      </c>
      <c r="M1700" t="s">
        <v>5338</v>
      </c>
    </row>
    <row r="1701" spans="1:13">
      <c r="A1701" t="s">
        <v>13</v>
      </c>
      <c r="B1701">
        <v>1755657</v>
      </c>
      <c r="C1701">
        <v>1756853</v>
      </c>
      <c r="E1701" t="s">
        <v>35</v>
      </c>
      <c r="F1701" t="s">
        <v>5339</v>
      </c>
      <c r="G1701" t="s">
        <v>5340</v>
      </c>
      <c r="H1701">
        <v>0</v>
      </c>
      <c r="I1701" t="s">
        <v>17</v>
      </c>
      <c r="K1701" t="s">
        <v>5341</v>
      </c>
      <c r="L1701">
        <v>398</v>
      </c>
      <c r="M1701" t="s">
        <v>5342</v>
      </c>
    </row>
    <row r="1702" spans="1:13">
      <c r="A1702" t="s">
        <v>13</v>
      </c>
      <c r="B1702">
        <v>1756850</v>
      </c>
      <c r="C1702">
        <v>1757569</v>
      </c>
      <c r="E1702" t="s">
        <v>35</v>
      </c>
      <c r="F1702" t="s">
        <v>5343</v>
      </c>
      <c r="H1702">
        <v>0</v>
      </c>
      <c r="I1702" t="s">
        <v>17</v>
      </c>
      <c r="K1702" t="s">
        <v>5344</v>
      </c>
      <c r="L1702">
        <v>239</v>
      </c>
      <c r="M1702" t="s">
        <v>5345</v>
      </c>
    </row>
    <row r="1703" spans="1:13">
      <c r="A1703" t="s">
        <v>13</v>
      </c>
      <c r="B1703">
        <v>1757570</v>
      </c>
      <c r="C1703">
        <v>1758712</v>
      </c>
      <c r="E1703" t="s">
        <v>35</v>
      </c>
      <c r="F1703" t="s">
        <v>5346</v>
      </c>
      <c r="H1703">
        <v>0</v>
      </c>
      <c r="I1703" t="s">
        <v>17</v>
      </c>
      <c r="K1703" t="s">
        <v>5347</v>
      </c>
      <c r="L1703">
        <v>380</v>
      </c>
      <c r="M1703" t="s">
        <v>5348</v>
      </c>
    </row>
    <row r="1704" spans="1:13">
      <c r="A1704" t="s">
        <v>13</v>
      </c>
      <c r="B1704">
        <v>1758806</v>
      </c>
      <c r="C1704">
        <v>1759297</v>
      </c>
      <c r="E1704" t="s">
        <v>14</v>
      </c>
      <c r="F1704" t="s">
        <v>5349</v>
      </c>
      <c r="G1704" t="s">
        <v>5350</v>
      </c>
      <c r="H1704">
        <v>0</v>
      </c>
      <c r="I1704" t="s">
        <v>17</v>
      </c>
      <c r="K1704" t="s">
        <v>5351</v>
      </c>
      <c r="L1704">
        <v>163</v>
      </c>
      <c r="M1704" t="s">
        <v>5352</v>
      </c>
    </row>
    <row r="1705" spans="1:13">
      <c r="A1705" t="s">
        <v>13</v>
      </c>
      <c r="B1705">
        <v>1759308</v>
      </c>
      <c r="C1705">
        <v>1760279</v>
      </c>
      <c r="E1705" t="s">
        <v>14</v>
      </c>
      <c r="F1705" t="s">
        <v>5353</v>
      </c>
      <c r="H1705">
        <v>0</v>
      </c>
      <c r="I1705" t="s">
        <v>17</v>
      </c>
      <c r="K1705" t="s">
        <v>5354</v>
      </c>
      <c r="L1705">
        <v>323</v>
      </c>
      <c r="M1705" t="s">
        <v>5355</v>
      </c>
    </row>
    <row r="1706" spans="1:13">
      <c r="A1706" t="s">
        <v>13</v>
      </c>
      <c r="B1706">
        <v>1760386</v>
      </c>
      <c r="C1706">
        <v>1760461</v>
      </c>
      <c r="E1706" t="s">
        <v>35</v>
      </c>
      <c r="F1706" t="s">
        <v>4424</v>
      </c>
      <c r="H1706">
        <v>0</v>
      </c>
      <c r="I1706" t="s">
        <v>53</v>
      </c>
      <c r="M1706" t="s">
        <v>5356</v>
      </c>
    </row>
    <row r="1707" spans="1:13">
      <c r="A1707" t="s">
        <v>13</v>
      </c>
      <c r="B1707">
        <v>1760529</v>
      </c>
      <c r="C1707">
        <v>1760927</v>
      </c>
      <c r="E1707" t="s">
        <v>35</v>
      </c>
      <c r="F1707" t="s">
        <v>28</v>
      </c>
      <c r="H1707">
        <v>0</v>
      </c>
      <c r="I1707" t="s">
        <v>17</v>
      </c>
      <c r="K1707" t="s">
        <v>5357</v>
      </c>
      <c r="L1707">
        <v>132</v>
      </c>
      <c r="M1707" t="s">
        <v>5358</v>
      </c>
    </row>
    <row r="1708" spans="1:13">
      <c r="A1708" t="s">
        <v>13</v>
      </c>
      <c r="B1708">
        <v>1761286</v>
      </c>
      <c r="C1708">
        <v>1764030</v>
      </c>
      <c r="E1708" t="s">
        <v>14</v>
      </c>
      <c r="F1708" t="s">
        <v>5359</v>
      </c>
      <c r="G1708" t="s">
        <v>5360</v>
      </c>
      <c r="H1708">
        <v>0</v>
      </c>
      <c r="I1708" t="s">
        <v>17</v>
      </c>
      <c r="K1708" t="s">
        <v>5361</v>
      </c>
      <c r="L1708">
        <v>914</v>
      </c>
      <c r="M1708" t="s">
        <v>5362</v>
      </c>
    </row>
    <row r="1709" spans="1:13">
      <c r="A1709" t="s">
        <v>13</v>
      </c>
      <c r="B1709">
        <v>1764184</v>
      </c>
      <c r="C1709">
        <v>1764483</v>
      </c>
      <c r="E1709" t="s">
        <v>14</v>
      </c>
      <c r="F1709" t="s">
        <v>5363</v>
      </c>
      <c r="H1709">
        <v>0</v>
      </c>
      <c r="I1709" t="s">
        <v>17</v>
      </c>
      <c r="K1709" t="s">
        <v>5364</v>
      </c>
      <c r="L1709">
        <v>99</v>
      </c>
      <c r="M1709" t="s">
        <v>5365</v>
      </c>
    </row>
    <row r="1710" spans="1:13">
      <c r="A1710" t="s">
        <v>13</v>
      </c>
      <c r="B1710">
        <v>1764480</v>
      </c>
      <c r="C1710">
        <v>1765268</v>
      </c>
      <c r="E1710" t="s">
        <v>14</v>
      </c>
      <c r="F1710" t="s">
        <v>5366</v>
      </c>
      <c r="G1710" t="s">
        <v>5367</v>
      </c>
      <c r="H1710">
        <v>0</v>
      </c>
      <c r="I1710" t="s">
        <v>17</v>
      </c>
      <c r="K1710" t="s">
        <v>5368</v>
      </c>
      <c r="L1710">
        <v>262</v>
      </c>
      <c r="M1710" t="s">
        <v>5369</v>
      </c>
    </row>
    <row r="1711" spans="1:13">
      <c r="A1711" t="s">
        <v>13</v>
      </c>
      <c r="B1711">
        <v>1765345</v>
      </c>
      <c r="C1711">
        <v>1765761</v>
      </c>
      <c r="E1711" t="s">
        <v>35</v>
      </c>
      <c r="F1711" t="s">
        <v>28</v>
      </c>
      <c r="H1711">
        <v>0</v>
      </c>
      <c r="I1711" t="s">
        <v>17</v>
      </c>
      <c r="K1711" t="s">
        <v>5370</v>
      </c>
      <c r="L1711">
        <v>138</v>
      </c>
      <c r="M1711" t="s">
        <v>5371</v>
      </c>
    </row>
    <row r="1712" spans="1:13">
      <c r="A1712" t="s">
        <v>13</v>
      </c>
      <c r="B1712">
        <v>1766379</v>
      </c>
      <c r="C1712">
        <v>1766495</v>
      </c>
      <c r="E1712" t="s">
        <v>14</v>
      </c>
      <c r="F1712" t="s">
        <v>28</v>
      </c>
      <c r="H1712">
        <v>0</v>
      </c>
      <c r="I1712" t="s">
        <v>17</v>
      </c>
      <c r="K1712" t="s">
        <v>5372</v>
      </c>
      <c r="L1712">
        <v>38</v>
      </c>
      <c r="M1712" t="s">
        <v>5373</v>
      </c>
    </row>
    <row r="1713" spans="1:13">
      <c r="A1713" t="s">
        <v>13</v>
      </c>
      <c r="B1713">
        <v>1766579</v>
      </c>
      <c r="C1713">
        <v>1767406</v>
      </c>
      <c r="E1713" t="s">
        <v>35</v>
      </c>
      <c r="F1713" t="s">
        <v>5374</v>
      </c>
      <c r="H1713">
        <v>0</v>
      </c>
      <c r="I1713" t="s">
        <v>17</v>
      </c>
      <c r="K1713" t="s">
        <v>5375</v>
      </c>
      <c r="L1713">
        <v>275</v>
      </c>
      <c r="M1713" t="s">
        <v>5376</v>
      </c>
    </row>
    <row r="1714" spans="1:13">
      <c r="A1714" t="s">
        <v>13</v>
      </c>
      <c r="B1714">
        <v>1767586</v>
      </c>
      <c r="C1714">
        <v>1768677</v>
      </c>
      <c r="E1714" t="s">
        <v>35</v>
      </c>
      <c r="F1714" t="s">
        <v>5377</v>
      </c>
      <c r="G1714" t="s">
        <v>5378</v>
      </c>
      <c r="H1714">
        <v>0</v>
      </c>
      <c r="I1714" t="s">
        <v>17</v>
      </c>
      <c r="K1714" t="s">
        <v>5379</v>
      </c>
      <c r="L1714">
        <v>363</v>
      </c>
      <c r="M1714" t="s">
        <v>5380</v>
      </c>
    </row>
    <row r="1715" spans="1:13">
      <c r="A1715" t="s">
        <v>13</v>
      </c>
      <c r="B1715">
        <v>1768849</v>
      </c>
      <c r="C1715">
        <v>1770447</v>
      </c>
      <c r="E1715" t="s">
        <v>35</v>
      </c>
      <c r="F1715" t="s">
        <v>5381</v>
      </c>
      <c r="G1715" t="s">
        <v>5382</v>
      </c>
      <c r="H1715">
        <v>0</v>
      </c>
      <c r="I1715" t="s">
        <v>17</v>
      </c>
      <c r="K1715" t="s">
        <v>5383</v>
      </c>
      <c r="L1715">
        <v>532</v>
      </c>
      <c r="M1715" t="s">
        <v>5384</v>
      </c>
    </row>
    <row r="1716" spans="1:13">
      <c r="A1716" t="s">
        <v>13</v>
      </c>
      <c r="B1716">
        <v>1770549</v>
      </c>
      <c r="C1716">
        <v>1771655</v>
      </c>
      <c r="E1716" t="s">
        <v>35</v>
      </c>
      <c r="F1716" t="s">
        <v>28</v>
      </c>
      <c r="H1716">
        <v>0</v>
      </c>
      <c r="I1716" t="s">
        <v>17</v>
      </c>
      <c r="K1716" t="s">
        <v>5385</v>
      </c>
      <c r="L1716">
        <v>368</v>
      </c>
      <c r="M1716" t="s">
        <v>5386</v>
      </c>
    </row>
    <row r="1717" spans="1:13">
      <c r="A1717" t="s">
        <v>13</v>
      </c>
      <c r="B1717">
        <v>1771716</v>
      </c>
      <c r="C1717">
        <v>1772267</v>
      </c>
      <c r="E1717" t="s">
        <v>14</v>
      </c>
      <c r="F1717" t="s">
        <v>28</v>
      </c>
      <c r="H1717">
        <v>0</v>
      </c>
      <c r="I1717" t="s">
        <v>17</v>
      </c>
      <c r="K1717" t="s">
        <v>5387</v>
      </c>
      <c r="L1717">
        <v>183</v>
      </c>
      <c r="M1717" t="s">
        <v>5388</v>
      </c>
    </row>
    <row r="1718" spans="1:13">
      <c r="A1718" t="s">
        <v>13</v>
      </c>
      <c r="B1718">
        <v>1772309</v>
      </c>
      <c r="C1718">
        <v>1772383</v>
      </c>
      <c r="E1718" t="s">
        <v>35</v>
      </c>
      <c r="F1718" t="s">
        <v>1230</v>
      </c>
      <c r="H1718">
        <v>0</v>
      </c>
      <c r="I1718" t="s">
        <v>53</v>
      </c>
      <c r="M1718" t="s">
        <v>5389</v>
      </c>
    </row>
    <row r="1719" spans="1:13">
      <c r="A1719" t="s">
        <v>13</v>
      </c>
      <c r="B1719">
        <v>1772777</v>
      </c>
      <c r="C1719">
        <v>1772944</v>
      </c>
      <c r="E1719" t="s">
        <v>35</v>
      </c>
      <c r="F1719" t="s">
        <v>28</v>
      </c>
      <c r="H1719">
        <v>0</v>
      </c>
      <c r="I1719" t="s">
        <v>17</v>
      </c>
      <c r="K1719" t="s">
        <v>5390</v>
      </c>
      <c r="L1719">
        <v>55</v>
      </c>
      <c r="M1719" t="s">
        <v>5391</v>
      </c>
    </row>
    <row r="1720" spans="1:13">
      <c r="A1720" t="s">
        <v>13</v>
      </c>
      <c r="B1720">
        <v>1779650</v>
      </c>
      <c r="C1720">
        <v>1780588</v>
      </c>
      <c r="E1720" t="s">
        <v>35</v>
      </c>
      <c r="F1720" t="s">
        <v>1117</v>
      </c>
      <c r="G1720" t="s">
        <v>5392</v>
      </c>
      <c r="H1720">
        <v>0</v>
      </c>
      <c r="I1720" t="s">
        <v>17</v>
      </c>
      <c r="K1720" t="s">
        <v>5393</v>
      </c>
      <c r="L1720">
        <v>312</v>
      </c>
      <c r="M1720" t="s">
        <v>5394</v>
      </c>
    </row>
    <row r="1721" spans="1:13">
      <c r="A1721" t="s">
        <v>13</v>
      </c>
      <c r="B1721">
        <v>1780588</v>
      </c>
      <c r="C1721">
        <v>1781286</v>
      </c>
      <c r="E1721" t="s">
        <v>35</v>
      </c>
      <c r="F1721" t="s">
        <v>5395</v>
      </c>
      <c r="G1721" t="s">
        <v>5396</v>
      </c>
      <c r="H1721">
        <v>0</v>
      </c>
      <c r="I1721" t="s">
        <v>17</v>
      </c>
      <c r="K1721" t="s">
        <v>5397</v>
      </c>
      <c r="L1721">
        <v>232</v>
      </c>
      <c r="M1721" t="s">
        <v>5398</v>
      </c>
    </row>
    <row r="1722" spans="1:13">
      <c r="A1722" t="s">
        <v>13</v>
      </c>
      <c r="B1722">
        <v>1781283</v>
      </c>
      <c r="C1722">
        <v>1781885</v>
      </c>
      <c r="E1722" t="s">
        <v>35</v>
      </c>
      <c r="F1722" t="s">
        <v>5399</v>
      </c>
      <c r="H1722">
        <v>0</v>
      </c>
      <c r="I1722" t="s">
        <v>17</v>
      </c>
      <c r="K1722" t="s">
        <v>5400</v>
      </c>
      <c r="L1722">
        <v>200</v>
      </c>
      <c r="M1722" t="s">
        <v>5401</v>
      </c>
    </row>
    <row r="1723" spans="1:13">
      <c r="A1723" t="s">
        <v>13</v>
      </c>
      <c r="B1723">
        <v>1782013</v>
      </c>
      <c r="C1723">
        <v>1783155</v>
      </c>
      <c r="E1723" t="s">
        <v>35</v>
      </c>
      <c r="F1723" t="s">
        <v>5402</v>
      </c>
      <c r="G1723" t="s">
        <v>5403</v>
      </c>
      <c r="H1723">
        <v>0</v>
      </c>
      <c r="I1723" t="s">
        <v>17</v>
      </c>
      <c r="K1723" t="s">
        <v>5404</v>
      </c>
      <c r="L1723">
        <v>380</v>
      </c>
      <c r="M1723" t="s">
        <v>5405</v>
      </c>
    </row>
    <row r="1724" spans="1:13">
      <c r="A1724" t="s">
        <v>13</v>
      </c>
      <c r="B1724">
        <v>1783191</v>
      </c>
      <c r="C1724">
        <v>1783862</v>
      </c>
      <c r="E1724" t="s">
        <v>35</v>
      </c>
      <c r="F1724" t="s">
        <v>5406</v>
      </c>
      <c r="H1724">
        <v>0</v>
      </c>
      <c r="I1724" t="s">
        <v>17</v>
      </c>
      <c r="K1724" t="s">
        <v>5407</v>
      </c>
      <c r="L1724">
        <v>223</v>
      </c>
      <c r="M1724" t="s">
        <v>5408</v>
      </c>
    </row>
    <row r="1725" spans="1:13">
      <c r="A1725" t="s">
        <v>13</v>
      </c>
      <c r="B1725">
        <v>1783855</v>
      </c>
      <c r="C1725">
        <v>1785600</v>
      </c>
      <c r="E1725" t="s">
        <v>35</v>
      </c>
      <c r="F1725" t="s">
        <v>5409</v>
      </c>
      <c r="G1725" t="s">
        <v>5410</v>
      </c>
      <c r="H1725">
        <v>0</v>
      </c>
      <c r="I1725" t="s">
        <v>17</v>
      </c>
      <c r="K1725" t="s">
        <v>5411</v>
      </c>
      <c r="L1725">
        <v>581</v>
      </c>
      <c r="M1725" t="s">
        <v>5412</v>
      </c>
    </row>
    <row r="1726" spans="1:13">
      <c r="A1726" t="s">
        <v>13</v>
      </c>
      <c r="B1726">
        <v>1785700</v>
      </c>
      <c r="C1726">
        <v>1788480</v>
      </c>
      <c r="E1726" t="s">
        <v>35</v>
      </c>
      <c r="F1726" t="s">
        <v>5413</v>
      </c>
      <c r="G1726" t="s">
        <v>5414</v>
      </c>
      <c r="H1726">
        <v>0</v>
      </c>
      <c r="I1726" t="s">
        <v>17</v>
      </c>
      <c r="K1726" t="s">
        <v>5415</v>
      </c>
      <c r="L1726">
        <v>926</v>
      </c>
      <c r="M1726" t="s">
        <v>5416</v>
      </c>
    </row>
    <row r="1727" spans="1:13">
      <c r="A1727" t="s">
        <v>13</v>
      </c>
      <c r="B1727">
        <v>1788999</v>
      </c>
      <c r="C1727">
        <v>1789418</v>
      </c>
      <c r="E1727" t="s">
        <v>14</v>
      </c>
      <c r="F1727" t="s">
        <v>5417</v>
      </c>
      <c r="G1727" t="s">
        <v>5418</v>
      </c>
      <c r="H1727">
        <v>0</v>
      </c>
      <c r="I1727" t="s">
        <v>17</v>
      </c>
      <c r="K1727" t="s">
        <v>5419</v>
      </c>
      <c r="L1727">
        <v>139</v>
      </c>
      <c r="M1727" t="s">
        <v>5420</v>
      </c>
    </row>
    <row r="1728" spans="1:13">
      <c r="A1728" t="s">
        <v>13</v>
      </c>
      <c r="B1728">
        <v>1789544</v>
      </c>
      <c r="C1728">
        <v>1791013</v>
      </c>
      <c r="E1728" t="s">
        <v>14</v>
      </c>
      <c r="F1728" t="s">
        <v>28</v>
      </c>
      <c r="H1728">
        <v>0</v>
      </c>
      <c r="I1728" t="s">
        <v>17</v>
      </c>
      <c r="K1728" t="s">
        <v>5421</v>
      </c>
      <c r="L1728">
        <v>489</v>
      </c>
      <c r="M1728" t="s">
        <v>5422</v>
      </c>
    </row>
    <row r="1729" spans="1:13">
      <c r="A1729" t="s">
        <v>13</v>
      </c>
      <c r="B1729">
        <v>1791013</v>
      </c>
      <c r="C1729">
        <v>1791663</v>
      </c>
      <c r="E1729" t="s">
        <v>14</v>
      </c>
      <c r="F1729" t="s">
        <v>28</v>
      </c>
      <c r="H1729">
        <v>0</v>
      </c>
      <c r="I1729" t="s">
        <v>17</v>
      </c>
      <c r="K1729" t="s">
        <v>5423</v>
      </c>
      <c r="L1729">
        <v>216</v>
      </c>
      <c r="M1729" t="s">
        <v>5424</v>
      </c>
    </row>
    <row r="1730" spans="1:13">
      <c r="A1730" t="s">
        <v>13</v>
      </c>
      <c r="B1730">
        <v>1791656</v>
      </c>
      <c r="C1730">
        <v>1795027</v>
      </c>
      <c r="E1730" t="s">
        <v>14</v>
      </c>
      <c r="F1730" t="s">
        <v>3499</v>
      </c>
      <c r="G1730" t="s">
        <v>5425</v>
      </c>
      <c r="H1730">
        <v>0</v>
      </c>
      <c r="I1730" t="s">
        <v>17</v>
      </c>
      <c r="K1730" t="s">
        <v>5426</v>
      </c>
      <c r="L1730">
        <v>1123</v>
      </c>
      <c r="M1730" t="s">
        <v>5427</v>
      </c>
    </row>
    <row r="1731" spans="1:13">
      <c r="A1731" t="s">
        <v>13</v>
      </c>
      <c r="B1731">
        <v>1795014</v>
      </c>
      <c r="C1731">
        <v>1796147</v>
      </c>
      <c r="E1731" t="s">
        <v>14</v>
      </c>
      <c r="F1731" t="s">
        <v>28</v>
      </c>
      <c r="H1731">
        <v>0</v>
      </c>
      <c r="I1731" t="s">
        <v>17</v>
      </c>
      <c r="K1731" t="s">
        <v>5428</v>
      </c>
      <c r="L1731">
        <v>377</v>
      </c>
      <c r="M1731" t="s">
        <v>5429</v>
      </c>
    </row>
    <row r="1732" spans="1:13">
      <c r="A1732" t="s">
        <v>13</v>
      </c>
      <c r="B1732">
        <v>1796282</v>
      </c>
      <c r="C1732">
        <v>1796698</v>
      </c>
      <c r="E1732" t="s">
        <v>35</v>
      </c>
      <c r="F1732" t="s">
        <v>28</v>
      </c>
      <c r="H1732">
        <v>0</v>
      </c>
      <c r="I1732" t="s">
        <v>17</v>
      </c>
      <c r="K1732" t="s">
        <v>5430</v>
      </c>
      <c r="L1732">
        <v>138</v>
      </c>
      <c r="M1732" t="s">
        <v>5431</v>
      </c>
    </row>
    <row r="1733" spans="1:13">
      <c r="A1733" t="s">
        <v>13</v>
      </c>
      <c r="B1733">
        <v>1796728</v>
      </c>
      <c r="C1733">
        <v>1797897</v>
      </c>
      <c r="E1733" t="s">
        <v>35</v>
      </c>
      <c r="F1733" t="s">
        <v>5432</v>
      </c>
      <c r="G1733" t="s">
        <v>5433</v>
      </c>
      <c r="H1733">
        <v>0</v>
      </c>
      <c r="I1733" t="s">
        <v>17</v>
      </c>
      <c r="K1733" t="s">
        <v>5434</v>
      </c>
      <c r="L1733">
        <v>389</v>
      </c>
      <c r="M1733" t="s">
        <v>5435</v>
      </c>
    </row>
    <row r="1734" spans="1:13">
      <c r="A1734" t="s">
        <v>13</v>
      </c>
      <c r="B1734">
        <v>1797894</v>
      </c>
      <c r="C1734">
        <v>1798589</v>
      </c>
      <c r="E1734" t="s">
        <v>35</v>
      </c>
      <c r="F1734" t="s">
        <v>5436</v>
      </c>
      <c r="G1734" t="s">
        <v>5437</v>
      </c>
      <c r="H1734">
        <v>0</v>
      </c>
      <c r="I1734" t="s">
        <v>17</v>
      </c>
      <c r="K1734" t="s">
        <v>5438</v>
      </c>
      <c r="L1734">
        <v>231</v>
      </c>
      <c r="M1734" t="s">
        <v>5439</v>
      </c>
    </row>
    <row r="1735" spans="1:13">
      <c r="A1735" t="s">
        <v>13</v>
      </c>
      <c r="B1735">
        <v>1798862</v>
      </c>
      <c r="C1735">
        <v>1798935</v>
      </c>
      <c r="E1735" t="s">
        <v>14</v>
      </c>
      <c r="F1735" t="s">
        <v>5440</v>
      </c>
      <c r="H1735">
        <v>0</v>
      </c>
      <c r="I1735" t="s">
        <v>53</v>
      </c>
      <c r="M1735" t="s">
        <v>5441</v>
      </c>
    </row>
    <row r="1736" spans="1:13">
      <c r="A1736" t="s">
        <v>13</v>
      </c>
      <c r="B1736">
        <v>1799278</v>
      </c>
      <c r="C1736">
        <v>1799487</v>
      </c>
      <c r="E1736" t="s">
        <v>14</v>
      </c>
      <c r="F1736" t="s">
        <v>28</v>
      </c>
      <c r="H1736">
        <v>0</v>
      </c>
      <c r="I1736" t="s">
        <v>17</v>
      </c>
      <c r="K1736" t="s">
        <v>5442</v>
      </c>
      <c r="L1736">
        <v>69</v>
      </c>
      <c r="M1736" t="s">
        <v>5443</v>
      </c>
    </row>
    <row r="1737" spans="1:13">
      <c r="A1737" t="s">
        <v>13</v>
      </c>
      <c r="B1737">
        <v>1800393</v>
      </c>
      <c r="C1737">
        <v>1800773</v>
      </c>
      <c r="E1737" t="s">
        <v>14</v>
      </c>
      <c r="F1737" t="s">
        <v>28</v>
      </c>
      <c r="H1737">
        <v>0</v>
      </c>
      <c r="I1737" t="s">
        <v>17</v>
      </c>
      <c r="K1737" t="s">
        <v>5444</v>
      </c>
      <c r="L1737">
        <v>126</v>
      </c>
      <c r="M1737" t="s">
        <v>5445</v>
      </c>
    </row>
    <row r="1738" spans="1:13">
      <c r="A1738" t="s">
        <v>13</v>
      </c>
      <c r="B1738">
        <v>1800804</v>
      </c>
      <c r="C1738">
        <v>1801406</v>
      </c>
      <c r="E1738" t="s">
        <v>14</v>
      </c>
      <c r="F1738" t="s">
        <v>28</v>
      </c>
      <c r="H1738">
        <v>0</v>
      </c>
      <c r="I1738" t="s">
        <v>17</v>
      </c>
      <c r="K1738" t="s">
        <v>5446</v>
      </c>
      <c r="L1738">
        <v>200</v>
      </c>
      <c r="M1738" t="s">
        <v>5447</v>
      </c>
    </row>
    <row r="1739" spans="1:13">
      <c r="A1739" t="s">
        <v>13</v>
      </c>
      <c r="B1739">
        <v>1801688</v>
      </c>
      <c r="C1739">
        <v>1802599</v>
      </c>
      <c r="E1739" t="s">
        <v>14</v>
      </c>
      <c r="F1739" t="s">
        <v>529</v>
      </c>
      <c r="H1739">
        <v>0</v>
      </c>
      <c r="I1739" t="s">
        <v>17</v>
      </c>
      <c r="K1739" t="s">
        <v>5448</v>
      </c>
      <c r="L1739">
        <v>303</v>
      </c>
      <c r="M1739" t="s">
        <v>5449</v>
      </c>
    </row>
    <row r="1740" spans="1:13">
      <c r="A1740" t="s">
        <v>13</v>
      </c>
      <c r="B1740">
        <v>1802875</v>
      </c>
      <c r="C1740">
        <v>1804248</v>
      </c>
      <c r="E1740" t="s">
        <v>35</v>
      </c>
      <c r="F1740" t="s">
        <v>5450</v>
      </c>
      <c r="G1740" t="s">
        <v>5451</v>
      </c>
      <c r="H1740">
        <v>0</v>
      </c>
      <c r="I1740" t="s">
        <v>17</v>
      </c>
      <c r="K1740" t="s">
        <v>5452</v>
      </c>
      <c r="L1740">
        <v>457</v>
      </c>
      <c r="M1740" t="s">
        <v>5453</v>
      </c>
    </row>
    <row r="1741" spans="1:13">
      <c r="A1741" t="s">
        <v>13</v>
      </c>
      <c r="B1741">
        <v>1804373</v>
      </c>
      <c r="C1741">
        <v>1805578</v>
      </c>
      <c r="E1741" t="s">
        <v>35</v>
      </c>
      <c r="F1741" t="s">
        <v>5454</v>
      </c>
      <c r="G1741" t="s">
        <v>5455</v>
      </c>
      <c r="H1741">
        <v>0</v>
      </c>
      <c r="I1741" t="s">
        <v>17</v>
      </c>
      <c r="K1741" t="s">
        <v>5456</v>
      </c>
      <c r="L1741">
        <v>401</v>
      </c>
      <c r="M1741" t="s">
        <v>5457</v>
      </c>
    </row>
    <row r="1742" spans="1:13">
      <c r="A1742" t="s">
        <v>13</v>
      </c>
      <c r="B1742">
        <v>1805613</v>
      </c>
      <c r="C1742">
        <v>1806923</v>
      </c>
      <c r="E1742" t="s">
        <v>35</v>
      </c>
      <c r="F1742" t="s">
        <v>28</v>
      </c>
      <c r="H1742">
        <v>0</v>
      </c>
      <c r="I1742" t="s">
        <v>17</v>
      </c>
      <c r="K1742" t="s">
        <v>5458</v>
      </c>
      <c r="L1742">
        <v>436</v>
      </c>
      <c r="M1742" t="s">
        <v>5459</v>
      </c>
    </row>
    <row r="1743" spans="1:13">
      <c r="A1743" t="s">
        <v>13</v>
      </c>
      <c r="B1743">
        <v>1807373</v>
      </c>
      <c r="C1743">
        <v>1808425</v>
      </c>
      <c r="E1743" t="s">
        <v>14</v>
      </c>
      <c r="F1743" t="s">
        <v>5460</v>
      </c>
      <c r="G1743" t="s">
        <v>5461</v>
      </c>
      <c r="H1743">
        <v>0</v>
      </c>
      <c r="I1743" t="s">
        <v>17</v>
      </c>
      <c r="K1743" t="s">
        <v>5462</v>
      </c>
      <c r="L1743">
        <v>350</v>
      </c>
      <c r="M1743" t="s">
        <v>5463</v>
      </c>
    </row>
    <row r="1744" spans="1:13">
      <c r="A1744" t="s">
        <v>13</v>
      </c>
      <c r="B1744">
        <v>1808503</v>
      </c>
      <c r="C1744">
        <v>1809426</v>
      </c>
      <c r="E1744" t="s">
        <v>35</v>
      </c>
      <c r="F1744" t="s">
        <v>28</v>
      </c>
      <c r="H1744">
        <v>0</v>
      </c>
      <c r="I1744" t="s">
        <v>17</v>
      </c>
      <c r="K1744" t="s">
        <v>5464</v>
      </c>
      <c r="L1744">
        <v>307</v>
      </c>
      <c r="M1744" t="s">
        <v>5465</v>
      </c>
    </row>
    <row r="1745" spans="1:13">
      <c r="A1745" t="s">
        <v>13</v>
      </c>
      <c r="B1745">
        <v>1809571</v>
      </c>
      <c r="C1745">
        <v>1810947</v>
      </c>
      <c r="E1745" t="s">
        <v>35</v>
      </c>
      <c r="F1745" t="s">
        <v>1995</v>
      </c>
      <c r="G1745" t="s">
        <v>5466</v>
      </c>
      <c r="H1745">
        <v>0</v>
      </c>
      <c r="I1745" t="s">
        <v>17</v>
      </c>
      <c r="K1745" t="s">
        <v>5467</v>
      </c>
      <c r="L1745">
        <v>458</v>
      </c>
      <c r="M1745" t="s">
        <v>5468</v>
      </c>
    </row>
    <row r="1746" spans="1:13">
      <c r="A1746" t="s">
        <v>13</v>
      </c>
      <c r="B1746">
        <v>1810965</v>
      </c>
      <c r="C1746">
        <v>1811528</v>
      </c>
      <c r="E1746" t="s">
        <v>35</v>
      </c>
      <c r="F1746" t="s">
        <v>5469</v>
      </c>
      <c r="G1746" t="s">
        <v>5470</v>
      </c>
      <c r="H1746">
        <v>0</v>
      </c>
      <c r="I1746" t="s">
        <v>17</v>
      </c>
      <c r="K1746" t="s">
        <v>5471</v>
      </c>
      <c r="L1746">
        <v>187</v>
      </c>
      <c r="M1746" t="s">
        <v>5472</v>
      </c>
    </row>
    <row r="1747" spans="1:13">
      <c r="A1747" t="s">
        <v>13</v>
      </c>
      <c r="B1747">
        <v>1811531</v>
      </c>
      <c r="C1747">
        <v>1813087</v>
      </c>
      <c r="E1747" t="s">
        <v>35</v>
      </c>
      <c r="F1747" t="s">
        <v>5473</v>
      </c>
      <c r="G1747" t="s">
        <v>5474</v>
      </c>
      <c r="H1747">
        <v>0</v>
      </c>
      <c r="I1747" t="s">
        <v>17</v>
      </c>
      <c r="K1747" t="s">
        <v>5475</v>
      </c>
      <c r="L1747">
        <v>518</v>
      </c>
      <c r="M1747" t="s">
        <v>5476</v>
      </c>
    </row>
    <row r="1748" spans="1:13">
      <c r="A1748" t="s">
        <v>13</v>
      </c>
      <c r="B1748">
        <v>1813513</v>
      </c>
      <c r="C1748">
        <v>1814859</v>
      </c>
      <c r="E1748" t="s">
        <v>14</v>
      </c>
      <c r="F1748" t="s">
        <v>5477</v>
      </c>
      <c r="G1748" t="s">
        <v>5478</v>
      </c>
      <c r="H1748">
        <v>0</v>
      </c>
      <c r="I1748" t="s">
        <v>17</v>
      </c>
      <c r="K1748" t="s">
        <v>5479</v>
      </c>
      <c r="L1748">
        <v>448</v>
      </c>
      <c r="M1748" t="s">
        <v>5480</v>
      </c>
    </row>
    <row r="1749" spans="1:13">
      <c r="A1749" t="s">
        <v>13</v>
      </c>
      <c r="B1749">
        <v>1814934</v>
      </c>
      <c r="C1749">
        <v>1815575</v>
      </c>
      <c r="E1749" t="s">
        <v>35</v>
      </c>
      <c r="F1749" t="s">
        <v>5481</v>
      </c>
      <c r="G1749" t="s">
        <v>5482</v>
      </c>
      <c r="H1749">
        <v>0</v>
      </c>
      <c r="I1749" t="s">
        <v>17</v>
      </c>
      <c r="K1749" t="s">
        <v>5483</v>
      </c>
      <c r="L1749">
        <v>213</v>
      </c>
      <c r="M1749" t="s">
        <v>5484</v>
      </c>
    </row>
    <row r="1750" spans="1:13">
      <c r="A1750" t="s">
        <v>13</v>
      </c>
      <c r="B1750">
        <v>1815575</v>
      </c>
      <c r="C1750">
        <v>1816318</v>
      </c>
      <c r="E1750" t="s">
        <v>35</v>
      </c>
      <c r="F1750" t="s">
        <v>5485</v>
      </c>
      <c r="G1750" t="s">
        <v>5486</v>
      </c>
      <c r="H1750">
        <v>0</v>
      </c>
      <c r="I1750" t="s">
        <v>17</v>
      </c>
      <c r="K1750" t="s">
        <v>5487</v>
      </c>
      <c r="L1750">
        <v>247</v>
      </c>
      <c r="M1750" t="s">
        <v>5488</v>
      </c>
    </row>
    <row r="1751" spans="1:13">
      <c r="A1751" t="s">
        <v>13</v>
      </c>
      <c r="B1751">
        <v>1816435</v>
      </c>
      <c r="C1751">
        <v>1817208</v>
      </c>
      <c r="E1751" t="s">
        <v>14</v>
      </c>
      <c r="F1751" t="s">
        <v>5489</v>
      </c>
      <c r="G1751" t="s">
        <v>5490</v>
      </c>
      <c r="H1751">
        <v>0</v>
      </c>
      <c r="I1751" t="s">
        <v>17</v>
      </c>
      <c r="K1751" t="s">
        <v>5491</v>
      </c>
      <c r="L1751">
        <v>257</v>
      </c>
      <c r="M1751" t="s">
        <v>5492</v>
      </c>
    </row>
    <row r="1752" spans="1:13">
      <c r="A1752" t="s">
        <v>13</v>
      </c>
      <c r="B1752">
        <v>1817218</v>
      </c>
      <c r="C1752">
        <v>1818435</v>
      </c>
      <c r="E1752" t="s">
        <v>14</v>
      </c>
      <c r="F1752" t="s">
        <v>5493</v>
      </c>
      <c r="H1752">
        <v>0</v>
      </c>
      <c r="I1752" t="s">
        <v>17</v>
      </c>
      <c r="K1752" t="s">
        <v>5494</v>
      </c>
      <c r="L1752">
        <v>405</v>
      </c>
      <c r="M1752" t="s">
        <v>5495</v>
      </c>
    </row>
    <row r="1753" spans="1:13">
      <c r="A1753" t="s">
        <v>13</v>
      </c>
      <c r="B1753">
        <v>1818448</v>
      </c>
      <c r="C1753">
        <v>1818576</v>
      </c>
      <c r="E1753" t="s">
        <v>35</v>
      </c>
      <c r="F1753" t="s">
        <v>28</v>
      </c>
      <c r="H1753">
        <v>0</v>
      </c>
      <c r="I1753" t="s">
        <v>17</v>
      </c>
      <c r="K1753" t="s">
        <v>5496</v>
      </c>
      <c r="L1753">
        <v>42</v>
      </c>
      <c r="M1753" t="s">
        <v>5497</v>
      </c>
    </row>
    <row r="1754" spans="1:13">
      <c r="A1754" t="s">
        <v>13</v>
      </c>
      <c r="B1754">
        <v>1818767</v>
      </c>
      <c r="C1754">
        <v>1819048</v>
      </c>
      <c r="E1754" t="s">
        <v>14</v>
      </c>
      <c r="F1754" t="s">
        <v>28</v>
      </c>
      <c r="H1754">
        <v>0</v>
      </c>
      <c r="I1754" t="s">
        <v>17</v>
      </c>
      <c r="K1754" t="s">
        <v>5498</v>
      </c>
      <c r="L1754">
        <v>93</v>
      </c>
      <c r="M1754" t="s">
        <v>5499</v>
      </c>
    </row>
    <row r="1755" spans="1:13">
      <c r="A1755" t="s">
        <v>13</v>
      </c>
      <c r="B1755">
        <v>1819117</v>
      </c>
      <c r="C1755">
        <v>1821036</v>
      </c>
      <c r="E1755" t="s">
        <v>35</v>
      </c>
      <c r="F1755" t="s">
        <v>5500</v>
      </c>
      <c r="G1755" t="s">
        <v>5501</v>
      </c>
      <c r="H1755">
        <v>0</v>
      </c>
      <c r="I1755" t="s">
        <v>17</v>
      </c>
      <c r="K1755" t="s">
        <v>5502</v>
      </c>
      <c r="L1755">
        <v>639</v>
      </c>
      <c r="M1755" t="s">
        <v>5503</v>
      </c>
    </row>
    <row r="1756" spans="1:13">
      <c r="A1756" t="s">
        <v>13</v>
      </c>
      <c r="B1756">
        <v>1821262</v>
      </c>
      <c r="C1756">
        <v>1821684</v>
      </c>
      <c r="E1756" t="s">
        <v>14</v>
      </c>
      <c r="F1756" t="s">
        <v>5504</v>
      </c>
      <c r="H1756">
        <v>0</v>
      </c>
      <c r="I1756" t="s">
        <v>17</v>
      </c>
      <c r="K1756" t="s">
        <v>5505</v>
      </c>
      <c r="L1756">
        <v>140</v>
      </c>
      <c r="M1756" t="s">
        <v>5506</v>
      </c>
    </row>
    <row r="1757" spans="1:13">
      <c r="A1757" t="s">
        <v>13</v>
      </c>
      <c r="B1757">
        <v>1821687</v>
      </c>
      <c r="C1757">
        <v>1821920</v>
      </c>
      <c r="E1757" t="s">
        <v>14</v>
      </c>
      <c r="F1757" t="s">
        <v>28</v>
      </c>
      <c r="H1757">
        <v>0</v>
      </c>
      <c r="I1757" t="s">
        <v>17</v>
      </c>
      <c r="K1757" t="s">
        <v>5507</v>
      </c>
      <c r="L1757">
        <v>77</v>
      </c>
      <c r="M1757" t="s">
        <v>5508</v>
      </c>
    </row>
    <row r="1758" spans="1:13">
      <c r="A1758" t="s">
        <v>13</v>
      </c>
      <c r="B1758">
        <v>1822128</v>
      </c>
      <c r="C1758">
        <v>1823420</v>
      </c>
      <c r="E1758" t="s">
        <v>35</v>
      </c>
      <c r="F1758" t="s">
        <v>5509</v>
      </c>
      <c r="G1758" t="s">
        <v>5510</v>
      </c>
      <c r="H1758">
        <v>0</v>
      </c>
      <c r="I1758" t="s">
        <v>17</v>
      </c>
      <c r="K1758" t="s">
        <v>5511</v>
      </c>
      <c r="L1758">
        <v>430</v>
      </c>
      <c r="M1758" t="s">
        <v>5512</v>
      </c>
    </row>
    <row r="1759" spans="1:13">
      <c r="A1759" t="s">
        <v>13</v>
      </c>
      <c r="B1759">
        <v>1823432</v>
      </c>
      <c r="C1759">
        <v>1824019</v>
      </c>
      <c r="E1759" t="s">
        <v>35</v>
      </c>
      <c r="F1759" t="s">
        <v>28</v>
      </c>
      <c r="H1759">
        <v>0</v>
      </c>
      <c r="I1759" t="s">
        <v>17</v>
      </c>
      <c r="K1759" t="s">
        <v>5513</v>
      </c>
      <c r="L1759">
        <v>195</v>
      </c>
      <c r="M1759" t="s">
        <v>5514</v>
      </c>
    </row>
    <row r="1760" spans="1:13">
      <c r="A1760" t="s">
        <v>13</v>
      </c>
      <c r="B1760">
        <v>1824061</v>
      </c>
      <c r="C1760">
        <v>1826109</v>
      </c>
      <c r="E1760" t="s">
        <v>14</v>
      </c>
      <c r="F1760" t="s">
        <v>28</v>
      </c>
      <c r="H1760">
        <v>0</v>
      </c>
      <c r="I1760" t="s">
        <v>17</v>
      </c>
      <c r="K1760" t="s">
        <v>5515</v>
      </c>
      <c r="L1760">
        <v>682</v>
      </c>
      <c r="M1760" t="s">
        <v>5516</v>
      </c>
    </row>
    <row r="1761" spans="1:13">
      <c r="A1761" t="s">
        <v>13</v>
      </c>
      <c r="B1761">
        <v>1826141</v>
      </c>
      <c r="C1761">
        <v>1826668</v>
      </c>
      <c r="E1761" t="s">
        <v>35</v>
      </c>
      <c r="F1761" t="s">
        <v>28</v>
      </c>
      <c r="H1761">
        <v>0</v>
      </c>
      <c r="I1761" t="s">
        <v>17</v>
      </c>
      <c r="K1761" t="s">
        <v>5517</v>
      </c>
      <c r="L1761">
        <v>175</v>
      </c>
      <c r="M1761" t="s">
        <v>5518</v>
      </c>
    </row>
    <row r="1762" spans="1:13">
      <c r="A1762" t="s">
        <v>13</v>
      </c>
      <c r="B1762">
        <v>1826668</v>
      </c>
      <c r="C1762">
        <v>1827177</v>
      </c>
      <c r="E1762" t="s">
        <v>35</v>
      </c>
      <c r="F1762" t="s">
        <v>28</v>
      </c>
      <c r="H1762">
        <v>0</v>
      </c>
      <c r="I1762" t="s">
        <v>17</v>
      </c>
      <c r="K1762" t="s">
        <v>5519</v>
      </c>
      <c r="L1762">
        <v>169</v>
      </c>
      <c r="M1762" t="s">
        <v>5520</v>
      </c>
    </row>
    <row r="1763" spans="1:13">
      <c r="A1763" t="s">
        <v>13</v>
      </c>
      <c r="B1763">
        <v>1827182</v>
      </c>
      <c r="C1763">
        <v>1828561</v>
      </c>
      <c r="E1763" t="s">
        <v>35</v>
      </c>
      <c r="F1763" t="s">
        <v>5521</v>
      </c>
      <c r="G1763" t="s">
        <v>5522</v>
      </c>
      <c r="H1763">
        <v>0</v>
      </c>
      <c r="I1763" t="s">
        <v>17</v>
      </c>
      <c r="K1763" t="s">
        <v>5523</v>
      </c>
      <c r="L1763">
        <v>459</v>
      </c>
      <c r="M1763" t="s">
        <v>5524</v>
      </c>
    </row>
    <row r="1764" spans="1:13">
      <c r="A1764" t="s">
        <v>13</v>
      </c>
      <c r="B1764">
        <v>1828750</v>
      </c>
      <c r="C1764">
        <v>1829040</v>
      </c>
      <c r="E1764" t="s">
        <v>14</v>
      </c>
      <c r="F1764" t="s">
        <v>5525</v>
      </c>
      <c r="G1764" t="s">
        <v>5526</v>
      </c>
      <c r="H1764">
        <v>0</v>
      </c>
      <c r="I1764" t="s">
        <v>17</v>
      </c>
      <c r="K1764" t="s">
        <v>5527</v>
      </c>
      <c r="L1764">
        <v>96</v>
      </c>
      <c r="M1764" t="s">
        <v>5528</v>
      </c>
    </row>
    <row r="1765" spans="1:13">
      <c r="A1765" t="s">
        <v>13</v>
      </c>
      <c r="B1765">
        <v>1829100</v>
      </c>
      <c r="C1765">
        <v>1829528</v>
      </c>
      <c r="E1765" t="s">
        <v>14</v>
      </c>
      <c r="F1765" t="s">
        <v>5529</v>
      </c>
      <c r="G1765" t="s">
        <v>5530</v>
      </c>
      <c r="H1765">
        <v>0</v>
      </c>
      <c r="I1765" t="s">
        <v>17</v>
      </c>
      <c r="K1765" t="s">
        <v>5531</v>
      </c>
      <c r="L1765">
        <v>142</v>
      </c>
      <c r="M1765" t="s">
        <v>5532</v>
      </c>
    </row>
    <row r="1766" spans="1:13">
      <c r="A1766" t="s">
        <v>13</v>
      </c>
      <c r="B1766">
        <v>1829560</v>
      </c>
      <c r="C1766">
        <v>1830312</v>
      </c>
      <c r="E1766" t="s">
        <v>35</v>
      </c>
      <c r="F1766" t="s">
        <v>5533</v>
      </c>
      <c r="H1766">
        <v>0</v>
      </c>
      <c r="I1766" t="s">
        <v>17</v>
      </c>
      <c r="K1766" t="s">
        <v>5534</v>
      </c>
      <c r="L1766">
        <v>250</v>
      </c>
      <c r="M1766" t="s">
        <v>5535</v>
      </c>
    </row>
    <row r="1767" spans="1:13">
      <c r="A1767" t="s">
        <v>13</v>
      </c>
      <c r="B1767">
        <v>1830323</v>
      </c>
      <c r="C1767">
        <v>1831039</v>
      </c>
      <c r="E1767" t="s">
        <v>35</v>
      </c>
      <c r="F1767" t="s">
        <v>5536</v>
      </c>
      <c r="G1767" t="s">
        <v>5537</v>
      </c>
      <c r="H1767">
        <v>0</v>
      </c>
      <c r="I1767" t="s">
        <v>17</v>
      </c>
      <c r="K1767" t="s">
        <v>5538</v>
      </c>
      <c r="L1767">
        <v>238</v>
      </c>
      <c r="M1767" t="s">
        <v>5539</v>
      </c>
    </row>
    <row r="1768" spans="1:13">
      <c r="A1768" t="s">
        <v>13</v>
      </c>
      <c r="B1768">
        <v>1831046</v>
      </c>
      <c r="C1768">
        <v>1832083</v>
      </c>
      <c r="E1768" t="s">
        <v>35</v>
      </c>
      <c r="F1768" t="s">
        <v>5540</v>
      </c>
      <c r="G1768" t="s">
        <v>5541</v>
      </c>
      <c r="H1768">
        <v>0</v>
      </c>
      <c r="I1768" t="s">
        <v>17</v>
      </c>
      <c r="K1768" t="s">
        <v>5542</v>
      </c>
      <c r="L1768">
        <v>345</v>
      </c>
      <c r="M1768" t="s">
        <v>5543</v>
      </c>
    </row>
    <row r="1769" spans="1:13">
      <c r="A1769" t="s">
        <v>13</v>
      </c>
      <c r="B1769">
        <v>1832213</v>
      </c>
      <c r="C1769">
        <v>1832770</v>
      </c>
      <c r="E1769" t="s">
        <v>14</v>
      </c>
      <c r="F1769" t="s">
        <v>28</v>
      </c>
      <c r="H1769">
        <v>0</v>
      </c>
      <c r="I1769" t="s">
        <v>17</v>
      </c>
      <c r="K1769" t="s">
        <v>5544</v>
      </c>
      <c r="L1769">
        <v>185</v>
      </c>
      <c r="M1769" t="s">
        <v>5545</v>
      </c>
    </row>
    <row r="1770" spans="1:13">
      <c r="A1770" t="s">
        <v>13</v>
      </c>
      <c r="B1770">
        <v>1832996</v>
      </c>
      <c r="C1770">
        <v>1834015</v>
      </c>
      <c r="E1770" t="s">
        <v>35</v>
      </c>
      <c r="F1770" t="s">
        <v>5546</v>
      </c>
      <c r="G1770" t="s">
        <v>5547</v>
      </c>
      <c r="H1770">
        <v>0</v>
      </c>
      <c r="I1770" t="s">
        <v>17</v>
      </c>
      <c r="K1770" t="s">
        <v>5548</v>
      </c>
      <c r="L1770">
        <v>339</v>
      </c>
      <c r="M1770" t="s">
        <v>5549</v>
      </c>
    </row>
    <row r="1771" spans="1:13">
      <c r="A1771" t="s">
        <v>13</v>
      </c>
      <c r="B1771">
        <v>1834142</v>
      </c>
      <c r="C1771">
        <v>1834990</v>
      </c>
      <c r="E1771" t="s">
        <v>35</v>
      </c>
      <c r="F1771" t="s">
        <v>5550</v>
      </c>
      <c r="G1771" t="s">
        <v>5551</v>
      </c>
      <c r="H1771">
        <v>0</v>
      </c>
      <c r="I1771" t="s">
        <v>17</v>
      </c>
      <c r="K1771" t="s">
        <v>5552</v>
      </c>
      <c r="L1771">
        <v>282</v>
      </c>
      <c r="M1771" t="s">
        <v>5553</v>
      </c>
    </row>
    <row r="1772" spans="1:13">
      <c r="A1772" t="s">
        <v>13</v>
      </c>
      <c r="B1772">
        <v>1835042</v>
      </c>
      <c r="C1772">
        <v>1835662</v>
      </c>
      <c r="E1772" t="s">
        <v>35</v>
      </c>
      <c r="F1772" t="s">
        <v>5554</v>
      </c>
      <c r="G1772" t="s">
        <v>5555</v>
      </c>
      <c r="H1772">
        <v>0</v>
      </c>
      <c r="I1772" t="s">
        <v>17</v>
      </c>
      <c r="K1772" t="s">
        <v>5556</v>
      </c>
      <c r="L1772">
        <v>206</v>
      </c>
      <c r="M1772" t="s">
        <v>5557</v>
      </c>
    </row>
    <row r="1773" spans="1:13">
      <c r="A1773" t="s">
        <v>13</v>
      </c>
      <c r="B1773">
        <v>1835663</v>
      </c>
      <c r="C1773">
        <v>1836640</v>
      </c>
      <c r="E1773" t="s">
        <v>35</v>
      </c>
      <c r="F1773" t="s">
        <v>2843</v>
      </c>
      <c r="G1773" t="s">
        <v>5558</v>
      </c>
      <c r="H1773">
        <v>0</v>
      </c>
      <c r="I1773" t="s">
        <v>17</v>
      </c>
      <c r="K1773" t="s">
        <v>5559</v>
      </c>
      <c r="L1773">
        <v>325</v>
      </c>
      <c r="M1773" t="s">
        <v>5560</v>
      </c>
    </row>
    <row r="1774" spans="1:13">
      <c r="A1774" t="s">
        <v>13</v>
      </c>
      <c r="B1774">
        <v>1836651</v>
      </c>
      <c r="C1774">
        <v>1837394</v>
      </c>
      <c r="E1774" t="s">
        <v>35</v>
      </c>
      <c r="F1774" t="s">
        <v>5561</v>
      </c>
      <c r="G1774" t="s">
        <v>5562</v>
      </c>
      <c r="H1774">
        <v>0</v>
      </c>
      <c r="I1774" t="s">
        <v>17</v>
      </c>
      <c r="K1774" t="s">
        <v>5563</v>
      </c>
      <c r="L1774">
        <v>247</v>
      </c>
      <c r="M1774" t="s">
        <v>5564</v>
      </c>
    </row>
    <row r="1775" spans="1:13">
      <c r="A1775" t="s">
        <v>13</v>
      </c>
      <c r="B1775">
        <v>1837394</v>
      </c>
      <c r="C1775">
        <v>1838554</v>
      </c>
      <c r="E1775" t="s">
        <v>35</v>
      </c>
      <c r="F1775" t="s">
        <v>5565</v>
      </c>
      <c r="G1775" t="s">
        <v>5566</v>
      </c>
      <c r="H1775">
        <v>0</v>
      </c>
      <c r="I1775" t="s">
        <v>17</v>
      </c>
      <c r="K1775" t="s">
        <v>5567</v>
      </c>
      <c r="L1775">
        <v>386</v>
      </c>
      <c r="M1775" t="s">
        <v>5568</v>
      </c>
    </row>
    <row r="1776" spans="1:13">
      <c r="A1776" t="s">
        <v>13</v>
      </c>
      <c r="B1776">
        <v>1838636</v>
      </c>
      <c r="C1776">
        <v>1839676</v>
      </c>
      <c r="E1776" t="s">
        <v>35</v>
      </c>
      <c r="F1776" t="s">
        <v>5569</v>
      </c>
      <c r="G1776" t="s">
        <v>5570</v>
      </c>
      <c r="H1776">
        <v>0</v>
      </c>
      <c r="I1776" t="s">
        <v>17</v>
      </c>
      <c r="K1776" t="s">
        <v>5571</v>
      </c>
      <c r="L1776">
        <v>346</v>
      </c>
      <c r="M1776" t="s">
        <v>5572</v>
      </c>
    </row>
    <row r="1777" spans="1:13">
      <c r="A1777" t="s">
        <v>13</v>
      </c>
      <c r="B1777">
        <v>1839841</v>
      </c>
      <c r="C1777">
        <v>1840980</v>
      </c>
      <c r="E1777" t="s">
        <v>35</v>
      </c>
      <c r="F1777" t="s">
        <v>5573</v>
      </c>
      <c r="G1777" t="s">
        <v>5574</v>
      </c>
      <c r="H1777">
        <v>0</v>
      </c>
      <c r="I1777" t="s">
        <v>17</v>
      </c>
      <c r="K1777" t="s">
        <v>5575</v>
      </c>
      <c r="L1777">
        <v>379</v>
      </c>
      <c r="M1777" t="s">
        <v>5576</v>
      </c>
    </row>
    <row r="1778" spans="1:13">
      <c r="A1778" t="s">
        <v>13</v>
      </c>
      <c r="B1778">
        <v>1841130</v>
      </c>
      <c r="C1778">
        <v>1842518</v>
      </c>
      <c r="E1778" t="s">
        <v>14</v>
      </c>
      <c r="F1778" t="s">
        <v>5577</v>
      </c>
      <c r="G1778" t="s">
        <v>5578</v>
      </c>
      <c r="H1778">
        <v>0</v>
      </c>
      <c r="I1778" t="s">
        <v>17</v>
      </c>
      <c r="K1778" t="s">
        <v>5579</v>
      </c>
      <c r="L1778">
        <v>462</v>
      </c>
      <c r="M1778" t="s">
        <v>5580</v>
      </c>
    </row>
    <row r="1779" spans="1:13">
      <c r="A1779" t="s">
        <v>13</v>
      </c>
      <c r="B1779">
        <v>1842518</v>
      </c>
      <c r="C1779">
        <v>1843576</v>
      </c>
      <c r="E1779" t="s">
        <v>14</v>
      </c>
      <c r="F1779" t="s">
        <v>28</v>
      </c>
      <c r="H1779">
        <v>0</v>
      </c>
      <c r="I1779" t="s">
        <v>17</v>
      </c>
      <c r="K1779" t="s">
        <v>5581</v>
      </c>
      <c r="L1779">
        <v>352</v>
      </c>
      <c r="M1779" t="s">
        <v>5582</v>
      </c>
    </row>
    <row r="1780" spans="1:13">
      <c r="A1780" t="s">
        <v>13</v>
      </c>
      <c r="B1780">
        <v>1843683</v>
      </c>
      <c r="C1780">
        <v>1844837</v>
      </c>
      <c r="E1780" t="s">
        <v>14</v>
      </c>
      <c r="F1780" t="s">
        <v>28</v>
      </c>
      <c r="H1780">
        <v>0</v>
      </c>
      <c r="I1780" t="s">
        <v>17</v>
      </c>
      <c r="K1780" t="s">
        <v>5583</v>
      </c>
      <c r="L1780">
        <v>384</v>
      </c>
      <c r="M1780" t="s">
        <v>5584</v>
      </c>
    </row>
    <row r="1781" spans="1:13">
      <c r="A1781" t="s">
        <v>13</v>
      </c>
      <c r="B1781">
        <v>1845002</v>
      </c>
      <c r="C1781">
        <v>1845952</v>
      </c>
      <c r="E1781" t="s">
        <v>14</v>
      </c>
      <c r="F1781" t="s">
        <v>28</v>
      </c>
      <c r="H1781">
        <v>0</v>
      </c>
      <c r="I1781" t="s">
        <v>17</v>
      </c>
      <c r="K1781" t="s">
        <v>5585</v>
      </c>
      <c r="L1781">
        <v>316</v>
      </c>
      <c r="M1781" t="s">
        <v>5586</v>
      </c>
    </row>
    <row r="1782" spans="1:13">
      <c r="A1782" t="s">
        <v>13</v>
      </c>
      <c r="B1782">
        <v>1846092</v>
      </c>
      <c r="C1782">
        <v>1846772</v>
      </c>
      <c r="E1782" t="s">
        <v>35</v>
      </c>
      <c r="F1782" t="s">
        <v>28</v>
      </c>
      <c r="H1782">
        <v>0</v>
      </c>
      <c r="I1782" t="s">
        <v>17</v>
      </c>
      <c r="K1782" t="s">
        <v>5587</v>
      </c>
      <c r="L1782">
        <v>226</v>
      </c>
      <c r="M1782" t="s">
        <v>5588</v>
      </c>
    </row>
    <row r="1783" spans="1:13">
      <c r="A1783" t="s">
        <v>13</v>
      </c>
      <c r="B1783">
        <v>1846997</v>
      </c>
      <c r="C1783">
        <v>1848829</v>
      </c>
      <c r="E1783" t="s">
        <v>35</v>
      </c>
      <c r="F1783" t="s">
        <v>5589</v>
      </c>
      <c r="H1783">
        <v>0</v>
      </c>
      <c r="I1783" t="s">
        <v>17</v>
      </c>
      <c r="K1783" t="s">
        <v>5590</v>
      </c>
      <c r="L1783">
        <v>610</v>
      </c>
      <c r="M1783" t="s">
        <v>5591</v>
      </c>
    </row>
    <row r="1784" spans="1:13">
      <c r="A1784" t="s">
        <v>13</v>
      </c>
      <c r="B1784">
        <v>1848981</v>
      </c>
      <c r="C1784">
        <v>1849256</v>
      </c>
      <c r="E1784" t="s">
        <v>35</v>
      </c>
      <c r="F1784" t="s">
        <v>28</v>
      </c>
      <c r="H1784">
        <v>0</v>
      </c>
      <c r="I1784" t="s">
        <v>17</v>
      </c>
      <c r="K1784" t="s">
        <v>5592</v>
      </c>
      <c r="L1784">
        <v>91</v>
      </c>
      <c r="M1784" t="s">
        <v>5593</v>
      </c>
    </row>
    <row r="1785" spans="1:13">
      <c r="A1785" t="s">
        <v>13</v>
      </c>
      <c r="B1785">
        <v>1849249</v>
      </c>
      <c r="C1785">
        <v>1849452</v>
      </c>
      <c r="E1785" t="s">
        <v>35</v>
      </c>
      <c r="F1785" t="s">
        <v>28</v>
      </c>
      <c r="H1785">
        <v>0</v>
      </c>
      <c r="I1785" t="s">
        <v>17</v>
      </c>
      <c r="K1785" t="s">
        <v>5594</v>
      </c>
      <c r="L1785">
        <v>67</v>
      </c>
      <c r="M1785" t="s">
        <v>5595</v>
      </c>
    </row>
    <row r="1786" spans="1:13">
      <c r="A1786" t="s">
        <v>13</v>
      </c>
      <c r="B1786">
        <v>1849491</v>
      </c>
      <c r="C1786">
        <v>1850753</v>
      </c>
      <c r="E1786" t="s">
        <v>14</v>
      </c>
      <c r="F1786" t="s">
        <v>5596</v>
      </c>
      <c r="H1786">
        <v>0</v>
      </c>
      <c r="I1786" t="s">
        <v>17</v>
      </c>
      <c r="K1786" t="s">
        <v>5597</v>
      </c>
      <c r="L1786">
        <v>420</v>
      </c>
      <c r="M1786" t="s">
        <v>5598</v>
      </c>
    </row>
    <row r="1787" spans="1:13">
      <c r="A1787" t="s">
        <v>13</v>
      </c>
      <c r="B1787">
        <v>1850757</v>
      </c>
      <c r="C1787">
        <v>1851308</v>
      </c>
      <c r="E1787" t="s">
        <v>35</v>
      </c>
      <c r="F1787" t="s">
        <v>5599</v>
      </c>
      <c r="G1787" t="s">
        <v>5600</v>
      </c>
      <c r="H1787">
        <v>0</v>
      </c>
      <c r="I1787" t="s">
        <v>17</v>
      </c>
      <c r="K1787" t="s">
        <v>5601</v>
      </c>
      <c r="L1787">
        <v>183</v>
      </c>
      <c r="M1787" t="s">
        <v>5602</v>
      </c>
    </row>
    <row r="1788" spans="1:13">
      <c r="A1788" t="s">
        <v>13</v>
      </c>
      <c r="B1788">
        <v>1851305</v>
      </c>
      <c r="C1788">
        <v>1851853</v>
      </c>
      <c r="E1788" t="s">
        <v>35</v>
      </c>
      <c r="F1788" t="s">
        <v>28</v>
      </c>
      <c r="H1788">
        <v>0</v>
      </c>
      <c r="I1788" t="s">
        <v>17</v>
      </c>
      <c r="K1788" t="s">
        <v>5603</v>
      </c>
      <c r="L1788">
        <v>182</v>
      </c>
      <c r="M1788" t="s">
        <v>5604</v>
      </c>
    </row>
    <row r="1789" spans="1:13">
      <c r="A1789" t="s">
        <v>13</v>
      </c>
      <c r="B1789">
        <v>1852021</v>
      </c>
      <c r="C1789">
        <v>1853907</v>
      </c>
      <c r="E1789" t="s">
        <v>14</v>
      </c>
      <c r="F1789" t="s">
        <v>5605</v>
      </c>
      <c r="H1789">
        <v>0</v>
      </c>
      <c r="I1789" t="s">
        <v>17</v>
      </c>
      <c r="K1789" t="s">
        <v>5606</v>
      </c>
      <c r="L1789">
        <v>628</v>
      </c>
      <c r="M1789" t="s">
        <v>5607</v>
      </c>
    </row>
    <row r="1790" spans="1:13">
      <c r="A1790" t="s">
        <v>13</v>
      </c>
      <c r="B1790">
        <v>1853950</v>
      </c>
      <c r="C1790">
        <v>1855080</v>
      </c>
      <c r="E1790" t="s">
        <v>14</v>
      </c>
      <c r="F1790" t="s">
        <v>5608</v>
      </c>
      <c r="G1790" t="s">
        <v>5609</v>
      </c>
      <c r="H1790">
        <v>0</v>
      </c>
      <c r="I1790" t="s">
        <v>17</v>
      </c>
      <c r="K1790" t="s">
        <v>5610</v>
      </c>
      <c r="L1790">
        <v>376</v>
      </c>
      <c r="M1790" t="s">
        <v>5611</v>
      </c>
    </row>
    <row r="1791" spans="1:13">
      <c r="A1791" t="s">
        <v>13</v>
      </c>
      <c r="B1791">
        <v>1855291</v>
      </c>
      <c r="C1791">
        <v>1856718</v>
      </c>
      <c r="E1791" t="s">
        <v>14</v>
      </c>
      <c r="F1791" t="s">
        <v>5612</v>
      </c>
      <c r="G1791" t="s">
        <v>5613</v>
      </c>
      <c r="H1791">
        <v>0</v>
      </c>
      <c r="I1791" t="s">
        <v>17</v>
      </c>
      <c r="K1791" t="s">
        <v>5614</v>
      </c>
      <c r="L1791">
        <v>475</v>
      </c>
      <c r="M1791" t="s">
        <v>5615</v>
      </c>
    </row>
    <row r="1792" spans="1:13">
      <c r="A1792" t="s">
        <v>13</v>
      </c>
      <c r="B1792">
        <v>1856885</v>
      </c>
      <c r="C1792">
        <v>1857904</v>
      </c>
      <c r="E1792" t="s">
        <v>14</v>
      </c>
      <c r="F1792" t="s">
        <v>5616</v>
      </c>
      <c r="G1792" t="s">
        <v>5617</v>
      </c>
      <c r="H1792">
        <v>0</v>
      </c>
      <c r="I1792" t="s">
        <v>17</v>
      </c>
      <c r="K1792" t="s">
        <v>5618</v>
      </c>
      <c r="L1792">
        <v>339</v>
      </c>
      <c r="M1792" t="s">
        <v>5619</v>
      </c>
    </row>
    <row r="1793" spans="1:13">
      <c r="A1793" t="s">
        <v>13</v>
      </c>
      <c r="B1793">
        <v>1858198</v>
      </c>
      <c r="C1793">
        <v>1859625</v>
      </c>
      <c r="E1793" t="s">
        <v>14</v>
      </c>
      <c r="F1793" t="s">
        <v>5620</v>
      </c>
      <c r="G1793" t="s">
        <v>5621</v>
      </c>
      <c r="H1793">
        <v>0</v>
      </c>
      <c r="I1793" t="s">
        <v>17</v>
      </c>
      <c r="K1793" t="s">
        <v>5622</v>
      </c>
      <c r="L1793">
        <v>475</v>
      </c>
      <c r="M1793" t="s">
        <v>5623</v>
      </c>
    </row>
    <row r="1794" spans="1:13">
      <c r="A1794" t="s">
        <v>13</v>
      </c>
      <c r="B1794">
        <v>1859622</v>
      </c>
      <c r="C1794">
        <v>1860587</v>
      </c>
      <c r="E1794" t="s">
        <v>14</v>
      </c>
      <c r="F1794" t="s">
        <v>5624</v>
      </c>
      <c r="G1794" t="s">
        <v>5625</v>
      </c>
      <c r="H1794">
        <v>0</v>
      </c>
      <c r="I1794" t="s">
        <v>17</v>
      </c>
      <c r="K1794" t="s">
        <v>5626</v>
      </c>
      <c r="L1794">
        <v>321</v>
      </c>
      <c r="M1794" t="s">
        <v>5627</v>
      </c>
    </row>
    <row r="1795" spans="1:13">
      <c r="A1795" t="s">
        <v>13</v>
      </c>
      <c r="B1795">
        <v>1860584</v>
      </c>
      <c r="C1795">
        <v>1861405</v>
      </c>
      <c r="E1795" t="s">
        <v>14</v>
      </c>
      <c r="F1795" t="s">
        <v>5628</v>
      </c>
      <c r="G1795" t="s">
        <v>5629</v>
      </c>
      <c r="H1795">
        <v>0</v>
      </c>
      <c r="I1795" t="s">
        <v>17</v>
      </c>
      <c r="K1795" t="s">
        <v>5630</v>
      </c>
      <c r="L1795">
        <v>273</v>
      </c>
      <c r="M1795" t="s">
        <v>5631</v>
      </c>
    </row>
    <row r="1796" spans="1:13">
      <c r="A1796" t="s">
        <v>13</v>
      </c>
      <c r="B1796">
        <v>1861402</v>
      </c>
      <c r="C1796">
        <v>1862850</v>
      </c>
      <c r="E1796" t="s">
        <v>14</v>
      </c>
      <c r="F1796" t="s">
        <v>1317</v>
      </c>
      <c r="G1796" t="s">
        <v>5632</v>
      </c>
      <c r="H1796">
        <v>0</v>
      </c>
      <c r="I1796" t="s">
        <v>17</v>
      </c>
      <c r="K1796" t="s">
        <v>5633</v>
      </c>
      <c r="L1796">
        <v>482</v>
      </c>
      <c r="M1796" t="s">
        <v>5634</v>
      </c>
    </row>
    <row r="1797" spans="1:13">
      <c r="A1797" t="s">
        <v>13</v>
      </c>
      <c r="B1797">
        <v>1862911</v>
      </c>
      <c r="C1797">
        <v>1864602</v>
      </c>
      <c r="E1797" t="s">
        <v>14</v>
      </c>
      <c r="F1797" t="s">
        <v>28</v>
      </c>
      <c r="H1797">
        <v>0</v>
      </c>
      <c r="I1797" t="s">
        <v>17</v>
      </c>
      <c r="K1797" t="s">
        <v>5635</v>
      </c>
      <c r="L1797">
        <v>563</v>
      </c>
      <c r="M1797" t="s">
        <v>5636</v>
      </c>
    </row>
    <row r="1798" spans="1:13">
      <c r="A1798" t="s">
        <v>13</v>
      </c>
      <c r="B1798">
        <v>1864663</v>
      </c>
      <c r="C1798">
        <v>1865913</v>
      </c>
      <c r="E1798" t="s">
        <v>14</v>
      </c>
      <c r="F1798" t="s">
        <v>1553</v>
      </c>
      <c r="G1798" t="s">
        <v>5637</v>
      </c>
      <c r="H1798">
        <v>0</v>
      </c>
      <c r="I1798" t="s">
        <v>17</v>
      </c>
      <c r="K1798" t="s">
        <v>5638</v>
      </c>
      <c r="L1798">
        <v>416</v>
      </c>
      <c r="M1798" t="s">
        <v>5639</v>
      </c>
    </row>
    <row r="1799" spans="1:13">
      <c r="A1799" t="s">
        <v>13</v>
      </c>
      <c r="B1799">
        <v>1865867</v>
      </c>
      <c r="C1799">
        <v>1866544</v>
      </c>
      <c r="E1799" t="s">
        <v>14</v>
      </c>
      <c r="F1799" t="s">
        <v>1553</v>
      </c>
      <c r="G1799" t="s">
        <v>5640</v>
      </c>
      <c r="H1799">
        <v>0</v>
      </c>
      <c r="I1799" t="s">
        <v>17</v>
      </c>
      <c r="K1799" t="s">
        <v>5641</v>
      </c>
      <c r="L1799">
        <v>225</v>
      </c>
      <c r="M1799" t="s">
        <v>5642</v>
      </c>
    </row>
    <row r="1800" spans="1:13">
      <c r="A1800" t="s">
        <v>13</v>
      </c>
      <c r="B1800">
        <v>1866544</v>
      </c>
      <c r="C1800">
        <v>1866924</v>
      </c>
      <c r="E1800" t="s">
        <v>14</v>
      </c>
      <c r="F1800" t="s">
        <v>28</v>
      </c>
      <c r="H1800">
        <v>0</v>
      </c>
      <c r="I1800" t="s">
        <v>17</v>
      </c>
      <c r="K1800" t="s">
        <v>5643</v>
      </c>
      <c r="L1800">
        <v>126</v>
      </c>
      <c r="M1800" t="s">
        <v>5644</v>
      </c>
    </row>
    <row r="1801" spans="1:13">
      <c r="A1801" t="s">
        <v>13</v>
      </c>
      <c r="B1801">
        <v>1866927</v>
      </c>
      <c r="C1801">
        <v>1868303</v>
      </c>
      <c r="E1801" t="s">
        <v>35</v>
      </c>
      <c r="F1801" t="s">
        <v>1818</v>
      </c>
      <c r="G1801" t="s">
        <v>5645</v>
      </c>
      <c r="H1801">
        <v>0</v>
      </c>
      <c r="I1801" t="s">
        <v>17</v>
      </c>
      <c r="K1801" t="s">
        <v>5646</v>
      </c>
      <c r="L1801">
        <v>458</v>
      </c>
      <c r="M1801" t="s">
        <v>5647</v>
      </c>
    </row>
    <row r="1802" spans="1:13">
      <c r="A1802" t="s">
        <v>13</v>
      </c>
      <c r="B1802">
        <v>1868461</v>
      </c>
      <c r="C1802">
        <v>1869450</v>
      </c>
      <c r="E1802" t="s">
        <v>14</v>
      </c>
      <c r="F1802" t="s">
        <v>28</v>
      </c>
      <c r="H1802">
        <v>0</v>
      </c>
      <c r="I1802" t="s">
        <v>17</v>
      </c>
      <c r="K1802" t="s">
        <v>5648</v>
      </c>
      <c r="L1802">
        <v>329</v>
      </c>
      <c r="M1802" t="s">
        <v>5649</v>
      </c>
    </row>
    <row r="1803" spans="1:13">
      <c r="A1803" t="s">
        <v>13</v>
      </c>
      <c r="B1803">
        <v>1869849</v>
      </c>
      <c r="C1803">
        <v>1871075</v>
      </c>
      <c r="E1803" t="s">
        <v>35</v>
      </c>
      <c r="F1803" t="s">
        <v>5650</v>
      </c>
      <c r="G1803" t="s">
        <v>5651</v>
      </c>
      <c r="H1803">
        <v>0</v>
      </c>
      <c r="I1803" t="s">
        <v>17</v>
      </c>
      <c r="K1803" t="s">
        <v>5652</v>
      </c>
      <c r="L1803">
        <v>408</v>
      </c>
      <c r="M1803" t="s">
        <v>5653</v>
      </c>
    </row>
    <row r="1804" spans="1:13">
      <c r="A1804" t="s">
        <v>13</v>
      </c>
      <c r="B1804">
        <v>1871075</v>
      </c>
      <c r="C1804">
        <v>1872196</v>
      </c>
      <c r="E1804" t="s">
        <v>35</v>
      </c>
      <c r="F1804" t="s">
        <v>28</v>
      </c>
      <c r="H1804">
        <v>0</v>
      </c>
      <c r="I1804" t="s">
        <v>17</v>
      </c>
      <c r="K1804" t="s">
        <v>5654</v>
      </c>
      <c r="L1804">
        <v>373</v>
      </c>
      <c r="M1804" t="s">
        <v>5655</v>
      </c>
    </row>
    <row r="1805" spans="1:13">
      <c r="A1805" t="s">
        <v>13</v>
      </c>
      <c r="B1805">
        <v>1872200</v>
      </c>
      <c r="C1805">
        <v>1874101</v>
      </c>
      <c r="E1805" t="s">
        <v>35</v>
      </c>
      <c r="F1805" t="s">
        <v>5656</v>
      </c>
      <c r="G1805" t="s">
        <v>5657</v>
      </c>
      <c r="H1805">
        <v>0</v>
      </c>
      <c r="I1805" t="s">
        <v>17</v>
      </c>
      <c r="K1805" t="s">
        <v>5658</v>
      </c>
      <c r="L1805">
        <v>633</v>
      </c>
      <c r="M1805" t="s">
        <v>5659</v>
      </c>
    </row>
    <row r="1806" spans="1:13">
      <c r="A1806" t="s">
        <v>13</v>
      </c>
      <c r="B1806">
        <v>1874348</v>
      </c>
      <c r="C1806">
        <v>1876198</v>
      </c>
      <c r="E1806" t="s">
        <v>35</v>
      </c>
      <c r="F1806" t="s">
        <v>5660</v>
      </c>
      <c r="G1806" t="s">
        <v>5661</v>
      </c>
      <c r="H1806">
        <v>0</v>
      </c>
      <c r="I1806" t="s">
        <v>17</v>
      </c>
      <c r="K1806" t="s">
        <v>5662</v>
      </c>
      <c r="L1806">
        <v>616</v>
      </c>
      <c r="M1806" t="s">
        <v>5663</v>
      </c>
    </row>
    <row r="1807" spans="1:13">
      <c r="A1807" t="s">
        <v>13</v>
      </c>
      <c r="B1807">
        <v>1876217</v>
      </c>
      <c r="C1807">
        <v>1876753</v>
      </c>
      <c r="E1807" t="s">
        <v>14</v>
      </c>
      <c r="F1807" t="s">
        <v>28</v>
      </c>
      <c r="H1807">
        <v>0</v>
      </c>
      <c r="I1807" t="s">
        <v>17</v>
      </c>
      <c r="K1807" t="s">
        <v>5664</v>
      </c>
      <c r="L1807">
        <v>178</v>
      </c>
      <c r="M1807" t="s">
        <v>5665</v>
      </c>
    </row>
    <row r="1808" spans="1:13">
      <c r="A1808" t="s">
        <v>13</v>
      </c>
      <c r="B1808">
        <v>1876979</v>
      </c>
      <c r="C1808">
        <v>1877242</v>
      </c>
      <c r="E1808" t="s">
        <v>14</v>
      </c>
      <c r="F1808" t="s">
        <v>5666</v>
      </c>
      <c r="G1808" t="s">
        <v>5667</v>
      </c>
      <c r="H1808">
        <v>0</v>
      </c>
      <c r="I1808" t="s">
        <v>17</v>
      </c>
      <c r="K1808" t="s">
        <v>5668</v>
      </c>
      <c r="L1808">
        <v>87</v>
      </c>
      <c r="M1808" t="s">
        <v>5669</v>
      </c>
    </row>
    <row r="1809" spans="1:13">
      <c r="A1809" t="s">
        <v>13</v>
      </c>
      <c r="B1809">
        <v>1877341</v>
      </c>
      <c r="C1809">
        <v>1877919</v>
      </c>
      <c r="E1809" t="s">
        <v>35</v>
      </c>
      <c r="F1809" t="s">
        <v>2653</v>
      </c>
      <c r="H1809">
        <v>0</v>
      </c>
      <c r="I1809" t="s">
        <v>17</v>
      </c>
      <c r="K1809" t="s">
        <v>5670</v>
      </c>
      <c r="L1809">
        <v>192</v>
      </c>
      <c r="M1809" t="s">
        <v>5671</v>
      </c>
    </row>
    <row r="1810" spans="1:13">
      <c r="A1810" t="s">
        <v>13</v>
      </c>
      <c r="B1810">
        <v>1878348</v>
      </c>
      <c r="C1810">
        <v>1879190</v>
      </c>
      <c r="E1810" t="s">
        <v>14</v>
      </c>
      <c r="F1810" t="s">
        <v>5672</v>
      </c>
      <c r="G1810" t="s">
        <v>5673</v>
      </c>
      <c r="H1810">
        <v>0</v>
      </c>
      <c r="I1810" t="s">
        <v>17</v>
      </c>
      <c r="K1810" t="s">
        <v>5674</v>
      </c>
      <c r="L1810">
        <v>280</v>
      </c>
      <c r="M1810" t="s">
        <v>5675</v>
      </c>
    </row>
    <row r="1811" spans="1:13">
      <c r="A1811" t="s">
        <v>13</v>
      </c>
      <c r="B1811">
        <v>1879183</v>
      </c>
      <c r="C1811">
        <v>1880544</v>
      </c>
      <c r="E1811" t="s">
        <v>14</v>
      </c>
      <c r="F1811" t="s">
        <v>28</v>
      </c>
      <c r="H1811">
        <v>0</v>
      </c>
      <c r="I1811" t="s">
        <v>17</v>
      </c>
      <c r="K1811" t="s">
        <v>5676</v>
      </c>
      <c r="L1811">
        <v>453</v>
      </c>
      <c r="M1811" t="s">
        <v>5677</v>
      </c>
    </row>
    <row r="1812" spans="1:13">
      <c r="A1812" t="s">
        <v>13</v>
      </c>
      <c r="B1812">
        <v>1880541</v>
      </c>
      <c r="C1812">
        <v>1881188</v>
      </c>
      <c r="E1812" t="s">
        <v>35</v>
      </c>
      <c r="F1812" t="s">
        <v>307</v>
      </c>
      <c r="G1812" t="s">
        <v>5678</v>
      </c>
      <c r="H1812">
        <v>0</v>
      </c>
      <c r="I1812" t="s">
        <v>17</v>
      </c>
      <c r="K1812" t="s">
        <v>5679</v>
      </c>
      <c r="L1812">
        <v>215</v>
      </c>
      <c r="M1812" t="s">
        <v>5680</v>
      </c>
    </row>
    <row r="1813" spans="1:13">
      <c r="A1813" t="s">
        <v>13</v>
      </c>
      <c r="B1813">
        <v>1881185</v>
      </c>
      <c r="C1813">
        <v>1881559</v>
      </c>
      <c r="E1813" t="s">
        <v>35</v>
      </c>
      <c r="F1813" t="s">
        <v>5681</v>
      </c>
      <c r="H1813">
        <v>0</v>
      </c>
      <c r="I1813" t="s">
        <v>17</v>
      </c>
      <c r="K1813" t="s">
        <v>5682</v>
      </c>
      <c r="L1813">
        <v>124</v>
      </c>
      <c r="M1813" t="s">
        <v>5683</v>
      </c>
    </row>
    <row r="1814" spans="1:13">
      <c r="A1814" t="s">
        <v>13</v>
      </c>
      <c r="B1814">
        <v>1881585</v>
      </c>
      <c r="C1814">
        <v>1882553</v>
      </c>
      <c r="E1814" t="s">
        <v>35</v>
      </c>
      <c r="F1814" t="s">
        <v>28</v>
      </c>
      <c r="H1814">
        <v>0</v>
      </c>
      <c r="I1814" t="s">
        <v>17</v>
      </c>
      <c r="K1814" t="s">
        <v>5684</v>
      </c>
      <c r="L1814">
        <v>322</v>
      </c>
      <c r="M1814" t="s">
        <v>5685</v>
      </c>
    </row>
    <row r="1815" spans="1:13">
      <c r="A1815" t="s">
        <v>13</v>
      </c>
      <c r="B1815">
        <v>1882561</v>
      </c>
      <c r="C1815">
        <v>1883964</v>
      </c>
      <c r="E1815" t="s">
        <v>35</v>
      </c>
      <c r="F1815" t="s">
        <v>5686</v>
      </c>
      <c r="H1815">
        <v>0</v>
      </c>
      <c r="I1815" t="s">
        <v>17</v>
      </c>
      <c r="K1815" t="s">
        <v>5687</v>
      </c>
      <c r="L1815">
        <v>467</v>
      </c>
      <c r="M1815" t="s">
        <v>5688</v>
      </c>
    </row>
    <row r="1816" spans="1:13">
      <c r="A1816" t="s">
        <v>13</v>
      </c>
      <c r="B1816">
        <v>1883985</v>
      </c>
      <c r="C1816">
        <v>1884662</v>
      </c>
      <c r="E1816" t="s">
        <v>35</v>
      </c>
      <c r="F1816" t="s">
        <v>5689</v>
      </c>
      <c r="G1816" t="s">
        <v>5690</v>
      </c>
      <c r="H1816">
        <v>0</v>
      </c>
      <c r="I1816" t="s">
        <v>17</v>
      </c>
      <c r="K1816" t="s">
        <v>5691</v>
      </c>
      <c r="L1816">
        <v>225</v>
      </c>
      <c r="M1816" t="s">
        <v>5692</v>
      </c>
    </row>
    <row r="1817" spans="1:13">
      <c r="A1817" t="s">
        <v>13</v>
      </c>
      <c r="B1817">
        <v>1884821</v>
      </c>
      <c r="C1817">
        <v>1885618</v>
      </c>
      <c r="E1817" t="s">
        <v>35</v>
      </c>
      <c r="F1817" t="s">
        <v>5693</v>
      </c>
      <c r="H1817">
        <v>0</v>
      </c>
      <c r="I1817" t="s">
        <v>17</v>
      </c>
      <c r="K1817" t="s">
        <v>5694</v>
      </c>
      <c r="L1817">
        <v>265</v>
      </c>
      <c r="M1817" t="s">
        <v>5695</v>
      </c>
    </row>
    <row r="1818" spans="1:13">
      <c r="A1818" t="s">
        <v>13</v>
      </c>
      <c r="B1818">
        <v>1885618</v>
      </c>
      <c r="C1818">
        <v>1886316</v>
      </c>
      <c r="E1818" t="s">
        <v>35</v>
      </c>
      <c r="F1818" t="s">
        <v>5696</v>
      </c>
      <c r="G1818" t="s">
        <v>5697</v>
      </c>
      <c r="H1818">
        <v>0</v>
      </c>
      <c r="I1818" t="s">
        <v>17</v>
      </c>
      <c r="K1818" t="s">
        <v>5698</v>
      </c>
      <c r="L1818">
        <v>232</v>
      </c>
      <c r="M1818" t="s">
        <v>5699</v>
      </c>
    </row>
    <row r="1819" spans="1:13">
      <c r="A1819" t="s">
        <v>13</v>
      </c>
      <c r="B1819">
        <v>1886324</v>
      </c>
      <c r="C1819">
        <v>1886794</v>
      </c>
      <c r="E1819" t="s">
        <v>35</v>
      </c>
      <c r="F1819" t="s">
        <v>5700</v>
      </c>
      <c r="G1819" t="s">
        <v>5701</v>
      </c>
      <c r="H1819">
        <v>0</v>
      </c>
      <c r="I1819" t="s">
        <v>17</v>
      </c>
      <c r="K1819" t="s">
        <v>5702</v>
      </c>
      <c r="L1819">
        <v>156</v>
      </c>
      <c r="M1819" t="s">
        <v>5703</v>
      </c>
    </row>
    <row r="1820" spans="1:13">
      <c r="A1820" t="s">
        <v>13</v>
      </c>
      <c r="B1820">
        <v>1886885</v>
      </c>
      <c r="C1820">
        <v>1887502</v>
      </c>
      <c r="E1820" t="s">
        <v>35</v>
      </c>
      <c r="F1820" t="s">
        <v>5704</v>
      </c>
      <c r="G1820" t="s">
        <v>5705</v>
      </c>
      <c r="H1820">
        <v>0</v>
      </c>
      <c r="I1820" t="s">
        <v>17</v>
      </c>
      <c r="K1820" t="s">
        <v>5706</v>
      </c>
      <c r="L1820">
        <v>205</v>
      </c>
      <c r="M1820" t="s">
        <v>5707</v>
      </c>
    </row>
    <row r="1821" spans="1:13">
      <c r="A1821" t="s">
        <v>13</v>
      </c>
      <c r="B1821">
        <v>1887521</v>
      </c>
      <c r="C1821">
        <v>1888447</v>
      </c>
      <c r="E1821" t="s">
        <v>35</v>
      </c>
      <c r="F1821" t="s">
        <v>5708</v>
      </c>
      <c r="H1821">
        <v>0</v>
      </c>
      <c r="I1821" t="s">
        <v>17</v>
      </c>
      <c r="K1821" t="s">
        <v>5709</v>
      </c>
      <c r="L1821">
        <v>308</v>
      </c>
      <c r="M1821" t="s">
        <v>5710</v>
      </c>
    </row>
    <row r="1822" spans="1:13">
      <c r="A1822" t="s">
        <v>13</v>
      </c>
      <c r="B1822">
        <v>1888452</v>
      </c>
      <c r="C1822">
        <v>1889720</v>
      </c>
      <c r="E1822" t="s">
        <v>35</v>
      </c>
      <c r="F1822" t="s">
        <v>5711</v>
      </c>
      <c r="G1822" t="s">
        <v>5712</v>
      </c>
      <c r="H1822">
        <v>0</v>
      </c>
      <c r="I1822" t="s">
        <v>17</v>
      </c>
      <c r="K1822" t="s">
        <v>5713</v>
      </c>
      <c r="L1822">
        <v>422</v>
      </c>
      <c r="M1822" t="s">
        <v>5714</v>
      </c>
    </row>
    <row r="1823" spans="1:13">
      <c r="A1823" t="s">
        <v>13</v>
      </c>
      <c r="B1823">
        <v>1889946</v>
      </c>
      <c r="C1823">
        <v>1891025</v>
      </c>
      <c r="E1823" t="s">
        <v>14</v>
      </c>
      <c r="F1823" t="s">
        <v>5715</v>
      </c>
      <c r="H1823">
        <v>0</v>
      </c>
      <c r="I1823" t="s">
        <v>17</v>
      </c>
      <c r="K1823" t="s">
        <v>5716</v>
      </c>
      <c r="L1823">
        <v>359</v>
      </c>
      <c r="M1823" t="s">
        <v>5717</v>
      </c>
    </row>
    <row r="1824" spans="1:13">
      <c r="A1824" t="s">
        <v>13</v>
      </c>
      <c r="B1824">
        <v>1891022</v>
      </c>
      <c r="C1824">
        <v>1891720</v>
      </c>
      <c r="E1824" t="s">
        <v>14</v>
      </c>
      <c r="F1824" t="s">
        <v>3468</v>
      </c>
      <c r="G1824" t="s">
        <v>5718</v>
      </c>
      <c r="H1824">
        <v>0</v>
      </c>
      <c r="I1824" t="s">
        <v>17</v>
      </c>
      <c r="K1824" t="s">
        <v>5719</v>
      </c>
      <c r="L1824">
        <v>232</v>
      </c>
      <c r="M1824" t="s">
        <v>5720</v>
      </c>
    </row>
    <row r="1825" spans="1:13">
      <c r="A1825" t="s">
        <v>13</v>
      </c>
      <c r="B1825">
        <v>1891717</v>
      </c>
      <c r="C1825">
        <v>1892541</v>
      </c>
      <c r="E1825" t="s">
        <v>14</v>
      </c>
      <c r="F1825" t="s">
        <v>3464</v>
      </c>
      <c r="G1825" t="s">
        <v>5721</v>
      </c>
      <c r="H1825">
        <v>0</v>
      </c>
      <c r="I1825" t="s">
        <v>17</v>
      </c>
      <c r="K1825" t="s">
        <v>5722</v>
      </c>
      <c r="L1825">
        <v>274</v>
      </c>
      <c r="M1825" t="s">
        <v>5723</v>
      </c>
    </row>
    <row r="1826" spans="1:13">
      <c r="A1826" t="s">
        <v>13</v>
      </c>
      <c r="B1826">
        <v>1892529</v>
      </c>
      <c r="C1826">
        <v>1893326</v>
      </c>
      <c r="E1826" t="s">
        <v>14</v>
      </c>
      <c r="F1826" t="s">
        <v>5724</v>
      </c>
      <c r="G1826" t="s">
        <v>5725</v>
      </c>
      <c r="H1826">
        <v>0</v>
      </c>
      <c r="I1826" t="s">
        <v>17</v>
      </c>
      <c r="K1826" t="s">
        <v>5726</v>
      </c>
      <c r="L1826">
        <v>265</v>
      </c>
      <c r="M1826" t="s">
        <v>5727</v>
      </c>
    </row>
    <row r="1827" spans="1:13">
      <c r="A1827" t="s">
        <v>13</v>
      </c>
      <c r="B1827">
        <v>1893394</v>
      </c>
      <c r="C1827">
        <v>1894083</v>
      </c>
      <c r="E1827" t="s">
        <v>35</v>
      </c>
      <c r="F1827" t="s">
        <v>5728</v>
      </c>
      <c r="G1827" t="s">
        <v>5729</v>
      </c>
      <c r="H1827">
        <v>0</v>
      </c>
      <c r="I1827" t="s">
        <v>17</v>
      </c>
      <c r="K1827" t="s">
        <v>5730</v>
      </c>
      <c r="L1827">
        <v>229</v>
      </c>
      <c r="M1827" t="s">
        <v>5731</v>
      </c>
    </row>
    <row r="1828" spans="1:13">
      <c r="A1828" t="s">
        <v>13</v>
      </c>
      <c r="B1828">
        <v>1894240</v>
      </c>
      <c r="C1828">
        <v>1895169</v>
      </c>
      <c r="E1828" t="s">
        <v>35</v>
      </c>
      <c r="F1828" t="s">
        <v>5732</v>
      </c>
      <c r="G1828" t="s">
        <v>5733</v>
      </c>
      <c r="H1828">
        <v>0</v>
      </c>
      <c r="I1828" t="s">
        <v>17</v>
      </c>
      <c r="K1828" t="s">
        <v>5734</v>
      </c>
      <c r="L1828">
        <v>309</v>
      </c>
      <c r="M1828" t="s">
        <v>5735</v>
      </c>
    </row>
    <row r="1829" spans="1:13">
      <c r="A1829" t="s">
        <v>13</v>
      </c>
      <c r="B1829">
        <v>1895193</v>
      </c>
      <c r="C1829">
        <v>1896425</v>
      </c>
      <c r="E1829" t="s">
        <v>35</v>
      </c>
      <c r="F1829" t="s">
        <v>5736</v>
      </c>
      <c r="G1829" t="s">
        <v>5737</v>
      </c>
      <c r="H1829">
        <v>0</v>
      </c>
      <c r="I1829" t="s">
        <v>17</v>
      </c>
      <c r="K1829" t="s">
        <v>5738</v>
      </c>
      <c r="L1829">
        <v>410</v>
      </c>
      <c r="M1829" t="s">
        <v>5739</v>
      </c>
    </row>
    <row r="1830" spans="1:13">
      <c r="A1830" t="s">
        <v>13</v>
      </c>
      <c r="B1830">
        <v>1896563</v>
      </c>
      <c r="C1830">
        <v>1898095</v>
      </c>
      <c r="E1830" t="s">
        <v>35</v>
      </c>
      <c r="F1830" t="s">
        <v>5740</v>
      </c>
      <c r="G1830" t="s">
        <v>5741</v>
      </c>
      <c r="H1830">
        <v>0</v>
      </c>
      <c r="I1830" t="s">
        <v>17</v>
      </c>
      <c r="K1830" t="s">
        <v>5742</v>
      </c>
      <c r="L1830">
        <v>510</v>
      </c>
      <c r="M1830" t="s">
        <v>5743</v>
      </c>
    </row>
    <row r="1831" spans="1:13">
      <c r="A1831" t="s">
        <v>13</v>
      </c>
      <c r="B1831">
        <v>1898168</v>
      </c>
      <c r="C1831">
        <v>1899133</v>
      </c>
      <c r="E1831" t="s">
        <v>35</v>
      </c>
      <c r="F1831" t="s">
        <v>28</v>
      </c>
      <c r="H1831">
        <v>0</v>
      </c>
      <c r="I1831" t="s">
        <v>17</v>
      </c>
      <c r="K1831" t="s">
        <v>5744</v>
      </c>
      <c r="L1831">
        <v>321</v>
      </c>
      <c r="M1831" t="s">
        <v>5745</v>
      </c>
    </row>
    <row r="1832" spans="1:13">
      <c r="A1832" t="s">
        <v>13</v>
      </c>
      <c r="B1832">
        <v>1899126</v>
      </c>
      <c r="C1832">
        <v>1900016</v>
      </c>
      <c r="E1832" t="s">
        <v>35</v>
      </c>
      <c r="F1832" t="s">
        <v>28</v>
      </c>
      <c r="H1832">
        <v>0</v>
      </c>
      <c r="I1832" t="s">
        <v>17</v>
      </c>
      <c r="K1832" t="s">
        <v>5746</v>
      </c>
      <c r="L1832">
        <v>296</v>
      </c>
      <c r="M1832" t="s">
        <v>5747</v>
      </c>
    </row>
    <row r="1833" spans="1:13">
      <c r="A1833" t="s">
        <v>13</v>
      </c>
      <c r="B1833">
        <v>1900106</v>
      </c>
      <c r="C1833">
        <v>1900726</v>
      </c>
      <c r="E1833" t="s">
        <v>35</v>
      </c>
      <c r="F1833" t="s">
        <v>28</v>
      </c>
      <c r="H1833">
        <v>0</v>
      </c>
      <c r="I1833" t="s">
        <v>17</v>
      </c>
      <c r="K1833" t="s">
        <v>5748</v>
      </c>
      <c r="L1833">
        <v>206</v>
      </c>
      <c r="M1833" t="s">
        <v>5749</v>
      </c>
    </row>
    <row r="1834" spans="1:13">
      <c r="A1834" t="s">
        <v>13</v>
      </c>
      <c r="B1834">
        <v>1901358</v>
      </c>
      <c r="C1834">
        <v>1901636</v>
      </c>
      <c r="E1834" t="s">
        <v>35</v>
      </c>
      <c r="F1834" t="s">
        <v>5750</v>
      </c>
      <c r="G1834" t="s">
        <v>5751</v>
      </c>
      <c r="H1834">
        <v>0</v>
      </c>
      <c r="I1834" t="s">
        <v>17</v>
      </c>
      <c r="K1834" t="s">
        <v>5752</v>
      </c>
      <c r="L1834">
        <v>92</v>
      </c>
      <c r="M1834" t="s">
        <v>5753</v>
      </c>
    </row>
    <row r="1835" spans="1:13">
      <c r="A1835" t="s">
        <v>13</v>
      </c>
      <c r="B1835">
        <v>1901680</v>
      </c>
      <c r="C1835">
        <v>1901985</v>
      </c>
      <c r="E1835" t="s">
        <v>35</v>
      </c>
      <c r="F1835" t="s">
        <v>5754</v>
      </c>
      <c r="G1835" t="s">
        <v>5755</v>
      </c>
      <c r="H1835">
        <v>0</v>
      </c>
      <c r="I1835" t="s">
        <v>17</v>
      </c>
      <c r="K1835" t="s">
        <v>5756</v>
      </c>
      <c r="L1835">
        <v>101</v>
      </c>
      <c r="M1835" t="s">
        <v>5757</v>
      </c>
    </row>
    <row r="1836" spans="1:13">
      <c r="A1836" t="s">
        <v>13</v>
      </c>
      <c r="B1836">
        <v>1902210</v>
      </c>
      <c r="C1836">
        <v>1906067</v>
      </c>
      <c r="E1836" t="s">
        <v>35</v>
      </c>
      <c r="F1836" t="s">
        <v>5758</v>
      </c>
      <c r="G1836" t="s">
        <v>5759</v>
      </c>
      <c r="H1836">
        <v>0</v>
      </c>
      <c r="I1836" t="s">
        <v>17</v>
      </c>
      <c r="K1836" t="s">
        <v>5760</v>
      </c>
      <c r="L1836">
        <v>1285</v>
      </c>
      <c r="M1836" t="s">
        <v>5761</v>
      </c>
    </row>
    <row r="1837" spans="1:13">
      <c r="A1837" t="s">
        <v>13</v>
      </c>
      <c r="B1837">
        <v>1906268</v>
      </c>
      <c r="C1837">
        <v>1907059</v>
      </c>
      <c r="E1837" t="s">
        <v>14</v>
      </c>
      <c r="F1837" t="s">
        <v>28</v>
      </c>
      <c r="H1837">
        <v>0</v>
      </c>
      <c r="I1837" t="s">
        <v>17</v>
      </c>
      <c r="K1837" t="s">
        <v>5762</v>
      </c>
      <c r="L1837">
        <v>263</v>
      </c>
      <c r="M1837" t="s">
        <v>5763</v>
      </c>
    </row>
    <row r="1838" spans="1:13">
      <c r="A1838" t="s">
        <v>13</v>
      </c>
      <c r="B1838">
        <v>1907056</v>
      </c>
      <c r="C1838">
        <v>1908120</v>
      </c>
      <c r="E1838" t="s">
        <v>35</v>
      </c>
      <c r="F1838" t="s">
        <v>3383</v>
      </c>
      <c r="H1838">
        <v>0</v>
      </c>
      <c r="I1838" t="s">
        <v>17</v>
      </c>
      <c r="K1838" t="s">
        <v>5764</v>
      </c>
      <c r="L1838">
        <v>354</v>
      </c>
      <c r="M1838" t="s">
        <v>5765</v>
      </c>
    </row>
    <row r="1839" spans="1:13">
      <c r="A1839" t="s">
        <v>13</v>
      </c>
      <c r="B1839">
        <v>1908231</v>
      </c>
      <c r="C1839">
        <v>1908581</v>
      </c>
      <c r="E1839" t="s">
        <v>14</v>
      </c>
      <c r="F1839" t="s">
        <v>5766</v>
      </c>
      <c r="G1839" t="s">
        <v>5767</v>
      </c>
      <c r="H1839">
        <v>0</v>
      </c>
      <c r="I1839" t="s">
        <v>17</v>
      </c>
      <c r="K1839" t="s">
        <v>5768</v>
      </c>
      <c r="L1839">
        <v>116</v>
      </c>
      <c r="M1839" t="s">
        <v>5769</v>
      </c>
    </row>
    <row r="1840" spans="1:13">
      <c r="A1840" t="s">
        <v>13</v>
      </c>
      <c r="B1840">
        <v>1908729</v>
      </c>
      <c r="C1840">
        <v>1909175</v>
      </c>
      <c r="E1840" t="s">
        <v>35</v>
      </c>
      <c r="F1840" t="s">
        <v>5770</v>
      </c>
      <c r="G1840" t="s">
        <v>5771</v>
      </c>
      <c r="H1840">
        <v>0</v>
      </c>
      <c r="I1840" t="s">
        <v>17</v>
      </c>
      <c r="K1840" t="s">
        <v>5772</v>
      </c>
      <c r="L1840">
        <v>148</v>
      </c>
      <c r="M1840" t="s">
        <v>5773</v>
      </c>
    </row>
    <row r="1841" spans="1:13">
      <c r="A1841" t="s">
        <v>13</v>
      </c>
      <c r="B1841">
        <v>1909226</v>
      </c>
      <c r="C1841">
        <v>1909537</v>
      </c>
      <c r="E1841" t="s">
        <v>35</v>
      </c>
      <c r="F1841" t="s">
        <v>28</v>
      </c>
      <c r="H1841">
        <v>0</v>
      </c>
      <c r="I1841" t="s">
        <v>17</v>
      </c>
      <c r="K1841" t="s">
        <v>5774</v>
      </c>
      <c r="L1841">
        <v>103</v>
      </c>
      <c r="M1841" t="s">
        <v>5775</v>
      </c>
    </row>
    <row r="1842" spans="1:13">
      <c r="A1842" t="s">
        <v>13</v>
      </c>
      <c r="B1842">
        <v>1909543</v>
      </c>
      <c r="C1842">
        <v>1910037</v>
      </c>
      <c r="E1842" t="s">
        <v>35</v>
      </c>
      <c r="F1842" t="s">
        <v>28</v>
      </c>
      <c r="H1842">
        <v>0</v>
      </c>
      <c r="I1842" t="s">
        <v>17</v>
      </c>
      <c r="K1842" t="s">
        <v>5776</v>
      </c>
      <c r="L1842">
        <v>164</v>
      </c>
      <c r="M1842" t="s">
        <v>5777</v>
      </c>
    </row>
    <row r="1843" spans="1:13">
      <c r="A1843" t="s">
        <v>13</v>
      </c>
      <c r="B1843">
        <v>1910034</v>
      </c>
      <c r="C1843">
        <v>1911605</v>
      </c>
      <c r="E1843" t="s">
        <v>35</v>
      </c>
      <c r="F1843" t="s">
        <v>5778</v>
      </c>
      <c r="G1843" t="s">
        <v>5779</v>
      </c>
      <c r="H1843">
        <v>0</v>
      </c>
      <c r="I1843" t="s">
        <v>17</v>
      </c>
      <c r="K1843" t="s">
        <v>5780</v>
      </c>
      <c r="L1843">
        <v>523</v>
      </c>
      <c r="M1843" t="s">
        <v>5781</v>
      </c>
    </row>
    <row r="1844" spans="1:13">
      <c r="A1844" t="s">
        <v>13</v>
      </c>
      <c r="B1844">
        <v>1911605</v>
      </c>
      <c r="C1844">
        <v>1914370</v>
      </c>
      <c r="E1844" t="s">
        <v>35</v>
      </c>
      <c r="F1844" t="s">
        <v>5782</v>
      </c>
      <c r="G1844" t="s">
        <v>5783</v>
      </c>
      <c r="H1844">
        <v>0</v>
      </c>
      <c r="I1844" t="s">
        <v>17</v>
      </c>
      <c r="K1844" t="s">
        <v>5784</v>
      </c>
      <c r="L1844">
        <v>921</v>
      </c>
      <c r="M1844" t="s">
        <v>5785</v>
      </c>
    </row>
    <row r="1845" spans="1:13">
      <c r="A1845" t="s">
        <v>13</v>
      </c>
      <c r="B1845">
        <v>1914395</v>
      </c>
      <c r="C1845">
        <v>1915216</v>
      </c>
      <c r="E1845" t="s">
        <v>14</v>
      </c>
      <c r="F1845" t="s">
        <v>5786</v>
      </c>
      <c r="G1845" t="s">
        <v>5787</v>
      </c>
      <c r="H1845">
        <v>0</v>
      </c>
      <c r="I1845" t="s">
        <v>17</v>
      </c>
      <c r="K1845" t="s">
        <v>5788</v>
      </c>
      <c r="L1845">
        <v>273</v>
      </c>
      <c r="M1845" t="s">
        <v>5789</v>
      </c>
    </row>
    <row r="1846" spans="1:13">
      <c r="A1846" t="s">
        <v>13</v>
      </c>
      <c r="B1846">
        <v>1915228</v>
      </c>
      <c r="C1846">
        <v>1916049</v>
      </c>
      <c r="E1846" t="s">
        <v>14</v>
      </c>
      <c r="F1846" t="s">
        <v>5790</v>
      </c>
      <c r="G1846" t="s">
        <v>5791</v>
      </c>
      <c r="H1846">
        <v>0</v>
      </c>
      <c r="I1846" t="s">
        <v>17</v>
      </c>
      <c r="K1846" t="s">
        <v>5792</v>
      </c>
      <c r="L1846">
        <v>273</v>
      </c>
      <c r="M1846" t="s">
        <v>5793</v>
      </c>
    </row>
    <row r="1847" spans="1:13">
      <c r="A1847" t="s">
        <v>13</v>
      </c>
      <c r="B1847">
        <v>1916046</v>
      </c>
      <c r="C1847">
        <v>1917002</v>
      </c>
      <c r="E1847" t="s">
        <v>35</v>
      </c>
      <c r="F1847" t="s">
        <v>5794</v>
      </c>
      <c r="G1847" t="s">
        <v>5795</v>
      </c>
      <c r="H1847">
        <v>0</v>
      </c>
      <c r="I1847" t="s">
        <v>17</v>
      </c>
      <c r="K1847" t="s">
        <v>5796</v>
      </c>
      <c r="L1847">
        <v>318</v>
      </c>
      <c r="M1847" t="s">
        <v>5797</v>
      </c>
    </row>
    <row r="1848" spans="1:13">
      <c r="A1848" t="s">
        <v>13</v>
      </c>
      <c r="B1848">
        <v>1917417</v>
      </c>
      <c r="C1848">
        <v>1918175</v>
      </c>
      <c r="E1848" t="s">
        <v>14</v>
      </c>
      <c r="F1848" t="s">
        <v>5798</v>
      </c>
      <c r="G1848" t="s">
        <v>5799</v>
      </c>
      <c r="H1848">
        <v>0</v>
      </c>
      <c r="I1848" t="s">
        <v>17</v>
      </c>
      <c r="K1848" t="s">
        <v>5800</v>
      </c>
      <c r="L1848">
        <v>252</v>
      </c>
      <c r="M1848" t="s">
        <v>5801</v>
      </c>
    </row>
    <row r="1849" spans="1:13">
      <c r="A1849" t="s">
        <v>13</v>
      </c>
      <c r="B1849">
        <v>1918215</v>
      </c>
      <c r="C1849">
        <v>1919510</v>
      </c>
      <c r="E1849" t="s">
        <v>35</v>
      </c>
      <c r="F1849" t="s">
        <v>5802</v>
      </c>
      <c r="G1849" t="s">
        <v>5803</v>
      </c>
      <c r="H1849">
        <v>0</v>
      </c>
      <c r="I1849" t="s">
        <v>17</v>
      </c>
      <c r="K1849" t="s">
        <v>5804</v>
      </c>
      <c r="L1849">
        <v>431</v>
      </c>
      <c r="M1849" t="s">
        <v>5805</v>
      </c>
    </row>
    <row r="1850" spans="1:13">
      <c r="A1850" t="s">
        <v>13</v>
      </c>
      <c r="B1850">
        <v>1919741</v>
      </c>
      <c r="C1850">
        <v>1920505</v>
      </c>
      <c r="E1850" t="s">
        <v>14</v>
      </c>
      <c r="F1850" t="s">
        <v>5806</v>
      </c>
      <c r="G1850" t="s">
        <v>5807</v>
      </c>
      <c r="H1850">
        <v>0</v>
      </c>
      <c r="I1850" t="s">
        <v>17</v>
      </c>
      <c r="K1850" t="s">
        <v>5808</v>
      </c>
      <c r="L1850">
        <v>254</v>
      </c>
      <c r="M1850" t="s">
        <v>5809</v>
      </c>
    </row>
    <row r="1851" spans="1:13">
      <c r="A1851" t="s">
        <v>13</v>
      </c>
      <c r="B1851">
        <v>1920589</v>
      </c>
      <c r="C1851">
        <v>1920843</v>
      </c>
      <c r="E1851" t="s">
        <v>35</v>
      </c>
      <c r="F1851" t="s">
        <v>28</v>
      </c>
      <c r="H1851">
        <v>0</v>
      </c>
      <c r="I1851" t="s">
        <v>17</v>
      </c>
      <c r="K1851" t="s">
        <v>5810</v>
      </c>
      <c r="L1851">
        <v>84</v>
      </c>
      <c r="M1851" t="s">
        <v>5811</v>
      </c>
    </row>
    <row r="1852" spans="1:13">
      <c r="A1852" t="s">
        <v>13</v>
      </c>
      <c r="B1852">
        <v>1921008</v>
      </c>
      <c r="C1852">
        <v>1921298</v>
      </c>
      <c r="E1852" t="s">
        <v>35</v>
      </c>
      <c r="F1852" t="s">
        <v>28</v>
      </c>
      <c r="H1852">
        <v>0</v>
      </c>
      <c r="I1852" t="s">
        <v>17</v>
      </c>
      <c r="K1852" t="s">
        <v>5812</v>
      </c>
      <c r="L1852">
        <v>96</v>
      </c>
      <c r="M1852" t="s">
        <v>5813</v>
      </c>
    </row>
    <row r="1853" spans="1:13">
      <c r="A1853" t="s">
        <v>13</v>
      </c>
      <c r="B1853">
        <v>1921302</v>
      </c>
      <c r="C1853">
        <v>1922606</v>
      </c>
      <c r="E1853" t="s">
        <v>35</v>
      </c>
      <c r="F1853" t="s">
        <v>5814</v>
      </c>
      <c r="G1853" t="s">
        <v>5815</v>
      </c>
      <c r="H1853">
        <v>0</v>
      </c>
      <c r="I1853" t="s">
        <v>17</v>
      </c>
      <c r="K1853" t="s">
        <v>5816</v>
      </c>
      <c r="L1853">
        <v>434</v>
      </c>
      <c r="M1853" t="s">
        <v>5817</v>
      </c>
    </row>
    <row r="1854" spans="1:13">
      <c r="A1854" t="s">
        <v>13</v>
      </c>
      <c r="B1854">
        <v>1922930</v>
      </c>
      <c r="C1854">
        <v>1924432</v>
      </c>
      <c r="E1854" t="s">
        <v>35</v>
      </c>
      <c r="F1854" t="s">
        <v>5818</v>
      </c>
      <c r="G1854" t="s">
        <v>5819</v>
      </c>
      <c r="H1854">
        <v>0</v>
      </c>
      <c r="I1854" t="s">
        <v>17</v>
      </c>
      <c r="K1854" t="s">
        <v>5820</v>
      </c>
      <c r="L1854">
        <v>500</v>
      </c>
      <c r="M1854" t="s">
        <v>5821</v>
      </c>
    </row>
    <row r="1855" spans="1:13">
      <c r="A1855" t="s">
        <v>13</v>
      </c>
      <c r="B1855">
        <v>1924703</v>
      </c>
      <c r="C1855">
        <v>1925326</v>
      </c>
      <c r="E1855" t="s">
        <v>35</v>
      </c>
      <c r="F1855" t="s">
        <v>5822</v>
      </c>
      <c r="G1855" t="s">
        <v>5823</v>
      </c>
      <c r="H1855">
        <v>0</v>
      </c>
      <c r="I1855" t="s">
        <v>17</v>
      </c>
      <c r="K1855" t="s">
        <v>5824</v>
      </c>
      <c r="L1855">
        <v>207</v>
      </c>
      <c r="M1855" t="s">
        <v>5825</v>
      </c>
    </row>
    <row r="1856" spans="1:13">
      <c r="A1856" t="s">
        <v>13</v>
      </c>
      <c r="B1856">
        <v>1925347</v>
      </c>
      <c r="C1856">
        <v>1925958</v>
      </c>
      <c r="E1856" t="s">
        <v>35</v>
      </c>
      <c r="F1856" t="s">
        <v>5826</v>
      </c>
      <c r="G1856" t="s">
        <v>5827</v>
      </c>
      <c r="H1856">
        <v>0</v>
      </c>
      <c r="I1856" t="s">
        <v>17</v>
      </c>
      <c r="K1856" t="s">
        <v>5828</v>
      </c>
      <c r="L1856">
        <v>203</v>
      </c>
      <c r="M1856" t="s">
        <v>5829</v>
      </c>
    </row>
    <row r="1857" spans="1:13">
      <c r="A1857" t="s">
        <v>13</v>
      </c>
      <c r="B1857">
        <v>1926150</v>
      </c>
      <c r="C1857">
        <v>1927505</v>
      </c>
      <c r="E1857" t="s">
        <v>35</v>
      </c>
      <c r="F1857" t="s">
        <v>5830</v>
      </c>
      <c r="G1857" t="s">
        <v>5831</v>
      </c>
      <c r="H1857">
        <v>0</v>
      </c>
      <c r="I1857" t="s">
        <v>17</v>
      </c>
      <c r="K1857" t="s">
        <v>5832</v>
      </c>
      <c r="L1857">
        <v>451</v>
      </c>
      <c r="M1857" t="s">
        <v>5833</v>
      </c>
    </row>
    <row r="1858" spans="1:13">
      <c r="A1858" t="s">
        <v>13</v>
      </c>
      <c r="B1858">
        <v>1927599</v>
      </c>
      <c r="C1858">
        <v>1927673</v>
      </c>
      <c r="E1858" t="s">
        <v>35</v>
      </c>
      <c r="F1858" t="s">
        <v>679</v>
      </c>
      <c r="H1858">
        <v>0</v>
      </c>
      <c r="I1858" t="s">
        <v>53</v>
      </c>
      <c r="M1858" t="s">
        <v>5834</v>
      </c>
    </row>
    <row r="1859" spans="1:13">
      <c r="A1859" t="s">
        <v>13</v>
      </c>
      <c r="B1859">
        <v>1927808</v>
      </c>
      <c r="C1859">
        <v>1928656</v>
      </c>
      <c r="E1859" t="s">
        <v>35</v>
      </c>
      <c r="F1859" t="s">
        <v>28</v>
      </c>
      <c r="H1859">
        <v>0</v>
      </c>
      <c r="I1859" t="s">
        <v>17</v>
      </c>
      <c r="K1859" t="s">
        <v>5835</v>
      </c>
      <c r="L1859">
        <v>282</v>
      </c>
      <c r="M1859" t="s">
        <v>5836</v>
      </c>
    </row>
    <row r="1860" spans="1:13">
      <c r="A1860" t="s">
        <v>13</v>
      </c>
      <c r="B1860">
        <v>1928778</v>
      </c>
      <c r="C1860">
        <v>1928852</v>
      </c>
      <c r="E1860" t="s">
        <v>14</v>
      </c>
      <c r="F1860" t="s">
        <v>4422</v>
      </c>
      <c r="H1860">
        <v>0</v>
      </c>
      <c r="I1860" t="s">
        <v>53</v>
      </c>
      <c r="M1860" t="s">
        <v>5837</v>
      </c>
    </row>
    <row r="1861" spans="1:13">
      <c r="A1861" t="s">
        <v>13</v>
      </c>
      <c r="B1861">
        <v>1929468</v>
      </c>
      <c r="C1861">
        <v>1929695</v>
      </c>
      <c r="E1861" t="s">
        <v>14</v>
      </c>
      <c r="F1861" t="s">
        <v>28</v>
      </c>
      <c r="H1861">
        <v>0</v>
      </c>
      <c r="I1861" t="s">
        <v>17</v>
      </c>
      <c r="K1861" t="s">
        <v>5838</v>
      </c>
      <c r="L1861">
        <v>75</v>
      </c>
      <c r="M1861" t="s">
        <v>5839</v>
      </c>
    </row>
    <row r="1862" spans="1:13">
      <c r="A1862" t="s">
        <v>13</v>
      </c>
      <c r="B1862">
        <v>1929835</v>
      </c>
      <c r="C1862">
        <v>1930668</v>
      </c>
      <c r="E1862" t="s">
        <v>14</v>
      </c>
      <c r="F1862" t="s">
        <v>5840</v>
      </c>
      <c r="G1862" t="s">
        <v>5841</v>
      </c>
      <c r="H1862">
        <v>0</v>
      </c>
      <c r="I1862" t="s">
        <v>17</v>
      </c>
      <c r="K1862" t="s">
        <v>5842</v>
      </c>
      <c r="L1862">
        <v>277</v>
      </c>
      <c r="M1862" t="s">
        <v>5843</v>
      </c>
    </row>
    <row r="1863" spans="1:13">
      <c r="A1863" t="s">
        <v>13</v>
      </c>
      <c r="B1863">
        <v>1930758</v>
      </c>
      <c r="C1863">
        <v>1931237</v>
      </c>
      <c r="E1863" t="s">
        <v>35</v>
      </c>
      <c r="F1863" t="s">
        <v>5844</v>
      </c>
      <c r="G1863" t="s">
        <v>5845</v>
      </c>
      <c r="H1863">
        <v>0</v>
      </c>
      <c r="I1863" t="s">
        <v>17</v>
      </c>
      <c r="K1863" t="s">
        <v>5846</v>
      </c>
      <c r="L1863">
        <v>159</v>
      </c>
      <c r="M1863" t="s">
        <v>5847</v>
      </c>
    </row>
    <row r="1864" spans="1:13">
      <c r="A1864" t="s">
        <v>13</v>
      </c>
      <c r="B1864">
        <v>1931355</v>
      </c>
      <c r="C1864">
        <v>1931753</v>
      </c>
      <c r="E1864" t="s">
        <v>14</v>
      </c>
      <c r="F1864" t="s">
        <v>28</v>
      </c>
      <c r="H1864">
        <v>0</v>
      </c>
      <c r="I1864" t="s">
        <v>17</v>
      </c>
      <c r="K1864" t="s">
        <v>5848</v>
      </c>
      <c r="L1864">
        <v>132</v>
      </c>
      <c r="M1864" t="s">
        <v>5849</v>
      </c>
    </row>
    <row r="1865" spans="1:13">
      <c r="A1865" t="s">
        <v>13</v>
      </c>
      <c r="B1865">
        <v>1931757</v>
      </c>
      <c r="C1865">
        <v>1932380</v>
      </c>
      <c r="E1865" t="s">
        <v>35</v>
      </c>
      <c r="F1865" t="s">
        <v>5850</v>
      </c>
      <c r="H1865">
        <v>0</v>
      </c>
      <c r="I1865" t="s">
        <v>17</v>
      </c>
      <c r="K1865" t="s">
        <v>5851</v>
      </c>
      <c r="L1865">
        <v>207</v>
      </c>
      <c r="M1865" t="s">
        <v>5852</v>
      </c>
    </row>
    <row r="1866" spans="1:13">
      <c r="A1866" t="s">
        <v>13</v>
      </c>
      <c r="B1866">
        <v>1932479</v>
      </c>
      <c r="C1866">
        <v>1934995</v>
      </c>
      <c r="E1866" t="s">
        <v>14</v>
      </c>
      <c r="F1866" t="s">
        <v>812</v>
      </c>
      <c r="G1866" t="s">
        <v>5853</v>
      </c>
      <c r="H1866">
        <v>0</v>
      </c>
      <c r="I1866" t="s">
        <v>17</v>
      </c>
      <c r="K1866" t="s">
        <v>5854</v>
      </c>
      <c r="L1866">
        <v>838</v>
      </c>
      <c r="M1866" t="s">
        <v>5855</v>
      </c>
    </row>
    <row r="1867" spans="1:13">
      <c r="A1867" t="s">
        <v>13</v>
      </c>
      <c r="B1867">
        <v>1935000</v>
      </c>
      <c r="C1867">
        <v>1935689</v>
      </c>
      <c r="E1867" t="s">
        <v>35</v>
      </c>
      <c r="F1867" t="s">
        <v>1645</v>
      </c>
      <c r="H1867">
        <v>0</v>
      </c>
      <c r="I1867" t="s">
        <v>17</v>
      </c>
      <c r="K1867" t="s">
        <v>5856</v>
      </c>
      <c r="L1867">
        <v>229</v>
      </c>
      <c r="M1867" t="s">
        <v>5857</v>
      </c>
    </row>
    <row r="1868" spans="1:13">
      <c r="A1868" t="s">
        <v>13</v>
      </c>
      <c r="B1868">
        <v>1935770</v>
      </c>
      <c r="C1868">
        <v>1937641</v>
      </c>
      <c r="E1868" t="s">
        <v>14</v>
      </c>
      <c r="F1868" t="s">
        <v>28</v>
      </c>
      <c r="H1868">
        <v>0</v>
      </c>
      <c r="I1868" t="s">
        <v>17</v>
      </c>
      <c r="K1868" t="s">
        <v>5858</v>
      </c>
      <c r="L1868">
        <v>623</v>
      </c>
      <c r="M1868" t="s">
        <v>5859</v>
      </c>
    </row>
    <row r="1869" spans="1:13">
      <c r="A1869" t="s">
        <v>13</v>
      </c>
      <c r="B1869">
        <v>1937663</v>
      </c>
      <c r="C1869">
        <v>1938739</v>
      </c>
      <c r="E1869" t="s">
        <v>35</v>
      </c>
      <c r="F1869" t="s">
        <v>5860</v>
      </c>
      <c r="G1869" t="s">
        <v>5861</v>
      </c>
      <c r="H1869">
        <v>0</v>
      </c>
      <c r="I1869" t="s">
        <v>17</v>
      </c>
      <c r="K1869" t="s">
        <v>5862</v>
      </c>
      <c r="L1869">
        <v>358</v>
      </c>
      <c r="M1869" t="s">
        <v>5863</v>
      </c>
    </row>
    <row r="1870" spans="1:13">
      <c r="A1870" t="s">
        <v>13</v>
      </c>
      <c r="B1870">
        <v>1938977</v>
      </c>
      <c r="C1870">
        <v>1939981</v>
      </c>
      <c r="E1870" t="s">
        <v>14</v>
      </c>
      <c r="F1870" t="s">
        <v>5381</v>
      </c>
      <c r="G1870" t="s">
        <v>5864</v>
      </c>
      <c r="H1870">
        <v>0</v>
      </c>
      <c r="I1870" t="s">
        <v>17</v>
      </c>
      <c r="K1870" t="s">
        <v>5865</v>
      </c>
      <c r="L1870">
        <v>334</v>
      </c>
      <c r="M1870" t="s">
        <v>5866</v>
      </c>
    </row>
    <row r="1871" spans="1:13">
      <c r="A1871" t="s">
        <v>13</v>
      </c>
      <c r="B1871">
        <v>1939982</v>
      </c>
      <c r="C1871">
        <v>1940365</v>
      </c>
      <c r="E1871" t="s">
        <v>14</v>
      </c>
      <c r="F1871" t="s">
        <v>5867</v>
      </c>
      <c r="G1871" t="s">
        <v>5868</v>
      </c>
      <c r="H1871">
        <v>0</v>
      </c>
      <c r="I1871" t="s">
        <v>17</v>
      </c>
      <c r="K1871" t="s">
        <v>5869</v>
      </c>
      <c r="L1871">
        <v>127</v>
      </c>
      <c r="M1871" t="s">
        <v>5870</v>
      </c>
    </row>
    <row r="1872" spans="1:13">
      <c r="A1872" t="s">
        <v>13</v>
      </c>
      <c r="B1872">
        <v>1940498</v>
      </c>
      <c r="C1872">
        <v>1941589</v>
      </c>
      <c r="E1872" t="s">
        <v>35</v>
      </c>
      <c r="F1872" t="s">
        <v>5871</v>
      </c>
      <c r="G1872" t="s">
        <v>5872</v>
      </c>
      <c r="H1872">
        <v>0</v>
      </c>
      <c r="I1872" t="s">
        <v>17</v>
      </c>
      <c r="K1872" t="s">
        <v>5873</v>
      </c>
      <c r="L1872">
        <v>363</v>
      </c>
      <c r="M1872" t="s">
        <v>5874</v>
      </c>
    </row>
    <row r="1873" spans="1:13">
      <c r="A1873" t="s">
        <v>13</v>
      </c>
      <c r="B1873">
        <v>1941847</v>
      </c>
      <c r="C1873">
        <v>1942485</v>
      </c>
      <c r="E1873" t="s">
        <v>35</v>
      </c>
      <c r="F1873" t="s">
        <v>28</v>
      </c>
      <c r="H1873">
        <v>0</v>
      </c>
      <c r="I1873" t="s">
        <v>17</v>
      </c>
      <c r="K1873" t="s">
        <v>5875</v>
      </c>
      <c r="L1873">
        <v>212</v>
      </c>
      <c r="M1873" t="s">
        <v>5876</v>
      </c>
    </row>
    <row r="1874" spans="1:13">
      <c r="A1874" t="s">
        <v>13</v>
      </c>
      <c r="B1874">
        <v>1942528</v>
      </c>
      <c r="C1874">
        <v>1942938</v>
      </c>
      <c r="E1874" t="s">
        <v>35</v>
      </c>
      <c r="F1874" t="s">
        <v>5877</v>
      </c>
      <c r="H1874">
        <v>0</v>
      </c>
      <c r="I1874" t="s">
        <v>17</v>
      </c>
      <c r="K1874" t="s">
        <v>5878</v>
      </c>
      <c r="L1874">
        <v>136</v>
      </c>
      <c r="M1874" t="s">
        <v>5879</v>
      </c>
    </row>
    <row r="1875" spans="1:13">
      <c r="A1875" t="s">
        <v>13</v>
      </c>
      <c r="B1875">
        <v>1942953</v>
      </c>
      <c r="C1875">
        <v>1944623</v>
      </c>
      <c r="E1875" t="s">
        <v>35</v>
      </c>
      <c r="F1875" t="s">
        <v>2629</v>
      </c>
      <c r="H1875">
        <v>0</v>
      </c>
      <c r="I1875" t="s">
        <v>17</v>
      </c>
      <c r="K1875" t="s">
        <v>5880</v>
      </c>
      <c r="L1875">
        <v>556</v>
      </c>
      <c r="M1875" t="s">
        <v>5881</v>
      </c>
    </row>
    <row r="1876" spans="1:13">
      <c r="A1876" t="s">
        <v>13</v>
      </c>
      <c r="B1876">
        <v>1944734</v>
      </c>
      <c r="C1876">
        <v>1945330</v>
      </c>
      <c r="E1876" t="s">
        <v>35</v>
      </c>
      <c r="F1876" t="s">
        <v>5882</v>
      </c>
      <c r="G1876" t="s">
        <v>5883</v>
      </c>
      <c r="H1876">
        <v>0</v>
      </c>
      <c r="I1876" t="s">
        <v>17</v>
      </c>
      <c r="K1876" t="s">
        <v>5884</v>
      </c>
      <c r="L1876">
        <v>198</v>
      </c>
      <c r="M1876" t="s">
        <v>5885</v>
      </c>
    </row>
    <row r="1877" spans="1:13">
      <c r="A1877" t="s">
        <v>13</v>
      </c>
      <c r="B1877">
        <v>1945523</v>
      </c>
      <c r="C1877">
        <v>1947487</v>
      </c>
      <c r="E1877" t="s">
        <v>35</v>
      </c>
      <c r="F1877" t="s">
        <v>5886</v>
      </c>
      <c r="H1877">
        <v>0</v>
      </c>
      <c r="I1877" t="s">
        <v>17</v>
      </c>
      <c r="K1877" t="s">
        <v>5887</v>
      </c>
      <c r="L1877">
        <v>654</v>
      </c>
      <c r="M1877" t="s">
        <v>5888</v>
      </c>
    </row>
    <row r="1878" spans="1:13">
      <c r="A1878" t="s">
        <v>13</v>
      </c>
      <c r="B1878">
        <v>1947629</v>
      </c>
      <c r="C1878">
        <v>1948564</v>
      </c>
      <c r="E1878" t="s">
        <v>14</v>
      </c>
      <c r="F1878" t="s">
        <v>358</v>
      </c>
      <c r="G1878" t="s">
        <v>5889</v>
      </c>
      <c r="H1878">
        <v>0</v>
      </c>
      <c r="I1878" t="s">
        <v>17</v>
      </c>
      <c r="K1878" t="s">
        <v>5890</v>
      </c>
      <c r="L1878">
        <v>311</v>
      </c>
      <c r="M1878" t="s">
        <v>5891</v>
      </c>
    </row>
    <row r="1879" spans="1:13">
      <c r="A1879" t="s">
        <v>13</v>
      </c>
      <c r="B1879">
        <v>1948605</v>
      </c>
      <c r="C1879">
        <v>1948680</v>
      </c>
      <c r="E1879" t="s">
        <v>14</v>
      </c>
      <c r="F1879" t="s">
        <v>505</v>
      </c>
      <c r="H1879">
        <v>0</v>
      </c>
      <c r="I1879" t="s">
        <v>53</v>
      </c>
      <c r="M1879" t="s">
        <v>5892</v>
      </c>
    </row>
    <row r="1880" spans="1:13">
      <c r="A1880" t="s">
        <v>13</v>
      </c>
      <c r="B1880">
        <v>1949314</v>
      </c>
      <c r="C1880">
        <v>1950174</v>
      </c>
      <c r="E1880" t="s">
        <v>14</v>
      </c>
      <c r="F1880" t="s">
        <v>2675</v>
      </c>
      <c r="G1880" t="s">
        <v>5893</v>
      </c>
      <c r="H1880">
        <v>0</v>
      </c>
      <c r="I1880" t="s">
        <v>17</v>
      </c>
      <c r="K1880" t="s">
        <v>5894</v>
      </c>
      <c r="L1880">
        <v>286</v>
      </c>
      <c r="M1880" t="s">
        <v>5895</v>
      </c>
    </row>
    <row r="1881" spans="1:13">
      <c r="A1881" t="s">
        <v>13</v>
      </c>
      <c r="B1881">
        <v>1950171</v>
      </c>
      <c r="C1881">
        <v>1951715</v>
      </c>
      <c r="E1881" t="s">
        <v>35</v>
      </c>
      <c r="F1881" t="s">
        <v>4920</v>
      </c>
      <c r="G1881" t="s">
        <v>5896</v>
      </c>
      <c r="H1881">
        <v>0</v>
      </c>
      <c r="I1881" t="s">
        <v>17</v>
      </c>
      <c r="K1881" t="s">
        <v>5897</v>
      </c>
      <c r="L1881">
        <v>514</v>
      </c>
      <c r="M1881" t="s">
        <v>5898</v>
      </c>
    </row>
    <row r="1882" spans="1:13">
      <c r="A1882" t="s">
        <v>13</v>
      </c>
      <c r="B1882">
        <v>1951886</v>
      </c>
      <c r="C1882">
        <v>1952518</v>
      </c>
      <c r="E1882" t="s">
        <v>14</v>
      </c>
      <c r="F1882" t="s">
        <v>5899</v>
      </c>
      <c r="G1882" t="s">
        <v>5900</v>
      </c>
      <c r="H1882">
        <v>0</v>
      </c>
      <c r="I1882" t="s">
        <v>17</v>
      </c>
      <c r="K1882" t="s">
        <v>5901</v>
      </c>
      <c r="L1882">
        <v>210</v>
      </c>
      <c r="M1882" t="s">
        <v>5902</v>
      </c>
    </row>
    <row r="1883" spans="1:13">
      <c r="A1883" t="s">
        <v>13</v>
      </c>
      <c r="B1883">
        <v>1952568</v>
      </c>
      <c r="C1883">
        <v>1952643</v>
      </c>
      <c r="E1883" t="s">
        <v>14</v>
      </c>
      <c r="F1883" t="s">
        <v>5903</v>
      </c>
      <c r="H1883">
        <v>0</v>
      </c>
      <c r="I1883" t="s">
        <v>53</v>
      </c>
      <c r="M1883" t="s">
        <v>5904</v>
      </c>
    </row>
    <row r="1884" spans="1:13">
      <c r="A1884" t="s">
        <v>13</v>
      </c>
      <c r="B1884">
        <v>1952672</v>
      </c>
      <c r="C1884">
        <v>1953616</v>
      </c>
      <c r="E1884" t="s">
        <v>35</v>
      </c>
      <c r="F1884" t="s">
        <v>5616</v>
      </c>
      <c r="G1884" t="s">
        <v>5905</v>
      </c>
      <c r="H1884">
        <v>0</v>
      </c>
      <c r="I1884" t="s">
        <v>17</v>
      </c>
      <c r="K1884" t="s">
        <v>5906</v>
      </c>
      <c r="L1884">
        <v>314</v>
      </c>
      <c r="M1884" t="s">
        <v>5907</v>
      </c>
    </row>
    <row r="1885" spans="1:13">
      <c r="A1885" t="s">
        <v>13</v>
      </c>
      <c r="B1885">
        <v>1953637</v>
      </c>
      <c r="C1885">
        <v>1954842</v>
      </c>
      <c r="E1885" t="s">
        <v>35</v>
      </c>
      <c r="F1885" t="s">
        <v>5908</v>
      </c>
      <c r="G1885" t="s">
        <v>5909</v>
      </c>
      <c r="H1885">
        <v>0</v>
      </c>
      <c r="I1885" t="s">
        <v>17</v>
      </c>
      <c r="K1885" t="s">
        <v>5910</v>
      </c>
      <c r="L1885">
        <v>401</v>
      </c>
      <c r="M1885" t="s">
        <v>5911</v>
      </c>
    </row>
    <row r="1886" spans="1:13">
      <c r="A1886" t="s">
        <v>13</v>
      </c>
      <c r="B1886">
        <v>1955052</v>
      </c>
      <c r="C1886">
        <v>1955125</v>
      </c>
      <c r="E1886" t="s">
        <v>14</v>
      </c>
      <c r="F1886" t="s">
        <v>5912</v>
      </c>
      <c r="H1886">
        <v>0</v>
      </c>
      <c r="I1886" t="s">
        <v>53</v>
      </c>
      <c r="M1886" t="s">
        <v>5913</v>
      </c>
    </row>
    <row r="1887" spans="1:13">
      <c r="A1887" t="s">
        <v>13</v>
      </c>
      <c r="B1887">
        <v>1955229</v>
      </c>
      <c r="C1887">
        <v>1955996</v>
      </c>
      <c r="E1887" t="s">
        <v>35</v>
      </c>
      <c r="F1887" t="s">
        <v>2309</v>
      </c>
      <c r="G1887" t="s">
        <v>5914</v>
      </c>
      <c r="H1887">
        <v>0</v>
      </c>
      <c r="I1887" t="s">
        <v>17</v>
      </c>
      <c r="K1887" t="s">
        <v>5915</v>
      </c>
      <c r="L1887">
        <v>255</v>
      </c>
      <c r="M1887" t="s">
        <v>5916</v>
      </c>
    </row>
    <row r="1888" spans="1:13">
      <c r="A1888" t="s">
        <v>13</v>
      </c>
      <c r="B1888">
        <v>1955987</v>
      </c>
      <c r="C1888">
        <v>1957042</v>
      </c>
      <c r="E1888" t="s">
        <v>35</v>
      </c>
      <c r="F1888" t="s">
        <v>567</v>
      </c>
      <c r="G1888" t="s">
        <v>5917</v>
      </c>
      <c r="H1888">
        <v>0</v>
      </c>
      <c r="I1888" t="s">
        <v>17</v>
      </c>
      <c r="K1888" t="s">
        <v>5918</v>
      </c>
      <c r="L1888">
        <v>351</v>
      </c>
      <c r="M1888" t="s">
        <v>5919</v>
      </c>
    </row>
    <row r="1889" spans="1:13">
      <c r="A1889" t="s">
        <v>13</v>
      </c>
      <c r="B1889">
        <v>1957042</v>
      </c>
      <c r="C1889">
        <v>1958211</v>
      </c>
      <c r="E1889" t="s">
        <v>35</v>
      </c>
      <c r="F1889" t="s">
        <v>5920</v>
      </c>
      <c r="H1889">
        <v>0</v>
      </c>
      <c r="I1889" t="s">
        <v>17</v>
      </c>
      <c r="K1889" t="s">
        <v>5921</v>
      </c>
      <c r="L1889">
        <v>389</v>
      </c>
      <c r="M1889" t="s">
        <v>5922</v>
      </c>
    </row>
    <row r="1890" spans="1:13">
      <c r="A1890" t="s">
        <v>13</v>
      </c>
      <c r="B1890">
        <v>1958295</v>
      </c>
      <c r="C1890">
        <v>1959572</v>
      </c>
      <c r="E1890" t="s">
        <v>35</v>
      </c>
      <c r="F1890" t="s">
        <v>5923</v>
      </c>
      <c r="G1890" t="s">
        <v>5924</v>
      </c>
      <c r="H1890">
        <v>0</v>
      </c>
      <c r="I1890" t="s">
        <v>17</v>
      </c>
      <c r="K1890" t="s">
        <v>5925</v>
      </c>
      <c r="L1890">
        <v>425</v>
      </c>
      <c r="M1890" t="s">
        <v>5926</v>
      </c>
    </row>
    <row r="1891" spans="1:13">
      <c r="A1891" t="s">
        <v>13</v>
      </c>
      <c r="B1891">
        <v>1959631</v>
      </c>
      <c r="C1891">
        <v>1959909</v>
      </c>
      <c r="E1891" t="s">
        <v>35</v>
      </c>
      <c r="F1891" t="s">
        <v>28</v>
      </c>
      <c r="H1891">
        <v>0</v>
      </c>
      <c r="I1891" t="s">
        <v>17</v>
      </c>
      <c r="K1891" t="s">
        <v>5927</v>
      </c>
      <c r="L1891">
        <v>92</v>
      </c>
      <c r="M1891" t="s">
        <v>5928</v>
      </c>
    </row>
    <row r="1892" spans="1:13">
      <c r="A1892" t="s">
        <v>13</v>
      </c>
      <c r="B1892">
        <v>1959998</v>
      </c>
      <c r="C1892">
        <v>1960474</v>
      </c>
      <c r="E1892" t="s">
        <v>14</v>
      </c>
      <c r="F1892" t="s">
        <v>5929</v>
      </c>
      <c r="G1892" t="s">
        <v>5930</v>
      </c>
      <c r="H1892">
        <v>0</v>
      </c>
      <c r="I1892" t="s">
        <v>17</v>
      </c>
      <c r="K1892" t="s">
        <v>5931</v>
      </c>
      <c r="L1892">
        <v>158</v>
      </c>
      <c r="M1892" t="s">
        <v>5932</v>
      </c>
    </row>
    <row r="1893" spans="1:13">
      <c r="A1893" t="s">
        <v>13</v>
      </c>
      <c r="B1893">
        <v>1960479</v>
      </c>
      <c r="C1893">
        <v>1961096</v>
      </c>
      <c r="E1893" t="s">
        <v>14</v>
      </c>
      <c r="F1893" t="s">
        <v>2653</v>
      </c>
      <c r="H1893">
        <v>0</v>
      </c>
      <c r="I1893" t="s">
        <v>17</v>
      </c>
      <c r="K1893" t="s">
        <v>5933</v>
      </c>
      <c r="L1893">
        <v>205</v>
      </c>
      <c r="M1893" t="s">
        <v>5934</v>
      </c>
    </row>
    <row r="1894" spans="1:13">
      <c r="A1894" t="s">
        <v>13</v>
      </c>
      <c r="B1894">
        <v>1961181</v>
      </c>
      <c r="C1894">
        <v>1962167</v>
      </c>
      <c r="E1894" t="s">
        <v>14</v>
      </c>
      <c r="F1894" t="s">
        <v>28</v>
      </c>
      <c r="H1894">
        <v>0</v>
      </c>
      <c r="I1894" t="s">
        <v>17</v>
      </c>
      <c r="K1894" t="s">
        <v>5935</v>
      </c>
      <c r="L1894">
        <v>328</v>
      </c>
      <c r="M1894" t="s">
        <v>5936</v>
      </c>
    </row>
    <row r="1895" spans="1:13">
      <c r="A1895" t="s">
        <v>13</v>
      </c>
      <c r="B1895">
        <v>1962189</v>
      </c>
      <c r="C1895">
        <v>1962863</v>
      </c>
      <c r="E1895" t="s">
        <v>35</v>
      </c>
      <c r="F1895" t="s">
        <v>5937</v>
      </c>
      <c r="G1895" t="s">
        <v>5938</v>
      </c>
      <c r="H1895">
        <v>0</v>
      </c>
      <c r="I1895" t="s">
        <v>17</v>
      </c>
      <c r="K1895" t="s">
        <v>5939</v>
      </c>
      <c r="L1895">
        <v>224</v>
      </c>
      <c r="M1895" t="s">
        <v>5940</v>
      </c>
    </row>
    <row r="1896" spans="1:13">
      <c r="A1896" t="s">
        <v>13</v>
      </c>
      <c r="B1896">
        <v>1962860</v>
      </c>
      <c r="C1896">
        <v>1964152</v>
      </c>
      <c r="E1896" t="s">
        <v>35</v>
      </c>
      <c r="F1896" t="s">
        <v>5941</v>
      </c>
      <c r="G1896" t="s">
        <v>5942</v>
      </c>
      <c r="H1896">
        <v>0</v>
      </c>
      <c r="I1896" t="s">
        <v>17</v>
      </c>
      <c r="K1896" t="s">
        <v>5943</v>
      </c>
      <c r="L1896">
        <v>430</v>
      </c>
      <c r="M1896" t="s">
        <v>5944</v>
      </c>
    </row>
    <row r="1897" spans="1:13">
      <c r="A1897" t="s">
        <v>13</v>
      </c>
      <c r="B1897">
        <v>1964176</v>
      </c>
      <c r="C1897">
        <v>1965570</v>
      </c>
      <c r="E1897" t="s">
        <v>14</v>
      </c>
      <c r="F1897" t="s">
        <v>5818</v>
      </c>
      <c r="G1897" t="s">
        <v>5945</v>
      </c>
      <c r="H1897">
        <v>0</v>
      </c>
      <c r="I1897" t="s">
        <v>17</v>
      </c>
      <c r="K1897" t="s">
        <v>5946</v>
      </c>
      <c r="L1897">
        <v>464</v>
      </c>
      <c r="M1897" t="s">
        <v>5947</v>
      </c>
    </row>
    <row r="1898" spans="1:13">
      <c r="A1898" t="s">
        <v>13</v>
      </c>
      <c r="B1898">
        <v>1965575</v>
      </c>
      <c r="C1898">
        <v>1966480</v>
      </c>
      <c r="E1898" t="s">
        <v>35</v>
      </c>
      <c r="F1898" t="s">
        <v>5948</v>
      </c>
      <c r="G1898" t="s">
        <v>5949</v>
      </c>
      <c r="H1898">
        <v>0</v>
      </c>
      <c r="I1898" t="s">
        <v>17</v>
      </c>
      <c r="K1898" t="s">
        <v>5950</v>
      </c>
      <c r="L1898">
        <v>301</v>
      </c>
      <c r="M1898" t="s">
        <v>5951</v>
      </c>
    </row>
    <row r="1899" spans="1:13">
      <c r="A1899" t="s">
        <v>13</v>
      </c>
      <c r="B1899">
        <v>1966537</v>
      </c>
      <c r="C1899">
        <v>1967784</v>
      </c>
      <c r="E1899" t="s">
        <v>35</v>
      </c>
      <c r="F1899" t="s">
        <v>5952</v>
      </c>
      <c r="G1899" t="s">
        <v>5953</v>
      </c>
      <c r="H1899">
        <v>0</v>
      </c>
      <c r="I1899" t="s">
        <v>17</v>
      </c>
      <c r="K1899" t="s">
        <v>5954</v>
      </c>
      <c r="L1899">
        <v>415</v>
      </c>
      <c r="M1899" t="s">
        <v>5955</v>
      </c>
    </row>
    <row r="1900" spans="1:13">
      <c r="A1900" t="s">
        <v>13</v>
      </c>
      <c r="B1900">
        <v>1967790</v>
      </c>
      <c r="C1900">
        <v>1968659</v>
      </c>
      <c r="E1900" t="s">
        <v>35</v>
      </c>
      <c r="F1900" t="s">
        <v>5956</v>
      </c>
      <c r="G1900" t="s">
        <v>5957</v>
      </c>
      <c r="H1900">
        <v>0</v>
      </c>
      <c r="I1900" t="s">
        <v>17</v>
      </c>
      <c r="K1900" t="s">
        <v>5958</v>
      </c>
      <c r="L1900">
        <v>289</v>
      </c>
      <c r="M1900" t="s">
        <v>5959</v>
      </c>
    </row>
    <row r="1901" spans="1:13">
      <c r="A1901" t="s">
        <v>13</v>
      </c>
      <c r="B1901">
        <v>1968662</v>
      </c>
      <c r="C1901">
        <v>1968913</v>
      </c>
      <c r="E1901" t="s">
        <v>35</v>
      </c>
      <c r="F1901" t="s">
        <v>5960</v>
      </c>
      <c r="G1901" t="s">
        <v>5961</v>
      </c>
      <c r="H1901">
        <v>0</v>
      </c>
      <c r="I1901" t="s">
        <v>17</v>
      </c>
      <c r="K1901" t="s">
        <v>5962</v>
      </c>
      <c r="L1901">
        <v>83</v>
      </c>
      <c r="M1901" t="s">
        <v>5963</v>
      </c>
    </row>
    <row r="1902" spans="1:13">
      <c r="A1902" t="s">
        <v>13</v>
      </c>
      <c r="B1902">
        <v>1968937</v>
      </c>
      <c r="C1902">
        <v>1971024</v>
      </c>
      <c r="E1902" t="s">
        <v>35</v>
      </c>
      <c r="F1902" t="s">
        <v>5964</v>
      </c>
      <c r="G1902" t="s">
        <v>5965</v>
      </c>
      <c r="H1902">
        <v>0</v>
      </c>
      <c r="I1902" t="s">
        <v>17</v>
      </c>
      <c r="K1902" t="s">
        <v>5966</v>
      </c>
      <c r="L1902">
        <v>695</v>
      </c>
      <c r="M1902" t="s">
        <v>5967</v>
      </c>
    </row>
    <row r="1903" spans="1:13">
      <c r="A1903" t="s">
        <v>13</v>
      </c>
      <c r="B1903">
        <v>1971336</v>
      </c>
      <c r="C1903">
        <v>1973243</v>
      </c>
      <c r="E1903" t="s">
        <v>14</v>
      </c>
      <c r="F1903" t="s">
        <v>5968</v>
      </c>
      <c r="G1903" t="s">
        <v>5969</v>
      </c>
      <c r="H1903">
        <v>0</v>
      </c>
      <c r="I1903" t="s">
        <v>17</v>
      </c>
      <c r="K1903" t="s">
        <v>5970</v>
      </c>
      <c r="L1903">
        <v>635</v>
      </c>
      <c r="M1903" t="s">
        <v>5971</v>
      </c>
    </row>
    <row r="1904" spans="1:13">
      <c r="A1904" t="s">
        <v>13</v>
      </c>
      <c r="B1904">
        <v>1973295</v>
      </c>
      <c r="C1904">
        <v>1973377</v>
      </c>
      <c r="E1904" t="s">
        <v>35</v>
      </c>
      <c r="F1904" t="s">
        <v>2802</v>
      </c>
      <c r="H1904">
        <v>0</v>
      </c>
      <c r="I1904" t="s">
        <v>53</v>
      </c>
      <c r="M1904" t="s">
        <v>5972</v>
      </c>
    </row>
    <row r="1905" spans="1:13">
      <c r="A1905" t="s">
        <v>13</v>
      </c>
      <c r="B1905">
        <v>1973474</v>
      </c>
      <c r="C1905">
        <v>1973950</v>
      </c>
      <c r="E1905" t="s">
        <v>14</v>
      </c>
      <c r="F1905" t="s">
        <v>28</v>
      </c>
      <c r="H1905">
        <v>0</v>
      </c>
      <c r="I1905" t="s">
        <v>17</v>
      </c>
      <c r="K1905" t="s">
        <v>5973</v>
      </c>
      <c r="L1905">
        <v>158</v>
      </c>
      <c r="M1905" t="s">
        <v>5974</v>
      </c>
    </row>
    <row r="1906" spans="1:13">
      <c r="A1906" t="s">
        <v>13</v>
      </c>
      <c r="B1906">
        <v>1973954</v>
      </c>
      <c r="C1906">
        <v>1974304</v>
      </c>
      <c r="E1906" t="s">
        <v>14</v>
      </c>
      <c r="F1906" t="s">
        <v>28</v>
      </c>
      <c r="H1906">
        <v>0</v>
      </c>
      <c r="I1906" t="s">
        <v>17</v>
      </c>
      <c r="K1906" t="s">
        <v>5975</v>
      </c>
      <c r="L1906">
        <v>116</v>
      </c>
      <c r="M1906" t="s">
        <v>5976</v>
      </c>
    </row>
    <row r="1907" spans="1:13">
      <c r="A1907" t="s">
        <v>13</v>
      </c>
      <c r="B1907">
        <v>1974305</v>
      </c>
      <c r="C1907">
        <v>1974907</v>
      </c>
      <c r="E1907" t="s">
        <v>35</v>
      </c>
      <c r="F1907" t="s">
        <v>5977</v>
      </c>
      <c r="H1907">
        <v>0</v>
      </c>
      <c r="I1907" t="s">
        <v>17</v>
      </c>
      <c r="K1907" t="s">
        <v>5978</v>
      </c>
      <c r="L1907">
        <v>200</v>
      </c>
      <c r="M1907" t="s">
        <v>5979</v>
      </c>
    </row>
    <row r="1908" spans="1:13">
      <c r="A1908" t="s">
        <v>13</v>
      </c>
      <c r="B1908">
        <v>1974901</v>
      </c>
      <c r="C1908">
        <v>1975629</v>
      </c>
      <c r="E1908" t="s">
        <v>35</v>
      </c>
      <c r="F1908" t="s">
        <v>5980</v>
      </c>
      <c r="G1908" t="s">
        <v>5981</v>
      </c>
      <c r="H1908">
        <v>0</v>
      </c>
      <c r="I1908" t="s">
        <v>17</v>
      </c>
      <c r="K1908" t="s">
        <v>5982</v>
      </c>
      <c r="L1908">
        <v>242</v>
      </c>
      <c r="M1908" t="s">
        <v>5983</v>
      </c>
    </row>
    <row r="1909" spans="1:13">
      <c r="A1909" t="s">
        <v>13</v>
      </c>
      <c r="B1909">
        <v>1975645</v>
      </c>
      <c r="C1909">
        <v>1976406</v>
      </c>
      <c r="E1909" t="s">
        <v>35</v>
      </c>
      <c r="F1909" t="s">
        <v>5984</v>
      </c>
      <c r="G1909" t="s">
        <v>5985</v>
      </c>
      <c r="H1909">
        <v>0</v>
      </c>
      <c r="I1909" t="s">
        <v>17</v>
      </c>
      <c r="K1909" t="s">
        <v>5986</v>
      </c>
      <c r="L1909">
        <v>253</v>
      </c>
      <c r="M1909" t="s">
        <v>5987</v>
      </c>
    </row>
    <row r="1910" spans="1:13">
      <c r="A1910" t="s">
        <v>13</v>
      </c>
      <c r="B1910">
        <v>1976467</v>
      </c>
      <c r="C1910">
        <v>1977246</v>
      </c>
      <c r="E1910" t="s">
        <v>35</v>
      </c>
      <c r="F1910" t="s">
        <v>5988</v>
      </c>
      <c r="G1910" t="s">
        <v>5989</v>
      </c>
      <c r="H1910">
        <v>0</v>
      </c>
      <c r="I1910" t="s">
        <v>17</v>
      </c>
      <c r="K1910" t="s">
        <v>5990</v>
      </c>
      <c r="L1910">
        <v>259</v>
      </c>
      <c r="M1910" t="s">
        <v>5991</v>
      </c>
    </row>
    <row r="1911" spans="1:13">
      <c r="A1911" t="s">
        <v>13</v>
      </c>
      <c r="B1911">
        <v>1977246</v>
      </c>
      <c r="C1911">
        <v>1977872</v>
      </c>
      <c r="E1911" t="s">
        <v>35</v>
      </c>
      <c r="F1911" t="s">
        <v>5992</v>
      </c>
      <c r="H1911">
        <v>0</v>
      </c>
      <c r="I1911" t="s">
        <v>17</v>
      </c>
      <c r="K1911" t="s">
        <v>5993</v>
      </c>
      <c r="L1911">
        <v>208</v>
      </c>
      <c r="M1911" t="s">
        <v>5994</v>
      </c>
    </row>
    <row r="1912" spans="1:13">
      <c r="A1912" t="s">
        <v>13</v>
      </c>
      <c r="B1912">
        <v>1977892</v>
      </c>
      <c r="C1912">
        <v>1978806</v>
      </c>
      <c r="E1912" t="s">
        <v>35</v>
      </c>
      <c r="F1912" t="s">
        <v>5995</v>
      </c>
      <c r="H1912">
        <v>0</v>
      </c>
      <c r="I1912" t="s">
        <v>17</v>
      </c>
      <c r="K1912" t="s">
        <v>5996</v>
      </c>
      <c r="L1912">
        <v>304</v>
      </c>
      <c r="M1912" t="s">
        <v>5997</v>
      </c>
    </row>
    <row r="1913" spans="1:13">
      <c r="A1913" t="s">
        <v>13</v>
      </c>
      <c r="B1913">
        <v>1978806</v>
      </c>
      <c r="C1913">
        <v>1979342</v>
      </c>
      <c r="E1913" t="s">
        <v>35</v>
      </c>
      <c r="F1913" t="s">
        <v>28</v>
      </c>
      <c r="H1913">
        <v>0</v>
      </c>
      <c r="I1913" t="s">
        <v>17</v>
      </c>
      <c r="K1913" t="s">
        <v>5998</v>
      </c>
      <c r="L1913">
        <v>178</v>
      </c>
      <c r="M1913" t="s">
        <v>5999</v>
      </c>
    </row>
    <row r="1914" spans="1:13">
      <c r="A1914" t="s">
        <v>13</v>
      </c>
      <c r="B1914">
        <v>1979347</v>
      </c>
      <c r="C1914">
        <v>1979673</v>
      </c>
      <c r="E1914" t="s">
        <v>35</v>
      </c>
      <c r="F1914" t="s">
        <v>6000</v>
      </c>
      <c r="H1914">
        <v>0</v>
      </c>
      <c r="I1914" t="s">
        <v>17</v>
      </c>
      <c r="K1914" t="s">
        <v>6001</v>
      </c>
      <c r="L1914">
        <v>108</v>
      </c>
      <c r="M1914" t="s">
        <v>6002</v>
      </c>
    </row>
    <row r="1915" spans="1:13">
      <c r="A1915" t="s">
        <v>13</v>
      </c>
      <c r="B1915">
        <v>1979791</v>
      </c>
      <c r="C1915">
        <v>1981119</v>
      </c>
      <c r="E1915" t="s">
        <v>14</v>
      </c>
      <c r="F1915" t="s">
        <v>6003</v>
      </c>
      <c r="G1915" t="s">
        <v>6004</v>
      </c>
      <c r="H1915">
        <v>0</v>
      </c>
      <c r="I1915" t="s">
        <v>17</v>
      </c>
      <c r="K1915" t="s">
        <v>6005</v>
      </c>
      <c r="L1915">
        <v>442</v>
      </c>
      <c r="M1915" t="s">
        <v>6006</v>
      </c>
    </row>
    <row r="1916" spans="1:13">
      <c r="A1916" t="s">
        <v>13</v>
      </c>
      <c r="B1916">
        <v>1981138</v>
      </c>
      <c r="C1916">
        <v>1983102</v>
      </c>
      <c r="E1916" t="s">
        <v>14</v>
      </c>
      <c r="F1916" t="s">
        <v>6007</v>
      </c>
      <c r="G1916" t="s">
        <v>6008</v>
      </c>
      <c r="H1916">
        <v>0</v>
      </c>
      <c r="I1916" t="s">
        <v>17</v>
      </c>
      <c r="K1916" t="s">
        <v>6009</v>
      </c>
      <c r="L1916">
        <v>654</v>
      </c>
      <c r="M1916" t="s">
        <v>6010</v>
      </c>
    </row>
    <row r="1917" spans="1:13">
      <c r="A1917" t="s">
        <v>13</v>
      </c>
      <c r="B1917">
        <v>1983068</v>
      </c>
      <c r="C1917">
        <v>1983790</v>
      </c>
      <c r="E1917" t="s">
        <v>35</v>
      </c>
      <c r="F1917" t="s">
        <v>6011</v>
      </c>
      <c r="H1917">
        <v>0</v>
      </c>
      <c r="I1917" t="s">
        <v>17</v>
      </c>
      <c r="K1917" t="s">
        <v>6012</v>
      </c>
      <c r="L1917">
        <v>240</v>
      </c>
      <c r="M1917" t="s">
        <v>6013</v>
      </c>
    </row>
    <row r="1918" spans="1:13">
      <c r="A1918" t="s">
        <v>13</v>
      </c>
      <c r="B1918">
        <v>1983783</v>
      </c>
      <c r="C1918">
        <v>1984889</v>
      </c>
      <c r="E1918" t="s">
        <v>35</v>
      </c>
      <c r="F1918" t="s">
        <v>1028</v>
      </c>
      <c r="G1918" t="s">
        <v>6014</v>
      </c>
      <c r="H1918">
        <v>0</v>
      </c>
      <c r="I1918" t="s">
        <v>17</v>
      </c>
      <c r="K1918" t="s">
        <v>6015</v>
      </c>
      <c r="L1918">
        <v>368</v>
      </c>
      <c r="M1918" t="s">
        <v>6016</v>
      </c>
    </row>
    <row r="1919" spans="1:13">
      <c r="A1919" t="s">
        <v>13</v>
      </c>
      <c r="B1919">
        <v>1984971</v>
      </c>
      <c r="C1919">
        <v>1986665</v>
      </c>
      <c r="E1919" t="s">
        <v>35</v>
      </c>
      <c r="F1919" t="s">
        <v>6017</v>
      </c>
      <c r="G1919" t="s">
        <v>6018</v>
      </c>
      <c r="H1919">
        <v>0</v>
      </c>
      <c r="I1919" t="s">
        <v>17</v>
      </c>
      <c r="K1919" t="s">
        <v>6019</v>
      </c>
      <c r="L1919">
        <v>564</v>
      </c>
      <c r="M1919" t="s">
        <v>6020</v>
      </c>
    </row>
    <row r="1920" spans="1:13">
      <c r="A1920" t="s">
        <v>13</v>
      </c>
      <c r="B1920">
        <v>1986988</v>
      </c>
      <c r="C1920">
        <v>1987977</v>
      </c>
      <c r="E1920" t="s">
        <v>35</v>
      </c>
      <c r="F1920" t="s">
        <v>6021</v>
      </c>
      <c r="G1920" t="s">
        <v>6022</v>
      </c>
      <c r="H1920">
        <v>0</v>
      </c>
      <c r="I1920" t="s">
        <v>17</v>
      </c>
      <c r="K1920" t="s">
        <v>6023</v>
      </c>
      <c r="L1920">
        <v>329</v>
      </c>
      <c r="M1920" t="s">
        <v>6024</v>
      </c>
    </row>
    <row r="1921" spans="1:13">
      <c r="A1921" t="s">
        <v>13</v>
      </c>
      <c r="B1921">
        <v>1988119</v>
      </c>
      <c r="C1921">
        <v>1988805</v>
      </c>
      <c r="E1921" t="s">
        <v>14</v>
      </c>
      <c r="F1921" t="s">
        <v>6025</v>
      </c>
      <c r="H1921">
        <v>0</v>
      </c>
      <c r="I1921" t="s">
        <v>17</v>
      </c>
      <c r="K1921" t="s">
        <v>6026</v>
      </c>
      <c r="L1921">
        <v>228</v>
      </c>
      <c r="M1921" t="s">
        <v>6027</v>
      </c>
    </row>
    <row r="1922" spans="1:13">
      <c r="A1922" t="s">
        <v>13</v>
      </c>
      <c r="B1922">
        <v>1988802</v>
      </c>
      <c r="C1922">
        <v>1990964</v>
      </c>
      <c r="E1922" t="s">
        <v>35</v>
      </c>
      <c r="F1922" t="s">
        <v>6028</v>
      </c>
      <c r="G1922" t="s">
        <v>6029</v>
      </c>
      <c r="H1922">
        <v>0</v>
      </c>
      <c r="I1922" t="s">
        <v>17</v>
      </c>
      <c r="K1922" t="s">
        <v>6030</v>
      </c>
      <c r="L1922">
        <v>720</v>
      </c>
      <c r="M1922" t="s">
        <v>6031</v>
      </c>
    </row>
    <row r="1923" spans="1:13">
      <c r="A1923" t="s">
        <v>13</v>
      </c>
      <c r="B1923">
        <v>1991019</v>
      </c>
      <c r="C1923">
        <v>1991450</v>
      </c>
      <c r="E1923" t="s">
        <v>35</v>
      </c>
      <c r="F1923" t="s">
        <v>6032</v>
      </c>
      <c r="H1923">
        <v>0</v>
      </c>
      <c r="I1923" t="s">
        <v>17</v>
      </c>
      <c r="K1923" t="s">
        <v>6033</v>
      </c>
      <c r="L1923">
        <v>143</v>
      </c>
      <c r="M1923" t="s">
        <v>6034</v>
      </c>
    </row>
    <row r="1924" spans="1:13">
      <c r="A1924" t="s">
        <v>13</v>
      </c>
      <c r="B1924">
        <v>1991475</v>
      </c>
      <c r="C1924">
        <v>1991714</v>
      </c>
      <c r="E1924" t="s">
        <v>35</v>
      </c>
      <c r="F1924" t="s">
        <v>6035</v>
      </c>
      <c r="G1924" t="s">
        <v>6036</v>
      </c>
      <c r="H1924">
        <v>0</v>
      </c>
      <c r="I1924" t="s">
        <v>17</v>
      </c>
      <c r="K1924" t="s">
        <v>6037</v>
      </c>
      <c r="L1924">
        <v>79</v>
      </c>
      <c r="M1924" t="s">
        <v>6038</v>
      </c>
    </row>
    <row r="1925" spans="1:13">
      <c r="A1925" t="s">
        <v>13</v>
      </c>
      <c r="B1925">
        <v>1992085</v>
      </c>
      <c r="C1925">
        <v>1992207</v>
      </c>
      <c r="E1925" t="s">
        <v>35</v>
      </c>
      <c r="F1925" t="s">
        <v>6039</v>
      </c>
      <c r="G1925" t="s">
        <v>6040</v>
      </c>
      <c r="H1925">
        <v>0</v>
      </c>
      <c r="I1925" t="s">
        <v>17</v>
      </c>
      <c r="K1925" t="s">
        <v>6041</v>
      </c>
      <c r="L1925">
        <v>40</v>
      </c>
      <c r="M1925" t="s">
        <v>6042</v>
      </c>
    </row>
    <row r="1926" spans="1:13">
      <c r="A1926" t="s">
        <v>13</v>
      </c>
      <c r="B1926">
        <v>1992335</v>
      </c>
      <c r="C1926">
        <v>1993684</v>
      </c>
      <c r="E1926" t="s">
        <v>35</v>
      </c>
      <c r="F1926" t="s">
        <v>6043</v>
      </c>
      <c r="G1926" t="s">
        <v>6044</v>
      </c>
      <c r="H1926">
        <v>0</v>
      </c>
      <c r="I1926" t="s">
        <v>17</v>
      </c>
      <c r="K1926" t="s">
        <v>6045</v>
      </c>
      <c r="L1926">
        <v>449</v>
      </c>
      <c r="M1926" t="s">
        <v>6046</v>
      </c>
    </row>
    <row r="1927" spans="1:13">
      <c r="A1927" t="s">
        <v>13</v>
      </c>
      <c r="B1927">
        <v>1993712</v>
      </c>
      <c r="C1927">
        <v>1994533</v>
      </c>
      <c r="E1927" t="s">
        <v>14</v>
      </c>
      <c r="F1927" t="s">
        <v>6047</v>
      </c>
      <c r="G1927" t="s">
        <v>6048</v>
      </c>
      <c r="H1927">
        <v>0</v>
      </c>
      <c r="I1927" t="s">
        <v>17</v>
      </c>
      <c r="K1927" t="s">
        <v>6049</v>
      </c>
      <c r="L1927">
        <v>273</v>
      </c>
      <c r="M1927" t="s">
        <v>6050</v>
      </c>
    </row>
    <row r="1928" spans="1:13">
      <c r="A1928" t="s">
        <v>13</v>
      </c>
      <c r="B1928">
        <v>1994530</v>
      </c>
      <c r="C1928">
        <v>1995267</v>
      </c>
      <c r="E1928" t="s">
        <v>35</v>
      </c>
      <c r="F1928" t="s">
        <v>6051</v>
      </c>
      <c r="H1928">
        <v>0</v>
      </c>
      <c r="I1928" t="s">
        <v>17</v>
      </c>
      <c r="K1928" t="s">
        <v>6052</v>
      </c>
      <c r="L1928">
        <v>245</v>
      </c>
      <c r="M1928" t="s">
        <v>6053</v>
      </c>
    </row>
    <row r="1929" spans="1:13">
      <c r="A1929" t="s">
        <v>13</v>
      </c>
      <c r="B1929">
        <v>1995382</v>
      </c>
      <c r="C1929">
        <v>1996179</v>
      </c>
      <c r="E1929" t="s">
        <v>14</v>
      </c>
      <c r="F1929" t="s">
        <v>3101</v>
      </c>
      <c r="H1929">
        <v>0</v>
      </c>
      <c r="I1929" t="s">
        <v>17</v>
      </c>
      <c r="K1929" t="s">
        <v>6054</v>
      </c>
      <c r="L1929">
        <v>265</v>
      </c>
      <c r="M1929" t="s">
        <v>6055</v>
      </c>
    </row>
    <row r="1930" spans="1:13">
      <c r="A1930" t="s">
        <v>13</v>
      </c>
      <c r="B1930">
        <v>1996227</v>
      </c>
      <c r="C1930">
        <v>1996300</v>
      </c>
      <c r="E1930" t="s">
        <v>35</v>
      </c>
      <c r="F1930" t="s">
        <v>55</v>
      </c>
      <c r="H1930">
        <v>0</v>
      </c>
      <c r="I1930" t="s">
        <v>53</v>
      </c>
      <c r="M1930" t="s">
        <v>6056</v>
      </c>
    </row>
    <row r="1931" spans="1:13">
      <c r="A1931" t="s">
        <v>13</v>
      </c>
      <c r="B1931">
        <v>1996377</v>
      </c>
      <c r="C1931">
        <v>1997102</v>
      </c>
      <c r="E1931" t="s">
        <v>35</v>
      </c>
      <c r="F1931" t="s">
        <v>6057</v>
      </c>
      <c r="G1931" t="s">
        <v>6058</v>
      </c>
      <c r="H1931">
        <v>0</v>
      </c>
      <c r="I1931" t="s">
        <v>17</v>
      </c>
      <c r="K1931" t="s">
        <v>6059</v>
      </c>
      <c r="L1931">
        <v>241</v>
      </c>
      <c r="M1931" t="s">
        <v>6060</v>
      </c>
    </row>
    <row r="1932" spans="1:13">
      <c r="A1932" t="s">
        <v>13</v>
      </c>
      <c r="B1932">
        <v>1997156</v>
      </c>
      <c r="C1932">
        <v>1997641</v>
      </c>
      <c r="E1932" t="s">
        <v>35</v>
      </c>
      <c r="F1932" t="s">
        <v>3408</v>
      </c>
      <c r="H1932">
        <v>0</v>
      </c>
      <c r="I1932" t="s">
        <v>17</v>
      </c>
      <c r="K1932" t="s">
        <v>6061</v>
      </c>
      <c r="L1932">
        <v>161</v>
      </c>
      <c r="M1932" t="s">
        <v>6062</v>
      </c>
    </row>
    <row r="1933" spans="1:13">
      <c r="A1933" t="s">
        <v>13</v>
      </c>
      <c r="B1933">
        <v>1997676</v>
      </c>
      <c r="C1933">
        <v>1997990</v>
      </c>
      <c r="E1933" t="s">
        <v>14</v>
      </c>
      <c r="F1933" t="s">
        <v>6063</v>
      </c>
      <c r="H1933">
        <v>0</v>
      </c>
      <c r="I1933" t="s">
        <v>17</v>
      </c>
      <c r="K1933" t="s">
        <v>6064</v>
      </c>
      <c r="L1933">
        <v>104</v>
      </c>
      <c r="M1933" t="s">
        <v>6065</v>
      </c>
    </row>
    <row r="1934" spans="1:13">
      <c r="A1934" t="s">
        <v>13</v>
      </c>
      <c r="B1934">
        <v>1997987</v>
      </c>
      <c r="C1934">
        <v>1998346</v>
      </c>
      <c r="E1934" t="s">
        <v>14</v>
      </c>
      <c r="F1934" t="s">
        <v>6066</v>
      </c>
      <c r="G1934" t="s">
        <v>6067</v>
      </c>
      <c r="H1934">
        <v>0</v>
      </c>
      <c r="I1934" t="s">
        <v>17</v>
      </c>
      <c r="K1934" t="s">
        <v>6068</v>
      </c>
      <c r="L1934">
        <v>119</v>
      </c>
      <c r="M1934" t="s">
        <v>6069</v>
      </c>
    </row>
    <row r="1935" spans="1:13">
      <c r="A1935" t="s">
        <v>13</v>
      </c>
      <c r="B1935">
        <v>1998574</v>
      </c>
      <c r="C1935">
        <v>2001096</v>
      </c>
      <c r="E1935" t="s">
        <v>35</v>
      </c>
      <c r="F1935" t="s">
        <v>6070</v>
      </c>
      <c r="G1935" t="s">
        <v>6071</v>
      </c>
      <c r="H1935">
        <v>0</v>
      </c>
      <c r="I1935" t="s">
        <v>17</v>
      </c>
      <c r="K1935" t="s">
        <v>6072</v>
      </c>
      <c r="L1935">
        <v>840</v>
      </c>
      <c r="M1935" t="s">
        <v>6073</v>
      </c>
    </row>
    <row r="1936" spans="1:13">
      <c r="A1936" t="s">
        <v>13</v>
      </c>
      <c r="B1936">
        <v>2001115</v>
      </c>
      <c r="C1936">
        <v>2001843</v>
      </c>
      <c r="E1936" t="s">
        <v>35</v>
      </c>
      <c r="F1936" t="s">
        <v>6074</v>
      </c>
      <c r="G1936" t="s">
        <v>6075</v>
      </c>
      <c r="H1936">
        <v>0</v>
      </c>
      <c r="I1936" t="s">
        <v>17</v>
      </c>
      <c r="K1936" t="s">
        <v>6076</v>
      </c>
      <c r="L1936">
        <v>242</v>
      </c>
      <c r="M1936" t="s">
        <v>6077</v>
      </c>
    </row>
    <row r="1937" spans="1:13">
      <c r="A1937" t="s">
        <v>13</v>
      </c>
      <c r="B1937">
        <v>2002764</v>
      </c>
      <c r="C1937">
        <v>2003678</v>
      </c>
      <c r="E1937" t="s">
        <v>35</v>
      </c>
      <c r="F1937" t="s">
        <v>6078</v>
      </c>
      <c r="G1937" t="s">
        <v>6079</v>
      </c>
      <c r="H1937">
        <v>0</v>
      </c>
      <c r="I1937" t="s">
        <v>17</v>
      </c>
      <c r="K1937" t="s">
        <v>6080</v>
      </c>
      <c r="L1937">
        <v>304</v>
      </c>
      <c r="M1937" t="s">
        <v>6081</v>
      </c>
    </row>
    <row r="1938" spans="1:13">
      <c r="A1938" t="s">
        <v>13</v>
      </c>
      <c r="B1938">
        <v>2003731</v>
      </c>
      <c r="C1938">
        <v>2004765</v>
      </c>
      <c r="E1938" t="s">
        <v>14</v>
      </c>
      <c r="F1938" t="s">
        <v>28</v>
      </c>
      <c r="H1938">
        <v>0</v>
      </c>
      <c r="I1938" t="s">
        <v>17</v>
      </c>
      <c r="K1938" t="s">
        <v>6082</v>
      </c>
      <c r="L1938">
        <v>344</v>
      </c>
      <c r="M1938" t="s">
        <v>6083</v>
      </c>
    </row>
    <row r="1939" spans="1:13">
      <c r="A1939" t="s">
        <v>13</v>
      </c>
      <c r="B1939">
        <v>2005135</v>
      </c>
      <c r="C1939">
        <v>2005374</v>
      </c>
      <c r="E1939" t="s">
        <v>35</v>
      </c>
      <c r="F1939" t="s">
        <v>6084</v>
      </c>
      <c r="G1939" t="s">
        <v>6085</v>
      </c>
      <c r="H1939">
        <v>0</v>
      </c>
      <c r="I1939" t="s">
        <v>17</v>
      </c>
      <c r="K1939" t="s">
        <v>6086</v>
      </c>
      <c r="L1939">
        <v>79</v>
      </c>
      <c r="M1939" t="s">
        <v>6087</v>
      </c>
    </row>
    <row r="1940" spans="1:13">
      <c r="A1940" t="s">
        <v>13</v>
      </c>
      <c r="B1940">
        <v>2005439</v>
      </c>
      <c r="C1940">
        <v>2006173</v>
      </c>
      <c r="E1940" t="s">
        <v>35</v>
      </c>
      <c r="F1940" t="s">
        <v>178</v>
      </c>
      <c r="H1940">
        <v>0</v>
      </c>
      <c r="I1940" t="s">
        <v>17</v>
      </c>
      <c r="K1940" t="s">
        <v>6088</v>
      </c>
      <c r="L1940">
        <v>244</v>
      </c>
      <c r="M1940" t="s">
        <v>6089</v>
      </c>
    </row>
    <row r="1941" spans="1:13">
      <c r="A1941" t="s">
        <v>13</v>
      </c>
      <c r="B1941">
        <v>2006727</v>
      </c>
      <c r="C1941">
        <v>2008070</v>
      </c>
      <c r="E1941" t="s">
        <v>35</v>
      </c>
      <c r="F1941" t="s">
        <v>518</v>
      </c>
      <c r="H1941">
        <v>0</v>
      </c>
      <c r="I1941" t="s">
        <v>17</v>
      </c>
      <c r="K1941" t="s">
        <v>6090</v>
      </c>
      <c r="L1941">
        <v>447</v>
      </c>
      <c r="M1941" t="s">
        <v>6091</v>
      </c>
    </row>
    <row r="1942" spans="1:13">
      <c r="A1942" t="s">
        <v>13</v>
      </c>
      <c r="B1942">
        <v>2008341</v>
      </c>
      <c r="C1942">
        <v>2008901</v>
      </c>
      <c r="E1942" t="s">
        <v>35</v>
      </c>
      <c r="F1942" t="s">
        <v>178</v>
      </c>
      <c r="H1942">
        <v>0</v>
      </c>
      <c r="I1942" t="s">
        <v>17</v>
      </c>
      <c r="K1942" t="s">
        <v>6092</v>
      </c>
      <c r="L1942">
        <v>186</v>
      </c>
      <c r="M1942" t="s">
        <v>6093</v>
      </c>
    </row>
    <row r="1943" spans="1:13">
      <c r="A1943" t="s">
        <v>13</v>
      </c>
      <c r="B1943">
        <v>2009260</v>
      </c>
      <c r="C1943">
        <v>2009436</v>
      </c>
      <c r="E1943" t="s">
        <v>35</v>
      </c>
      <c r="F1943" t="s">
        <v>28</v>
      </c>
      <c r="H1943">
        <v>0</v>
      </c>
      <c r="I1943" t="s">
        <v>17</v>
      </c>
      <c r="K1943" t="s">
        <v>6094</v>
      </c>
      <c r="L1943">
        <v>58</v>
      </c>
      <c r="M1943" t="s">
        <v>6095</v>
      </c>
    </row>
    <row r="1944" spans="1:13">
      <c r="A1944" t="s">
        <v>13</v>
      </c>
      <c r="B1944">
        <v>2009711</v>
      </c>
      <c r="C1944">
        <v>2010526</v>
      </c>
      <c r="E1944" t="s">
        <v>35</v>
      </c>
      <c r="F1944" t="s">
        <v>28</v>
      </c>
      <c r="H1944">
        <v>0</v>
      </c>
      <c r="I1944" t="s">
        <v>17</v>
      </c>
      <c r="K1944" t="s">
        <v>6096</v>
      </c>
      <c r="L1944">
        <v>271</v>
      </c>
      <c r="M1944" t="s">
        <v>6097</v>
      </c>
    </row>
    <row r="1945" spans="1:13">
      <c r="A1945" t="s">
        <v>13</v>
      </c>
      <c r="B1945">
        <v>2010796</v>
      </c>
      <c r="C1945">
        <v>2010913</v>
      </c>
      <c r="E1945" t="s">
        <v>35</v>
      </c>
      <c r="F1945" t="s">
        <v>2318</v>
      </c>
      <c r="H1945">
        <v>0</v>
      </c>
      <c r="I1945" t="s">
        <v>2314</v>
      </c>
      <c r="M1945" t="s">
        <v>6098</v>
      </c>
    </row>
    <row r="1946" spans="1:13">
      <c r="A1946" t="s">
        <v>13</v>
      </c>
      <c r="B1946">
        <v>2011069</v>
      </c>
      <c r="C1946">
        <v>2014149</v>
      </c>
      <c r="E1946" t="s">
        <v>35</v>
      </c>
      <c r="F1946" t="s">
        <v>2316</v>
      </c>
      <c r="H1946">
        <v>0</v>
      </c>
      <c r="I1946" t="s">
        <v>2314</v>
      </c>
      <c r="M1946" t="s">
        <v>6099</v>
      </c>
    </row>
    <row r="1947" spans="1:13">
      <c r="A1947" t="s">
        <v>13</v>
      </c>
      <c r="B1947">
        <v>2014671</v>
      </c>
      <c r="C1947">
        <v>2016176</v>
      </c>
      <c r="E1947" t="s">
        <v>35</v>
      </c>
      <c r="F1947" t="s">
        <v>2313</v>
      </c>
      <c r="H1947">
        <v>0</v>
      </c>
      <c r="I1947" t="s">
        <v>2314</v>
      </c>
      <c r="M1947" t="s">
        <v>6100</v>
      </c>
    </row>
    <row r="1948" spans="1:13">
      <c r="A1948" t="s">
        <v>13</v>
      </c>
      <c r="B1948">
        <v>2016796</v>
      </c>
      <c r="C1948">
        <v>2018064</v>
      </c>
      <c r="E1948" t="s">
        <v>35</v>
      </c>
      <c r="F1948" t="s">
        <v>6101</v>
      </c>
      <c r="G1948" t="s">
        <v>6102</v>
      </c>
      <c r="H1948">
        <v>0</v>
      </c>
      <c r="I1948" t="s">
        <v>17</v>
      </c>
      <c r="K1948" t="s">
        <v>6103</v>
      </c>
      <c r="L1948">
        <v>422</v>
      </c>
      <c r="M1948" t="s">
        <v>6104</v>
      </c>
    </row>
    <row r="1949" spans="1:13">
      <c r="A1949" t="s">
        <v>13</v>
      </c>
      <c r="B1949">
        <v>2018086</v>
      </c>
      <c r="C1949">
        <v>2018925</v>
      </c>
      <c r="E1949" t="s">
        <v>35</v>
      </c>
      <c r="F1949" t="s">
        <v>6105</v>
      </c>
      <c r="H1949">
        <v>0</v>
      </c>
      <c r="I1949" t="s">
        <v>17</v>
      </c>
      <c r="K1949" t="s">
        <v>6106</v>
      </c>
      <c r="L1949">
        <v>279</v>
      </c>
      <c r="M1949" t="s">
        <v>6107</v>
      </c>
    </row>
    <row r="1950" spans="1:13">
      <c r="A1950" t="s">
        <v>13</v>
      </c>
      <c r="B1950">
        <v>2019191</v>
      </c>
      <c r="C1950">
        <v>2020126</v>
      </c>
      <c r="E1950" t="s">
        <v>14</v>
      </c>
      <c r="F1950" t="s">
        <v>6108</v>
      </c>
      <c r="G1950" t="s">
        <v>6109</v>
      </c>
      <c r="H1950">
        <v>0</v>
      </c>
      <c r="I1950" t="s">
        <v>17</v>
      </c>
      <c r="K1950" t="s">
        <v>6110</v>
      </c>
      <c r="L1950">
        <v>311</v>
      </c>
      <c r="M1950" t="s">
        <v>6111</v>
      </c>
    </row>
    <row r="1951" spans="1:13">
      <c r="A1951" t="s">
        <v>13</v>
      </c>
      <c r="B1951">
        <v>2020209</v>
      </c>
      <c r="C1951">
        <v>2020772</v>
      </c>
      <c r="E1951" t="s">
        <v>14</v>
      </c>
      <c r="F1951" t="s">
        <v>6112</v>
      </c>
      <c r="G1951" t="s">
        <v>6113</v>
      </c>
      <c r="H1951">
        <v>0</v>
      </c>
      <c r="I1951" t="s">
        <v>17</v>
      </c>
      <c r="K1951" t="s">
        <v>6114</v>
      </c>
      <c r="L1951">
        <v>187</v>
      </c>
      <c r="M1951" t="s">
        <v>6115</v>
      </c>
    </row>
    <row r="1952" spans="1:13">
      <c r="A1952" t="s">
        <v>13</v>
      </c>
      <c r="B1952">
        <v>2020822</v>
      </c>
      <c r="C1952">
        <v>2021112</v>
      </c>
      <c r="E1952" t="s">
        <v>35</v>
      </c>
      <c r="F1952" t="s">
        <v>28</v>
      </c>
      <c r="H1952">
        <v>0</v>
      </c>
      <c r="I1952" t="s">
        <v>17</v>
      </c>
      <c r="K1952" t="s">
        <v>6116</v>
      </c>
      <c r="L1952">
        <v>96</v>
      </c>
      <c r="M1952" t="s">
        <v>6117</v>
      </c>
    </row>
    <row r="1953" spans="1:13">
      <c r="A1953" t="s">
        <v>13</v>
      </c>
      <c r="B1953">
        <v>2021159</v>
      </c>
      <c r="C1953">
        <v>2021232</v>
      </c>
      <c r="E1953" t="s">
        <v>35</v>
      </c>
      <c r="F1953" t="s">
        <v>6118</v>
      </c>
      <c r="H1953">
        <v>0</v>
      </c>
      <c r="I1953" t="s">
        <v>53</v>
      </c>
      <c r="M1953" t="s">
        <v>6119</v>
      </c>
    </row>
    <row r="1954" spans="1:13">
      <c r="A1954" t="s">
        <v>13</v>
      </c>
      <c r="B1954">
        <v>2021251</v>
      </c>
      <c r="C1954">
        <v>2021325</v>
      </c>
      <c r="E1954" t="s">
        <v>35</v>
      </c>
      <c r="F1954" t="s">
        <v>6120</v>
      </c>
      <c r="H1954">
        <v>0</v>
      </c>
      <c r="I1954" t="s">
        <v>53</v>
      </c>
      <c r="M1954" t="s">
        <v>6121</v>
      </c>
    </row>
    <row r="1955" spans="1:13">
      <c r="A1955" t="s">
        <v>13</v>
      </c>
      <c r="B1955">
        <v>2021515</v>
      </c>
      <c r="C1955">
        <v>2021589</v>
      </c>
      <c r="E1955" t="s">
        <v>35</v>
      </c>
      <c r="F1955" t="s">
        <v>6120</v>
      </c>
      <c r="H1955">
        <v>0</v>
      </c>
      <c r="I1955" t="s">
        <v>53</v>
      </c>
      <c r="M1955" t="s">
        <v>6122</v>
      </c>
    </row>
    <row r="1956" spans="1:13">
      <c r="A1956" t="s">
        <v>13</v>
      </c>
      <c r="B1956">
        <v>2021625</v>
      </c>
      <c r="C1956">
        <v>2021700</v>
      </c>
      <c r="E1956" t="s">
        <v>35</v>
      </c>
      <c r="F1956" t="s">
        <v>3487</v>
      </c>
      <c r="H1956">
        <v>0</v>
      </c>
      <c r="I1956" t="s">
        <v>53</v>
      </c>
      <c r="M1956" t="s">
        <v>6123</v>
      </c>
    </row>
    <row r="1957" spans="1:13">
      <c r="A1957" t="s">
        <v>13</v>
      </c>
      <c r="B1957">
        <v>2021783</v>
      </c>
      <c r="C1957">
        <v>2022115</v>
      </c>
      <c r="E1957" t="s">
        <v>14</v>
      </c>
      <c r="F1957" t="s">
        <v>6124</v>
      </c>
      <c r="G1957" t="s">
        <v>6125</v>
      </c>
      <c r="H1957">
        <v>0</v>
      </c>
      <c r="I1957" t="s">
        <v>17</v>
      </c>
      <c r="K1957" t="s">
        <v>6126</v>
      </c>
      <c r="L1957">
        <v>110</v>
      </c>
      <c r="M1957" t="s">
        <v>6127</v>
      </c>
    </row>
    <row r="1958" spans="1:13">
      <c r="A1958" t="s">
        <v>13</v>
      </c>
      <c r="B1958">
        <v>2022146</v>
      </c>
      <c r="C1958">
        <v>2022219</v>
      </c>
      <c r="E1958" t="s">
        <v>35</v>
      </c>
      <c r="F1958" t="s">
        <v>5912</v>
      </c>
      <c r="H1958">
        <v>0</v>
      </c>
      <c r="I1958" t="s">
        <v>53</v>
      </c>
      <c r="M1958" t="s">
        <v>6128</v>
      </c>
    </row>
    <row r="1959" spans="1:13">
      <c r="A1959" t="s">
        <v>13</v>
      </c>
      <c r="B1959">
        <v>2022346</v>
      </c>
      <c r="C1959">
        <v>2023848</v>
      </c>
      <c r="E1959" t="s">
        <v>35</v>
      </c>
      <c r="F1959" t="s">
        <v>6129</v>
      </c>
      <c r="G1959" t="s">
        <v>6130</v>
      </c>
      <c r="H1959">
        <v>0</v>
      </c>
      <c r="I1959" t="s">
        <v>17</v>
      </c>
      <c r="K1959" t="s">
        <v>6131</v>
      </c>
      <c r="L1959">
        <v>500</v>
      </c>
      <c r="M1959" t="s">
        <v>6132</v>
      </c>
    </row>
    <row r="1960" spans="1:13">
      <c r="A1960" t="s">
        <v>13</v>
      </c>
      <c r="B1960">
        <v>2024041</v>
      </c>
      <c r="C1960">
        <v>2025186</v>
      </c>
      <c r="E1960" t="s">
        <v>14</v>
      </c>
      <c r="F1960" t="s">
        <v>6133</v>
      </c>
      <c r="G1960" t="s">
        <v>6134</v>
      </c>
      <c r="H1960">
        <v>0</v>
      </c>
      <c r="I1960" t="s">
        <v>17</v>
      </c>
      <c r="K1960" t="s">
        <v>6135</v>
      </c>
      <c r="L1960">
        <v>381</v>
      </c>
      <c r="M1960" t="s">
        <v>6136</v>
      </c>
    </row>
    <row r="1961" spans="1:13">
      <c r="A1961" t="s">
        <v>13</v>
      </c>
      <c r="B1961">
        <v>2025245</v>
      </c>
      <c r="C1961">
        <v>2025973</v>
      </c>
      <c r="E1961" t="s">
        <v>14</v>
      </c>
      <c r="F1961" t="s">
        <v>28</v>
      </c>
      <c r="H1961">
        <v>0</v>
      </c>
      <c r="I1961" t="s">
        <v>17</v>
      </c>
      <c r="K1961" t="s">
        <v>6137</v>
      </c>
      <c r="L1961">
        <v>242</v>
      </c>
      <c r="M1961" t="s">
        <v>6138</v>
      </c>
    </row>
    <row r="1962" spans="1:13">
      <c r="A1962" t="s">
        <v>13</v>
      </c>
      <c r="B1962">
        <v>2026058</v>
      </c>
      <c r="C1962">
        <v>2026831</v>
      </c>
      <c r="E1962" t="s">
        <v>35</v>
      </c>
      <c r="F1962" t="s">
        <v>6139</v>
      </c>
      <c r="G1962" t="s">
        <v>6140</v>
      </c>
      <c r="H1962">
        <v>0</v>
      </c>
      <c r="I1962" t="s">
        <v>17</v>
      </c>
      <c r="K1962" t="s">
        <v>6141</v>
      </c>
      <c r="L1962">
        <v>257</v>
      </c>
      <c r="M1962" t="s">
        <v>6142</v>
      </c>
    </row>
    <row r="1963" spans="1:13">
      <c r="A1963" t="s">
        <v>13</v>
      </c>
      <c r="B1963">
        <v>2026883</v>
      </c>
      <c r="C1963">
        <v>2027797</v>
      </c>
      <c r="E1963" t="s">
        <v>35</v>
      </c>
      <c r="F1963" t="s">
        <v>6143</v>
      </c>
      <c r="G1963" t="s">
        <v>6144</v>
      </c>
      <c r="H1963">
        <v>0</v>
      </c>
      <c r="I1963" t="s">
        <v>17</v>
      </c>
      <c r="K1963" t="s">
        <v>6145</v>
      </c>
      <c r="L1963">
        <v>304</v>
      </c>
      <c r="M1963" t="s">
        <v>6146</v>
      </c>
    </row>
    <row r="1964" spans="1:13">
      <c r="A1964" t="s">
        <v>13</v>
      </c>
      <c r="B1964">
        <v>2027810</v>
      </c>
      <c r="C1964">
        <v>2028862</v>
      </c>
      <c r="E1964" t="s">
        <v>35</v>
      </c>
      <c r="F1964" t="s">
        <v>6147</v>
      </c>
      <c r="G1964" t="s">
        <v>6148</v>
      </c>
      <c r="H1964">
        <v>0</v>
      </c>
      <c r="I1964" t="s">
        <v>17</v>
      </c>
      <c r="K1964" t="s">
        <v>6149</v>
      </c>
      <c r="L1964">
        <v>350</v>
      </c>
      <c r="M1964" t="s">
        <v>6150</v>
      </c>
    </row>
    <row r="1965" spans="1:13">
      <c r="A1965" t="s">
        <v>13</v>
      </c>
      <c r="B1965">
        <v>2028996</v>
      </c>
      <c r="C1965">
        <v>2030108</v>
      </c>
      <c r="E1965" t="s">
        <v>35</v>
      </c>
      <c r="F1965" t="s">
        <v>6151</v>
      </c>
      <c r="G1965" t="s">
        <v>6152</v>
      </c>
      <c r="H1965">
        <v>0</v>
      </c>
      <c r="I1965" t="s">
        <v>17</v>
      </c>
      <c r="K1965" t="s">
        <v>6153</v>
      </c>
      <c r="L1965">
        <v>370</v>
      </c>
      <c r="M1965" t="s">
        <v>6154</v>
      </c>
    </row>
    <row r="1966" spans="1:13">
      <c r="A1966" t="s">
        <v>13</v>
      </c>
      <c r="B1966">
        <v>2030333</v>
      </c>
      <c r="C1966">
        <v>2031244</v>
      </c>
      <c r="E1966" t="s">
        <v>35</v>
      </c>
      <c r="F1966" t="s">
        <v>6155</v>
      </c>
      <c r="G1966" t="s">
        <v>6156</v>
      </c>
      <c r="H1966">
        <v>0</v>
      </c>
      <c r="I1966" t="s">
        <v>17</v>
      </c>
      <c r="K1966" t="s">
        <v>6157</v>
      </c>
      <c r="L1966">
        <v>303</v>
      </c>
      <c r="M1966" t="s">
        <v>6158</v>
      </c>
    </row>
    <row r="1967" spans="1:13">
      <c r="A1967" t="s">
        <v>13</v>
      </c>
      <c r="B1967">
        <v>2031269</v>
      </c>
      <c r="C1967">
        <v>2032093</v>
      </c>
      <c r="E1967" t="s">
        <v>14</v>
      </c>
      <c r="F1967" t="s">
        <v>28</v>
      </c>
      <c r="H1967">
        <v>0</v>
      </c>
      <c r="I1967" t="s">
        <v>17</v>
      </c>
      <c r="K1967" t="s">
        <v>6159</v>
      </c>
      <c r="L1967">
        <v>274</v>
      </c>
      <c r="M1967" t="s">
        <v>6160</v>
      </c>
    </row>
    <row r="1968" spans="1:13">
      <c r="A1968" t="s">
        <v>13</v>
      </c>
      <c r="B1968">
        <v>2032090</v>
      </c>
      <c r="C1968">
        <v>2033115</v>
      </c>
      <c r="E1968" t="s">
        <v>35</v>
      </c>
      <c r="F1968" t="s">
        <v>6161</v>
      </c>
      <c r="G1968" t="s">
        <v>6162</v>
      </c>
      <c r="H1968">
        <v>0</v>
      </c>
      <c r="I1968" t="s">
        <v>17</v>
      </c>
      <c r="K1968" t="s">
        <v>6163</v>
      </c>
      <c r="L1968">
        <v>341</v>
      </c>
      <c r="M1968" t="s">
        <v>6164</v>
      </c>
    </row>
    <row r="1969" spans="1:13">
      <c r="A1969" t="s">
        <v>13</v>
      </c>
      <c r="B1969">
        <v>2033181</v>
      </c>
      <c r="C1969">
        <v>2033876</v>
      </c>
      <c r="E1969" t="s">
        <v>14</v>
      </c>
      <c r="F1969" t="s">
        <v>28</v>
      </c>
      <c r="H1969">
        <v>0</v>
      </c>
      <c r="I1969" t="s">
        <v>17</v>
      </c>
      <c r="K1969" t="s">
        <v>6165</v>
      </c>
      <c r="L1969">
        <v>231</v>
      </c>
      <c r="M1969" t="s">
        <v>6166</v>
      </c>
    </row>
    <row r="1970" spans="1:13">
      <c r="A1970" t="s">
        <v>13</v>
      </c>
      <c r="B1970">
        <v>2033885</v>
      </c>
      <c r="C1970">
        <v>2034754</v>
      </c>
      <c r="E1970" t="s">
        <v>35</v>
      </c>
      <c r="F1970" t="s">
        <v>6167</v>
      </c>
      <c r="G1970" t="s">
        <v>6168</v>
      </c>
      <c r="H1970">
        <v>0</v>
      </c>
      <c r="I1970" t="s">
        <v>17</v>
      </c>
      <c r="K1970" t="s">
        <v>6169</v>
      </c>
      <c r="L1970">
        <v>289</v>
      </c>
      <c r="M1970" t="s">
        <v>6170</v>
      </c>
    </row>
    <row r="1971" spans="1:13">
      <c r="A1971" t="s">
        <v>13</v>
      </c>
      <c r="B1971">
        <v>2034785</v>
      </c>
      <c r="C1971">
        <v>2035849</v>
      </c>
      <c r="E1971" t="s">
        <v>14</v>
      </c>
      <c r="F1971" t="s">
        <v>6171</v>
      </c>
      <c r="H1971">
        <v>0</v>
      </c>
      <c r="I1971" t="s">
        <v>17</v>
      </c>
      <c r="K1971" t="s">
        <v>6172</v>
      </c>
      <c r="L1971">
        <v>354</v>
      </c>
      <c r="M1971" t="s">
        <v>6173</v>
      </c>
    </row>
    <row r="1972" spans="1:13">
      <c r="A1972" t="s">
        <v>13</v>
      </c>
      <c r="B1972">
        <v>2035991</v>
      </c>
      <c r="C1972">
        <v>2036188</v>
      </c>
      <c r="E1972" t="s">
        <v>14</v>
      </c>
      <c r="F1972" t="s">
        <v>28</v>
      </c>
      <c r="H1972">
        <v>0</v>
      </c>
      <c r="I1972" t="s">
        <v>17</v>
      </c>
      <c r="K1972" t="s">
        <v>6174</v>
      </c>
      <c r="L1972">
        <v>65</v>
      </c>
      <c r="M1972" t="s">
        <v>6175</v>
      </c>
    </row>
    <row r="1973" spans="1:13">
      <c r="A1973" t="s">
        <v>13</v>
      </c>
      <c r="B1973">
        <v>2036255</v>
      </c>
      <c r="C1973">
        <v>2037307</v>
      </c>
      <c r="E1973" t="s">
        <v>35</v>
      </c>
      <c r="F1973" t="s">
        <v>6176</v>
      </c>
      <c r="G1973" t="s">
        <v>6177</v>
      </c>
      <c r="H1973">
        <v>0</v>
      </c>
      <c r="I1973" t="s">
        <v>17</v>
      </c>
      <c r="K1973" t="s">
        <v>6178</v>
      </c>
      <c r="L1973">
        <v>350</v>
      </c>
      <c r="M1973" t="s">
        <v>6179</v>
      </c>
    </row>
    <row r="1974" spans="1:13">
      <c r="A1974" t="s">
        <v>13</v>
      </c>
      <c r="B1974">
        <v>2037333</v>
      </c>
      <c r="C1974">
        <v>2038829</v>
      </c>
      <c r="E1974" t="s">
        <v>35</v>
      </c>
      <c r="F1974" t="s">
        <v>6180</v>
      </c>
      <c r="G1974" t="s">
        <v>6181</v>
      </c>
      <c r="H1974">
        <v>0</v>
      </c>
      <c r="I1974" t="s">
        <v>17</v>
      </c>
      <c r="K1974" t="s">
        <v>6182</v>
      </c>
      <c r="L1974">
        <v>498</v>
      </c>
      <c r="M1974" t="s">
        <v>6183</v>
      </c>
    </row>
    <row r="1975" spans="1:13">
      <c r="A1975" t="s">
        <v>13</v>
      </c>
      <c r="B1975">
        <v>2038840</v>
      </c>
      <c r="C1975">
        <v>2039244</v>
      </c>
      <c r="E1975" t="s">
        <v>35</v>
      </c>
      <c r="F1975" t="s">
        <v>28</v>
      </c>
      <c r="H1975">
        <v>0</v>
      </c>
      <c r="I1975" t="s">
        <v>17</v>
      </c>
      <c r="K1975" t="s">
        <v>6184</v>
      </c>
      <c r="L1975">
        <v>134</v>
      </c>
      <c r="M1975" t="s">
        <v>6185</v>
      </c>
    </row>
    <row r="1976" spans="1:13">
      <c r="A1976" t="s">
        <v>13</v>
      </c>
      <c r="B1976">
        <v>2039278</v>
      </c>
      <c r="C1976">
        <v>2040288</v>
      </c>
      <c r="E1976" t="s">
        <v>14</v>
      </c>
      <c r="F1976" t="s">
        <v>6186</v>
      </c>
      <c r="H1976">
        <v>0</v>
      </c>
      <c r="I1976" t="s">
        <v>17</v>
      </c>
      <c r="K1976" t="s">
        <v>6187</v>
      </c>
      <c r="L1976">
        <v>336</v>
      </c>
      <c r="M1976" t="s">
        <v>6188</v>
      </c>
    </row>
    <row r="1977" spans="1:13">
      <c r="A1977" t="s">
        <v>13</v>
      </c>
      <c r="B1977">
        <v>2040378</v>
      </c>
      <c r="C1977">
        <v>2041616</v>
      </c>
      <c r="E1977" t="s">
        <v>14</v>
      </c>
      <c r="F1977" t="s">
        <v>6189</v>
      </c>
      <c r="G1977" t="s">
        <v>6190</v>
      </c>
      <c r="H1977">
        <v>0</v>
      </c>
      <c r="I1977" t="s">
        <v>17</v>
      </c>
      <c r="K1977" t="s">
        <v>6191</v>
      </c>
      <c r="L1977">
        <v>412</v>
      </c>
      <c r="M1977" t="s">
        <v>6192</v>
      </c>
    </row>
    <row r="1978" spans="1:13">
      <c r="A1978" t="s">
        <v>13</v>
      </c>
      <c r="B1978">
        <v>2041655</v>
      </c>
      <c r="C1978">
        <v>2042260</v>
      </c>
      <c r="E1978" t="s">
        <v>14</v>
      </c>
      <c r="F1978" t="s">
        <v>28</v>
      </c>
      <c r="H1978">
        <v>0</v>
      </c>
      <c r="I1978" t="s">
        <v>17</v>
      </c>
      <c r="K1978" t="s">
        <v>6193</v>
      </c>
      <c r="L1978">
        <v>201</v>
      </c>
      <c r="M1978" t="s">
        <v>6194</v>
      </c>
    </row>
    <row r="1979" spans="1:13">
      <c r="A1979" t="s">
        <v>13</v>
      </c>
      <c r="B1979">
        <v>2042463</v>
      </c>
      <c r="C1979">
        <v>2043203</v>
      </c>
      <c r="E1979" t="s">
        <v>35</v>
      </c>
      <c r="F1979" t="s">
        <v>6195</v>
      </c>
      <c r="H1979">
        <v>0</v>
      </c>
      <c r="I1979" t="s">
        <v>17</v>
      </c>
      <c r="K1979" t="s">
        <v>6196</v>
      </c>
      <c r="L1979">
        <v>246</v>
      </c>
      <c r="M1979" t="s">
        <v>6197</v>
      </c>
    </row>
    <row r="1980" spans="1:13">
      <c r="A1980" t="s">
        <v>13</v>
      </c>
      <c r="B1980">
        <v>2043371</v>
      </c>
      <c r="C1980">
        <v>2043688</v>
      </c>
      <c r="E1980" t="s">
        <v>14</v>
      </c>
      <c r="F1980" t="s">
        <v>529</v>
      </c>
      <c r="H1980">
        <v>0</v>
      </c>
      <c r="I1980" t="s">
        <v>17</v>
      </c>
      <c r="K1980" t="s">
        <v>6198</v>
      </c>
      <c r="L1980">
        <v>105</v>
      </c>
      <c r="M1980" t="s">
        <v>6199</v>
      </c>
    </row>
    <row r="1981" spans="1:13">
      <c r="A1981" t="s">
        <v>13</v>
      </c>
      <c r="B1981">
        <v>2043725</v>
      </c>
      <c r="C1981">
        <v>2044585</v>
      </c>
      <c r="E1981" t="s">
        <v>14</v>
      </c>
      <c r="F1981" t="s">
        <v>178</v>
      </c>
      <c r="H1981">
        <v>0</v>
      </c>
      <c r="I1981" t="s">
        <v>17</v>
      </c>
      <c r="K1981" t="s">
        <v>6200</v>
      </c>
      <c r="L1981">
        <v>286</v>
      </c>
      <c r="M1981" t="s">
        <v>6201</v>
      </c>
    </row>
    <row r="1982" spans="1:13">
      <c r="A1982" t="s">
        <v>13</v>
      </c>
      <c r="B1982">
        <v>2044650</v>
      </c>
      <c r="C1982">
        <v>2047838</v>
      </c>
      <c r="E1982" t="s">
        <v>35</v>
      </c>
      <c r="F1982" t="s">
        <v>6202</v>
      </c>
      <c r="H1982">
        <v>0</v>
      </c>
      <c r="I1982" t="s">
        <v>17</v>
      </c>
      <c r="K1982" t="s">
        <v>6203</v>
      </c>
      <c r="L1982">
        <v>1062</v>
      </c>
      <c r="M1982" t="s">
        <v>6204</v>
      </c>
    </row>
    <row r="1983" spans="1:13">
      <c r="A1983" t="s">
        <v>13</v>
      </c>
      <c r="B1983">
        <v>2047999</v>
      </c>
      <c r="C1983">
        <v>2049537</v>
      </c>
      <c r="E1983" t="s">
        <v>35</v>
      </c>
      <c r="F1983" t="s">
        <v>6205</v>
      </c>
      <c r="H1983">
        <v>0</v>
      </c>
      <c r="I1983" t="s">
        <v>17</v>
      </c>
      <c r="K1983" t="s">
        <v>6206</v>
      </c>
      <c r="L1983">
        <v>512</v>
      </c>
      <c r="M1983" t="s">
        <v>6207</v>
      </c>
    </row>
    <row r="1984" spans="1:13">
      <c r="A1984" t="s">
        <v>13</v>
      </c>
      <c r="B1984">
        <v>2049515</v>
      </c>
      <c r="C1984">
        <v>2054521</v>
      </c>
      <c r="E1984" t="s">
        <v>35</v>
      </c>
      <c r="F1984" t="s">
        <v>2330</v>
      </c>
      <c r="H1984">
        <v>0</v>
      </c>
      <c r="I1984" t="s">
        <v>17</v>
      </c>
      <c r="K1984" t="s">
        <v>6208</v>
      </c>
      <c r="L1984">
        <v>1668</v>
      </c>
      <c r="M1984" t="s">
        <v>6209</v>
      </c>
    </row>
    <row r="1985" spans="1:13">
      <c r="A1985" t="s">
        <v>13</v>
      </c>
      <c r="B1985">
        <v>2054781</v>
      </c>
      <c r="C1985">
        <v>2055725</v>
      </c>
      <c r="E1985" t="s">
        <v>14</v>
      </c>
      <c r="F1985" t="s">
        <v>5283</v>
      </c>
      <c r="H1985">
        <v>0</v>
      </c>
      <c r="I1985" t="s">
        <v>17</v>
      </c>
      <c r="K1985" t="s">
        <v>6210</v>
      </c>
      <c r="L1985">
        <v>314</v>
      </c>
      <c r="M1985" t="s">
        <v>6211</v>
      </c>
    </row>
    <row r="1986" spans="1:13">
      <c r="A1986" t="s">
        <v>13</v>
      </c>
      <c r="B1986">
        <v>2055745</v>
      </c>
      <c r="C1986">
        <v>2056923</v>
      </c>
      <c r="E1986" t="s">
        <v>35</v>
      </c>
      <c r="F1986" t="s">
        <v>1799</v>
      </c>
      <c r="G1986" t="s">
        <v>6212</v>
      </c>
      <c r="H1986">
        <v>0</v>
      </c>
      <c r="I1986" t="s">
        <v>17</v>
      </c>
      <c r="K1986" t="s">
        <v>6213</v>
      </c>
      <c r="L1986">
        <v>392</v>
      </c>
      <c r="M1986" t="s">
        <v>6214</v>
      </c>
    </row>
    <row r="1987" spans="1:13">
      <c r="A1987" t="s">
        <v>13</v>
      </c>
      <c r="B1987">
        <v>2057249</v>
      </c>
      <c r="C1987">
        <v>2057734</v>
      </c>
      <c r="E1987" t="s">
        <v>35</v>
      </c>
      <c r="F1987" t="s">
        <v>28</v>
      </c>
      <c r="H1987">
        <v>0</v>
      </c>
      <c r="I1987" t="s">
        <v>17</v>
      </c>
      <c r="K1987" t="s">
        <v>6215</v>
      </c>
      <c r="L1987">
        <v>161</v>
      </c>
      <c r="M1987" t="s">
        <v>6216</v>
      </c>
    </row>
    <row r="1988" spans="1:13">
      <c r="A1988" t="s">
        <v>13</v>
      </c>
      <c r="B1988">
        <v>2057738</v>
      </c>
      <c r="C1988">
        <v>2058892</v>
      </c>
      <c r="E1988" t="s">
        <v>35</v>
      </c>
      <c r="F1988" t="s">
        <v>28</v>
      </c>
      <c r="H1988">
        <v>0</v>
      </c>
      <c r="I1988" t="s">
        <v>17</v>
      </c>
      <c r="K1988" t="s">
        <v>6217</v>
      </c>
      <c r="L1988">
        <v>384</v>
      </c>
      <c r="M1988" t="s">
        <v>6218</v>
      </c>
    </row>
    <row r="1989" spans="1:13">
      <c r="A1989" t="s">
        <v>13</v>
      </c>
      <c r="B1989">
        <v>2059125</v>
      </c>
      <c r="C1989">
        <v>2060408</v>
      </c>
      <c r="E1989" t="s">
        <v>35</v>
      </c>
      <c r="F1989" t="s">
        <v>28</v>
      </c>
      <c r="H1989">
        <v>0</v>
      </c>
      <c r="I1989" t="s">
        <v>17</v>
      </c>
      <c r="K1989" t="s">
        <v>6219</v>
      </c>
      <c r="L1989">
        <v>427</v>
      </c>
      <c r="M1989" t="s">
        <v>6220</v>
      </c>
    </row>
    <row r="1990" spans="1:13">
      <c r="A1990" t="s">
        <v>13</v>
      </c>
      <c r="B1990">
        <v>2060554</v>
      </c>
      <c r="C1990">
        <v>2062863</v>
      </c>
      <c r="E1990" t="s">
        <v>35</v>
      </c>
      <c r="F1990" t="s">
        <v>6221</v>
      </c>
      <c r="G1990" t="s">
        <v>6222</v>
      </c>
      <c r="H1990">
        <v>0</v>
      </c>
      <c r="I1990" t="s">
        <v>17</v>
      </c>
      <c r="K1990" t="s">
        <v>6223</v>
      </c>
      <c r="L1990">
        <v>769</v>
      </c>
      <c r="M1990" t="s">
        <v>6224</v>
      </c>
    </row>
    <row r="1991" spans="1:13">
      <c r="A1991" t="s">
        <v>13</v>
      </c>
      <c r="B1991">
        <v>2062877</v>
      </c>
      <c r="C1991">
        <v>2063560</v>
      </c>
      <c r="E1991" t="s">
        <v>35</v>
      </c>
      <c r="F1991" t="s">
        <v>6225</v>
      </c>
      <c r="G1991" t="s">
        <v>6226</v>
      </c>
      <c r="H1991">
        <v>0</v>
      </c>
      <c r="I1991" t="s">
        <v>17</v>
      </c>
      <c r="K1991" t="s">
        <v>6227</v>
      </c>
      <c r="L1991">
        <v>227</v>
      </c>
      <c r="M1991" t="s">
        <v>6228</v>
      </c>
    </row>
    <row r="1992" spans="1:13">
      <c r="A1992" t="s">
        <v>13</v>
      </c>
      <c r="B1992">
        <v>2063561</v>
      </c>
      <c r="C1992">
        <v>2063803</v>
      </c>
      <c r="E1992" t="s">
        <v>35</v>
      </c>
      <c r="F1992" t="s">
        <v>6229</v>
      </c>
      <c r="H1992">
        <v>0</v>
      </c>
      <c r="I1992" t="s">
        <v>17</v>
      </c>
      <c r="K1992" t="s">
        <v>6230</v>
      </c>
      <c r="L1992">
        <v>80</v>
      </c>
      <c r="M1992" t="s">
        <v>6231</v>
      </c>
    </row>
    <row r="1993" spans="1:13">
      <c r="A1993" t="s">
        <v>13</v>
      </c>
      <c r="B1993">
        <v>2063899</v>
      </c>
      <c r="C1993">
        <v>2064051</v>
      </c>
      <c r="E1993" t="s">
        <v>35</v>
      </c>
      <c r="F1993" t="s">
        <v>28</v>
      </c>
      <c r="H1993">
        <v>0</v>
      </c>
      <c r="I1993" t="s">
        <v>17</v>
      </c>
      <c r="K1993" t="s">
        <v>6232</v>
      </c>
      <c r="L1993">
        <v>50</v>
      </c>
      <c r="M1993" t="s">
        <v>6233</v>
      </c>
    </row>
    <row r="1994" spans="1:13">
      <c r="A1994" t="s">
        <v>13</v>
      </c>
      <c r="B1994">
        <v>2064065</v>
      </c>
      <c r="C1994">
        <v>2066800</v>
      </c>
      <c r="E1994" t="s">
        <v>14</v>
      </c>
      <c r="F1994" t="s">
        <v>6234</v>
      </c>
      <c r="H1994">
        <v>0</v>
      </c>
      <c r="I1994" t="s">
        <v>17</v>
      </c>
      <c r="K1994" t="s">
        <v>6235</v>
      </c>
      <c r="L1994">
        <v>911</v>
      </c>
      <c r="M1994" t="s">
        <v>6236</v>
      </c>
    </row>
    <row r="1995" spans="1:13">
      <c r="A1995" t="s">
        <v>13</v>
      </c>
      <c r="B1995">
        <v>2066918</v>
      </c>
      <c r="C1995">
        <v>2067601</v>
      </c>
      <c r="E1995" t="s">
        <v>35</v>
      </c>
      <c r="F1995" t="s">
        <v>28</v>
      </c>
      <c r="H1995">
        <v>0</v>
      </c>
      <c r="I1995" t="s">
        <v>17</v>
      </c>
      <c r="K1995" t="s">
        <v>6237</v>
      </c>
      <c r="L1995">
        <v>227</v>
      </c>
      <c r="M1995" t="s">
        <v>6238</v>
      </c>
    </row>
    <row r="1996" spans="1:13">
      <c r="A1996" t="s">
        <v>13</v>
      </c>
      <c r="B1996">
        <v>2067691</v>
      </c>
      <c r="C1996">
        <v>2069814</v>
      </c>
      <c r="E1996" t="s">
        <v>35</v>
      </c>
      <c r="F1996" t="s">
        <v>6239</v>
      </c>
      <c r="G1996" t="s">
        <v>6240</v>
      </c>
      <c r="H1996">
        <v>0</v>
      </c>
      <c r="I1996" t="s">
        <v>17</v>
      </c>
      <c r="K1996" t="s">
        <v>6241</v>
      </c>
      <c r="L1996">
        <v>707</v>
      </c>
      <c r="M1996" t="s">
        <v>6242</v>
      </c>
    </row>
    <row r="1997" spans="1:13">
      <c r="A1997" t="s">
        <v>13</v>
      </c>
      <c r="B1997">
        <v>2069908</v>
      </c>
      <c r="C1997">
        <v>2070801</v>
      </c>
      <c r="E1997" t="s">
        <v>35</v>
      </c>
      <c r="F1997" t="s">
        <v>6243</v>
      </c>
      <c r="G1997" t="s">
        <v>6244</v>
      </c>
      <c r="H1997">
        <v>0</v>
      </c>
      <c r="I1997" t="s">
        <v>17</v>
      </c>
      <c r="K1997" t="s">
        <v>6245</v>
      </c>
      <c r="L1997">
        <v>297</v>
      </c>
      <c r="M1997" t="s">
        <v>6246</v>
      </c>
    </row>
    <row r="1998" spans="1:13">
      <c r="A1998" t="s">
        <v>13</v>
      </c>
      <c r="B1998">
        <v>2070845</v>
      </c>
      <c r="C1998">
        <v>2072284</v>
      </c>
      <c r="E1998" t="s">
        <v>35</v>
      </c>
      <c r="F1998" t="s">
        <v>6247</v>
      </c>
      <c r="G1998" t="s">
        <v>6248</v>
      </c>
      <c r="H1998">
        <v>0</v>
      </c>
      <c r="I1998" t="s">
        <v>17</v>
      </c>
      <c r="K1998" t="s">
        <v>6249</v>
      </c>
      <c r="L1998">
        <v>479</v>
      </c>
      <c r="M1998" t="s">
        <v>6250</v>
      </c>
    </row>
    <row r="1999" spans="1:13">
      <c r="A1999" t="s">
        <v>13</v>
      </c>
      <c r="B1999">
        <v>2072318</v>
      </c>
      <c r="C1999">
        <v>2073604</v>
      </c>
      <c r="E1999" t="s">
        <v>35</v>
      </c>
      <c r="F1999" t="s">
        <v>6251</v>
      </c>
      <c r="G1999" t="s">
        <v>6252</v>
      </c>
      <c r="H1999">
        <v>0</v>
      </c>
      <c r="I1999" t="s">
        <v>17</v>
      </c>
      <c r="K1999" t="s">
        <v>6253</v>
      </c>
      <c r="L1999">
        <v>428</v>
      </c>
      <c r="M1999" t="s">
        <v>6254</v>
      </c>
    </row>
    <row r="2000" spans="1:13">
      <c r="A2000" t="s">
        <v>13</v>
      </c>
      <c r="B2000">
        <v>2073626</v>
      </c>
      <c r="C2000">
        <v>2074054</v>
      </c>
      <c r="E2000" t="s">
        <v>14</v>
      </c>
      <c r="F2000" t="s">
        <v>6255</v>
      </c>
      <c r="H2000">
        <v>0</v>
      </c>
      <c r="I2000" t="s">
        <v>17</v>
      </c>
      <c r="K2000" t="s">
        <v>6256</v>
      </c>
      <c r="L2000">
        <v>142</v>
      </c>
      <c r="M2000" t="s">
        <v>6257</v>
      </c>
    </row>
    <row r="2001" spans="1:13">
      <c r="A2001" t="s">
        <v>13</v>
      </c>
      <c r="B2001">
        <v>2074051</v>
      </c>
      <c r="C2001">
        <v>2075577</v>
      </c>
      <c r="E2001" t="s">
        <v>35</v>
      </c>
      <c r="F2001" t="s">
        <v>6258</v>
      </c>
      <c r="G2001" t="s">
        <v>6259</v>
      </c>
      <c r="H2001">
        <v>0</v>
      </c>
      <c r="I2001" t="s">
        <v>17</v>
      </c>
      <c r="K2001" t="s">
        <v>6260</v>
      </c>
      <c r="L2001">
        <v>508</v>
      </c>
      <c r="M2001" t="s">
        <v>6261</v>
      </c>
    </row>
    <row r="2002" spans="1:13">
      <c r="A2002" t="s">
        <v>13</v>
      </c>
      <c r="B2002">
        <v>2075592</v>
      </c>
      <c r="C2002">
        <v>2076296</v>
      </c>
      <c r="E2002" t="s">
        <v>35</v>
      </c>
      <c r="F2002" t="s">
        <v>6262</v>
      </c>
      <c r="G2002" t="s">
        <v>6263</v>
      </c>
      <c r="H2002">
        <v>0</v>
      </c>
      <c r="I2002" t="s">
        <v>17</v>
      </c>
      <c r="K2002" t="s">
        <v>6264</v>
      </c>
      <c r="L2002">
        <v>234</v>
      </c>
      <c r="M2002" t="s">
        <v>6265</v>
      </c>
    </row>
    <row r="2003" spans="1:13">
      <c r="A2003" t="s">
        <v>13</v>
      </c>
      <c r="B2003">
        <v>2076508</v>
      </c>
      <c r="C2003">
        <v>2078253</v>
      </c>
      <c r="E2003" t="s">
        <v>35</v>
      </c>
      <c r="F2003" t="s">
        <v>6266</v>
      </c>
      <c r="G2003" t="s">
        <v>6267</v>
      </c>
      <c r="H2003">
        <v>0</v>
      </c>
      <c r="I2003" t="s">
        <v>17</v>
      </c>
      <c r="K2003" t="s">
        <v>6268</v>
      </c>
      <c r="L2003">
        <v>581</v>
      </c>
      <c r="M2003" t="s">
        <v>6269</v>
      </c>
    </row>
    <row r="2004" spans="1:13">
      <c r="A2004" t="s">
        <v>13</v>
      </c>
      <c r="B2004">
        <v>2078414</v>
      </c>
      <c r="C2004">
        <v>2079937</v>
      </c>
      <c r="E2004" t="s">
        <v>14</v>
      </c>
      <c r="F2004" t="s">
        <v>3375</v>
      </c>
      <c r="G2004" t="s">
        <v>6270</v>
      </c>
      <c r="H2004">
        <v>0</v>
      </c>
      <c r="I2004" t="s">
        <v>17</v>
      </c>
      <c r="K2004" t="s">
        <v>6271</v>
      </c>
      <c r="L2004">
        <v>507</v>
      </c>
      <c r="M2004" t="s">
        <v>6272</v>
      </c>
    </row>
    <row r="2005" spans="1:13">
      <c r="A2005" t="s">
        <v>13</v>
      </c>
      <c r="B2005">
        <v>2080005</v>
      </c>
      <c r="C2005">
        <v>2080078</v>
      </c>
      <c r="E2005" t="s">
        <v>35</v>
      </c>
      <c r="F2005" t="s">
        <v>782</v>
      </c>
      <c r="H2005">
        <v>0</v>
      </c>
      <c r="I2005" t="s">
        <v>53</v>
      </c>
      <c r="M2005" t="s">
        <v>6273</v>
      </c>
    </row>
    <row r="2006" spans="1:13">
      <c r="A2006" t="s">
        <v>13</v>
      </c>
      <c r="B2006">
        <v>2080231</v>
      </c>
      <c r="C2006">
        <v>2081961</v>
      </c>
      <c r="E2006" t="s">
        <v>14</v>
      </c>
      <c r="F2006" t="s">
        <v>28</v>
      </c>
      <c r="H2006">
        <v>0</v>
      </c>
      <c r="I2006" t="s">
        <v>17</v>
      </c>
      <c r="K2006" t="s">
        <v>6274</v>
      </c>
      <c r="L2006">
        <v>576</v>
      </c>
      <c r="M2006" t="s">
        <v>6275</v>
      </c>
    </row>
    <row r="2007" spans="1:13">
      <c r="A2007" t="s">
        <v>13</v>
      </c>
      <c r="B2007">
        <v>2082024</v>
      </c>
      <c r="C2007">
        <v>2082380</v>
      </c>
      <c r="E2007" t="s">
        <v>14</v>
      </c>
      <c r="F2007" t="s">
        <v>28</v>
      </c>
      <c r="H2007">
        <v>0</v>
      </c>
      <c r="I2007" t="s">
        <v>17</v>
      </c>
      <c r="K2007" t="s">
        <v>6276</v>
      </c>
      <c r="L2007">
        <v>118</v>
      </c>
      <c r="M2007" t="s">
        <v>6277</v>
      </c>
    </row>
    <row r="2008" spans="1:13">
      <c r="A2008" t="s">
        <v>13</v>
      </c>
      <c r="B2008">
        <v>2082395</v>
      </c>
      <c r="C2008">
        <v>2083864</v>
      </c>
      <c r="E2008" t="s">
        <v>14</v>
      </c>
      <c r="F2008" t="s">
        <v>6278</v>
      </c>
      <c r="G2008" t="s">
        <v>6279</v>
      </c>
      <c r="H2008">
        <v>0</v>
      </c>
      <c r="I2008" t="s">
        <v>17</v>
      </c>
      <c r="K2008" t="s">
        <v>6280</v>
      </c>
      <c r="L2008">
        <v>489</v>
      </c>
      <c r="M2008" t="s">
        <v>6281</v>
      </c>
    </row>
    <row r="2009" spans="1:13">
      <c r="A2009" t="s">
        <v>13</v>
      </c>
      <c r="B2009">
        <v>2083864</v>
      </c>
      <c r="C2009">
        <v>2084382</v>
      </c>
      <c r="E2009" t="s">
        <v>14</v>
      </c>
      <c r="F2009" t="s">
        <v>28</v>
      </c>
      <c r="H2009">
        <v>0</v>
      </c>
      <c r="I2009" t="s">
        <v>17</v>
      </c>
      <c r="K2009" t="s">
        <v>6282</v>
      </c>
      <c r="L2009">
        <v>172</v>
      </c>
      <c r="M2009" t="s">
        <v>6283</v>
      </c>
    </row>
    <row r="2010" spans="1:13">
      <c r="A2010" t="s">
        <v>13</v>
      </c>
      <c r="B2010">
        <v>2084394</v>
      </c>
      <c r="C2010">
        <v>2085152</v>
      </c>
      <c r="E2010" t="s">
        <v>14</v>
      </c>
      <c r="F2010" t="s">
        <v>6284</v>
      </c>
      <c r="G2010" t="s">
        <v>6285</v>
      </c>
      <c r="H2010">
        <v>0</v>
      </c>
      <c r="I2010" t="s">
        <v>17</v>
      </c>
      <c r="K2010" t="s">
        <v>6286</v>
      </c>
      <c r="L2010">
        <v>252</v>
      </c>
      <c r="M2010" t="s">
        <v>6287</v>
      </c>
    </row>
    <row r="2011" spans="1:13">
      <c r="A2011" t="s">
        <v>13</v>
      </c>
      <c r="B2011">
        <v>2085124</v>
      </c>
      <c r="C2011">
        <v>2086269</v>
      </c>
      <c r="E2011" t="s">
        <v>35</v>
      </c>
      <c r="F2011" t="s">
        <v>6288</v>
      </c>
      <c r="G2011" t="s">
        <v>6289</v>
      </c>
      <c r="H2011">
        <v>0</v>
      </c>
      <c r="I2011" t="s">
        <v>17</v>
      </c>
      <c r="K2011" t="s">
        <v>6290</v>
      </c>
      <c r="L2011">
        <v>381</v>
      </c>
      <c r="M2011" t="s">
        <v>6291</v>
      </c>
    </row>
    <row r="2012" spans="1:13">
      <c r="A2012" t="s">
        <v>13</v>
      </c>
      <c r="B2012">
        <v>2086309</v>
      </c>
      <c r="C2012">
        <v>2087319</v>
      </c>
      <c r="E2012" t="s">
        <v>14</v>
      </c>
      <c r="F2012" t="s">
        <v>3474</v>
      </c>
      <c r="G2012" t="s">
        <v>6292</v>
      </c>
      <c r="H2012">
        <v>0</v>
      </c>
      <c r="I2012" t="s">
        <v>17</v>
      </c>
      <c r="K2012" t="s">
        <v>6293</v>
      </c>
      <c r="L2012">
        <v>336</v>
      </c>
      <c r="M2012" t="s">
        <v>6294</v>
      </c>
    </row>
    <row r="2013" spans="1:13">
      <c r="A2013" t="s">
        <v>13</v>
      </c>
      <c r="B2013">
        <v>2087319</v>
      </c>
      <c r="C2013">
        <v>2088020</v>
      </c>
      <c r="E2013" t="s">
        <v>14</v>
      </c>
      <c r="F2013" t="s">
        <v>2629</v>
      </c>
      <c r="H2013">
        <v>0</v>
      </c>
      <c r="I2013" t="s">
        <v>17</v>
      </c>
      <c r="K2013" t="s">
        <v>6295</v>
      </c>
      <c r="L2013">
        <v>233</v>
      </c>
      <c r="M2013" t="s">
        <v>6296</v>
      </c>
    </row>
    <row r="2014" spans="1:13">
      <c r="A2014" t="s">
        <v>13</v>
      </c>
      <c r="B2014">
        <v>2088013</v>
      </c>
      <c r="C2014">
        <v>2088912</v>
      </c>
      <c r="E2014" t="s">
        <v>14</v>
      </c>
      <c r="F2014" t="s">
        <v>5724</v>
      </c>
      <c r="G2014" t="s">
        <v>6297</v>
      </c>
      <c r="H2014">
        <v>0</v>
      </c>
      <c r="I2014" t="s">
        <v>17</v>
      </c>
      <c r="K2014" t="s">
        <v>6298</v>
      </c>
      <c r="L2014">
        <v>299</v>
      </c>
      <c r="M2014" t="s">
        <v>6299</v>
      </c>
    </row>
    <row r="2015" spans="1:13">
      <c r="A2015" t="s">
        <v>13</v>
      </c>
      <c r="B2015">
        <v>2088924</v>
      </c>
      <c r="C2015">
        <v>2089754</v>
      </c>
      <c r="E2015" t="s">
        <v>14</v>
      </c>
      <c r="F2015" t="s">
        <v>1567</v>
      </c>
      <c r="H2015">
        <v>0</v>
      </c>
      <c r="I2015" t="s">
        <v>17</v>
      </c>
      <c r="K2015" t="s">
        <v>6300</v>
      </c>
      <c r="L2015">
        <v>276</v>
      </c>
      <c r="M2015" t="s">
        <v>6301</v>
      </c>
    </row>
    <row r="2016" spans="1:13">
      <c r="A2016" t="s">
        <v>13</v>
      </c>
      <c r="B2016">
        <v>2089824</v>
      </c>
      <c r="C2016">
        <v>2091020</v>
      </c>
      <c r="E2016" t="s">
        <v>14</v>
      </c>
      <c r="F2016" t="s">
        <v>28</v>
      </c>
      <c r="H2016">
        <v>0</v>
      </c>
      <c r="I2016" t="s">
        <v>17</v>
      </c>
      <c r="K2016" t="s">
        <v>6302</v>
      </c>
      <c r="L2016">
        <v>398</v>
      </c>
      <c r="M2016" t="s">
        <v>6303</v>
      </c>
    </row>
    <row r="2017" spans="1:13">
      <c r="A2017" t="s">
        <v>13</v>
      </c>
      <c r="B2017">
        <v>2091207</v>
      </c>
      <c r="C2017">
        <v>2092157</v>
      </c>
      <c r="E2017" t="s">
        <v>35</v>
      </c>
      <c r="F2017" t="s">
        <v>3645</v>
      </c>
      <c r="H2017">
        <v>0</v>
      </c>
      <c r="I2017" t="s">
        <v>17</v>
      </c>
      <c r="K2017" t="s">
        <v>6304</v>
      </c>
      <c r="L2017">
        <v>316</v>
      </c>
      <c r="M2017" t="s">
        <v>6305</v>
      </c>
    </row>
    <row r="2018" spans="1:13">
      <c r="A2018" t="s">
        <v>13</v>
      </c>
      <c r="B2018">
        <v>2092218</v>
      </c>
      <c r="C2018">
        <v>2093624</v>
      </c>
      <c r="E2018" t="s">
        <v>35</v>
      </c>
      <c r="F2018" t="s">
        <v>6306</v>
      </c>
      <c r="G2018" t="s">
        <v>6307</v>
      </c>
      <c r="H2018">
        <v>0</v>
      </c>
      <c r="I2018" t="s">
        <v>17</v>
      </c>
      <c r="K2018" t="s">
        <v>6308</v>
      </c>
      <c r="L2018">
        <v>468</v>
      </c>
      <c r="M2018" t="s">
        <v>6309</v>
      </c>
    </row>
    <row r="2019" spans="1:13">
      <c r="A2019" t="s">
        <v>13</v>
      </c>
      <c r="B2019">
        <v>2093656</v>
      </c>
      <c r="C2019">
        <v>2094144</v>
      </c>
      <c r="E2019" t="s">
        <v>35</v>
      </c>
      <c r="F2019" t="s">
        <v>6310</v>
      </c>
      <c r="G2019" t="s">
        <v>6311</v>
      </c>
      <c r="H2019">
        <v>0</v>
      </c>
      <c r="I2019" t="s">
        <v>17</v>
      </c>
      <c r="K2019" t="s">
        <v>6312</v>
      </c>
      <c r="L2019">
        <v>162</v>
      </c>
      <c r="M2019" t="s">
        <v>6313</v>
      </c>
    </row>
    <row r="2020" spans="1:13">
      <c r="A2020" t="s">
        <v>13</v>
      </c>
      <c r="B2020">
        <v>2094137</v>
      </c>
      <c r="C2020">
        <v>2094862</v>
      </c>
      <c r="E2020" t="s">
        <v>35</v>
      </c>
      <c r="F2020" t="s">
        <v>6314</v>
      </c>
      <c r="G2020" t="s">
        <v>6315</v>
      </c>
      <c r="H2020">
        <v>0</v>
      </c>
      <c r="I2020" t="s">
        <v>17</v>
      </c>
      <c r="K2020" t="s">
        <v>6316</v>
      </c>
      <c r="L2020">
        <v>241</v>
      </c>
      <c r="M2020" t="s">
        <v>6317</v>
      </c>
    </row>
    <row r="2021" spans="1:13">
      <c r="A2021" t="s">
        <v>13</v>
      </c>
      <c r="B2021">
        <v>2094834</v>
      </c>
      <c r="C2021">
        <v>2095418</v>
      </c>
      <c r="E2021" t="s">
        <v>35</v>
      </c>
      <c r="F2021" t="s">
        <v>6318</v>
      </c>
      <c r="G2021" t="s">
        <v>6319</v>
      </c>
      <c r="H2021">
        <v>0</v>
      </c>
      <c r="I2021" t="s">
        <v>17</v>
      </c>
      <c r="K2021" t="s">
        <v>6320</v>
      </c>
      <c r="L2021">
        <v>194</v>
      </c>
      <c r="M2021" t="s">
        <v>6321</v>
      </c>
    </row>
    <row r="2022" spans="1:13">
      <c r="A2022" t="s">
        <v>13</v>
      </c>
      <c r="B2022">
        <v>2095620</v>
      </c>
      <c r="C2022">
        <v>2096210</v>
      </c>
      <c r="E2022" t="s">
        <v>14</v>
      </c>
      <c r="F2022" t="s">
        <v>28</v>
      </c>
      <c r="H2022">
        <v>0</v>
      </c>
      <c r="I2022" t="s">
        <v>17</v>
      </c>
      <c r="K2022" t="s">
        <v>6322</v>
      </c>
      <c r="L2022">
        <v>196</v>
      </c>
      <c r="M2022" t="s">
        <v>6323</v>
      </c>
    </row>
    <row r="2023" spans="1:13">
      <c r="A2023" t="s">
        <v>13</v>
      </c>
      <c r="B2023">
        <v>2096295</v>
      </c>
      <c r="C2023">
        <v>2097659</v>
      </c>
      <c r="E2023" t="s">
        <v>14</v>
      </c>
      <c r="F2023" t="s">
        <v>28</v>
      </c>
      <c r="H2023">
        <v>0</v>
      </c>
      <c r="I2023" t="s">
        <v>17</v>
      </c>
      <c r="K2023" t="s">
        <v>6324</v>
      </c>
      <c r="L2023">
        <v>454</v>
      </c>
      <c r="M2023" t="s">
        <v>6325</v>
      </c>
    </row>
    <row r="2024" spans="1:13">
      <c r="A2024" t="s">
        <v>13</v>
      </c>
      <c r="B2024">
        <v>2097792</v>
      </c>
      <c r="C2024">
        <v>2098508</v>
      </c>
      <c r="E2024" t="s">
        <v>35</v>
      </c>
      <c r="F2024" t="s">
        <v>28</v>
      </c>
      <c r="H2024">
        <v>0</v>
      </c>
      <c r="I2024" t="s">
        <v>17</v>
      </c>
      <c r="K2024" t="s">
        <v>6326</v>
      </c>
      <c r="L2024">
        <v>238</v>
      </c>
      <c r="M2024" t="s">
        <v>6327</v>
      </c>
    </row>
    <row r="2025" spans="1:13">
      <c r="A2025" t="s">
        <v>13</v>
      </c>
      <c r="B2025">
        <v>2098519</v>
      </c>
      <c r="C2025">
        <v>2099178</v>
      </c>
      <c r="E2025" t="s">
        <v>35</v>
      </c>
      <c r="F2025" t="s">
        <v>6328</v>
      </c>
      <c r="G2025" t="s">
        <v>6329</v>
      </c>
      <c r="H2025">
        <v>0</v>
      </c>
      <c r="I2025" t="s">
        <v>17</v>
      </c>
      <c r="K2025" t="s">
        <v>6330</v>
      </c>
      <c r="L2025">
        <v>219</v>
      </c>
      <c r="M2025" t="s">
        <v>6331</v>
      </c>
    </row>
    <row r="2026" spans="1:13">
      <c r="A2026" t="s">
        <v>13</v>
      </c>
      <c r="B2026">
        <v>2099214</v>
      </c>
      <c r="C2026">
        <v>2100068</v>
      </c>
      <c r="E2026" t="s">
        <v>14</v>
      </c>
      <c r="F2026" t="s">
        <v>6332</v>
      </c>
      <c r="G2026" t="s">
        <v>6333</v>
      </c>
      <c r="H2026">
        <v>0</v>
      </c>
      <c r="I2026" t="s">
        <v>17</v>
      </c>
      <c r="K2026" t="s">
        <v>6334</v>
      </c>
      <c r="L2026">
        <v>284</v>
      </c>
      <c r="M2026" t="s">
        <v>6335</v>
      </c>
    </row>
    <row r="2027" spans="1:13">
      <c r="A2027" t="s">
        <v>13</v>
      </c>
      <c r="B2027">
        <v>2100174</v>
      </c>
      <c r="C2027">
        <v>2100287</v>
      </c>
      <c r="E2027" t="s">
        <v>14</v>
      </c>
      <c r="F2027" t="s">
        <v>28</v>
      </c>
      <c r="H2027">
        <v>0</v>
      </c>
      <c r="I2027" t="s">
        <v>17</v>
      </c>
      <c r="K2027" t="s">
        <v>6336</v>
      </c>
      <c r="L2027">
        <v>37</v>
      </c>
      <c r="M2027" t="s">
        <v>6337</v>
      </c>
    </row>
    <row r="2028" spans="1:13">
      <c r="A2028" t="s">
        <v>13</v>
      </c>
      <c r="B2028">
        <v>2100578</v>
      </c>
      <c r="C2028">
        <v>2103463</v>
      </c>
      <c r="E2028" t="s">
        <v>35</v>
      </c>
      <c r="F2028" t="s">
        <v>6338</v>
      </c>
      <c r="G2028" t="s">
        <v>6339</v>
      </c>
      <c r="H2028">
        <v>0</v>
      </c>
      <c r="I2028" t="s">
        <v>17</v>
      </c>
      <c r="K2028" t="s">
        <v>6340</v>
      </c>
      <c r="L2028">
        <v>961</v>
      </c>
      <c r="M2028" t="s">
        <v>6341</v>
      </c>
    </row>
    <row r="2029" spans="1:13">
      <c r="A2029" t="s">
        <v>13</v>
      </c>
      <c r="B2029">
        <v>2103680</v>
      </c>
      <c r="C2029">
        <v>2105017</v>
      </c>
      <c r="E2029" t="s">
        <v>14</v>
      </c>
      <c r="F2029" t="s">
        <v>28</v>
      </c>
      <c r="H2029">
        <v>0</v>
      </c>
      <c r="I2029" t="s">
        <v>17</v>
      </c>
      <c r="K2029" t="s">
        <v>6342</v>
      </c>
      <c r="L2029">
        <v>445</v>
      </c>
      <c r="M2029" t="s">
        <v>6343</v>
      </c>
    </row>
    <row r="2030" spans="1:13">
      <c r="A2030" t="s">
        <v>13</v>
      </c>
      <c r="B2030">
        <v>2105100</v>
      </c>
      <c r="C2030">
        <v>2106521</v>
      </c>
      <c r="E2030" t="s">
        <v>35</v>
      </c>
      <c r="F2030" t="s">
        <v>6344</v>
      </c>
      <c r="G2030" t="s">
        <v>6345</v>
      </c>
      <c r="H2030">
        <v>0</v>
      </c>
      <c r="I2030" t="s">
        <v>17</v>
      </c>
      <c r="K2030" t="s">
        <v>6346</v>
      </c>
      <c r="L2030">
        <v>473</v>
      </c>
      <c r="M2030" t="s">
        <v>6347</v>
      </c>
    </row>
    <row r="2031" spans="1:13">
      <c r="A2031" t="s">
        <v>13</v>
      </c>
      <c r="B2031">
        <v>2106619</v>
      </c>
      <c r="C2031">
        <v>2108055</v>
      </c>
      <c r="E2031" t="s">
        <v>14</v>
      </c>
      <c r="F2031" t="s">
        <v>1641</v>
      </c>
      <c r="G2031" t="s">
        <v>6348</v>
      </c>
      <c r="H2031">
        <v>0</v>
      </c>
      <c r="I2031" t="s">
        <v>17</v>
      </c>
      <c r="K2031" t="s">
        <v>6349</v>
      </c>
      <c r="L2031">
        <v>478</v>
      </c>
      <c r="M2031" t="s">
        <v>6350</v>
      </c>
    </row>
    <row r="2032" spans="1:13">
      <c r="A2032" t="s">
        <v>13</v>
      </c>
      <c r="B2032">
        <v>2108087</v>
      </c>
      <c r="C2032">
        <v>2108941</v>
      </c>
      <c r="E2032" t="s">
        <v>14</v>
      </c>
      <c r="F2032" t="s">
        <v>6351</v>
      </c>
      <c r="G2032" t="s">
        <v>6352</v>
      </c>
      <c r="H2032">
        <v>0</v>
      </c>
      <c r="I2032" t="s">
        <v>17</v>
      </c>
      <c r="K2032" t="s">
        <v>6353</v>
      </c>
      <c r="L2032">
        <v>284</v>
      </c>
      <c r="M2032" t="s">
        <v>6354</v>
      </c>
    </row>
    <row r="2033" spans="1:13">
      <c r="A2033" t="s">
        <v>13</v>
      </c>
      <c r="B2033">
        <v>2109009</v>
      </c>
      <c r="C2033">
        <v>2110607</v>
      </c>
      <c r="E2033" t="s">
        <v>14</v>
      </c>
      <c r="F2033" t="s">
        <v>6355</v>
      </c>
      <c r="G2033" t="s">
        <v>6356</v>
      </c>
      <c r="H2033">
        <v>0</v>
      </c>
      <c r="I2033" t="s">
        <v>17</v>
      </c>
      <c r="K2033" t="s">
        <v>6357</v>
      </c>
      <c r="L2033">
        <v>532</v>
      </c>
      <c r="M2033" t="s">
        <v>6358</v>
      </c>
    </row>
    <row r="2034" spans="1:13">
      <c r="A2034" t="s">
        <v>13</v>
      </c>
      <c r="B2034">
        <v>2110991</v>
      </c>
      <c r="C2034">
        <v>2112568</v>
      </c>
      <c r="E2034" t="s">
        <v>35</v>
      </c>
      <c r="F2034" t="s">
        <v>6359</v>
      </c>
      <c r="G2034" t="s">
        <v>6360</v>
      </c>
      <c r="H2034">
        <v>0</v>
      </c>
      <c r="I2034" t="s">
        <v>17</v>
      </c>
      <c r="K2034" t="s">
        <v>6361</v>
      </c>
      <c r="L2034">
        <v>525</v>
      </c>
      <c r="M2034" t="s">
        <v>6362</v>
      </c>
    </row>
    <row r="2035" spans="1:13">
      <c r="A2035" t="s">
        <v>13</v>
      </c>
      <c r="B2035">
        <v>2113209</v>
      </c>
      <c r="C2035">
        <v>2113604</v>
      </c>
      <c r="E2035" t="s">
        <v>14</v>
      </c>
      <c r="F2035" t="s">
        <v>6363</v>
      </c>
      <c r="H2035">
        <v>0</v>
      </c>
      <c r="I2035" t="s">
        <v>17</v>
      </c>
      <c r="K2035" t="s">
        <v>6364</v>
      </c>
      <c r="L2035">
        <v>131</v>
      </c>
      <c r="M2035" t="s">
        <v>6365</v>
      </c>
    </row>
    <row r="2036" spans="1:13">
      <c r="A2036" t="s">
        <v>13</v>
      </c>
      <c r="B2036">
        <v>2114038</v>
      </c>
      <c r="C2036">
        <v>2115750</v>
      </c>
      <c r="E2036" t="s">
        <v>14</v>
      </c>
      <c r="F2036" t="s">
        <v>6366</v>
      </c>
      <c r="G2036" t="s">
        <v>6367</v>
      </c>
      <c r="H2036">
        <v>0</v>
      </c>
      <c r="I2036" t="s">
        <v>17</v>
      </c>
      <c r="K2036" t="s">
        <v>6368</v>
      </c>
      <c r="L2036">
        <v>570</v>
      </c>
      <c r="M2036" t="s">
        <v>6369</v>
      </c>
    </row>
    <row r="2037" spans="1:13">
      <c r="A2037" t="s">
        <v>13</v>
      </c>
      <c r="B2037">
        <v>2115704</v>
      </c>
      <c r="C2037">
        <v>2115991</v>
      </c>
      <c r="E2037" t="s">
        <v>14</v>
      </c>
      <c r="F2037" t="s">
        <v>28</v>
      </c>
      <c r="H2037">
        <v>0</v>
      </c>
      <c r="I2037" t="s">
        <v>17</v>
      </c>
      <c r="K2037" t="s">
        <v>6370</v>
      </c>
      <c r="L2037">
        <v>95</v>
      </c>
      <c r="M2037" t="s">
        <v>6371</v>
      </c>
    </row>
    <row r="2038" spans="1:13">
      <c r="A2038" t="s">
        <v>13</v>
      </c>
      <c r="B2038">
        <v>2115982</v>
      </c>
      <c r="C2038">
        <v>2116923</v>
      </c>
      <c r="E2038" t="s">
        <v>14</v>
      </c>
      <c r="F2038" t="s">
        <v>6372</v>
      </c>
      <c r="G2038" t="s">
        <v>6373</v>
      </c>
      <c r="H2038">
        <v>0</v>
      </c>
      <c r="I2038" t="s">
        <v>17</v>
      </c>
      <c r="K2038" t="s">
        <v>6374</v>
      </c>
      <c r="L2038">
        <v>313</v>
      </c>
      <c r="M2038" t="s">
        <v>6375</v>
      </c>
    </row>
    <row r="2039" spans="1:13">
      <c r="A2039" t="s">
        <v>13</v>
      </c>
      <c r="B2039">
        <v>2117001</v>
      </c>
      <c r="C2039">
        <v>2118320</v>
      </c>
      <c r="E2039" t="s">
        <v>14</v>
      </c>
      <c r="F2039" t="s">
        <v>6376</v>
      </c>
      <c r="G2039" t="s">
        <v>6377</v>
      </c>
      <c r="H2039">
        <v>0</v>
      </c>
      <c r="I2039" t="s">
        <v>17</v>
      </c>
      <c r="K2039" t="s">
        <v>6378</v>
      </c>
      <c r="L2039">
        <v>439</v>
      </c>
      <c r="M2039" t="s">
        <v>6379</v>
      </c>
    </row>
    <row r="2040" spans="1:13">
      <c r="A2040" t="s">
        <v>13</v>
      </c>
      <c r="B2040">
        <v>2118334</v>
      </c>
      <c r="C2040">
        <v>2119635</v>
      </c>
      <c r="E2040" t="s">
        <v>14</v>
      </c>
      <c r="F2040" t="s">
        <v>6376</v>
      </c>
      <c r="G2040" t="s">
        <v>6380</v>
      </c>
      <c r="H2040">
        <v>0</v>
      </c>
      <c r="I2040" t="s">
        <v>17</v>
      </c>
      <c r="K2040" t="s">
        <v>6381</v>
      </c>
      <c r="L2040">
        <v>433</v>
      </c>
      <c r="M2040" t="s">
        <v>6382</v>
      </c>
    </row>
    <row r="2041" spans="1:13">
      <c r="A2041" t="s">
        <v>13</v>
      </c>
      <c r="B2041">
        <v>2119713</v>
      </c>
      <c r="C2041">
        <v>2120324</v>
      </c>
      <c r="E2041" t="s">
        <v>35</v>
      </c>
      <c r="F2041" t="s">
        <v>28</v>
      </c>
      <c r="H2041">
        <v>0</v>
      </c>
      <c r="I2041" t="s">
        <v>17</v>
      </c>
      <c r="K2041" t="s">
        <v>6383</v>
      </c>
      <c r="L2041">
        <v>203</v>
      </c>
      <c r="M2041" t="s">
        <v>6384</v>
      </c>
    </row>
    <row r="2042" spans="1:13">
      <c r="A2042" t="s">
        <v>13</v>
      </c>
      <c r="B2042">
        <v>2120324</v>
      </c>
      <c r="C2042">
        <v>2121265</v>
      </c>
      <c r="E2042" t="s">
        <v>35</v>
      </c>
      <c r="F2042" t="s">
        <v>5790</v>
      </c>
      <c r="G2042" t="s">
        <v>6385</v>
      </c>
      <c r="H2042">
        <v>0</v>
      </c>
      <c r="I2042" t="s">
        <v>17</v>
      </c>
      <c r="K2042" t="s">
        <v>6386</v>
      </c>
      <c r="L2042">
        <v>313</v>
      </c>
      <c r="M2042" t="s">
        <v>6387</v>
      </c>
    </row>
    <row r="2043" spans="1:13">
      <c r="A2043" t="s">
        <v>13</v>
      </c>
      <c r="B2043">
        <v>2121262</v>
      </c>
      <c r="C2043">
        <v>2121936</v>
      </c>
      <c r="E2043" t="s">
        <v>35</v>
      </c>
      <c r="F2043" t="s">
        <v>6388</v>
      </c>
      <c r="H2043">
        <v>0</v>
      </c>
      <c r="I2043" t="s">
        <v>17</v>
      </c>
      <c r="K2043" t="s">
        <v>6389</v>
      </c>
      <c r="L2043">
        <v>224</v>
      </c>
      <c r="M2043" t="s">
        <v>6390</v>
      </c>
    </row>
    <row r="2044" spans="1:13">
      <c r="A2044" t="s">
        <v>13</v>
      </c>
      <c r="B2044">
        <v>2121937</v>
      </c>
      <c r="C2044">
        <v>2123013</v>
      </c>
      <c r="E2044" t="s">
        <v>35</v>
      </c>
      <c r="F2044" t="s">
        <v>28</v>
      </c>
      <c r="H2044">
        <v>0</v>
      </c>
      <c r="I2044" t="s">
        <v>17</v>
      </c>
      <c r="K2044" t="s">
        <v>6391</v>
      </c>
      <c r="L2044">
        <v>358</v>
      </c>
      <c r="M2044" t="s">
        <v>6392</v>
      </c>
    </row>
    <row r="2045" spans="1:13">
      <c r="A2045" t="s">
        <v>13</v>
      </c>
      <c r="B2045">
        <v>2123019</v>
      </c>
      <c r="C2045">
        <v>2123492</v>
      </c>
      <c r="E2045" t="s">
        <v>35</v>
      </c>
      <c r="F2045" t="s">
        <v>28</v>
      </c>
      <c r="H2045">
        <v>0</v>
      </c>
      <c r="I2045" t="s">
        <v>17</v>
      </c>
      <c r="K2045" t="s">
        <v>6393</v>
      </c>
      <c r="L2045">
        <v>157</v>
      </c>
      <c r="M2045" t="s">
        <v>6394</v>
      </c>
    </row>
    <row r="2046" spans="1:13">
      <c r="A2046" t="s">
        <v>13</v>
      </c>
      <c r="B2046">
        <v>2123489</v>
      </c>
      <c r="C2046">
        <v>2123974</v>
      </c>
      <c r="E2046" t="s">
        <v>35</v>
      </c>
      <c r="F2046" t="s">
        <v>6395</v>
      </c>
      <c r="G2046" t="s">
        <v>6396</v>
      </c>
      <c r="H2046">
        <v>0</v>
      </c>
      <c r="I2046" t="s">
        <v>17</v>
      </c>
      <c r="K2046" t="s">
        <v>6397</v>
      </c>
      <c r="L2046">
        <v>161</v>
      </c>
      <c r="M2046" t="s">
        <v>6398</v>
      </c>
    </row>
    <row r="2047" spans="1:13">
      <c r="A2047" t="s">
        <v>13</v>
      </c>
      <c r="B2047">
        <v>2123974</v>
      </c>
      <c r="C2047">
        <v>2124372</v>
      </c>
      <c r="E2047" t="s">
        <v>35</v>
      </c>
      <c r="F2047" t="s">
        <v>6399</v>
      </c>
      <c r="G2047" t="s">
        <v>6400</v>
      </c>
      <c r="H2047">
        <v>0</v>
      </c>
      <c r="I2047" t="s">
        <v>17</v>
      </c>
      <c r="K2047" t="s">
        <v>6401</v>
      </c>
      <c r="L2047">
        <v>132</v>
      </c>
      <c r="M2047" t="s">
        <v>6402</v>
      </c>
    </row>
    <row r="2048" spans="1:13">
      <c r="A2048" t="s">
        <v>13</v>
      </c>
      <c r="B2048">
        <v>2124375</v>
      </c>
      <c r="C2048">
        <v>2125334</v>
      </c>
      <c r="E2048" t="s">
        <v>35</v>
      </c>
      <c r="F2048" t="s">
        <v>6403</v>
      </c>
      <c r="G2048" t="s">
        <v>6404</v>
      </c>
      <c r="H2048">
        <v>0</v>
      </c>
      <c r="I2048" t="s">
        <v>17</v>
      </c>
      <c r="K2048" t="s">
        <v>6405</v>
      </c>
      <c r="L2048">
        <v>319</v>
      </c>
      <c r="M2048" t="s">
        <v>6406</v>
      </c>
    </row>
    <row r="2049" spans="1:13">
      <c r="A2049" t="s">
        <v>13</v>
      </c>
      <c r="B2049">
        <v>2125376</v>
      </c>
      <c r="C2049">
        <v>2125984</v>
      </c>
      <c r="E2049" t="s">
        <v>35</v>
      </c>
      <c r="F2049" t="s">
        <v>6407</v>
      </c>
      <c r="G2049" t="s">
        <v>6408</v>
      </c>
      <c r="H2049">
        <v>0</v>
      </c>
      <c r="I2049" t="s">
        <v>17</v>
      </c>
      <c r="K2049" t="s">
        <v>6409</v>
      </c>
      <c r="L2049">
        <v>202</v>
      </c>
      <c r="M2049" t="s">
        <v>6410</v>
      </c>
    </row>
    <row r="2050" spans="1:13">
      <c r="A2050" t="s">
        <v>13</v>
      </c>
      <c r="B2050">
        <v>2125996</v>
      </c>
      <c r="C2050">
        <v>2128422</v>
      </c>
      <c r="E2050" t="s">
        <v>35</v>
      </c>
      <c r="F2050" t="s">
        <v>6411</v>
      </c>
      <c r="G2050" t="s">
        <v>6412</v>
      </c>
      <c r="H2050">
        <v>0</v>
      </c>
      <c r="I2050" t="s">
        <v>17</v>
      </c>
      <c r="K2050" t="s">
        <v>6413</v>
      </c>
      <c r="L2050">
        <v>808</v>
      </c>
      <c r="M2050" t="s">
        <v>6414</v>
      </c>
    </row>
    <row r="2051" spans="1:13">
      <c r="A2051" t="s">
        <v>13</v>
      </c>
      <c r="B2051">
        <v>2128435</v>
      </c>
      <c r="C2051">
        <v>2129022</v>
      </c>
      <c r="E2051" t="s">
        <v>35</v>
      </c>
      <c r="F2051" t="s">
        <v>6415</v>
      </c>
      <c r="G2051" t="s">
        <v>6416</v>
      </c>
      <c r="H2051">
        <v>0</v>
      </c>
      <c r="I2051" t="s">
        <v>17</v>
      </c>
      <c r="K2051" t="s">
        <v>6417</v>
      </c>
      <c r="L2051">
        <v>195</v>
      </c>
      <c r="M2051" t="s">
        <v>6418</v>
      </c>
    </row>
    <row r="2052" spans="1:13">
      <c r="A2052" t="s">
        <v>13</v>
      </c>
      <c r="B2052">
        <v>2129035</v>
      </c>
      <c r="C2052">
        <v>2129928</v>
      </c>
      <c r="E2052" t="s">
        <v>35</v>
      </c>
      <c r="F2052" t="s">
        <v>6419</v>
      </c>
      <c r="G2052" t="s">
        <v>6420</v>
      </c>
      <c r="H2052">
        <v>0</v>
      </c>
      <c r="I2052" t="s">
        <v>17</v>
      </c>
      <c r="K2052" t="s">
        <v>6421</v>
      </c>
      <c r="L2052">
        <v>297</v>
      </c>
      <c r="M2052" t="s">
        <v>6422</v>
      </c>
    </row>
    <row r="2053" spans="1:13">
      <c r="A2053" t="s">
        <v>13</v>
      </c>
      <c r="B2053">
        <v>2130016</v>
      </c>
      <c r="C2053">
        <v>2131380</v>
      </c>
      <c r="E2053" t="s">
        <v>35</v>
      </c>
      <c r="F2053" t="s">
        <v>6423</v>
      </c>
      <c r="G2053" t="s">
        <v>6424</v>
      </c>
      <c r="H2053">
        <v>0</v>
      </c>
      <c r="I2053" t="s">
        <v>17</v>
      </c>
      <c r="K2053" t="s">
        <v>6425</v>
      </c>
      <c r="L2053">
        <v>454</v>
      </c>
      <c r="M2053" t="s">
        <v>6426</v>
      </c>
    </row>
    <row r="2054" spans="1:13">
      <c r="A2054" t="s">
        <v>13</v>
      </c>
      <c r="B2054">
        <v>2131385</v>
      </c>
      <c r="C2054">
        <v>2131858</v>
      </c>
      <c r="E2054" t="s">
        <v>14</v>
      </c>
      <c r="F2054" t="s">
        <v>6427</v>
      </c>
      <c r="G2054" t="s">
        <v>6428</v>
      </c>
      <c r="H2054">
        <v>0</v>
      </c>
      <c r="I2054" t="s">
        <v>17</v>
      </c>
      <c r="K2054" t="s">
        <v>6429</v>
      </c>
      <c r="L2054">
        <v>157</v>
      </c>
      <c r="M2054" t="s">
        <v>6430</v>
      </c>
    </row>
    <row r="2055" spans="1:13">
      <c r="A2055" t="s">
        <v>13</v>
      </c>
      <c r="B2055">
        <v>2132098</v>
      </c>
      <c r="C2055">
        <v>2132928</v>
      </c>
      <c r="E2055" t="s">
        <v>14</v>
      </c>
      <c r="F2055" t="s">
        <v>28</v>
      </c>
      <c r="H2055">
        <v>0</v>
      </c>
      <c r="I2055" t="s">
        <v>17</v>
      </c>
      <c r="K2055" t="s">
        <v>6431</v>
      </c>
      <c r="L2055">
        <v>276</v>
      </c>
      <c r="M2055" t="s">
        <v>6432</v>
      </c>
    </row>
    <row r="2056" spans="1:13">
      <c r="A2056" t="s">
        <v>13</v>
      </c>
      <c r="B2056">
        <v>2133051</v>
      </c>
      <c r="C2056">
        <v>2134451</v>
      </c>
      <c r="E2056" t="s">
        <v>35</v>
      </c>
      <c r="F2056" t="s">
        <v>1616</v>
      </c>
      <c r="H2056">
        <v>0</v>
      </c>
      <c r="I2056" t="s">
        <v>17</v>
      </c>
      <c r="K2056" t="s">
        <v>6433</v>
      </c>
      <c r="L2056">
        <v>466</v>
      </c>
      <c r="M2056" t="s">
        <v>6434</v>
      </c>
    </row>
    <row r="2057" spans="1:13">
      <c r="A2057" t="s">
        <v>13</v>
      </c>
      <c r="B2057">
        <v>2134448</v>
      </c>
      <c r="C2057">
        <v>2135143</v>
      </c>
      <c r="E2057" t="s">
        <v>35</v>
      </c>
      <c r="F2057" t="s">
        <v>6435</v>
      </c>
      <c r="G2057" t="s">
        <v>6436</v>
      </c>
      <c r="H2057">
        <v>0</v>
      </c>
      <c r="I2057" t="s">
        <v>17</v>
      </c>
      <c r="K2057" t="s">
        <v>6437</v>
      </c>
      <c r="L2057">
        <v>231</v>
      </c>
      <c r="M2057" t="s">
        <v>6438</v>
      </c>
    </row>
    <row r="2058" spans="1:13">
      <c r="A2058" t="s">
        <v>13</v>
      </c>
      <c r="B2058">
        <v>2135244</v>
      </c>
      <c r="C2058">
        <v>2135942</v>
      </c>
      <c r="E2058" t="s">
        <v>14</v>
      </c>
      <c r="F2058" t="s">
        <v>1608</v>
      </c>
      <c r="G2058" t="s">
        <v>6439</v>
      </c>
      <c r="H2058">
        <v>0</v>
      </c>
      <c r="I2058" t="s">
        <v>17</v>
      </c>
      <c r="K2058" t="s">
        <v>6440</v>
      </c>
      <c r="L2058">
        <v>232</v>
      </c>
      <c r="M2058" t="s">
        <v>6441</v>
      </c>
    </row>
    <row r="2059" spans="1:13">
      <c r="A2059" t="s">
        <v>13</v>
      </c>
      <c r="B2059">
        <v>2135939</v>
      </c>
      <c r="C2059">
        <v>2136607</v>
      </c>
      <c r="E2059" t="s">
        <v>14</v>
      </c>
      <c r="F2059" t="s">
        <v>1604</v>
      </c>
      <c r="G2059" t="s">
        <v>6442</v>
      </c>
      <c r="H2059">
        <v>0</v>
      </c>
      <c r="I2059" t="s">
        <v>17</v>
      </c>
      <c r="K2059" t="s">
        <v>6443</v>
      </c>
      <c r="L2059">
        <v>222</v>
      </c>
      <c r="M2059" t="s">
        <v>6444</v>
      </c>
    </row>
    <row r="2060" spans="1:13">
      <c r="A2060" t="s">
        <v>13</v>
      </c>
      <c r="B2060">
        <v>2136632</v>
      </c>
      <c r="C2060">
        <v>2136928</v>
      </c>
      <c r="E2060" t="s">
        <v>14</v>
      </c>
      <c r="F2060" t="s">
        <v>6445</v>
      </c>
      <c r="G2060" t="s">
        <v>6446</v>
      </c>
      <c r="H2060">
        <v>0</v>
      </c>
      <c r="I2060" t="s">
        <v>17</v>
      </c>
      <c r="K2060" t="s">
        <v>6447</v>
      </c>
      <c r="L2060">
        <v>98</v>
      </c>
      <c r="M2060" t="s">
        <v>6448</v>
      </c>
    </row>
    <row r="2061" spans="1:13">
      <c r="A2061" t="s">
        <v>13</v>
      </c>
      <c r="B2061">
        <v>2136966</v>
      </c>
      <c r="C2061">
        <v>2137424</v>
      </c>
      <c r="E2061" t="s">
        <v>14</v>
      </c>
      <c r="F2061" t="s">
        <v>6449</v>
      </c>
      <c r="H2061">
        <v>0</v>
      </c>
      <c r="I2061" t="s">
        <v>17</v>
      </c>
      <c r="K2061" t="s">
        <v>6450</v>
      </c>
      <c r="L2061">
        <v>152</v>
      </c>
      <c r="M2061" t="s">
        <v>6451</v>
      </c>
    </row>
    <row r="2062" spans="1:13">
      <c r="A2062" t="s">
        <v>13</v>
      </c>
      <c r="B2062">
        <v>2137427</v>
      </c>
      <c r="C2062">
        <v>2141350</v>
      </c>
      <c r="E2062" t="s">
        <v>14</v>
      </c>
      <c r="F2062" t="s">
        <v>6452</v>
      </c>
      <c r="G2062" t="s">
        <v>6453</v>
      </c>
      <c r="H2062">
        <v>0</v>
      </c>
      <c r="I2062" t="s">
        <v>17</v>
      </c>
      <c r="K2062" t="s">
        <v>6454</v>
      </c>
      <c r="L2062">
        <v>1307</v>
      </c>
      <c r="M2062" t="s">
        <v>6455</v>
      </c>
    </row>
    <row r="2063" spans="1:13">
      <c r="A2063" t="s">
        <v>13</v>
      </c>
      <c r="B2063">
        <v>2141507</v>
      </c>
      <c r="C2063">
        <v>2142298</v>
      </c>
      <c r="E2063" t="s">
        <v>14</v>
      </c>
      <c r="F2063" t="s">
        <v>1277</v>
      </c>
      <c r="H2063">
        <v>0</v>
      </c>
      <c r="I2063" t="s">
        <v>17</v>
      </c>
      <c r="K2063" t="s">
        <v>6456</v>
      </c>
      <c r="L2063">
        <v>263</v>
      </c>
      <c r="M2063" t="s">
        <v>6457</v>
      </c>
    </row>
    <row r="2064" spans="1:13">
      <c r="A2064" t="s">
        <v>13</v>
      </c>
      <c r="B2064">
        <v>2142402</v>
      </c>
      <c r="C2064">
        <v>2143550</v>
      </c>
      <c r="E2064" t="s">
        <v>35</v>
      </c>
      <c r="F2064" t="s">
        <v>6458</v>
      </c>
      <c r="G2064" t="s">
        <v>6459</v>
      </c>
      <c r="H2064">
        <v>0</v>
      </c>
      <c r="I2064" t="s">
        <v>17</v>
      </c>
      <c r="K2064" t="s">
        <v>6460</v>
      </c>
      <c r="L2064">
        <v>382</v>
      </c>
      <c r="M2064" t="s">
        <v>6461</v>
      </c>
    </row>
    <row r="2065" spans="1:13">
      <c r="A2065" t="s">
        <v>13</v>
      </c>
      <c r="B2065">
        <v>2143803</v>
      </c>
      <c r="C2065">
        <v>2144702</v>
      </c>
      <c r="E2065" t="s">
        <v>35</v>
      </c>
      <c r="F2065" t="s">
        <v>2716</v>
      </c>
      <c r="H2065">
        <v>0</v>
      </c>
      <c r="I2065" t="s">
        <v>17</v>
      </c>
      <c r="K2065" t="s">
        <v>6462</v>
      </c>
      <c r="L2065">
        <v>299</v>
      </c>
      <c r="M2065" t="s">
        <v>6463</v>
      </c>
    </row>
    <row r="2066" spans="1:13">
      <c r="A2066" t="s">
        <v>13</v>
      </c>
      <c r="B2066">
        <v>2144861</v>
      </c>
      <c r="C2066">
        <v>2144986</v>
      </c>
      <c r="E2066" t="s">
        <v>35</v>
      </c>
      <c r="F2066" t="s">
        <v>28</v>
      </c>
      <c r="H2066">
        <v>0</v>
      </c>
      <c r="I2066" t="s">
        <v>17</v>
      </c>
      <c r="K2066" t="s">
        <v>6464</v>
      </c>
      <c r="L2066">
        <v>41</v>
      </c>
      <c r="M2066" t="s">
        <v>6465</v>
      </c>
    </row>
    <row r="2067" spans="1:13">
      <c r="A2067" t="s">
        <v>13</v>
      </c>
      <c r="B2067">
        <v>2145011</v>
      </c>
      <c r="C2067">
        <v>2145190</v>
      </c>
      <c r="E2067" t="s">
        <v>35</v>
      </c>
      <c r="F2067" t="s">
        <v>28</v>
      </c>
      <c r="H2067">
        <v>0</v>
      </c>
      <c r="I2067" t="s">
        <v>17</v>
      </c>
      <c r="K2067" t="s">
        <v>6466</v>
      </c>
      <c r="L2067">
        <v>59</v>
      </c>
      <c r="M2067" t="s">
        <v>6467</v>
      </c>
    </row>
    <row r="2068" spans="1:13">
      <c r="A2068" t="s">
        <v>13</v>
      </c>
      <c r="B2068">
        <v>2145919</v>
      </c>
      <c r="C2068">
        <v>2147562</v>
      </c>
      <c r="E2068" t="s">
        <v>35</v>
      </c>
      <c r="F2068" t="s">
        <v>1625</v>
      </c>
      <c r="G2068" t="s">
        <v>6468</v>
      </c>
      <c r="H2068">
        <v>0</v>
      </c>
      <c r="I2068" t="s">
        <v>17</v>
      </c>
      <c r="K2068" t="s">
        <v>6469</v>
      </c>
      <c r="L2068">
        <v>547</v>
      </c>
      <c r="M2068" t="s">
        <v>6470</v>
      </c>
    </row>
    <row r="2069" spans="1:13">
      <c r="A2069" t="s">
        <v>13</v>
      </c>
      <c r="B2069">
        <v>2147855</v>
      </c>
      <c r="C2069">
        <v>2149870</v>
      </c>
      <c r="E2069" t="s">
        <v>35</v>
      </c>
      <c r="F2069" t="s">
        <v>6471</v>
      </c>
      <c r="H2069">
        <v>0</v>
      </c>
      <c r="I2069" t="s">
        <v>17</v>
      </c>
      <c r="K2069" t="s">
        <v>6472</v>
      </c>
      <c r="L2069">
        <v>671</v>
      </c>
      <c r="M2069" t="s">
        <v>6473</v>
      </c>
    </row>
    <row r="2070" spans="1:13">
      <c r="A2070" t="s">
        <v>13</v>
      </c>
      <c r="B2070">
        <v>2150050</v>
      </c>
      <c r="C2070">
        <v>2151417</v>
      </c>
      <c r="E2070" t="s">
        <v>14</v>
      </c>
      <c r="F2070" t="s">
        <v>197</v>
      </c>
      <c r="G2070" t="s">
        <v>6474</v>
      </c>
      <c r="H2070">
        <v>0</v>
      </c>
      <c r="I2070" t="s">
        <v>17</v>
      </c>
      <c r="K2070" t="s">
        <v>6475</v>
      </c>
      <c r="L2070">
        <v>455</v>
      </c>
      <c r="M2070" t="s">
        <v>6476</v>
      </c>
    </row>
    <row r="2071" spans="1:13">
      <c r="A2071" t="s">
        <v>13</v>
      </c>
      <c r="B2071">
        <v>2151663</v>
      </c>
      <c r="C2071">
        <v>2154671</v>
      </c>
      <c r="E2071" t="s">
        <v>14</v>
      </c>
      <c r="F2071" t="s">
        <v>4905</v>
      </c>
      <c r="G2071" t="s">
        <v>6477</v>
      </c>
      <c r="H2071">
        <v>0</v>
      </c>
      <c r="I2071" t="s">
        <v>17</v>
      </c>
      <c r="K2071" t="s">
        <v>6478</v>
      </c>
      <c r="L2071">
        <v>1002</v>
      </c>
      <c r="M2071" t="s">
        <v>6479</v>
      </c>
    </row>
    <row r="2072" spans="1:13">
      <c r="A2072" t="s">
        <v>13</v>
      </c>
      <c r="B2072">
        <v>2154672</v>
      </c>
      <c r="C2072">
        <v>2155172</v>
      </c>
      <c r="E2072" t="s">
        <v>14</v>
      </c>
      <c r="F2072" t="s">
        <v>4901</v>
      </c>
      <c r="G2072" t="s">
        <v>6480</v>
      </c>
      <c r="H2072">
        <v>0</v>
      </c>
      <c r="I2072" t="s">
        <v>17</v>
      </c>
      <c r="K2072" t="s">
        <v>6481</v>
      </c>
      <c r="L2072">
        <v>166</v>
      </c>
      <c r="M2072" t="s">
        <v>6482</v>
      </c>
    </row>
    <row r="2073" spans="1:13">
      <c r="A2073" t="s">
        <v>13</v>
      </c>
      <c r="B2073">
        <v>2155165</v>
      </c>
      <c r="C2073">
        <v>2157030</v>
      </c>
      <c r="E2073" t="s">
        <v>14</v>
      </c>
      <c r="F2073" t="s">
        <v>4897</v>
      </c>
      <c r="G2073" t="s">
        <v>6483</v>
      </c>
      <c r="H2073">
        <v>0</v>
      </c>
      <c r="I2073" t="s">
        <v>17</v>
      </c>
      <c r="K2073" t="s">
        <v>6484</v>
      </c>
      <c r="L2073">
        <v>621</v>
      </c>
      <c r="M2073" t="s">
        <v>6485</v>
      </c>
    </row>
    <row r="2074" spans="1:13">
      <c r="A2074" t="s">
        <v>13</v>
      </c>
      <c r="B2074">
        <v>2157023</v>
      </c>
      <c r="C2074">
        <v>2157550</v>
      </c>
      <c r="E2074" t="s">
        <v>14</v>
      </c>
      <c r="F2074" t="s">
        <v>4894</v>
      </c>
      <c r="H2074">
        <v>0</v>
      </c>
      <c r="I2074" t="s">
        <v>17</v>
      </c>
      <c r="K2074" t="s">
        <v>6486</v>
      </c>
      <c r="L2074">
        <v>175</v>
      </c>
      <c r="M2074" t="s">
        <v>6487</v>
      </c>
    </row>
    <row r="2075" spans="1:13">
      <c r="A2075" t="s">
        <v>13</v>
      </c>
      <c r="B2075">
        <v>2157550</v>
      </c>
      <c r="C2075">
        <v>2157825</v>
      </c>
      <c r="E2075" t="s">
        <v>14</v>
      </c>
      <c r="F2075" t="s">
        <v>4891</v>
      </c>
      <c r="H2075">
        <v>0</v>
      </c>
      <c r="I2075" t="s">
        <v>17</v>
      </c>
      <c r="K2075" t="s">
        <v>6488</v>
      </c>
      <c r="L2075">
        <v>91</v>
      </c>
      <c r="M2075" t="s">
        <v>6489</v>
      </c>
    </row>
    <row r="2076" spans="1:13">
      <c r="A2076" t="s">
        <v>13</v>
      </c>
      <c r="B2076">
        <v>2157822</v>
      </c>
      <c r="C2076">
        <v>2158202</v>
      </c>
      <c r="E2076" t="s">
        <v>14</v>
      </c>
      <c r="F2076" t="s">
        <v>6490</v>
      </c>
      <c r="G2076" t="s">
        <v>6491</v>
      </c>
      <c r="H2076">
        <v>0</v>
      </c>
      <c r="I2076" t="s">
        <v>17</v>
      </c>
      <c r="K2076" t="s">
        <v>6492</v>
      </c>
      <c r="L2076">
        <v>126</v>
      </c>
      <c r="M2076" t="s">
        <v>6493</v>
      </c>
    </row>
    <row r="2077" spans="1:13">
      <c r="A2077" t="s">
        <v>13</v>
      </c>
      <c r="B2077">
        <v>2158218</v>
      </c>
      <c r="C2077">
        <v>2159720</v>
      </c>
      <c r="E2077" t="s">
        <v>14</v>
      </c>
      <c r="F2077" t="s">
        <v>6494</v>
      </c>
      <c r="G2077" t="s">
        <v>6495</v>
      </c>
      <c r="H2077">
        <v>0</v>
      </c>
      <c r="I2077" t="s">
        <v>17</v>
      </c>
      <c r="K2077" t="s">
        <v>6496</v>
      </c>
      <c r="L2077">
        <v>500</v>
      </c>
      <c r="M2077" t="s">
        <v>6497</v>
      </c>
    </row>
    <row r="2078" spans="1:13">
      <c r="A2078" t="s">
        <v>13</v>
      </c>
      <c r="B2078">
        <v>2159875</v>
      </c>
      <c r="C2078">
        <v>2161014</v>
      </c>
      <c r="E2078" t="s">
        <v>35</v>
      </c>
      <c r="F2078" t="s">
        <v>6498</v>
      </c>
      <c r="G2078" t="s">
        <v>6499</v>
      </c>
      <c r="H2078">
        <v>0</v>
      </c>
      <c r="I2078" t="s">
        <v>17</v>
      </c>
      <c r="K2078" t="s">
        <v>6500</v>
      </c>
      <c r="L2078">
        <v>379</v>
      </c>
      <c r="M2078" t="s">
        <v>6501</v>
      </c>
    </row>
    <row r="2079" spans="1:13">
      <c r="A2079" t="s">
        <v>13</v>
      </c>
      <c r="B2079">
        <v>2161059</v>
      </c>
      <c r="C2079">
        <v>2162009</v>
      </c>
      <c r="E2079" t="s">
        <v>35</v>
      </c>
      <c r="F2079" t="s">
        <v>28</v>
      </c>
      <c r="H2079">
        <v>0</v>
      </c>
      <c r="I2079" t="s">
        <v>17</v>
      </c>
      <c r="K2079" t="s">
        <v>6502</v>
      </c>
      <c r="L2079">
        <v>316</v>
      </c>
      <c r="M2079" t="s">
        <v>6503</v>
      </c>
    </row>
    <row r="2080" spans="1:13">
      <c r="A2080" t="s">
        <v>13</v>
      </c>
      <c r="B2080">
        <v>2162033</v>
      </c>
      <c r="C2080">
        <v>2162290</v>
      </c>
      <c r="E2080" t="s">
        <v>35</v>
      </c>
      <c r="F2080" t="s">
        <v>28</v>
      </c>
      <c r="H2080">
        <v>0</v>
      </c>
      <c r="I2080" t="s">
        <v>17</v>
      </c>
      <c r="K2080" t="s">
        <v>6504</v>
      </c>
      <c r="L2080">
        <v>85</v>
      </c>
      <c r="M2080" t="s">
        <v>6505</v>
      </c>
    </row>
    <row r="2081" spans="1:13">
      <c r="A2081" t="s">
        <v>13</v>
      </c>
      <c r="B2081">
        <v>2162307</v>
      </c>
      <c r="C2081">
        <v>2162930</v>
      </c>
      <c r="E2081" t="s">
        <v>14</v>
      </c>
      <c r="F2081" t="s">
        <v>4195</v>
      </c>
      <c r="G2081" t="s">
        <v>6506</v>
      </c>
      <c r="H2081">
        <v>0</v>
      </c>
      <c r="I2081" t="s">
        <v>17</v>
      </c>
      <c r="K2081" t="s">
        <v>6507</v>
      </c>
      <c r="L2081">
        <v>207</v>
      </c>
      <c r="M2081" t="s">
        <v>6508</v>
      </c>
    </row>
    <row r="2082" spans="1:13">
      <c r="A2082" t="s">
        <v>13</v>
      </c>
      <c r="B2082">
        <v>2162933</v>
      </c>
      <c r="C2082">
        <v>2163934</v>
      </c>
      <c r="E2082" t="s">
        <v>14</v>
      </c>
      <c r="F2082" t="s">
        <v>6509</v>
      </c>
      <c r="G2082" t="s">
        <v>6510</v>
      </c>
      <c r="H2082">
        <v>0</v>
      </c>
      <c r="I2082" t="s">
        <v>17</v>
      </c>
      <c r="K2082" t="s">
        <v>6511</v>
      </c>
      <c r="L2082">
        <v>333</v>
      </c>
      <c r="M2082" t="s">
        <v>6512</v>
      </c>
    </row>
    <row r="2083" spans="1:13">
      <c r="A2083" t="s">
        <v>13</v>
      </c>
      <c r="B2083">
        <v>2164018</v>
      </c>
      <c r="C2083">
        <v>2164827</v>
      </c>
      <c r="E2083" t="s">
        <v>14</v>
      </c>
      <c r="F2083" t="s">
        <v>6513</v>
      </c>
      <c r="G2083" t="s">
        <v>6514</v>
      </c>
      <c r="H2083">
        <v>0</v>
      </c>
      <c r="I2083" t="s">
        <v>17</v>
      </c>
      <c r="K2083" t="s">
        <v>6515</v>
      </c>
      <c r="L2083">
        <v>269</v>
      </c>
      <c r="M2083" t="s">
        <v>6516</v>
      </c>
    </row>
    <row r="2084" spans="1:13">
      <c r="A2084" t="s">
        <v>13</v>
      </c>
      <c r="B2084">
        <v>2164828</v>
      </c>
      <c r="C2084">
        <v>2166291</v>
      </c>
      <c r="E2084" t="s">
        <v>14</v>
      </c>
      <c r="F2084" t="s">
        <v>6517</v>
      </c>
      <c r="G2084" t="s">
        <v>6518</v>
      </c>
      <c r="H2084">
        <v>0</v>
      </c>
      <c r="I2084" t="s">
        <v>17</v>
      </c>
      <c r="K2084" t="s">
        <v>6519</v>
      </c>
      <c r="L2084">
        <v>487</v>
      </c>
      <c r="M2084" t="s">
        <v>6520</v>
      </c>
    </row>
    <row r="2085" spans="1:13">
      <c r="A2085" t="s">
        <v>13</v>
      </c>
      <c r="B2085">
        <v>2166389</v>
      </c>
      <c r="C2085">
        <v>2167165</v>
      </c>
      <c r="E2085" t="s">
        <v>35</v>
      </c>
      <c r="F2085" t="s">
        <v>3144</v>
      </c>
      <c r="H2085">
        <v>0</v>
      </c>
      <c r="I2085" t="s">
        <v>17</v>
      </c>
      <c r="K2085" t="s">
        <v>6521</v>
      </c>
      <c r="L2085">
        <v>258</v>
      </c>
      <c r="M2085" t="s">
        <v>6522</v>
      </c>
    </row>
    <row r="2086" spans="1:13">
      <c r="A2086" t="s">
        <v>13</v>
      </c>
      <c r="B2086">
        <v>2167172</v>
      </c>
      <c r="C2086">
        <v>2168155</v>
      </c>
      <c r="E2086" t="s">
        <v>35</v>
      </c>
      <c r="F2086" t="s">
        <v>2704</v>
      </c>
      <c r="G2086" t="s">
        <v>6523</v>
      </c>
      <c r="H2086">
        <v>0</v>
      </c>
      <c r="I2086" t="s">
        <v>17</v>
      </c>
      <c r="K2086" t="s">
        <v>6524</v>
      </c>
      <c r="L2086">
        <v>327</v>
      </c>
      <c r="M2086" t="s">
        <v>6525</v>
      </c>
    </row>
    <row r="2087" spans="1:13">
      <c r="A2087" t="s">
        <v>13</v>
      </c>
      <c r="B2087">
        <v>2168186</v>
      </c>
      <c r="C2087">
        <v>2168680</v>
      </c>
      <c r="E2087" t="s">
        <v>35</v>
      </c>
      <c r="F2087" t="s">
        <v>28</v>
      </c>
      <c r="H2087">
        <v>0</v>
      </c>
      <c r="I2087" t="s">
        <v>17</v>
      </c>
      <c r="K2087" t="s">
        <v>6526</v>
      </c>
      <c r="L2087">
        <v>164</v>
      </c>
      <c r="M2087" t="s">
        <v>6527</v>
      </c>
    </row>
    <row r="2088" spans="1:13">
      <c r="A2088" t="s">
        <v>13</v>
      </c>
      <c r="B2088">
        <v>2168751</v>
      </c>
      <c r="C2088">
        <v>2170196</v>
      </c>
      <c r="E2088" t="s">
        <v>14</v>
      </c>
      <c r="F2088" t="s">
        <v>28</v>
      </c>
      <c r="H2088">
        <v>0</v>
      </c>
      <c r="I2088" t="s">
        <v>17</v>
      </c>
      <c r="K2088" t="s">
        <v>6528</v>
      </c>
      <c r="L2088">
        <v>481</v>
      </c>
      <c r="M2088" t="s">
        <v>6529</v>
      </c>
    </row>
    <row r="2089" spans="1:13">
      <c r="A2089" t="s">
        <v>13</v>
      </c>
      <c r="B2089">
        <v>2170196</v>
      </c>
      <c r="C2089">
        <v>2171203</v>
      </c>
      <c r="E2089" t="s">
        <v>14</v>
      </c>
      <c r="F2089" t="s">
        <v>6530</v>
      </c>
      <c r="G2089" t="s">
        <v>6531</v>
      </c>
      <c r="H2089">
        <v>0</v>
      </c>
      <c r="I2089" t="s">
        <v>17</v>
      </c>
      <c r="K2089" t="s">
        <v>6532</v>
      </c>
      <c r="L2089">
        <v>335</v>
      </c>
      <c r="M2089" t="s">
        <v>6533</v>
      </c>
    </row>
    <row r="2090" spans="1:13">
      <c r="A2090" t="s">
        <v>13</v>
      </c>
      <c r="B2090">
        <v>2171200</v>
      </c>
      <c r="C2090">
        <v>2174241</v>
      </c>
      <c r="E2090" t="s">
        <v>14</v>
      </c>
      <c r="F2090" t="s">
        <v>6534</v>
      </c>
      <c r="G2090" t="s">
        <v>6535</v>
      </c>
      <c r="H2090">
        <v>0</v>
      </c>
      <c r="I2090" t="s">
        <v>17</v>
      </c>
      <c r="K2090" t="s">
        <v>6536</v>
      </c>
      <c r="L2090">
        <v>1013</v>
      </c>
      <c r="M2090" t="s">
        <v>6537</v>
      </c>
    </row>
    <row r="2091" spans="1:13">
      <c r="A2091" t="s">
        <v>13</v>
      </c>
      <c r="B2091">
        <v>2174245</v>
      </c>
      <c r="C2091">
        <v>2175468</v>
      </c>
      <c r="E2091" t="s">
        <v>35</v>
      </c>
      <c r="F2091" t="s">
        <v>6538</v>
      </c>
      <c r="G2091" t="s">
        <v>6539</v>
      </c>
      <c r="H2091">
        <v>0</v>
      </c>
      <c r="I2091" t="s">
        <v>17</v>
      </c>
      <c r="K2091" t="s">
        <v>6540</v>
      </c>
      <c r="L2091">
        <v>407</v>
      </c>
      <c r="M2091" t="s">
        <v>6541</v>
      </c>
    </row>
    <row r="2092" spans="1:13">
      <c r="A2092" t="s">
        <v>13</v>
      </c>
      <c r="B2092">
        <v>2175469</v>
      </c>
      <c r="C2092">
        <v>2176836</v>
      </c>
      <c r="E2092" t="s">
        <v>35</v>
      </c>
      <c r="F2092" t="s">
        <v>6542</v>
      </c>
      <c r="G2092" t="s">
        <v>6543</v>
      </c>
      <c r="H2092">
        <v>0</v>
      </c>
      <c r="I2092" t="s">
        <v>17</v>
      </c>
      <c r="K2092" t="s">
        <v>6544</v>
      </c>
      <c r="L2092">
        <v>455</v>
      </c>
      <c r="M2092" t="s">
        <v>6545</v>
      </c>
    </row>
    <row r="2093" spans="1:13">
      <c r="A2093" t="s">
        <v>13</v>
      </c>
      <c r="B2093">
        <v>2177065</v>
      </c>
      <c r="C2093">
        <v>2178426</v>
      </c>
      <c r="E2093" t="s">
        <v>14</v>
      </c>
      <c r="F2093" t="s">
        <v>2091</v>
      </c>
      <c r="G2093" t="s">
        <v>6546</v>
      </c>
      <c r="H2093">
        <v>0</v>
      </c>
      <c r="I2093" t="s">
        <v>17</v>
      </c>
      <c r="K2093" t="s">
        <v>6547</v>
      </c>
      <c r="L2093">
        <v>453</v>
      </c>
      <c r="M2093" t="s">
        <v>6548</v>
      </c>
    </row>
    <row r="2094" spans="1:13">
      <c r="A2094" t="s">
        <v>13</v>
      </c>
      <c r="B2094">
        <v>2178438</v>
      </c>
      <c r="C2094">
        <v>2179790</v>
      </c>
      <c r="E2094" t="s">
        <v>35</v>
      </c>
      <c r="F2094" t="s">
        <v>6549</v>
      </c>
      <c r="G2094" t="s">
        <v>6550</v>
      </c>
      <c r="H2094">
        <v>0</v>
      </c>
      <c r="I2094" t="s">
        <v>17</v>
      </c>
      <c r="K2094" t="s">
        <v>6551</v>
      </c>
      <c r="L2094">
        <v>450</v>
      </c>
      <c r="M2094" t="s">
        <v>6552</v>
      </c>
    </row>
    <row r="2095" spans="1:13">
      <c r="A2095" t="s">
        <v>13</v>
      </c>
      <c r="B2095">
        <v>2179955</v>
      </c>
      <c r="C2095">
        <v>2180698</v>
      </c>
      <c r="E2095" t="s">
        <v>35</v>
      </c>
      <c r="F2095" t="s">
        <v>6553</v>
      </c>
      <c r="H2095">
        <v>0</v>
      </c>
      <c r="I2095" t="s">
        <v>17</v>
      </c>
      <c r="K2095" t="s">
        <v>6554</v>
      </c>
      <c r="L2095">
        <v>247</v>
      </c>
      <c r="M2095" t="s">
        <v>6555</v>
      </c>
    </row>
    <row r="2096" spans="1:13">
      <c r="A2096" t="s">
        <v>13</v>
      </c>
      <c r="B2096">
        <v>2180832</v>
      </c>
      <c r="C2096">
        <v>2185004</v>
      </c>
      <c r="E2096" t="s">
        <v>35</v>
      </c>
      <c r="F2096" t="s">
        <v>28</v>
      </c>
      <c r="H2096">
        <v>0</v>
      </c>
      <c r="I2096" t="s">
        <v>17</v>
      </c>
      <c r="K2096" t="s">
        <v>6556</v>
      </c>
      <c r="L2096">
        <v>1390</v>
      </c>
      <c r="M2096" t="s">
        <v>6557</v>
      </c>
    </row>
    <row r="2097" spans="1:13">
      <c r="A2097" t="s">
        <v>13</v>
      </c>
      <c r="B2097">
        <v>2186059</v>
      </c>
      <c r="C2097">
        <v>2186511</v>
      </c>
      <c r="E2097" t="s">
        <v>14</v>
      </c>
      <c r="F2097" t="s">
        <v>28</v>
      </c>
      <c r="H2097">
        <v>0</v>
      </c>
      <c r="I2097" t="s">
        <v>17</v>
      </c>
      <c r="K2097" t="s">
        <v>6558</v>
      </c>
      <c r="L2097">
        <v>150</v>
      </c>
      <c r="M2097" t="s">
        <v>6559</v>
      </c>
    </row>
    <row r="2098" spans="1:13">
      <c r="A2098" t="s">
        <v>13</v>
      </c>
      <c r="B2098">
        <v>2186647</v>
      </c>
      <c r="C2098">
        <v>2187939</v>
      </c>
      <c r="E2098" t="s">
        <v>35</v>
      </c>
      <c r="F2098" t="s">
        <v>6560</v>
      </c>
      <c r="G2098" t="s">
        <v>6561</v>
      </c>
      <c r="H2098">
        <v>0</v>
      </c>
      <c r="I2098" t="s">
        <v>17</v>
      </c>
      <c r="K2098" t="s">
        <v>6562</v>
      </c>
      <c r="L2098">
        <v>430</v>
      </c>
      <c r="M2098" t="s">
        <v>6563</v>
      </c>
    </row>
    <row r="2099" spans="1:13">
      <c r="A2099" t="s">
        <v>13</v>
      </c>
      <c r="B2099">
        <v>2188019</v>
      </c>
      <c r="C2099">
        <v>2188843</v>
      </c>
      <c r="E2099" t="s">
        <v>14</v>
      </c>
      <c r="F2099" t="s">
        <v>28</v>
      </c>
      <c r="H2099">
        <v>0</v>
      </c>
      <c r="I2099" t="s">
        <v>17</v>
      </c>
      <c r="K2099" t="s">
        <v>6564</v>
      </c>
      <c r="L2099">
        <v>274</v>
      </c>
      <c r="M2099" t="s">
        <v>6565</v>
      </c>
    </row>
    <row r="2100" spans="1:13">
      <c r="A2100" t="s">
        <v>13</v>
      </c>
      <c r="B2100">
        <v>2188968</v>
      </c>
      <c r="C2100">
        <v>2190194</v>
      </c>
      <c r="E2100" t="s">
        <v>35</v>
      </c>
      <c r="F2100" t="s">
        <v>28</v>
      </c>
      <c r="H2100">
        <v>0</v>
      </c>
      <c r="I2100" t="s">
        <v>17</v>
      </c>
      <c r="K2100" t="s">
        <v>6566</v>
      </c>
      <c r="L2100">
        <v>408</v>
      </c>
      <c r="M2100" t="s">
        <v>6567</v>
      </c>
    </row>
    <row r="2101" spans="1:13">
      <c r="A2101" t="s">
        <v>13</v>
      </c>
      <c r="B2101">
        <v>2190408</v>
      </c>
      <c r="C2101">
        <v>2191430</v>
      </c>
      <c r="E2101" t="s">
        <v>14</v>
      </c>
      <c r="F2101" t="s">
        <v>28</v>
      </c>
      <c r="H2101">
        <v>0</v>
      </c>
      <c r="I2101" t="s">
        <v>17</v>
      </c>
      <c r="K2101" t="s">
        <v>6568</v>
      </c>
      <c r="L2101">
        <v>340</v>
      </c>
      <c r="M2101" t="s">
        <v>6569</v>
      </c>
    </row>
    <row r="2102" spans="1:13">
      <c r="A2102" t="s">
        <v>13</v>
      </c>
      <c r="B2102">
        <v>2191740</v>
      </c>
      <c r="C2102">
        <v>2192774</v>
      </c>
      <c r="E2102" t="s">
        <v>35</v>
      </c>
      <c r="F2102" t="s">
        <v>6570</v>
      </c>
      <c r="G2102" t="s">
        <v>6571</v>
      </c>
      <c r="H2102">
        <v>0</v>
      </c>
      <c r="I2102" t="s">
        <v>17</v>
      </c>
      <c r="K2102" t="s">
        <v>6572</v>
      </c>
      <c r="L2102">
        <v>344</v>
      </c>
      <c r="M2102" t="s">
        <v>6573</v>
      </c>
    </row>
    <row r="2103" spans="1:13">
      <c r="A2103" t="s">
        <v>13</v>
      </c>
      <c r="B2103">
        <v>2192948</v>
      </c>
      <c r="C2103">
        <v>2194153</v>
      </c>
      <c r="E2103" t="s">
        <v>35</v>
      </c>
      <c r="F2103" t="s">
        <v>6574</v>
      </c>
      <c r="H2103">
        <v>0</v>
      </c>
      <c r="I2103" t="s">
        <v>17</v>
      </c>
      <c r="K2103" t="s">
        <v>6575</v>
      </c>
      <c r="L2103">
        <v>401</v>
      </c>
      <c r="M2103" t="s">
        <v>6576</v>
      </c>
    </row>
    <row r="2104" spans="1:13">
      <c r="A2104" t="s">
        <v>13</v>
      </c>
      <c r="B2104">
        <v>2194207</v>
      </c>
      <c r="C2104">
        <v>2194998</v>
      </c>
      <c r="E2104" t="s">
        <v>35</v>
      </c>
      <c r="F2104" t="s">
        <v>6577</v>
      </c>
      <c r="G2104" t="s">
        <v>6578</v>
      </c>
      <c r="H2104">
        <v>0</v>
      </c>
      <c r="I2104" t="s">
        <v>17</v>
      </c>
      <c r="K2104" t="s">
        <v>6579</v>
      </c>
      <c r="L2104">
        <v>263</v>
      </c>
      <c r="M2104" t="s">
        <v>6580</v>
      </c>
    </row>
    <row r="2105" spans="1:13">
      <c r="A2105" t="s">
        <v>13</v>
      </c>
      <c r="B2105">
        <v>2194985</v>
      </c>
      <c r="C2105">
        <v>2195539</v>
      </c>
      <c r="E2105" t="s">
        <v>35</v>
      </c>
      <c r="F2105" t="s">
        <v>6581</v>
      </c>
      <c r="G2105" t="s">
        <v>6582</v>
      </c>
      <c r="H2105">
        <v>0</v>
      </c>
      <c r="I2105" t="s">
        <v>17</v>
      </c>
      <c r="K2105" t="s">
        <v>6583</v>
      </c>
      <c r="L2105">
        <v>184</v>
      </c>
      <c r="M2105" t="s">
        <v>6584</v>
      </c>
    </row>
    <row r="2106" spans="1:13">
      <c r="A2106" t="s">
        <v>13</v>
      </c>
      <c r="B2106">
        <v>2195617</v>
      </c>
      <c r="C2106">
        <v>2197680</v>
      </c>
      <c r="E2106" t="s">
        <v>35</v>
      </c>
      <c r="F2106" t="s">
        <v>28</v>
      </c>
      <c r="H2106">
        <v>0</v>
      </c>
      <c r="I2106" t="s">
        <v>17</v>
      </c>
      <c r="K2106" t="s">
        <v>6585</v>
      </c>
      <c r="L2106">
        <v>687</v>
      </c>
      <c r="M2106" t="s">
        <v>6586</v>
      </c>
    </row>
    <row r="2107" spans="1:13">
      <c r="A2107" t="s">
        <v>13</v>
      </c>
      <c r="B2107">
        <v>2197754</v>
      </c>
      <c r="C2107">
        <v>2198611</v>
      </c>
      <c r="E2107" t="s">
        <v>35</v>
      </c>
      <c r="F2107" t="s">
        <v>6587</v>
      </c>
      <c r="G2107" t="s">
        <v>6588</v>
      </c>
      <c r="H2107">
        <v>0</v>
      </c>
      <c r="I2107" t="s">
        <v>17</v>
      </c>
      <c r="K2107" t="s">
        <v>6589</v>
      </c>
      <c r="L2107">
        <v>285</v>
      </c>
      <c r="M2107" t="s">
        <v>6590</v>
      </c>
    </row>
    <row r="2108" spans="1:13">
      <c r="A2108" t="s">
        <v>13</v>
      </c>
      <c r="B2108">
        <v>2198656</v>
      </c>
      <c r="C2108">
        <v>2201211</v>
      </c>
      <c r="E2108" t="s">
        <v>35</v>
      </c>
      <c r="F2108" t="s">
        <v>6591</v>
      </c>
      <c r="G2108" t="s">
        <v>6592</v>
      </c>
      <c r="H2108">
        <v>0</v>
      </c>
      <c r="I2108" t="s">
        <v>17</v>
      </c>
      <c r="K2108" t="s">
        <v>6593</v>
      </c>
      <c r="L2108">
        <v>851</v>
      </c>
      <c r="M2108" t="s">
        <v>6594</v>
      </c>
    </row>
    <row r="2109" spans="1:13">
      <c r="A2109" t="s">
        <v>13</v>
      </c>
      <c r="B2109">
        <v>2201615</v>
      </c>
      <c r="C2109">
        <v>2202991</v>
      </c>
      <c r="E2109" t="s">
        <v>35</v>
      </c>
      <c r="F2109" t="s">
        <v>28</v>
      </c>
      <c r="H2109">
        <v>0</v>
      </c>
      <c r="I2109" t="s">
        <v>17</v>
      </c>
      <c r="K2109" t="s">
        <v>6595</v>
      </c>
      <c r="L2109">
        <v>458</v>
      </c>
      <c r="M2109" t="s">
        <v>6596</v>
      </c>
    </row>
    <row r="2110" spans="1:13">
      <c r="A2110" t="s">
        <v>13</v>
      </c>
      <c r="B2110">
        <v>2203123</v>
      </c>
      <c r="C2110">
        <v>2204466</v>
      </c>
      <c r="E2110" t="s">
        <v>14</v>
      </c>
      <c r="F2110" t="s">
        <v>6597</v>
      </c>
      <c r="G2110" t="s">
        <v>6598</v>
      </c>
      <c r="H2110">
        <v>0</v>
      </c>
      <c r="I2110" t="s">
        <v>17</v>
      </c>
      <c r="K2110" t="s">
        <v>6599</v>
      </c>
      <c r="L2110">
        <v>447</v>
      </c>
      <c r="M2110" t="s">
        <v>6600</v>
      </c>
    </row>
    <row r="2111" spans="1:13">
      <c r="A2111" t="s">
        <v>13</v>
      </c>
      <c r="B2111">
        <v>2204579</v>
      </c>
      <c r="C2111">
        <v>2205811</v>
      </c>
      <c r="E2111" t="s">
        <v>14</v>
      </c>
      <c r="F2111" t="s">
        <v>6601</v>
      </c>
      <c r="G2111" t="s">
        <v>6602</v>
      </c>
      <c r="H2111">
        <v>0</v>
      </c>
      <c r="I2111" t="s">
        <v>17</v>
      </c>
      <c r="K2111" t="s">
        <v>6603</v>
      </c>
      <c r="L2111">
        <v>410</v>
      </c>
      <c r="M2111" t="s">
        <v>6604</v>
      </c>
    </row>
    <row r="2112" spans="1:13">
      <c r="A2112" t="s">
        <v>13</v>
      </c>
      <c r="B2112">
        <v>2205808</v>
      </c>
      <c r="C2112">
        <v>2206623</v>
      </c>
      <c r="E2112" t="s">
        <v>35</v>
      </c>
      <c r="F2112" t="s">
        <v>6605</v>
      </c>
      <c r="H2112">
        <v>0</v>
      </c>
      <c r="I2112" t="s">
        <v>17</v>
      </c>
      <c r="K2112" t="s">
        <v>6606</v>
      </c>
      <c r="L2112">
        <v>271</v>
      </c>
      <c r="M2112" t="s">
        <v>6607</v>
      </c>
    </row>
    <row r="2113" spans="1:13">
      <c r="A2113" t="s">
        <v>13</v>
      </c>
      <c r="B2113">
        <v>2206787</v>
      </c>
      <c r="C2113">
        <v>2206978</v>
      </c>
      <c r="E2113" t="s">
        <v>14</v>
      </c>
      <c r="F2113" t="s">
        <v>28</v>
      </c>
      <c r="H2113">
        <v>0</v>
      </c>
      <c r="I2113" t="s">
        <v>17</v>
      </c>
      <c r="K2113" t="s">
        <v>6608</v>
      </c>
      <c r="L2113">
        <v>63</v>
      </c>
      <c r="M2113" t="s">
        <v>6609</v>
      </c>
    </row>
    <row r="2114" spans="1:13">
      <c r="A2114" t="s">
        <v>13</v>
      </c>
      <c r="B2114">
        <v>2206975</v>
      </c>
      <c r="C2114">
        <v>2208153</v>
      </c>
      <c r="E2114" t="s">
        <v>14</v>
      </c>
      <c r="F2114" t="s">
        <v>28</v>
      </c>
      <c r="H2114">
        <v>0</v>
      </c>
      <c r="I2114" t="s">
        <v>17</v>
      </c>
      <c r="K2114" t="s">
        <v>6610</v>
      </c>
      <c r="L2114">
        <v>392</v>
      </c>
      <c r="M2114" t="s">
        <v>6611</v>
      </c>
    </row>
    <row r="2115" spans="1:13">
      <c r="A2115" t="s">
        <v>13</v>
      </c>
      <c r="B2115">
        <v>2208197</v>
      </c>
      <c r="C2115">
        <v>2209717</v>
      </c>
      <c r="E2115" t="s">
        <v>35</v>
      </c>
      <c r="F2115" t="s">
        <v>6612</v>
      </c>
      <c r="G2115" t="s">
        <v>6613</v>
      </c>
      <c r="H2115">
        <v>0</v>
      </c>
      <c r="I2115" t="s">
        <v>17</v>
      </c>
      <c r="K2115" t="s">
        <v>6614</v>
      </c>
      <c r="L2115">
        <v>506</v>
      </c>
      <c r="M2115" t="s">
        <v>6615</v>
      </c>
    </row>
    <row r="2116" spans="1:13">
      <c r="A2116" t="s">
        <v>13</v>
      </c>
      <c r="B2116">
        <v>2210147</v>
      </c>
      <c r="C2116">
        <v>2210689</v>
      </c>
      <c r="E2116" t="s">
        <v>35</v>
      </c>
      <c r="F2116" t="s">
        <v>6616</v>
      </c>
      <c r="G2116" t="s">
        <v>6617</v>
      </c>
      <c r="H2116">
        <v>0</v>
      </c>
      <c r="I2116" t="s">
        <v>17</v>
      </c>
      <c r="K2116" t="s">
        <v>6618</v>
      </c>
      <c r="L2116">
        <v>180</v>
      </c>
      <c r="M2116" t="s">
        <v>6619</v>
      </c>
    </row>
    <row r="2117" spans="1:13">
      <c r="A2117" t="s">
        <v>13</v>
      </c>
      <c r="B2117">
        <v>2210710</v>
      </c>
      <c r="C2117">
        <v>2211915</v>
      </c>
      <c r="E2117" t="s">
        <v>35</v>
      </c>
      <c r="F2117" t="s">
        <v>5565</v>
      </c>
      <c r="G2117" t="s">
        <v>6620</v>
      </c>
      <c r="H2117">
        <v>0</v>
      </c>
      <c r="I2117" t="s">
        <v>17</v>
      </c>
      <c r="K2117" t="s">
        <v>6621</v>
      </c>
      <c r="L2117">
        <v>401</v>
      </c>
      <c r="M2117" t="s">
        <v>6622</v>
      </c>
    </row>
    <row r="2118" spans="1:13">
      <c r="A2118" t="s">
        <v>13</v>
      </c>
      <c r="B2118">
        <v>2212014</v>
      </c>
      <c r="C2118">
        <v>2212718</v>
      </c>
      <c r="E2118" t="s">
        <v>35</v>
      </c>
      <c r="F2118" t="s">
        <v>6623</v>
      </c>
      <c r="H2118">
        <v>0</v>
      </c>
      <c r="I2118" t="s">
        <v>17</v>
      </c>
      <c r="K2118" t="s">
        <v>6624</v>
      </c>
      <c r="L2118">
        <v>234</v>
      </c>
      <c r="M2118" t="s">
        <v>6625</v>
      </c>
    </row>
    <row r="2119" spans="1:13">
      <c r="A2119" t="s">
        <v>13</v>
      </c>
      <c r="B2119">
        <v>2212736</v>
      </c>
      <c r="C2119">
        <v>2214598</v>
      </c>
      <c r="E2119" t="s">
        <v>35</v>
      </c>
      <c r="F2119" t="s">
        <v>6626</v>
      </c>
      <c r="G2119" t="s">
        <v>6627</v>
      </c>
      <c r="H2119">
        <v>0</v>
      </c>
      <c r="I2119" t="s">
        <v>17</v>
      </c>
      <c r="K2119" t="s">
        <v>6628</v>
      </c>
      <c r="L2119">
        <v>620</v>
      </c>
      <c r="M2119" t="s">
        <v>6629</v>
      </c>
    </row>
    <row r="2120" spans="1:13">
      <c r="A2120" t="s">
        <v>13</v>
      </c>
      <c r="B2120">
        <v>2215084</v>
      </c>
      <c r="C2120">
        <v>2215305</v>
      </c>
      <c r="E2120" t="s">
        <v>14</v>
      </c>
      <c r="F2120" t="s">
        <v>28</v>
      </c>
      <c r="H2120">
        <v>0</v>
      </c>
      <c r="I2120" t="s">
        <v>17</v>
      </c>
      <c r="K2120" t="s">
        <v>6630</v>
      </c>
      <c r="L2120">
        <v>73</v>
      </c>
      <c r="M2120" t="s">
        <v>6631</v>
      </c>
    </row>
    <row r="2121" spans="1:13">
      <c r="A2121" t="s">
        <v>13</v>
      </c>
      <c r="B2121">
        <v>2215545</v>
      </c>
      <c r="C2121">
        <v>2216723</v>
      </c>
      <c r="E2121" t="s">
        <v>14</v>
      </c>
      <c r="F2121" t="s">
        <v>6632</v>
      </c>
      <c r="H2121">
        <v>0</v>
      </c>
      <c r="I2121" t="s">
        <v>17</v>
      </c>
      <c r="K2121" t="s">
        <v>6633</v>
      </c>
      <c r="L2121">
        <v>392</v>
      </c>
      <c r="M2121" t="s">
        <v>6634</v>
      </c>
    </row>
    <row r="2122" spans="1:13">
      <c r="A2122" t="s">
        <v>13</v>
      </c>
      <c r="B2122">
        <v>2216815</v>
      </c>
      <c r="C2122">
        <v>2216970</v>
      </c>
      <c r="E2122" t="s">
        <v>14</v>
      </c>
      <c r="F2122" t="s">
        <v>28</v>
      </c>
      <c r="H2122">
        <v>0</v>
      </c>
      <c r="I2122" t="s">
        <v>17</v>
      </c>
      <c r="K2122" t="s">
        <v>6635</v>
      </c>
      <c r="L2122">
        <v>51</v>
      </c>
      <c r="M2122" t="s">
        <v>6636</v>
      </c>
    </row>
    <row r="2123" spans="1:13">
      <c r="A2123" t="s">
        <v>13</v>
      </c>
      <c r="B2123">
        <v>2216955</v>
      </c>
      <c r="C2123">
        <v>2217635</v>
      </c>
      <c r="E2123" t="s">
        <v>14</v>
      </c>
      <c r="F2123" t="s">
        <v>3825</v>
      </c>
      <c r="G2123" t="s">
        <v>6637</v>
      </c>
      <c r="H2123">
        <v>0</v>
      </c>
      <c r="I2123" t="s">
        <v>17</v>
      </c>
      <c r="K2123" t="s">
        <v>6638</v>
      </c>
      <c r="L2123">
        <v>226</v>
      </c>
      <c r="M2123" t="s">
        <v>6639</v>
      </c>
    </row>
    <row r="2124" spans="1:13">
      <c r="A2124" t="s">
        <v>13</v>
      </c>
      <c r="B2124">
        <v>2217774</v>
      </c>
      <c r="C2124">
        <v>2219759</v>
      </c>
      <c r="E2124" t="s">
        <v>35</v>
      </c>
      <c r="F2124" t="s">
        <v>28</v>
      </c>
      <c r="H2124">
        <v>0</v>
      </c>
      <c r="I2124" t="s">
        <v>17</v>
      </c>
      <c r="K2124" t="s">
        <v>6640</v>
      </c>
      <c r="L2124">
        <v>661</v>
      </c>
      <c r="M2124" t="s">
        <v>6641</v>
      </c>
    </row>
    <row r="2125" spans="1:13">
      <c r="A2125" t="s">
        <v>13</v>
      </c>
      <c r="B2125">
        <v>2220610</v>
      </c>
      <c r="C2125">
        <v>2224050</v>
      </c>
      <c r="E2125" t="s">
        <v>14</v>
      </c>
      <c r="F2125" t="s">
        <v>6642</v>
      </c>
      <c r="G2125" t="s">
        <v>6643</v>
      </c>
      <c r="H2125">
        <v>0</v>
      </c>
      <c r="I2125" t="s">
        <v>17</v>
      </c>
      <c r="K2125" t="s">
        <v>6644</v>
      </c>
      <c r="L2125">
        <v>1146</v>
      </c>
      <c r="M2125" t="s">
        <v>6645</v>
      </c>
    </row>
    <row r="2126" spans="1:13">
      <c r="A2126" t="s">
        <v>13</v>
      </c>
      <c r="B2126">
        <v>2224191</v>
      </c>
      <c r="C2126">
        <v>2225624</v>
      </c>
      <c r="E2126" t="s">
        <v>14</v>
      </c>
      <c r="F2126" t="s">
        <v>2887</v>
      </c>
      <c r="G2126" t="s">
        <v>6646</v>
      </c>
      <c r="H2126">
        <v>0</v>
      </c>
      <c r="I2126" t="s">
        <v>17</v>
      </c>
      <c r="K2126" t="s">
        <v>6647</v>
      </c>
      <c r="L2126">
        <v>477</v>
      </c>
      <c r="M2126" t="s">
        <v>6648</v>
      </c>
    </row>
    <row r="2127" spans="1:13">
      <c r="A2127" t="s">
        <v>13</v>
      </c>
      <c r="B2127">
        <v>2225928</v>
      </c>
      <c r="C2127">
        <v>2227454</v>
      </c>
      <c r="E2127" t="s">
        <v>14</v>
      </c>
      <c r="F2127" t="s">
        <v>6649</v>
      </c>
      <c r="H2127">
        <v>0</v>
      </c>
      <c r="I2127" t="s">
        <v>17</v>
      </c>
      <c r="K2127" t="s">
        <v>6650</v>
      </c>
      <c r="L2127">
        <v>508</v>
      </c>
      <c r="M2127" t="s">
        <v>6651</v>
      </c>
    </row>
    <row r="2128" spans="1:13">
      <c r="A2128" t="s">
        <v>13</v>
      </c>
      <c r="B2128">
        <v>2227617</v>
      </c>
      <c r="C2128">
        <v>2228537</v>
      </c>
      <c r="E2128" t="s">
        <v>14</v>
      </c>
      <c r="F2128" t="s">
        <v>6553</v>
      </c>
      <c r="H2128">
        <v>0</v>
      </c>
      <c r="I2128" t="s">
        <v>17</v>
      </c>
      <c r="K2128" t="s">
        <v>6652</v>
      </c>
      <c r="L2128">
        <v>306</v>
      </c>
      <c r="M2128" t="s">
        <v>6653</v>
      </c>
    </row>
    <row r="2129" spans="1:13">
      <c r="A2129" t="s">
        <v>13</v>
      </c>
      <c r="B2129">
        <v>2228538</v>
      </c>
      <c r="C2129">
        <v>2229398</v>
      </c>
      <c r="E2129" t="s">
        <v>14</v>
      </c>
      <c r="F2129" t="s">
        <v>28</v>
      </c>
      <c r="H2129">
        <v>0</v>
      </c>
      <c r="I2129" t="s">
        <v>17</v>
      </c>
      <c r="K2129" t="s">
        <v>6654</v>
      </c>
      <c r="L2129">
        <v>286</v>
      </c>
      <c r="M2129" t="s">
        <v>6655</v>
      </c>
    </row>
    <row r="2130" spans="1:13">
      <c r="A2130" t="s">
        <v>13</v>
      </c>
      <c r="B2130">
        <v>2229416</v>
      </c>
      <c r="C2130">
        <v>2232241</v>
      </c>
      <c r="E2130" t="s">
        <v>14</v>
      </c>
      <c r="F2130" t="s">
        <v>6656</v>
      </c>
      <c r="H2130">
        <v>0</v>
      </c>
      <c r="I2130" t="s">
        <v>17</v>
      </c>
      <c r="K2130" t="s">
        <v>6657</v>
      </c>
      <c r="L2130">
        <v>941</v>
      </c>
      <c r="M2130" t="s">
        <v>6658</v>
      </c>
    </row>
    <row r="2131" spans="1:13">
      <c r="A2131" t="s">
        <v>13</v>
      </c>
      <c r="B2131">
        <v>2232378</v>
      </c>
      <c r="C2131">
        <v>2232968</v>
      </c>
      <c r="E2131" t="s">
        <v>35</v>
      </c>
      <c r="F2131" t="s">
        <v>6659</v>
      </c>
      <c r="G2131" t="s">
        <v>6660</v>
      </c>
      <c r="H2131">
        <v>0</v>
      </c>
      <c r="I2131" t="s">
        <v>17</v>
      </c>
      <c r="K2131" t="s">
        <v>6661</v>
      </c>
      <c r="L2131">
        <v>196</v>
      </c>
      <c r="M2131" t="s">
        <v>6662</v>
      </c>
    </row>
    <row r="2132" spans="1:13">
      <c r="A2132" t="s">
        <v>13</v>
      </c>
      <c r="B2132">
        <v>2233176</v>
      </c>
      <c r="C2132">
        <v>2234459</v>
      </c>
      <c r="E2132" t="s">
        <v>35</v>
      </c>
      <c r="F2132" t="s">
        <v>6663</v>
      </c>
      <c r="G2132" t="s">
        <v>6664</v>
      </c>
      <c r="H2132">
        <v>0</v>
      </c>
      <c r="I2132" t="s">
        <v>17</v>
      </c>
      <c r="K2132" t="s">
        <v>6665</v>
      </c>
      <c r="L2132">
        <v>427</v>
      </c>
      <c r="M2132" t="s">
        <v>6666</v>
      </c>
    </row>
    <row r="2133" spans="1:13">
      <c r="A2133" t="s">
        <v>13</v>
      </c>
      <c r="B2133">
        <v>2234459</v>
      </c>
      <c r="C2133">
        <v>2235358</v>
      </c>
      <c r="E2133" t="s">
        <v>35</v>
      </c>
      <c r="F2133" t="s">
        <v>6667</v>
      </c>
      <c r="G2133" t="s">
        <v>6668</v>
      </c>
      <c r="H2133">
        <v>0</v>
      </c>
      <c r="I2133" t="s">
        <v>17</v>
      </c>
      <c r="K2133" t="s">
        <v>6669</v>
      </c>
      <c r="L2133">
        <v>299</v>
      </c>
      <c r="M2133" t="s">
        <v>6670</v>
      </c>
    </row>
    <row r="2134" spans="1:13">
      <c r="A2134" t="s">
        <v>13</v>
      </c>
      <c r="B2134">
        <v>2235358</v>
      </c>
      <c r="C2134">
        <v>2236143</v>
      </c>
      <c r="E2134" t="s">
        <v>35</v>
      </c>
      <c r="F2134" t="s">
        <v>6671</v>
      </c>
      <c r="G2134" t="s">
        <v>6672</v>
      </c>
      <c r="H2134">
        <v>0</v>
      </c>
      <c r="I2134" t="s">
        <v>17</v>
      </c>
      <c r="K2134" t="s">
        <v>6673</v>
      </c>
      <c r="L2134">
        <v>261</v>
      </c>
      <c r="M2134" t="s">
        <v>6674</v>
      </c>
    </row>
    <row r="2135" spans="1:13">
      <c r="A2135" t="s">
        <v>13</v>
      </c>
      <c r="B2135">
        <v>2236316</v>
      </c>
      <c r="C2135">
        <v>2236732</v>
      </c>
      <c r="E2135" t="s">
        <v>14</v>
      </c>
      <c r="F2135" t="s">
        <v>28</v>
      </c>
      <c r="H2135">
        <v>0</v>
      </c>
      <c r="I2135" t="s">
        <v>17</v>
      </c>
      <c r="K2135" t="s">
        <v>6675</v>
      </c>
      <c r="L2135">
        <v>138</v>
      </c>
      <c r="M2135" t="s">
        <v>6676</v>
      </c>
    </row>
    <row r="2136" spans="1:13">
      <c r="A2136" t="s">
        <v>13</v>
      </c>
      <c r="B2136">
        <v>2236842</v>
      </c>
      <c r="C2136">
        <v>2238584</v>
      </c>
      <c r="E2136" t="s">
        <v>14</v>
      </c>
      <c r="F2136" t="s">
        <v>2629</v>
      </c>
      <c r="H2136">
        <v>0</v>
      </c>
      <c r="I2136" t="s">
        <v>17</v>
      </c>
      <c r="K2136" t="s">
        <v>6677</v>
      </c>
      <c r="L2136">
        <v>580</v>
      </c>
      <c r="M2136" t="s">
        <v>6678</v>
      </c>
    </row>
    <row r="2137" spans="1:13">
      <c r="A2137" t="s">
        <v>13</v>
      </c>
      <c r="B2137">
        <v>2238584</v>
      </c>
      <c r="C2137">
        <v>2240548</v>
      </c>
      <c r="E2137" t="s">
        <v>14</v>
      </c>
      <c r="F2137" t="s">
        <v>2629</v>
      </c>
      <c r="H2137">
        <v>0</v>
      </c>
      <c r="I2137" t="s">
        <v>17</v>
      </c>
      <c r="K2137" t="s">
        <v>6679</v>
      </c>
      <c r="L2137">
        <v>654</v>
      </c>
      <c r="M2137" t="s">
        <v>6680</v>
      </c>
    </row>
    <row r="2138" spans="1:13">
      <c r="A2138" t="s">
        <v>13</v>
      </c>
      <c r="B2138">
        <v>2240567</v>
      </c>
      <c r="C2138">
        <v>2241196</v>
      </c>
      <c r="E2138" t="s">
        <v>35</v>
      </c>
      <c r="F2138" t="s">
        <v>28</v>
      </c>
      <c r="H2138">
        <v>0</v>
      </c>
      <c r="I2138" t="s">
        <v>17</v>
      </c>
      <c r="K2138" t="s">
        <v>6681</v>
      </c>
      <c r="L2138">
        <v>209</v>
      </c>
      <c r="M2138" t="s">
        <v>6682</v>
      </c>
    </row>
    <row r="2139" spans="1:13">
      <c r="A2139" t="s">
        <v>13</v>
      </c>
      <c r="B2139">
        <v>2241193</v>
      </c>
      <c r="C2139">
        <v>2241837</v>
      </c>
      <c r="E2139" t="s">
        <v>35</v>
      </c>
      <c r="F2139" t="s">
        <v>28</v>
      </c>
      <c r="H2139">
        <v>0</v>
      </c>
      <c r="I2139" t="s">
        <v>17</v>
      </c>
      <c r="K2139" t="s">
        <v>6683</v>
      </c>
      <c r="L2139">
        <v>214</v>
      </c>
      <c r="M2139" t="s">
        <v>6684</v>
      </c>
    </row>
    <row r="2140" spans="1:13">
      <c r="A2140" t="s">
        <v>13</v>
      </c>
      <c r="B2140">
        <v>2241827</v>
      </c>
      <c r="C2140">
        <v>2242405</v>
      </c>
      <c r="E2140" t="s">
        <v>35</v>
      </c>
      <c r="F2140" t="s">
        <v>28</v>
      </c>
      <c r="H2140">
        <v>0</v>
      </c>
      <c r="I2140" t="s">
        <v>17</v>
      </c>
      <c r="K2140" t="s">
        <v>6685</v>
      </c>
      <c r="L2140">
        <v>192</v>
      </c>
      <c r="M2140" t="s">
        <v>6686</v>
      </c>
    </row>
    <row r="2141" spans="1:13">
      <c r="A2141" t="s">
        <v>13</v>
      </c>
      <c r="B2141">
        <v>2242806</v>
      </c>
      <c r="C2141">
        <v>2243861</v>
      </c>
      <c r="E2141" t="s">
        <v>14</v>
      </c>
      <c r="F2141" t="s">
        <v>28</v>
      </c>
      <c r="H2141">
        <v>0</v>
      </c>
      <c r="I2141" t="s">
        <v>17</v>
      </c>
      <c r="K2141" t="s">
        <v>6687</v>
      </c>
      <c r="L2141">
        <v>351</v>
      </c>
      <c r="M2141" t="s">
        <v>6688</v>
      </c>
    </row>
    <row r="2142" spans="1:13">
      <c r="A2142" t="s">
        <v>13</v>
      </c>
      <c r="B2142">
        <v>2243939</v>
      </c>
      <c r="C2142">
        <v>2245525</v>
      </c>
      <c r="E2142" t="s">
        <v>14</v>
      </c>
      <c r="F2142" t="s">
        <v>6689</v>
      </c>
      <c r="G2142" t="s">
        <v>6690</v>
      </c>
      <c r="H2142">
        <v>0</v>
      </c>
      <c r="I2142" t="s">
        <v>17</v>
      </c>
      <c r="K2142" t="s">
        <v>6691</v>
      </c>
      <c r="L2142">
        <v>528</v>
      </c>
      <c r="M2142" t="s">
        <v>6692</v>
      </c>
    </row>
    <row r="2143" spans="1:13">
      <c r="A2143" t="s">
        <v>13</v>
      </c>
      <c r="B2143">
        <v>2245694</v>
      </c>
      <c r="C2143">
        <v>2246500</v>
      </c>
      <c r="E2143" t="s">
        <v>14</v>
      </c>
      <c r="F2143" t="s">
        <v>28</v>
      </c>
      <c r="H2143">
        <v>0</v>
      </c>
      <c r="I2143" t="s">
        <v>17</v>
      </c>
      <c r="K2143" t="s">
        <v>6693</v>
      </c>
      <c r="L2143">
        <v>268</v>
      </c>
      <c r="M2143" t="s">
        <v>6694</v>
      </c>
    </row>
    <row r="2144" spans="1:13">
      <c r="A2144" t="s">
        <v>13</v>
      </c>
      <c r="B2144">
        <v>2246500</v>
      </c>
      <c r="C2144">
        <v>2247399</v>
      </c>
      <c r="E2144" t="s">
        <v>14</v>
      </c>
      <c r="F2144" t="s">
        <v>28</v>
      </c>
      <c r="H2144">
        <v>0</v>
      </c>
      <c r="I2144" t="s">
        <v>17</v>
      </c>
      <c r="K2144" t="s">
        <v>6695</v>
      </c>
      <c r="L2144">
        <v>299</v>
      </c>
      <c r="M2144" t="s">
        <v>6696</v>
      </c>
    </row>
    <row r="2145" spans="1:13">
      <c r="A2145" t="s">
        <v>13</v>
      </c>
      <c r="B2145">
        <v>2247505</v>
      </c>
      <c r="C2145">
        <v>2250549</v>
      </c>
      <c r="E2145" t="s">
        <v>14</v>
      </c>
      <c r="F2145" t="s">
        <v>6697</v>
      </c>
      <c r="G2145" t="s">
        <v>6698</v>
      </c>
      <c r="H2145">
        <v>0</v>
      </c>
      <c r="I2145" t="s">
        <v>17</v>
      </c>
      <c r="K2145" t="s">
        <v>6699</v>
      </c>
      <c r="L2145">
        <v>1014</v>
      </c>
      <c r="M2145" t="s">
        <v>6700</v>
      </c>
    </row>
    <row r="2146" spans="1:13">
      <c r="A2146" t="s">
        <v>13</v>
      </c>
      <c r="B2146">
        <v>2250584</v>
      </c>
      <c r="C2146">
        <v>2251891</v>
      </c>
      <c r="E2146" t="s">
        <v>14</v>
      </c>
      <c r="F2146" t="s">
        <v>6701</v>
      </c>
      <c r="G2146" t="s">
        <v>6702</v>
      </c>
      <c r="H2146">
        <v>0</v>
      </c>
      <c r="I2146" t="s">
        <v>17</v>
      </c>
      <c r="K2146" t="s">
        <v>6703</v>
      </c>
      <c r="L2146">
        <v>435</v>
      </c>
      <c r="M2146" t="s">
        <v>6704</v>
      </c>
    </row>
    <row r="2147" spans="1:13">
      <c r="A2147" t="s">
        <v>13</v>
      </c>
      <c r="B2147">
        <v>2251967</v>
      </c>
      <c r="C2147">
        <v>2252617</v>
      </c>
      <c r="E2147" t="s">
        <v>14</v>
      </c>
      <c r="F2147" t="s">
        <v>28</v>
      </c>
      <c r="H2147">
        <v>0</v>
      </c>
      <c r="I2147" t="s">
        <v>17</v>
      </c>
      <c r="K2147" t="s">
        <v>6705</v>
      </c>
      <c r="L2147">
        <v>216</v>
      </c>
      <c r="M2147" t="s">
        <v>6706</v>
      </c>
    </row>
    <row r="2148" spans="1:13">
      <c r="A2148" t="s">
        <v>13</v>
      </c>
      <c r="B2148">
        <v>2252667</v>
      </c>
      <c r="C2148">
        <v>2253902</v>
      </c>
      <c r="E2148" t="s">
        <v>14</v>
      </c>
      <c r="F2148" t="s">
        <v>6707</v>
      </c>
      <c r="G2148" t="s">
        <v>6708</v>
      </c>
      <c r="H2148">
        <v>0</v>
      </c>
      <c r="I2148" t="s">
        <v>17</v>
      </c>
      <c r="K2148" t="s">
        <v>6709</v>
      </c>
      <c r="L2148">
        <v>411</v>
      </c>
      <c r="M2148" t="s">
        <v>6710</v>
      </c>
    </row>
    <row r="2149" spans="1:13">
      <c r="A2149" t="s">
        <v>13</v>
      </c>
      <c r="B2149">
        <v>2253955</v>
      </c>
      <c r="C2149">
        <v>2255286</v>
      </c>
      <c r="E2149" t="s">
        <v>14</v>
      </c>
      <c r="F2149" t="s">
        <v>6711</v>
      </c>
      <c r="H2149">
        <v>0</v>
      </c>
      <c r="I2149" t="s">
        <v>17</v>
      </c>
      <c r="K2149" t="s">
        <v>6712</v>
      </c>
      <c r="L2149">
        <v>443</v>
      </c>
      <c r="M2149" t="s">
        <v>6713</v>
      </c>
    </row>
    <row r="2150" spans="1:13">
      <c r="A2150" t="s">
        <v>13</v>
      </c>
      <c r="B2150">
        <v>2255283</v>
      </c>
      <c r="C2150">
        <v>2256605</v>
      </c>
      <c r="E2150" t="s">
        <v>35</v>
      </c>
      <c r="F2150" t="s">
        <v>6714</v>
      </c>
      <c r="G2150" t="s">
        <v>6715</v>
      </c>
      <c r="H2150">
        <v>0</v>
      </c>
      <c r="I2150" t="s">
        <v>17</v>
      </c>
      <c r="K2150" t="s">
        <v>6716</v>
      </c>
      <c r="L2150">
        <v>440</v>
      </c>
      <c r="M2150" t="s">
        <v>6717</v>
      </c>
    </row>
    <row r="2151" spans="1:13">
      <c r="A2151" t="s">
        <v>13</v>
      </c>
      <c r="B2151">
        <v>2257275</v>
      </c>
      <c r="C2151">
        <v>2257348</v>
      </c>
      <c r="E2151" t="s">
        <v>14</v>
      </c>
      <c r="F2151" t="s">
        <v>4422</v>
      </c>
      <c r="H2151">
        <v>0</v>
      </c>
      <c r="I2151" t="s">
        <v>53</v>
      </c>
      <c r="M2151" t="s">
        <v>6718</v>
      </c>
    </row>
    <row r="2152" spans="1:13">
      <c r="A2152" t="s">
        <v>13</v>
      </c>
      <c r="B2152">
        <v>2257537</v>
      </c>
      <c r="C2152">
        <v>2259021</v>
      </c>
      <c r="E2152" t="s">
        <v>35</v>
      </c>
      <c r="F2152" t="s">
        <v>6719</v>
      </c>
      <c r="G2152" t="s">
        <v>6720</v>
      </c>
      <c r="H2152">
        <v>0</v>
      </c>
      <c r="I2152" t="s">
        <v>17</v>
      </c>
      <c r="K2152" t="s">
        <v>6721</v>
      </c>
      <c r="L2152">
        <v>494</v>
      </c>
      <c r="M2152" t="s">
        <v>6722</v>
      </c>
    </row>
    <row r="2153" spans="1:13">
      <c r="A2153" t="s">
        <v>13</v>
      </c>
      <c r="B2153">
        <v>2259103</v>
      </c>
      <c r="C2153">
        <v>2259708</v>
      </c>
      <c r="E2153" t="s">
        <v>35</v>
      </c>
      <c r="F2153" t="s">
        <v>28</v>
      </c>
      <c r="H2153">
        <v>0</v>
      </c>
      <c r="I2153" t="s">
        <v>17</v>
      </c>
      <c r="K2153" t="s">
        <v>6723</v>
      </c>
      <c r="L2153">
        <v>201</v>
      </c>
      <c r="M2153" t="s">
        <v>6724</v>
      </c>
    </row>
    <row r="2154" spans="1:13">
      <c r="A2154" t="s">
        <v>13</v>
      </c>
      <c r="B2154">
        <v>2259791</v>
      </c>
      <c r="C2154">
        <v>2261134</v>
      </c>
      <c r="E2154" t="s">
        <v>14</v>
      </c>
      <c r="F2154" t="s">
        <v>518</v>
      </c>
      <c r="H2154">
        <v>0</v>
      </c>
      <c r="I2154" t="s">
        <v>17</v>
      </c>
      <c r="K2154" t="s">
        <v>6725</v>
      </c>
      <c r="L2154">
        <v>447</v>
      </c>
      <c r="M2154" t="s">
        <v>6726</v>
      </c>
    </row>
    <row r="2155" spans="1:13">
      <c r="A2155" t="s">
        <v>13</v>
      </c>
      <c r="B2155">
        <v>2261894</v>
      </c>
      <c r="C2155">
        <v>2263582</v>
      </c>
      <c r="E2155" t="s">
        <v>35</v>
      </c>
      <c r="F2155" t="s">
        <v>6727</v>
      </c>
      <c r="H2155">
        <v>0</v>
      </c>
      <c r="I2155" t="s">
        <v>17</v>
      </c>
      <c r="K2155" t="s">
        <v>6728</v>
      </c>
      <c r="L2155">
        <v>562</v>
      </c>
      <c r="M2155" t="s">
        <v>6729</v>
      </c>
    </row>
    <row r="2156" spans="1:13">
      <c r="A2156" t="s">
        <v>13</v>
      </c>
      <c r="B2156">
        <v>2263617</v>
      </c>
      <c r="C2156">
        <v>2264816</v>
      </c>
      <c r="E2156" t="s">
        <v>35</v>
      </c>
      <c r="F2156" t="s">
        <v>6730</v>
      </c>
      <c r="G2156" t="s">
        <v>6731</v>
      </c>
      <c r="H2156">
        <v>0</v>
      </c>
      <c r="I2156" t="s">
        <v>17</v>
      </c>
      <c r="K2156" t="s">
        <v>6732</v>
      </c>
      <c r="L2156">
        <v>399</v>
      </c>
      <c r="M2156" t="s">
        <v>6733</v>
      </c>
    </row>
    <row r="2157" spans="1:13">
      <c r="A2157" t="s">
        <v>13</v>
      </c>
      <c r="B2157">
        <v>2264833</v>
      </c>
      <c r="C2157">
        <v>2265321</v>
      </c>
      <c r="E2157" t="s">
        <v>14</v>
      </c>
      <c r="F2157" t="s">
        <v>6734</v>
      </c>
      <c r="H2157">
        <v>0</v>
      </c>
      <c r="I2157" t="s">
        <v>17</v>
      </c>
      <c r="K2157" t="s">
        <v>6735</v>
      </c>
      <c r="L2157">
        <v>162</v>
      </c>
      <c r="M2157" t="s">
        <v>6736</v>
      </c>
    </row>
    <row r="2158" spans="1:13">
      <c r="A2158" t="s">
        <v>13</v>
      </c>
      <c r="B2158">
        <v>2265344</v>
      </c>
      <c r="C2158">
        <v>2265541</v>
      </c>
      <c r="E2158" t="s">
        <v>14</v>
      </c>
      <c r="F2158" t="s">
        <v>28</v>
      </c>
      <c r="H2158">
        <v>0</v>
      </c>
      <c r="I2158" t="s">
        <v>17</v>
      </c>
      <c r="K2158" t="s">
        <v>6737</v>
      </c>
      <c r="L2158">
        <v>65</v>
      </c>
      <c r="M2158" t="s">
        <v>6738</v>
      </c>
    </row>
    <row r="2159" spans="1:13">
      <c r="A2159" t="s">
        <v>13</v>
      </c>
      <c r="B2159">
        <v>2265556</v>
      </c>
      <c r="C2159">
        <v>2268732</v>
      </c>
      <c r="E2159" t="s">
        <v>14</v>
      </c>
      <c r="F2159" t="s">
        <v>4437</v>
      </c>
      <c r="G2159" t="s">
        <v>6739</v>
      </c>
      <c r="H2159">
        <v>0</v>
      </c>
      <c r="I2159" t="s">
        <v>17</v>
      </c>
      <c r="K2159" t="s">
        <v>6740</v>
      </c>
      <c r="L2159">
        <v>1058</v>
      </c>
      <c r="M2159" t="s">
        <v>6741</v>
      </c>
    </row>
    <row r="2160" spans="1:13">
      <c r="A2160" t="s">
        <v>13</v>
      </c>
      <c r="B2160">
        <v>2268626</v>
      </c>
      <c r="C2160">
        <v>2269771</v>
      </c>
      <c r="E2160" t="s">
        <v>35</v>
      </c>
      <c r="F2160" t="s">
        <v>2639</v>
      </c>
      <c r="G2160" t="s">
        <v>6742</v>
      </c>
      <c r="H2160">
        <v>0</v>
      </c>
      <c r="I2160" t="s">
        <v>17</v>
      </c>
      <c r="K2160" t="s">
        <v>6743</v>
      </c>
      <c r="L2160">
        <v>381</v>
      </c>
      <c r="M2160" t="s">
        <v>6744</v>
      </c>
    </row>
    <row r="2161" spans="1:13">
      <c r="A2161" t="s">
        <v>13</v>
      </c>
      <c r="B2161">
        <v>2269822</v>
      </c>
      <c r="C2161">
        <v>2271015</v>
      </c>
      <c r="E2161" t="s">
        <v>14</v>
      </c>
      <c r="F2161" t="s">
        <v>28</v>
      </c>
      <c r="H2161">
        <v>0</v>
      </c>
      <c r="I2161" t="s">
        <v>17</v>
      </c>
      <c r="K2161" t="s">
        <v>6745</v>
      </c>
      <c r="L2161">
        <v>397</v>
      </c>
      <c r="M2161" t="s">
        <v>6746</v>
      </c>
    </row>
    <row r="2162" spans="1:13">
      <c r="A2162" t="s">
        <v>13</v>
      </c>
      <c r="B2162">
        <v>2270996</v>
      </c>
      <c r="C2162">
        <v>2272477</v>
      </c>
      <c r="E2162" t="s">
        <v>14</v>
      </c>
      <c r="F2162" t="s">
        <v>28</v>
      </c>
      <c r="H2162">
        <v>0</v>
      </c>
      <c r="I2162" t="s">
        <v>17</v>
      </c>
      <c r="K2162" t="s">
        <v>6747</v>
      </c>
      <c r="L2162">
        <v>493</v>
      </c>
      <c r="M2162" t="s">
        <v>6748</v>
      </c>
    </row>
    <row r="2163" spans="1:13">
      <c r="A2163" t="s">
        <v>13</v>
      </c>
      <c r="B2163">
        <v>2272371</v>
      </c>
      <c r="C2163">
        <v>2273480</v>
      </c>
      <c r="E2163" t="s">
        <v>35</v>
      </c>
      <c r="F2163" t="s">
        <v>6749</v>
      </c>
      <c r="H2163">
        <v>0</v>
      </c>
      <c r="I2163" t="s">
        <v>17</v>
      </c>
      <c r="K2163" t="s">
        <v>6750</v>
      </c>
      <c r="L2163">
        <v>369</v>
      </c>
      <c r="M2163" t="s">
        <v>6751</v>
      </c>
    </row>
    <row r="2164" spans="1:13">
      <c r="A2164" t="s">
        <v>13</v>
      </c>
      <c r="B2164">
        <v>2273505</v>
      </c>
      <c r="C2164">
        <v>2274251</v>
      </c>
      <c r="E2164" t="s">
        <v>14</v>
      </c>
      <c r="F2164" t="s">
        <v>3820</v>
      </c>
      <c r="H2164">
        <v>0</v>
      </c>
      <c r="I2164" t="s">
        <v>17</v>
      </c>
      <c r="K2164" t="s">
        <v>6752</v>
      </c>
      <c r="L2164">
        <v>248</v>
      </c>
      <c r="M2164" t="s">
        <v>6753</v>
      </c>
    </row>
    <row r="2165" spans="1:13">
      <c r="A2165" t="s">
        <v>13</v>
      </c>
      <c r="B2165">
        <v>2274286</v>
      </c>
      <c r="C2165">
        <v>2274999</v>
      </c>
      <c r="E2165" t="s">
        <v>14</v>
      </c>
      <c r="F2165" t="s">
        <v>6754</v>
      </c>
      <c r="H2165">
        <v>0</v>
      </c>
      <c r="I2165" t="s">
        <v>17</v>
      </c>
      <c r="K2165" t="s">
        <v>6755</v>
      </c>
      <c r="L2165">
        <v>237</v>
      </c>
      <c r="M2165" t="s">
        <v>6756</v>
      </c>
    </row>
    <row r="2166" spans="1:13">
      <c r="A2166" t="s">
        <v>13</v>
      </c>
      <c r="B2166">
        <v>2275272</v>
      </c>
      <c r="C2166">
        <v>2275490</v>
      </c>
      <c r="E2166" t="s">
        <v>14</v>
      </c>
      <c r="F2166" t="s">
        <v>28</v>
      </c>
      <c r="H2166">
        <v>0</v>
      </c>
      <c r="I2166" t="s">
        <v>17</v>
      </c>
      <c r="K2166" t="s">
        <v>6757</v>
      </c>
      <c r="L2166">
        <v>72</v>
      </c>
      <c r="M2166" t="s">
        <v>6758</v>
      </c>
    </row>
    <row r="2167" spans="1:13">
      <c r="A2167" t="s">
        <v>13</v>
      </c>
      <c r="B2167">
        <v>2275796</v>
      </c>
      <c r="C2167">
        <v>2276098</v>
      </c>
      <c r="E2167" t="s">
        <v>14</v>
      </c>
      <c r="F2167" t="s">
        <v>28</v>
      </c>
      <c r="H2167">
        <v>0</v>
      </c>
      <c r="I2167" t="s">
        <v>17</v>
      </c>
      <c r="K2167" t="s">
        <v>6759</v>
      </c>
      <c r="L2167">
        <v>100</v>
      </c>
      <c r="M2167" t="s">
        <v>6760</v>
      </c>
    </row>
    <row r="2168" spans="1:13">
      <c r="A2168" t="s">
        <v>13</v>
      </c>
      <c r="B2168">
        <v>2276903</v>
      </c>
      <c r="C2168">
        <v>2278189</v>
      </c>
      <c r="E2168" t="s">
        <v>14</v>
      </c>
      <c r="F2168" t="s">
        <v>6761</v>
      </c>
      <c r="G2168" t="s">
        <v>6762</v>
      </c>
      <c r="H2168">
        <v>0</v>
      </c>
      <c r="I2168" t="s">
        <v>17</v>
      </c>
      <c r="K2168" t="s">
        <v>6763</v>
      </c>
      <c r="L2168">
        <v>428</v>
      </c>
      <c r="M2168" t="s">
        <v>6764</v>
      </c>
    </row>
    <row r="2169" spans="1:13">
      <c r="A2169" t="s">
        <v>13</v>
      </c>
      <c r="B2169">
        <v>2278205</v>
      </c>
      <c r="C2169">
        <v>2279521</v>
      </c>
      <c r="E2169" t="s">
        <v>14</v>
      </c>
      <c r="F2169" t="s">
        <v>345</v>
      </c>
      <c r="G2169" t="s">
        <v>6765</v>
      </c>
      <c r="H2169">
        <v>0</v>
      </c>
      <c r="I2169" t="s">
        <v>17</v>
      </c>
      <c r="K2169" t="s">
        <v>6766</v>
      </c>
      <c r="L2169">
        <v>438</v>
      </c>
      <c r="M2169" t="s">
        <v>6767</v>
      </c>
    </row>
    <row r="2170" spans="1:13">
      <c r="A2170" t="s">
        <v>13</v>
      </c>
      <c r="B2170">
        <v>2279518</v>
      </c>
      <c r="C2170">
        <v>2279649</v>
      </c>
      <c r="E2170" t="s">
        <v>35</v>
      </c>
      <c r="F2170" t="s">
        <v>28</v>
      </c>
      <c r="H2170">
        <v>0</v>
      </c>
      <c r="I2170" t="s">
        <v>17</v>
      </c>
      <c r="K2170" t="s">
        <v>6768</v>
      </c>
      <c r="L2170">
        <v>43</v>
      </c>
      <c r="M2170" t="s">
        <v>6769</v>
      </c>
    </row>
    <row r="2171" spans="1:13">
      <c r="A2171" t="s">
        <v>13</v>
      </c>
      <c r="B2171">
        <v>2279858</v>
      </c>
      <c r="C2171">
        <v>2281432</v>
      </c>
      <c r="E2171" t="s">
        <v>35</v>
      </c>
      <c r="F2171" t="s">
        <v>6770</v>
      </c>
      <c r="G2171" t="s">
        <v>6771</v>
      </c>
      <c r="H2171">
        <v>0</v>
      </c>
      <c r="I2171" t="s">
        <v>17</v>
      </c>
      <c r="K2171" t="s">
        <v>6772</v>
      </c>
      <c r="L2171">
        <v>524</v>
      </c>
      <c r="M2171" t="s">
        <v>6773</v>
      </c>
    </row>
    <row r="2172" spans="1:13">
      <c r="A2172" t="s">
        <v>13</v>
      </c>
      <c r="B2172">
        <v>2281442</v>
      </c>
      <c r="C2172">
        <v>2282281</v>
      </c>
      <c r="E2172" t="s">
        <v>35</v>
      </c>
      <c r="F2172" t="s">
        <v>6774</v>
      </c>
      <c r="G2172" t="s">
        <v>6775</v>
      </c>
      <c r="H2172">
        <v>0</v>
      </c>
      <c r="I2172" t="s">
        <v>17</v>
      </c>
      <c r="K2172" t="s">
        <v>6776</v>
      </c>
      <c r="L2172">
        <v>279</v>
      </c>
      <c r="M2172" t="s">
        <v>6777</v>
      </c>
    </row>
    <row r="2173" spans="1:13">
      <c r="A2173" t="s">
        <v>13</v>
      </c>
      <c r="B2173">
        <v>2282448</v>
      </c>
      <c r="C2173">
        <v>2283719</v>
      </c>
      <c r="E2173" t="s">
        <v>35</v>
      </c>
      <c r="F2173" t="s">
        <v>6778</v>
      </c>
      <c r="H2173">
        <v>0</v>
      </c>
      <c r="I2173" t="s">
        <v>17</v>
      </c>
      <c r="K2173" t="s">
        <v>6779</v>
      </c>
      <c r="L2173">
        <v>423</v>
      </c>
      <c r="M2173" t="s">
        <v>6780</v>
      </c>
    </row>
    <row r="2174" spans="1:13">
      <c r="A2174" t="s">
        <v>13</v>
      </c>
      <c r="B2174">
        <v>2283862</v>
      </c>
      <c r="C2174">
        <v>2287218</v>
      </c>
      <c r="E2174" t="s">
        <v>35</v>
      </c>
      <c r="F2174" t="s">
        <v>639</v>
      </c>
      <c r="G2174" t="s">
        <v>6781</v>
      </c>
      <c r="H2174">
        <v>0</v>
      </c>
      <c r="I2174" t="s">
        <v>17</v>
      </c>
      <c r="K2174" t="s">
        <v>6782</v>
      </c>
      <c r="L2174">
        <v>1118</v>
      </c>
      <c r="M2174" t="s">
        <v>6783</v>
      </c>
    </row>
    <row r="2175" spans="1:13">
      <c r="A2175" t="s">
        <v>13</v>
      </c>
      <c r="B2175">
        <v>2287845</v>
      </c>
      <c r="C2175">
        <v>2288570</v>
      </c>
      <c r="E2175" t="s">
        <v>14</v>
      </c>
      <c r="F2175" t="s">
        <v>178</v>
      </c>
      <c r="H2175">
        <v>0</v>
      </c>
      <c r="I2175" t="s">
        <v>17</v>
      </c>
      <c r="K2175" t="s">
        <v>6784</v>
      </c>
      <c r="L2175">
        <v>241</v>
      </c>
      <c r="M2175" t="s">
        <v>6785</v>
      </c>
    </row>
    <row r="2176" spans="1:13">
      <c r="A2176" t="s">
        <v>13</v>
      </c>
      <c r="B2176">
        <v>2288845</v>
      </c>
      <c r="C2176">
        <v>2289144</v>
      </c>
      <c r="E2176" t="s">
        <v>14</v>
      </c>
      <c r="F2176" t="s">
        <v>529</v>
      </c>
      <c r="H2176">
        <v>0</v>
      </c>
      <c r="I2176" t="s">
        <v>17</v>
      </c>
      <c r="K2176" t="s">
        <v>6786</v>
      </c>
      <c r="L2176">
        <v>99</v>
      </c>
      <c r="M2176" t="s">
        <v>6787</v>
      </c>
    </row>
    <row r="2177" spans="1:13">
      <c r="A2177" t="s">
        <v>13</v>
      </c>
      <c r="B2177">
        <v>2289141</v>
      </c>
      <c r="C2177">
        <v>2290037</v>
      </c>
      <c r="E2177" t="s">
        <v>14</v>
      </c>
      <c r="F2177" t="s">
        <v>915</v>
      </c>
      <c r="H2177">
        <v>0</v>
      </c>
      <c r="I2177" t="s">
        <v>17</v>
      </c>
      <c r="K2177" t="s">
        <v>6788</v>
      </c>
      <c r="L2177">
        <v>298</v>
      </c>
      <c r="M2177" t="s">
        <v>6789</v>
      </c>
    </row>
    <row r="2178" spans="1:13">
      <c r="A2178" t="s">
        <v>13</v>
      </c>
      <c r="B2178">
        <v>2290343</v>
      </c>
      <c r="C2178">
        <v>2291323</v>
      </c>
      <c r="E2178" t="s">
        <v>14</v>
      </c>
      <c r="F2178" t="s">
        <v>4661</v>
      </c>
      <c r="G2178" t="s">
        <v>6790</v>
      </c>
      <c r="H2178">
        <v>0</v>
      </c>
      <c r="I2178" t="s">
        <v>17</v>
      </c>
      <c r="K2178" t="s">
        <v>6791</v>
      </c>
      <c r="L2178">
        <v>326</v>
      </c>
      <c r="M2178" t="s">
        <v>6792</v>
      </c>
    </row>
    <row r="2179" spans="1:13">
      <c r="A2179" t="s">
        <v>13</v>
      </c>
      <c r="B2179">
        <v>2291425</v>
      </c>
      <c r="C2179">
        <v>2292420</v>
      </c>
      <c r="E2179" t="s">
        <v>14</v>
      </c>
      <c r="F2179" t="s">
        <v>5186</v>
      </c>
      <c r="G2179" t="s">
        <v>6793</v>
      </c>
      <c r="H2179">
        <v>0</v>
      </c>
      <c r="I2179" t="s">
        <v>17</v>
      </c>
      <c r="K2179" t="s">
        <v>6794</v>
      </c>
      <c r="L2179">
        <v>331</v>
      </c>
      <c r="M2179" t="s">
        <v>6795</v>
      </c>
    </row>
    <row r="2180" spans="1:13">
      <c r="A2180" t="s">
        <v>13</v>
      </c>
      <c r="B2180">
        <v>2292584</v>
      </c>
      <c r="C2180">
        <v>2293294</v>
      </c>
      <c r="E2180" t="s">
        <v>14</v>
      </c>
      <c r="F2180" t="s">
        <v>6796</v>
      </c>
      <c r="G2180" t="s">
        <v>6797</v>
      </c>
      <c r="H2180">
        <v>0</v>
      </c>
      <c r="I2180" t="s">
        <v>17</v>
      </c>
      <c r="K2180" t="s">
        <v>6798</v>
      </c>
      <c r="L2180">
        <v>236</v>
      </c>
      <c r="M2180" t="s">
        <v>6799</v>
      </c>
    </row>
    <row r="2181" spans="1:13">
      <c r="A2181" t="s">
        <v>13</v>
      </c>
      <c r="B2181">
        <v>2293314</v>
      </c>
      <c r="C2181">
        <v>2293910</v>
      </c>
      <c r="E2181" t="s">
        <v>35</v>
      </c>
      <c r="F2181" t="s">
        <v>6800</v>
      </c>
      <c r="G2181" t="s">
        <v>6801</v>
      </c>
      <c r="H2181">
        <v>0</v>
      </c>
      <c r="I2181" t="s">
        <v>17</v>
      </c>
      <c r="K2181" t="s">
        <v>6802</v>
      </c>
      <c r="L2181">
        <v>198</v>
      </c>
      <c r="M2181" t="s">
        <v>6803</v>
      </c>
    </row>
    <row r="2182" spans="1:13">
      <c r="A2182" t="s">
        <v>13</v>
      </c>
      <c r="B2182">
        <v>2294461</v>
      </c>
      <c r="C2182">
        <v>2295969</v>
      </c>
      <c r="E2182" t="s">
        <v>14</v>
      </c>
      <c r="F2182" t="s">
        <v>1964</v>
      </c>
      <c r="G2182" t="s">
        <v>6804</v>
      </c>
      <c r="H2182">
        <v>0</v>
      </c>
      <c r="I2182" t="s">
        <v>17</v>
      </c>
      <c r="K2182" t="s">
        <v>6805</v>
      </c>
      <c r="L2182">
        <v>502</v>
      </c>
      <c r="M2182" t="s">
        <v>6806</v>
      </c>
    </row>
    <row r="2183" spans="1:13">
      <c r="A2183" t="s">
        <v>13</v>
      </c>
      <c r="B2183">
        <v>2296011</v>
      </c>
      <c r="C2183">
        <v>2297315</v>
      </c>
      <c r="E2183" t="s">
        <v>14</v>
      </c>
      <c r="F2183" t="s">
        <v>108</v>
      </c>
      <c r="G2183" t="s">
        <v>6807</v>
      </c>
      <c r="H2183">
        <v>0</v>
      </c>
      <c r="I2183" t="s">
        <v>17</v>
      </c>
      <c r="K2183" t="s">
        <v>6808</v>
      </c>
      <c r="L2183">
        <v>434</v>
      </c>
      <c r="M2183" t="s">
        <v>6809</v>
      </c>
    </row>
    <row r="2184" spans="1:13">
      <c r="A2184" t="s">
        <v>13</v>
      </c>
      <c r="B2184">
        <v>2297398</v>
      </c>
      <c r="C2184">
        <v>2298165</v>
      </c>
      <c r="E2184" t="s">
        <v>14</v>
      </c>
      <c r="F2184" t="s">
        <v>112</v>
      </c>
      <c r="G2184" t="s">
        <v>6810</v>
      </c>
      <c r="H2184">
        <v>0</v>
      </c>
      <c r="I2184" t="s">
        <v>17</v>
      </c>
      <c r="K2184" t="s">
        <v>6811</v>
      </c>
      <c r="L2184">
        <v>255</v>
      </c>
      <c r="M2184" t="s">
        <v>6812</v>
      </c>
    </row>
    <row r="2185" spans="1:13">
      <c r="A2185" t="s">
        <v>13</v>
      </c>
      <c r="B2185">
        <v>2298249</v>
      </c>
      <c r="C2185">
        <v>2298512</v>
      </c>
      <c r="E2185" t="s">
        <v>35</v>
      </c>
      <c r="F2185" t="s">
        <v>28</v>
      </c>
      <c r="H2185">
        <v>0</v>
      </c>
      <c r="I2185" t="s">
        <v>17</v>
      </c>
      <c r="K2185" t="s">
        <v>6813</v>
      </c>
      <c r="L2185">
        <v>87</v>
      </c>
      <c r="M2185" t="s">
        <v>6814</v>
      </c>
    </row>
    <row r="2186" spans="1:13">
      <c r="A2186" t="s">
        <v>13</v>
      </c>
      <c r="B2186">
        <v>2298725</v>
      </c>
      <c r="C2186">
        <v>2299057</v>
      </c>
      <c r="E2186" t="s">
        <v>35</v>
      </c>
      <c r="F2186" t="s">
        <v>529</v>
      </c>
      <c r="H2186">
        <v>0</v>
      </c>
      <c r="I2186" t="s">
        <v>17</v>
      </c>
      <c r="K2186" t="s">
        <v>6815</v>
      </c>
      <c r="L2186">
        <v>110</v>
      </c>
      <c r="M2186" t="s">
        <v>6816</v>
      </c>
    </row>
    <row r="2187" spans="1:13">
      <c r="A2187" t="s">
        <v>13</v>
      </c>
      <c r="B2187">
        <v>2299070</v>
      </c>
      <c r="C2187">
        <v>2299420</v>
      </c>
      <c r="E2187" t="s">
        <v>35</v>
      </c>
      <c r="F2187" t="s">
        <v>28</v>
      </c>
      <c r="H2187">
        <v>0</v>
      </c>
      <c r="I2187" t="s">
        <v>17</v>
      </c>
      <c r="K2187" t="s">
        <v>6817</v>
      </c>
      <c r="L2187">
        <v>116</v>
      </c>
      <c r="M2187" t="s">
        <v>6818</v>
      </c>
    </row>
    <row r="2188" spans="1:13">
      <c r="A2188" t="s">
        <v>13</v>
      </c>
      <c r="B2188">
        <v>2299582</v>
      </c>
      <c r="C2188">
        <v>2299914</v>
      </c>
      <c r="E2188" t="s">
        <v>35</v>
      </c>
      <c r="F2188" t="s">
        <v>28</v>
      </c>
      <c r="H2188">
        <v>0</v>
      </c>
      <c r="I2188" t="s">
        <v>17</v>
      </c>
      <c r="K2188" t="s">
        <v>6819</v>
      </c>
      <c r="L2188">
        <v>110</v>
      </c>
      <c r="M2188" t="s">
        <v>6820</v>
      </c>
    </row>
    <row r="2189" spans="1:13">
      <c r="A2189" t="s">
        <v>13</v>
      </c>
      <c r="B2189">
        <v>2300962</v>
      </c>
      <c r="C2189">
        <v>2302788</v>
      </c>
      <c r="E2189" t="s">
        <v>35</v>
      </c>
      <c r="F2189" t="s">
        <v>6821</v>
      </c>
      <c r="G2189" t="s">
        <v>6822</v>
      </c>
      <c r="H2189">
        <v>0</v>
      </c>
      <c r="I2189" t="s">
        <v>17</v>
      </c>
      <c r="K2189" t="s">
        <v>6823</v>
      </c>
      <c r="L2189">
        <v>608</v>
      </c>
      <c r="M2189" t="s">
        <v>6824</v>
      </c>
    </row>
    <row r="2190" spans="1:13">
      <c r="A2190" t="s">
        <v>13</v>
      </c>
      <c r="B2190">
        <v>2303150</v>
      </c>
      <c r="C2190">
        <v>2303926</v>
      </c>
      <c r="E2190" t="s">
        <v>14</v>
      </c>
      <c r="F2190" t="s">
        <v>6825</v>
      </c>
      <c r="G2190" t="s">
        <v>6826</v>
      </c>
      <c r="H2190">
        <v>0</v>
      </c>
      <c r="I2190" t="s">
        <v>17</v>
      </c>
      <c r="K2190" t="s">
        <v>6827</v>
      </c>
      <c r="L2190">
        <v>258</v>
      </c>
      <c r="M2190" t="s">
        <v>6828</v>
      </c>
    </row>
    <row r="2191" spans="1:13">
      <c r="A2191" t="s">
        <v>13</v>
      </c>
      <c r="B2191">
        <v>2303927</v>
      </c>
      <c r="C2191">
        <v>2304520</v>
      </c>
      <c r="E2191" t="s">
        <v>14</v>
      </c>
      <c r="F2191" t="s">
        <v>28</v>
      </c>
      <c r="H2191">
        <v>0</v>
      </c>
      <c r="I2191" t="s">
        <v>17</v>
      </c>
      <c r="K2191" t="s">
        <v>6829</v>
      </c>
      <c r="L2191">
        <v>197</v>
      </c>
      <c r="M2191" t="s">
        <v>6830</v>
      </c>
    </row>
    <row r="2192" spans="1:13">
      <c r="A2192" t="s">
        <v>13</v>
      </c>
      <c r="B2192">
        <v>2304535</v>
      </c>
      <c r="C2192">
        <v>2306688</v>
      </c>
      <c r="E2192" t="s">
        <v>14</v>
      </c>
      <c r="F2192" t="s">
        <v>584</v>
      </c>
      <c r="G2192" t="s">
        <v>6831</v>
      </c>
      <c r="H2192">
        <v>0</v>
      </c>
      <c r="I2192" t="s">
        <v>17</v>
      </c>
      <c r="K2192" t="s">
        <v>6832</v>
      </c>
      <c r="L2192">
        <v>717</v>
      </c>
      <c r="M2192" t="s">
        <v>6833</v>
      </c>
    </row>
    <row r="2193" spans="1:13">
      <c r="A2193" t="s">
        <v>13</v>
      </c>
      <c r="B2193">
        <v>2306689</v>
      </c>
      <c r="C2193">
        <v>2307717</v>
      </c>
      <c r="E2193" t="s">
        <v>14</v>
      </c>
      <c r="F2193" t="s">
        <v>28</v>
      </c>
      <c r="H2193">
        <v>0</v>
      </c>
      <c r="I2193" t="s">
        <v>17</v>
      </c>
      <c r="K2193" t="s">
        <v>6834</v>
      </c>
      <c r="L2193">
        <v>342</v>
      </c>
      <c r="M2193" t="s">
        <v>6835</v>
      </c>
    </row>
    <row r="2194" spans="1:13">
      <c r="A2194" t="s">
        <v>13</v>
      </c>
      <c r="B2194">
        <v>2307714</v>
      </c>
      <c r="C2194">
        <v>2308052</v>
      </c>
      <c r="E2194" t="s">
        <v>14</v>
      </c>
      <c r="F2194" t="s">
        <v>28</v>
      </c>
      <c r="H2194">
        <v>0</v>
      </c>
      <c r="I2194" t="s">
        <v>17</v>
      </c>
      <c r="K2194" t="s">
        <v>6836</v>
      </c>
      <c r="L2194">
        <v>112</v>
      </c>
      <c r="M2194" t="s">
        <v>6837</v>
      </c>
    </row>
    <row r="2195" spans="1:13">
      <c r="A2195" t="s">
        <v>13</v>
      </c>
      <c r="B2195">
        <v>2308335</v>
      </c>
      <c r="C2195">
        <v>2309678</v>
      </c>
      <c r="E2195" t="s">
        <v>14</v>
      </c>
      <c r="F2195" t="s">
        <v>6838</v>
      </c>
      <c r="H2195">
        <v>0</v>
      </c>
      <c r="I2195" t="s">
        <v>17</v>
      </c>
      <c r="K2195" t="s">
        <v>6839</v>
      </c>
      <c r="L2195">
        <v>447</v>
      </c>
      <c r="M2195" t="s">
        <v>6840</v>
      </c>
    </row>
    <row r="2196" spans="1:13">
      <c r="A2196" t="s">
        <v>13</v>
      </c>
      <c r="B2196">
        <v>2310120</v>
      </c>
      <c r="C2196">
        <v>2310539</v>
      </c>
      <c r="E2196" t="s">
        <v>35</v>
      </c>
      <c r="F2196" t="s">
        <v>28</v>
      </c>
      <c r="H2196">
        <v>0</v>
      </c>
      <c r="I2196" t="s">
        <v>17</v>
      </c>
      <c r="K2196" t="s">
        <v>6841</v>
      </c>
      <c r="L2196">
        <v>139</v>
      </c>
      <c r="M2196" t="s">
        <v>6842</v>
      </c>
    </row>
    <row r="2197" spans="1:13">
      <c r="A2197" t="s">
        <v>13</v>
      </c>
      <c r="B2197">
        <v>2310544</v>
      </c>
      <c r="C2197">
        <v>2310963</v>
      </c>
      <c r="E2197" t="s">
        <v>35</v>
      </c>
      <c r="F2197" t="s">
        <v>28</v>
      </c>
      <c r="H2197">
        <v>0</v>
      </c>
      <c r="I2197" t="s">
        <v>17</v>
      </c>
      <c r="K2197" t="s">
        <v>6843</v>
      </c>
      <c r="L2197">
        <v>139</v>
      </c>
      <c r="M2197" t="s">
        <v>6844</v>
      </c>
    </row>
    <row r="2198" spans="1:13">
      <c r="A2198" t="s">
        <v>13</v>
      </c>
      <c r="B2198">
        <v>2310976</v>
      </c>
      <c r="C2198">
        <v>2311449</v>
      </c>
      <c r="E2198" t="s">
        <v>35</v>
      </c>
      <c r="F2198" t="s">
        <v>28</v>
      </c>
      <c r="H2198">
        <v>0</v>
      </c>
      <c r="I2198" t="s">
        <v>17</v>
      </c>
      <c r="K2198" t="s">
        <v>6845</v>
      </c>
      <c r="L2198">
        <v>157</v>
      </c>
      <c r="M2198" t="s">
        <v>6846</v>
      </c>
    </row>
    <row r="2199" spans="1:13">
      <c r="A2199" t="s">
        <v>13</v>
      </c>
      <c r="B2199">
        <v>2311743</v>
      </c>
      <c r="C2199">
        <v>2311916</v>
      </c>
      <c r="E2199" t="s">
        <v>35</v>
      </c>
      <c r="F2199" t="s">
        <v>28</v>
      </c>
      <c r="H2199">
        <v>0</v>
      </c>
      <c r="I2199" t="s">
        <v>17</v>
      </c>
      <c r="K2199" t="s">
        <v>6847</v>
      </c>
      <c r="L2199">
        <v>57</v>
      </c>
      <c r="M2199" t="s">
        <v>6848</v>
      </c>
    </row>
    <row r="2200" spans="1:13">
      <c r="A2200" t="s">
        <v>13</v>
      </c>
      <c r="B2200">
        <v>2312551</v>
      </c>
      <c r="C2200">
        <v>2314107</v>
      </c>
      <c r="E2200" t="s">
        <v>35</v>
      </c>
      <c r="F2200" t="s">
        <v>1886</v>
      </c>
      <c r="G2200" t="s">
        <v>6849</v>
      </c>
      <c r="H2200">
        <v>0</v>
      </c>
      <c r="I2200" t="s">
        <v>17</v>
      </c>
      <c r="K2200" t="s">
        <v>6850</v>
      </c>
      <c r="L2200">
        <v>518</v>
      </c>
      <c r="M2200" t="s">
        <v>6851</v>
      </c>
    </row>
    <row r="2201" spans="1:13">
      <c r="A2201" t="s">
        <v>13</v>
      </c>
      <c r="B2201">
        <v>2314082</v>
      </c>
      <c r="C2201">
        <v>2318839</v>
      </c>
      <c r="E2201" t="s">
        <v>35</v>
      </c>
      <c r="F2201" t="s">
        <v>6852</v>
      </c>
      <c r="G2201" t="s">
        <v>6853</v>
      </c>
      <c r="H2201">
        <v>0</v>
      </c>
      <c r="I2201" t="s">
        <v>17</v>
      </c>
      <c r="K2201" t="s">
        <v>6854</v>
      </c>
      <c r="L2201">
        <v>1585</v>
      </c>
      <c r="M2201" t="s">
        <v>6855</v>
      </c>
    </row>
    <row r="2202" spans="1:13">
      <c r="A2202" t="s">
        <v>13</v>
      </c>
      <c r="B2202">
        <v>2318930</v>
      </c>
      <c r="C2202">
        <v>2320675</v>
      </c>
      <c r="E2202" t="s">
        <v>35</v>
      </c>
      <c r="F2202" t="s">
        <v>6856</v>
      </c>
      <c r="H2202">
        <v>0</v>
      </c>
      <c r="I2202" t="s">
        <v>17</v>
      </c>
      <c r="K2202" t="s">
        <v>6857</v>
      </c>
      <c r="L2202">
        <v>581</v>
      </c>
      <c r="M2202" t="s">
        <v>6858</v>
      </c>
    </row>
    <row r="2203" spans="1:13">
      <c r="A2203" t="s">
        <v>13</v>
      </c>
      <c r="B2203">
        <v>2320735</v>
      </c>
      <c r="C2203">
        <v>2321655</v>
      </c>
      <c r="E2203" t="s">
        <v>35</v>
      </c>
      <c r="F2203" t="s">
        <v>5708</v>
      </c>
      <c r="H2203">
        <v>0</v>
      </c>
      <c r="I2203" t="s">
        <v>17</v>
      </c>
      <c r="K2203" t="s">
        <v>6859</v>
      </c>
      <c r="L2203">
        <v>306</v>
      </c>
      <c r="M2203" t="s">
        <v>6860</v>
      </c>
    </row>
    <row r="2204" spans="1:13">
      <c r="A2204" t="s">
        <v>13</v>
      </c>
      <c r="B2204">
        <v>2321689</v>
      </c>
      <c r="C2204">
        <v>2322216</v>
      </c>
      <c r="E2204" t="s">
        <v>35</v>
      </c>
      <c r="F2204" t="s">
        <v>28</v>
      </c>
      <c r="H2204">
        <v>0</v>
      </c>
      <c r="I2204" t="s">
        <v>17</v>
      </c>
      <c r="K2204" t="s">
        <v>6861</v>
      </c>
      <c r="L2204">
        <v>175</v>
      </c>
      <c r="M2204" t="s">
        <v>6862</v>
      </c>
    </row>
    <row r="2205" spans="1:13">
      <c r="A2205" t="s">
        <v>13</v>
      </c>
      <c r="B2205">
        <v>2322219</v>
      </c>
      <c r="C2205">
        <v>2324168</v>
      </c>
      <c r="E2205" t="s">
        <v>35</v>
      </c>
      <c r="F2205" t="s">
        <v>816</v>
      </c>
      <c r="G2205" t="s">
        <v>6863</v>
      </c>
      <c r="H2205">
        <v>0</v>
      </c>
      <c r="I2205" t="s">
        <v>17</v>
      </c>
      <c r="K2205" t="s">
        <v>6864</v>
      </c>
      <c r="L2205">
        <v>649</v>
      </c>
      <c r="M2205" t="s">
        <v>6865</v>
      </c>
    </row>
    <row r="2206" spans="1:13">
      <c r="A2206" t="s">
        <v>13</v>
      </c>
      <c r="B2206">
        <v>2324419</v>
      </c>
      <c r="C2206">
        <v>2325438</v>
      </c>
      <c r="E2206" t="s">
        <v>35</v>
      </c>
      <c r="F2206" t="s">
        <v>6866</v>
      </c>
      <c r="G2206" t="s">
        <v>6867</v>
      </c>
      <c r="H2206">
        <v>0</v>
      </c>
      <c r="I2206" t="s">
        <v>17</v>
      </c>
      <c r="K2206" t="s">
        <v>6868</v>
      </c>
      <c r="L2206">
        <v>339</v>
      </c>
      <c r="M2206" t="s">
        <v>6869</v>
      </c>
    </row>
    <row r="2207" spans="1:13">
      <c r="A2207" t="s">
        <v>13</v>
      </c>
      <c r="B2207">
        <v>2325578</v>
      </c>
      <c r="C2207">
        <v>2327272</v>
      </c>
      <c r="E2207" t="s">
        <v>35</v>
      </c>
      <c r="F2207" t="s">
        <v>28</v>
      </c>
      <c r="H2207">
        <v>0</v>
      </c>
      <c r="I2207" t="s">
        <v>17</v>
      </c>
      <c r="K2207" t="s">
        <v>6870</v>
      </c>
      <c r="L2207">
        <v>564</v>
      </c>
      <c r="M2207" t="s">
        <v>6871</v>
      </c>
    </row>
    <row r="2208" spans="1:13">
      <c r="A2208" t="s">
        <v>13</v>
      </c>
      <c r="B2208">
        <v>2327327</v>
      </c>
      <c r="C2208">
        <v>2328307</v>
      </c>
      <c r="E2208" t="s">
        <v>35</v>
      </c>
      <c r="F2208" t="s">
        <v>6872</v>
      </c>
      <c r="H2208">
        <v>0</v>
      </c>
      <c r="I2208" t="s">
        <v>17</v>
      </c>
      <c r="K2208" t="s">
        <v>6873</v>
      </c>
      <c r="L2208">
        <v>326</v>
      </c>
      <c r="M2208" t="s">
        <v>6874</v>
      </c>
    </row>
    <row r="2209" spans="1:13">
      <c r="A2209" t="s">
        <v>13</v>
      </c>
      <c r="B2209">
        <v>2328304</v>
      </c>
      <c r="C2209">
        <v>2328816</v>
      </c>
      <c r="E2209" t="s">
        <v>35</v>
      </c>
      <c r="F2209" t="s">
        <v>6875</v>
      </c>
      <c r="H2209">
        <v>0</v>
      </c>
      <c r="I2209" t="s">
        <v>17</v>
      </c>
      <c r="K2209" t="s">
        <v>6876</v>
      </c>
      <c r="L2209">
        <v>170</v>
      </c>
      <c r="M2209" t="s">
        <v>6877</v>
      </c>
    </row>
    <row r="2210" spans="1:13">
      <c r="A2210" t="s">
        <v>13</v>
      </c>
      <c r="B2210">
        <v>2328806</v>
      </c>
      <c r="C2210">
        <v>2330758</v>
      </c>
      <c r="E2210" t="s">
        <v>35</v>
      </c>
      <c r="F2210" t="s">
        <v>6878</v>
      </c>
      <c r="G2210" t="s">
        <v>6879</v>
      </c>
      <c r="H2210">
        <v>0</v>
      </c>
      <c r="I2210" t="s">
        <v>17</v>
      </c>
      <c r="K2210" t="s">
        <v>6880</v>
      </c>
      <c r="L2210">
        <v>650</v>
      </c>
      <c r="M2210" t="s">
        <v>6881</v>
      </c>
    </row>
    <row r="2211" spans="1:13">
      <c r="A2211" t="s">
        <v>13</v>
      </c>
      <c r="B2211">
        <v>2330901</v>
      </c>
      <c r="C2211">
        <v>2331488</v>
      </c>
      <c r="E2211" t="s">
        <v>35</v>
      </c>
      <c r="F2211" t="s">
        <v>28</v>
      </c>
      <c r="H2211">
        <v>0</v>
      </c>
      <c r="I2211" t="s">
        <v>17</v>
      </c>
      <c r="K2211" t="s">
        <v>6882</v>
      </c>
      <c r="L2211">
        <v>195</v>
      </c>
      <c r="M2211" t="s">
        <v>6883</v>
      </c>
    </row>
    <row r="2212" spans="1:13">
      <c r="A2212" t="s">
        <v>13</v>
      </c>
      <c r="B2212">
        <v>2331606</v>
      </c>
      <c r="C2212">
        <v>2333513</v>
      </c>
      <c r="E2212" t="s">
        <v>14</v>
      </c>
      <c r="F2212" t="s">
        <v>6884</v>
      </c>
      <c r="G2212" t="s">
        <v>6885</v>
      </c>
      <c r="H2212">
        <v>0</v>
      </c>
      <c r="I2212" t="s">
        <v>17</v>
      </c>
      <c r="K2212" t="s">
        <v>6886</v>
      </c>
      <c r="L2212">
        <v>635</v>
      </c>
      <c r="M2212" t="s">
        <v>6887</v>
      </c>
    </row>
    <row r="2213" spans="1:13">
      <c r="A2213" t="s">
        <v>13</v>
      </c>
      <c r="B2213">
        <v>2333510</v>
      </c>
      <c r="C2213">
        <v>2334262</v>
      </c>
      <c r="E2213" t="s">
        <v>14</v>
      </c>
      <c r="F2213" t="s">
        <v>28</v>
      </c>
      <c r="H2213">
        <v>0</v>
      </c>
      <c r="I2213" t="s">
        <v>17</v>
      </c>
      <c r="K2213" t="s">
        <v>6888</v>
      </c>
      <c r="L2213">
        <v>250</v>
      </c>
      <c r="M2213" t="s">
        <v>6889</v>
      </c>
    </row>
    <row r="2214" spans="1:13">
      <c r="A2214" t="s">
        <v>13</v>
      </c>
      <c r="B2214">
        <v>2334365</v>
      </c>
      <c r="C2214">
        <v>2335294</v>
      </c>
      <c r="E2214" t="s">
        <v>35</v>
      </c>
      <c r="F2214" t="s">
        <v>1799</v>
      </c>
      <c r="G2214" t="s">
        <v>6890</v>
      </c>
      <c r="H2214">
        <v>0</v>
      </c>
      <c r="I2214" t="s">
        <v>17</v>
      </c>
      <c r="K2214" t="s">
        <v>6891</v>
      </c>
      <c r="L2214">
        <v>309</v>
      </c>
      <c r="M2214" t="s">
        <v>6892</v>
      </c>
    </row>
    <row r="2215" spans="1:13">
      <c r="A2215" t="s">
        <v>13</v>
      </c>
      <c r="B2215">
        <v>2335321</v>
      </c>
      <c r="C2215">
        <v>2335533</v>
      </c>
      <c r="E2215" t="s">
        <v>35</v>
      </c>
      <c r="F2215" t="s">
        <v>28</v>
      </c>
      <c r="H2215">
        <v>0</v>
      </c>
      <c r="I2215" t="s">
        <v>17</v>
      </c>
      <c r="K2215" t="s">
        <v>6893</v>
      </c>
      <c r="L2215">
        <v>70</v>
      </c>
      <c r="M2215" t="s">
        <v>6894</v>
      </c>
    </row>
    <row r="2216" spans="1:13">
      <c r="A2216" t="s">
        <v>13</v>
      </c>
      <c r="B2216">
        <v>2335596</v>
      </c>
      <c r="C2216">
        <v>2336801</v>
      </c>
      <c r="E2216" t="s">
        <v>35</v>
      </c>
      <c r="F2216" t="s">
        <v>6895</v>
      </c>
      <c r="G2216" t="s">
        <v>6896</v>
      </c>
      <c r="H2216">
        <v>0</v>
      </c>
      <c r="I2216" t="s">
        <v>17</v>
      </c>
      <c r="K2216" t="s">
        <v>6897</v>
      </c>
      <c r="L2216">
        <v>401</v>
      </c>
      <c r="M2216" t="s">
        <v>6898</v>
      </c>
    </row>
    <row r="2217" spans="1:13">
      <c r="A2217" t="s">
        <v>13</v>
      </c>
      <c r="B2217">
        <v>2336951</v>
      </c>
      <c r="C2217">
        <v>2338849</v>
      </c>
      <c r="E2217" t="s">
        <v>14</v>
      </c>
      <c r="F2217" t="s">
        <v>6899</v>
      </c>
      <c r="H2217">
        <v>0</v>
      </c>
      <c r="I2217" t="s">
        <v>17</v>
      </c>
      <c r="K2217" t="s">
        <v>6900</v>
      </c>
      <c r="L2217">
        <v>632</v>
      </c>
      <c r="M2217" t="s">
        <v>6901</v>
      </c>
    </row>
    <row r="2218" spans="1:13">
      <c r="A2218" t="s">
        <v>13</v>
      </c>
      <c r="B2218">
        <v>2338872</v>
      </c>
      <c r="C2218">
        <v>2339702</v>
      </c>
      <c r="E2218" t="s">
        <v>35</v>
      </c>
      <c r="F2218" t="s">
        <v>6902</v>
      </c>
      <c r="G2218" t="s">
        <v>6903</v>
      </c>
      <c r="H2218">
        <v>0</v>
      </c>
      <c r="I2218" t="s">
        <v>17</v>
      </c>
      <c r="K2218" t="s">
        <v>6904</v>
      </c>
      <c r="L2218">
        <v>276</v>
      </c>
      <c r="M2218" t="s">
        <v>6905</v>
      </c>
    </row>
    <row r="2219" spans="1:13">
      <c r="A2219" t="s">
        <v>13</v>
      </c>
      <c r="B2219">
        <v>2339725</v>
      </c>
      <c r="C2219">
        <v>2341272</v>
      </c>
      <c r="E2219" t="s">
        <v>35</v>
      </c>
      <c r="F2219" t="s">
        <v>6906</v>
      </c>
      <c r="G2219" t="s">
        <v>6907</v>
      </c>
      <c r="H2219">
        <v>0</v>
      </c>
      <c r="I2219" t="s">
        <v>17</v>
      </c>
      <c r="K2219" t="s">
        <v>6908</v>
      </c>
      <c r="L2219">
        <v>515</v>
      </c>
      <c r="M2219" t="s">
        <v>6909</v>
      </c>
    </row>
    <row r="2220" spans="1:13">
      <c r="A2220" t="s">
        <v>13</v>
      </c>
      <c r="B2220">
        <v>2341303</v>
      </c>
      <c r="C2220">
        <v>2342040</v>
      </c>
      <c r="E2220" t="s">
        <v>35</v>
      </c>
      <c r="F2220" t="s">
        <v>6910</v>
      </c>
      <c r="G2220" t="s">
        <v>6911</v>
      </c>
      <c r="H2220">
        <v>0</v>
      </c>
      <c r="I2220" t="s">
        <v>17</v>
      </c>
      <c r="K2220" t="s">
        <v>6912</v>
      </c>
      <c r="L2220">
        <v>245</v>
      </c>
      <c r="M2220" t="s">
        <v>6913</v>
      </c>
    </row>
    <row r="2221" spans="1:13">
      <c r="A2221" t="s">
        <v>13</v>
      </c>
      <c r="B2221">
        <v>2342053</v>
      </c>
      <c r="C2221">
        <v>2343789</v>
      </c>
      <c r="E2221" t="s">
        <v>35</v>
      </c>
      <c r="F2221" t="s">
        <v>6914</v>
      </c>
      <c r="G2221" t="s">
        <v>6915</v>
      </c>
      <c r="H2221">
        <v>0</v>
      </c>
      <c r="I2221" t="s">
        <v>17</v>
      </c>
      <c r="K2221" t="s">
        <v>6916</v>
      </c>
      <c r="L2221">
        <v>578</v>
      </c>
      <c r="M2221" t="s">
        <v>6917</v>
      </c>
    </row>
    <row r="2222" spans="1:13">
      <c r="A2222" t="s">
        <v>13</v>
      </c>
      <c r="B2222">
        <v>2344078</v>
      </c>
      <c r="C2222">
        <v>2345709</v>
      </c>
      <c r="E2222" t="s">
        <v>35</v>
      </c>
      <c r="F2222" t="s">
        <v>6918</v>
      </c>
      <c r="G2222" t="s">
        <v>6919</v>
      </c>
      <c r="H2222">
        <v>0</v>
      </c>
      <c r="I2222" t="s">
        <v>17</v>
      </c>
      <c r="K2222" t="s">
        <v>6920</v>
      </c>
      <c r="L2222">
        <v>543</v>
      </c>
      <c r="M2222" t="s">
        <v>6921</v>
      </c>
    </row>
    <row r="2223" spans="1:13">
      <c r="A2223" t="s">
        <v>13</v>
      </c>
      <c r="B2223">
        <v>2345737</v>
      </c>
      <c r="C2223">
        <v>2346993</v>
      </c>
      <c r="E2223" t="s">
        <v>35</v>
      </c>
      <c r="F2223" t="s">
        <v>6922</v>
      </c>
      <c r="G2223" t="s">
        <v>6923</v>
      </c>
      <c r="H2223">
        <v>0</v>
      </c>
      <c r="I2223" t="s">
        <v>17</v>
      </c>
      <c r="K2223" t="s">
        <v>6924</v>
      </c>
      <c r="L2223">
        <v>418</v>
      </c>
      <c r="M2223" t="s">
        <v>6925</v>
      </c>
    </row>
    <row r="2224" spans="1:13">
      <c r="A2224" t="s">
        <v>13</v>
      </c>
      <c r="B2224">
        <v>2347059</v>
      </c>
      <c r="C2224">
        <v>2347808</v>
      </c>
      <c r="E2224" t="s">
        <v>14</v>
      </c>
      <c r="F2224" t="s">
        <v>6926</v>
      </c>
      <c r="G2224" t="s">
        <v>6927</v>
      </c>
      <c r="H2224">
        <v>0</v>
      </c>
      <c r="I2224" t="s">
        <v>17</v>
      </c>
      <c r="K2224" t="s">
        <v>6928</v>
      </c>
      <c r="L2224">
        <v>249</v>
      </c>
      <c r="M2224" t="s">
        <v>6929</v>
      </c>
    </row>
    <row r="2225" spans="1:13">
      <c r="A2225" t="s">
        <v>13</v>
      </c>
      <c r="B2225">
        <v>2347836</v>
      </c>
      <c r="C2225">
        <v>2348885</v>
      </c>
      <c r="E2225" t="s">
        <v>14</v>
      </c>
      <c r="F2225" t="s">
        <v>6930</v>
      </c>
      <c r="H2225">
        <v>0</v>
      </c>
      <c r="I2225" t="s">
        <v>17</v>
      </c>
      <c r="K2225" t="s">
        <v>6931</v>
      </c>
      <c r="L2225">
        <v>349</v>
      </c>
      <c r="M2225" t="s">
        <v>6932</v>
      </c>
    </row>
    <row r="2226" spans="1:13">
      <c r="A2226" t="s">
        <v>13</v>
      </c>
      <c r="B2226">
        <v>2348886</v>
      </c>
      <c r="C2226">
        <v>2349233</v>
      </c>
      <c r="E2226" t="s">
        <v>14</v>
      </c>
      <c r="F2226" t="s">
        <v>6933</v>
      </c>
      <c r="H2226">
        <v>0</v>
      </c>
      <c r="I2226" t="s">
        <v>17</v>
      </c>
      <c r="K2226" t="s">
        <v>6934</v>
      </c>
      <c r="L2226">
        <v>115</v>
      </c>
      <c r="M2226" t="s">
        <v>6935</v>
      </c>
    </row>
    <row r="2227" spans="1:13">
      <c r="A2227" t="s">
        <v>13</v>
      </c>
      <c r="B2227">
        <v>2349230</v>
      </c>
      <c r="C2227">
        <v>2349883</v>
      </c>
      <c r="E2227" t="s">
        <v>35</v>
      </c>
      <c r="F2227" t="s">
        <v>6936</v>
      </c>
      <c r="G2227" t="s">
        <v>6937</v>
      </c>
      <c r="H2227">
        <v>0</v>
      </c>
      <c r="I2227" t="s">
        <v>17</v>
      </c>
      <c r="K2227" t="s">
        <v>6938</v>
      </c>
      <c r="L2227">
        <v>217</v>
      </c>
      <c r="M2227" t="s">
        <v>6939</v>
      </c>
    </row>
    <row r="2228" spans="1:13">
      <c r="A2228" t="s">
        <v>13</v>
      </c>
      <c r="B2228">
        <v>2349893</v>
      </c>
      <c r="C2228">
        <v>2350801</v>
      </c>
      <c r="E2228" t="s">
        <v>35</v>
      </c>
      <c r="F2228" t="s">
        <v>6940</v>
      </c>
      <c r="G2228" t="s">
        <v>6941</v>
      </c>
      <c r="H2228">
        <v>0</v>
      </c>
      <c r="I2228" t="s">
        <v>17</v>
      </c>
      <c r="K2228" t="s">
        <v>6942</v>
      </c>
      <c r="L2228">
        <v>302</v>
      </c>
      <c r="M2228" t="s">
        <v>6943</v>
      </c>
    </row>
    <row r="2229" spans="1:13">
      <c r="A2229" t="s">
        <v>13</v>
      </c>
      <c r="B2229">
        <v>2350835</v>
      </c>
      <c r="C2229">
        <v>2351971</v>
      </c>
      <c r="E2229" t="s">
        <v>14</v>
      </c>
      <c r="F2229" t="s">
        <v>6944</v>
      </c>
      <c r="G2229" t="s">
        <v>6945</v>
      </c>
      <c r="H2229">
        <v>0</v>
      </c>
      <c r="I2229" t="s">
        <v>17</v>
      </c>
      <c r="K2229" t="s">
        <v>6946</v>
      </c>
      <c r="L2229">
        <v>378</v>
      </c>
      <c r="M2229" t="s">
        <v>6947</v>
      </c>
    </row>
    <row r="2230" spans="1:13">
      <c r="A2230" t="s">
        <v>13</v>
      </c>
      <c r="B2230">
        <v>2351968</v>
      </c>
      <c r="C2230">
        <v>2352678</v>
      </c>
      <c r="E2230" t="s">
        <v>14</v>
      </c>
      <c r="F2230" t="s">
        <v>6754</v>
      </c>
      <c r="H2230">
        <v>0</v>
      </c>
      <c r="I2230" t="s">
        <v>17</v>
      </c>
      <c r="K2230" t="s">
        <v>6948</v>
      </c>
      <c r="L2230">
        <v>236</v>
      </c>
      <c r="M2230" t="s">
        <v>6949</v>
      </c>
    </row>
    <row r="2231" spans="1:13">
      <c r="A2231" t="s">
        <v>13</v>
      </c>
      <c r="B2231">
        <v>2352738</v>
      </c>
      <c r="C2231">
        <v>2354012</v>
      </c>
      <c r="E2231" t="s">
        <v>14</v>
      </c>
      <c r="F2231" t="s">
        <v>2067</v>
      </c>
      <c r="G2231" t="s">
        <v>6950</v>
      </c>
      <c r="H2231">
        <v>0</v>
      </c>
      <c r="I2231" t="s">
        <v>17</v>
      </c>
      <c r="K2231" t="s">
        <v>6951</v>
      </c>
      <c r="L2231">
        <v>424</v>
      </c>
      <c r="M2231" t="s">
        <v>6952</v>
      </c>
    </row>
    <row r="2232" spans="1:13">
      <c r="A2232" t="s">
        <v>13</v>
      </c>
      <c r="B2232">
        <v>2354298</v>
      </c>
      <c r="C2232">
        <v>2355218</v>
      </c>
      <c r="E2232" t="s">
        <v>35</v>
      </c>
      <c r="F2232" t="s">
        <v>28</v>
      </c>
      <c r="H2232">
        <v>0</v>
      </c>
      <c r="I2232" t="s">
        <v>17</v>
      </c>
      <c r="K2232" t="s">
        <v>6953</v>
      </c>
      <c r="L2232">
        <v>306</v>
      </c>
      <c r="M2232" t="s">
        <v>6954</v>
      </c>
    </row>
    <row r="2233" spans="1:13">
      <c r="A2233" t="s">
        <v>13</v>
      </c>
      <c r="B2233">
        <v>2355239</v>
      </c>
      <c r="C2233">
        <v>2355943</v>
      </c>
      <c r="E2233" t="s">
        <v>35</v>
      </c>
      <c r="F2233" t="s">
        <v>6955</v>
      </c>
      <c r="G2233" t="s">
        <v>6956</v>
      </c>
      <c r="H2233">
        <v>0</v>
      </c>
      <c r="I2233" t="s">
        <v>17</v>
      </c>
      <c r="K2233" t="s">
        <v>6957</v>
      </c>
      <c r="L2233">
        <v>234</v>
      </c>
      <c r="M2233" t="s">
        <v>6958</v>
      </c>
    </row>
    <row r="2234" spans="1:13">
      <c r="A2234" t="s">
        <v>13</v>
      </c>
      <c r="B2234">
        <v>2355943</v>
      </c>
      <c r="C2234">
        <v>2356890</v>
      </c>
      <c r="E2234" t="s">
        <v>35</v>
      </c>
      <c r="F2234" t="s">
        <v>6959</v>
      </c>
      <c r="G2234" t="s">
        <v>6960</v>
      </c>
      <c r="H2234">
        <v>0</v>
      </c>
      <c r="I2234" t="s">
        <v>17</v>
      </c>
      <c r="K2234" t="s">
        <v>6961</v>
      </c>
      <c r="L2234">
        <v>315</v>
      </c>
      <c r="M2234" t="s">
        <v>6962</v>
      </c>
    </row>
    <row r="2235" spans="1:13">
      <c r="A2235" t="s">
        <v>13</v>
      </c>
      <c r="B2235">
        <v>2356978</v>
      </c>
      <c r="C2235">
        <v>2358720</v>
      </c>
      <c r="E2235" t="s">
        <v>14</v>
      </c>
      <c r="F2235" t="s">
        <v>28</v>
      </c>
      <c r="H2235">
        <v>0</v>
      </c>
      <c r="I2235" t="s">
        <v>17</v>
      </c>
      <c r="K2235" t="s">
        <v>6963</v>
      </c>
      <c r="L2235">
        <v>580</v>
      </c>
      <c r="M2235" t="s">
        <v>6964</v>
      </c>
    </row>
    <row r="2236" spans="1:13">
      <c r="A2236" t="s">
        <v>13</v>
      </c>
      <c r="B2236">
        <v>2358717</v>
      </c>
      <c r="C2236">
        <v>2359364</v>
      </c>
      <c r="E2236" t="s">
        <v>35</v>
      </c>
      <c r="F2236" t="s">
        <v>6965</v>
      </c>
      <c r="G2236" t="s">
        <v>6966</v>
      </c>
      <c r="H2236">
        <v>0</v>
      </c>
      <c r="I2236" t="s">
        <v>17</v>
      </c>
      <c r="K2236" t="s">
        <v>6967</v>
      </c>
      <c r="L2236">
        <v>215</v>
      </c>
      <c r="M2236" t="s">
        <v>6968</v>
      </c>
    </row>
    <row r="2237" spans="1:13">
      <c r="A2237" t="s">
        <v>13</v>
      </c>
      <c r="B2237">
        <v>2359529</v>
      </c>
      <c r="C2237">
        <v>2360131</v>
      </c>
      <c r="E2237" t="s">
        <v>14</v>
      </c>
      <c r="F2237" t="s">
        <v>4337</v>
      </c>
      <c r="G2237" t="s">
        <v>6969</v>
      </c>
      <c r="H2237">
        <v>0</v>
      </c>
      <c r="I2237" t="s">
        <v>17</v>
      </c>
      <c r="K2237" t="s">
        <v>6970</v>
      </c>
      <c r="L2237">
        <v>200</v>
      </c>
      <c r="M2237" t="s">
        <v>6971</v>
      </c>
    </row>
    <row r="2238" spans="1:13">
      <c r="A2238" t="s">
        <v>13</v>
      </c>
      <c r="B2238">
        <v>2360257</v>
      </c>
      <c r="C2238">
        <v>2361408</v>
      </c>
      <c r="E2238" t="s">
        <v>14</v>
      </c>
      <c r="F2238" t="s">
        <v>6972</v>
      </c>
      <c r="G2238" t="s">
        <v>6973</v>
      </c>
      <c r="H2238">
        <v>0</v>
      </c>
      <c r="I2238" t="s">
        <v>17</v>
      </c>
      <c r="K2238" t="s">
        <v>6974</v>
      </c>
      <c r="L2238">
        <v>383</v>
      </c>
      <c r="M2238" t="s">
        <v>6975</v>
      </c>
    </row>
    <row r="2239" spans="1:13">
      <c r="A2239" t="s">
        <v>13</v>
      </c>
      <c r="B2239">
        <v>2361419</v>
      </c>
      <c r="C2239">
        <v>2362717</v>
      </c>
      <c r="E2239" t="s">
        <v>14</v>
      </c>
      <c r="F2239" t="s">
        <v>28</v>
      </c>
      <c r="H2239">
        <v>0</v>
      </c>
      <c r="I2239" t="s">
        <v>17</v>
      </c>
      <c r="K2239" t="s">
        <v>6976</v>
      </c>
      <c r="L2239">
        <v>432</v>
      </c>
      <c r="M2239" t="s">
        <v>6977</v>
      </c>
    </row>
    <row r="2240" spans="1:13">
      <c r="A2240" t="s">
        <v>13</v>
      </c>
      <c r="B2240">
        <v>2362714</v>
      </c>
      <c r="C2240">
        <v>2364147</v>
      </c>
      <c r="E2240" t="s">
        <v>35</v>
      </c>
      <c r="F2240" t="s">
        <v>28</v>
      </c>
      <c r="H2240">
        <v>0</v>
      </c>
      <c r="I2240" t="s">
        <v>17</v>
      </c>
      <c r="K2240" t="s">
        <v>6978</v>
      </c>
      <c r="L2240">
        <v>477</v>
      </c>
      <c r="M2240" t="s">
        <v>6979</v>
      </c>
    </row>
    <row r="2241" spans="1:13">
      <c r="A2241" t="s">
        <v>13</v>
      </c>
      <c r="B2241">
        <v>2364216</v>
      </c>
      <c r="C2241">
        <v>2364848</v>
      </c>
      <c r="E2241" t="s">
        <v>14</v>
      </c>
      <c r="F2241" t="s">
        <v>28</v>
      </c>
      <c r="H2241">
        <v>0</v>
      </c>
      <c r="I2241" t="s">
        <v>17</v>
      </c>
      <c r="K2241" t="s">
        <v>6980</v>
      </c>
      <c r="L2241">
        <v>210</v>
      </c>
      <c r="M2241" t="s">
        <v>6981</v>
      </c>
    </row>
    <row r="2242" spans="1:13">
      <c r="A2242" t="s">
        <v>13</v>
      </c>
      <c r="B2242">
        <v>2365034</v>
      </c>
      <c r="C2242">
        <v>2365345</v>
      </c>
      <c r="E2242" t="s">
        <v>14</v>
      </c>
      <c r="F2242" t="s">
        <v>6982</v>
      </c>
      <c r="G2242" t="s">
        <v>6983</v>
      </c>
      <c r="H2242">
        <v>0</v>
      </c>
      <c r="I2242" t="s">
        <v>17</v>
      </c>
      <c r="K2242" t="s">
        <v>6984</v>
      </c>
      <c r="L2242">
        <v>103</v>
      </c>
      <c r="M2242" t="s">
        <v>6985</v>
      </c>
    </row>
    <row r="2243" spans="1:13">
      <c r="A2243" t="s">
        <v>13</v>
      </c>
      <c r="B2243">
        <v>2365347</v>
      </c>
      <c r="C2243">
        <v>2365985</v>
      </c>
      <c r="E2243" t="s">
        <v>35</v>
      </c>
      <c r="F2243" t="s">
        <v>2708</v>
      </c>
      <c r="G2243" t="s">
        <v>6986</v>
      </c>
      <c r="H2243">
        <v>0</v>
      </c>
      <c r="I2243" t="s">
        <v>17</v>
      </c>
      <c r="K2243" t="s">
        <v>6987</v>
      </c>
      <c r="L2243">
        <v>212</v>
      </c>
      <c r="M2243" t="s">
        <v>6988</v>
      </c>
    </row>
    <row r="2244" spans="1:13">
      <c r="A2244" t="s">
        <v>13</v>
      </c>
      <c r="B2244">
        <v>2366023</v>
      </c>
      <c r="C2244">
        <v>2367186</v>
      </c>
      <c r="E2244" t="s">
        <v>35</v>
      </c>
      <c r="F2244" t="s">
        <v>6989</v>
      </c>
      <c r="G2244" t="s">
        <v>6990</v>
      </c>
      <c r="H2244">
        <v>0</v>
      </c>
      <c r="I2244" t="s">
        <v>17</v>
      </c>
      <c r="K2244" t="s">
        <v>6991</v>
      </c>
      <c r="L2244">
        <v>387</v>
      </c>
      <c r="M2244" t="s">
        <v>6992</v>
      </c>
    </row>
    <row r="2245" spans="1:13">
      <c r="A2245" t="s">
        <v>13</v>
      </c>
      <c r="B2245">
        <v>2367215</v>
      </c>
      <c r="C2245">
        <v>2367715</v>
      </c>
      <c r="E2245" t="s">
        <v>14</v>
      </c>
      <c r="F2245" t="s">
        <v>28</v>
      </c>
      <c r="H2245">
        <v>0</v>
      </c>
      <c r="I2245" t="s">
        <v>17</v>
      </c>
      <c r="K2245" t="s">
        <v>6993</v>
      </c>
      <c r="L2245">
        <v>166</v>
      </c>
      <c r="M2245" t="s">
        <v>6994</v>
      </c>
    </row>
    <row r="2246" spans="1:13">
      <c r="A2246" t="s">
        <v>13</v>
      </c>
      <c r="B2246">
        <v>2367712</v>
      </c>
      <c r="C2246">
        <v>2367864</v>
      </c>
      <c r="E2246" t="s">
        <v>35</v>
      </c>
      <c r="F2246" t="s">
        <v>28</v>
      </c>
      <c r="H2246">
        <v>0</v>
      </c>
      <c r="I2246" t="s">
        <v>17</v>
      </c>
      <c r="K2246" t="s">
        <v>6995</v>
      </c>
      <c r="L2246">
        <v>50</v>
      </c>
      <c r="M2246" t="s">
        <v>6996</v>
      </c>
    </row>
    <row r="2247" spans="1:13">
      <c r="A2247" t="s">
        <v>13</v>
      </c>
      <c r="B2247">
        <v>2367864</v>
      </c>
      <c r="C2247">
        <v>2368526</v>
      </c>
      <c r="E2247" t="s">
        <v>35</v>
      </c>
      <c r="F2247" t="s">
        <v>6553</v>
      </c>
      <c r="H2247">
        <v>0</v>
      </c>
      <c r="I2247" t="s">
        <v>17</v>
      </c>
      <c r="K2247" t="s">
        <v>6997</v>
      </c>
      <c r="L2247">
        <v>220</v>
      </c>
      <c r="M2247" t="s">
        <v>6998</v>
      </c>
    </row>
    <row r="2248" spans="1:13">
      <c r="A2248" t="s">
        <v>13</v>
      </c>
      <c r="B2248">
        <v>2368570</v>
      </c>
      <c r="C2248">
        <v>2369514</v>
      </c>
      <c r="E2248" t="s">
        <v>14</v>
      </c>
      <c r="F2248" t="s">
        <v>6999</v>
      </c>
      <c r="G2248" t="s">
        <v>7000</v>
      </c>
      <c r="H2248">
        <v>0</v>
      </c>
      <c r="I2248" t="s">
        <v>17</v>
      </c>
      <c r="K2248" t="s">
        <v>7001</v>
      </c>
      <c r="L2248">
        <v>314</v>
      </c>
      <c r="M2248" t="s">
        <v>7002</v>
      </c>
    </row>
    <row r="2249" spans="1:13">
      <c r="A2249" t="s">
        <v>13</v>
      </c>
      <c r="B2249">
        <v>2369471</v>
      </c>
      <c r="C2249">
        <v>2370079</v>
      </c>
      <c r="E2249" t="s">
        <v>35</v>
      </c>
      <c r="F2249" t="s">
        <v>7003</v>
      </c>
      <c r="H2249">
        <v>0</v>
      </c>
      <c r="I2249" t="s">
        <v>17</v>
      </c>
      <c r="K2249" t="s">
        <v>7004</v>
      </c>
      <c r="L2249">
        <v>202</v>
      </c>
      <c r="M2249" t="s">
        <v>7005</v>
      </c>
    </row>
    <row r="2250" spans="1:13">
      <c r="A2250" t="s">
        <v>13</v>
      </c>
      <c r="B2250">
        <v>2370158</v>
      </c>
      <c r="C2250">
        <v>2370409</v>
      </c>
      <c r="E2250" t="s">
        <v>35</v>
      </c>
      <c r="F2250" t="s">
        <v>28</v>
      </c>
      <c r="H2250">
        <v>0</v>
      </c>
      <c r="I2250" t="s">
        <v>17</v>
      </c>
      <c r="K2250" t="s">
        <v>7006</v>
      </c>
      <c r="L2250">
        <v>83</v>
      </c>
      <c r="M2250" t="s">
        <v>7007</v>
      </c>
    </row>
    <row r="2251" spans="1:13">
      <c r="A2251" t="s">
        <v>13</v>
      </c>
      <c r="B2251">
        <v>2370587</v>
      </c>
      <c r="C2251">
        <v>2371486</v>
      </c>
      <c r="E2251" t="s">
        <v>35</v>
      </c>
      <c r="F2251" t="s">
        <v>3611</v>
      </c>
      <c r="H2251">
        <v>0</v>
      </c>
      <c r="I2251" t="s">
        <v>17</v>
      </c>
      <c r="K2251" t="s">
        <v>7008</v>
      </c>
      <c r="L2251">
        <v>299</v>
      </c>
      <c r="M2251" t="s">
        <v>7009</v>
      </c>
    </row>
    <row r="2252" spans="1:13">
      <c r="A2252" t="s">
        <v>13</v>
      </c>
      <c r="B2252">
        <v>2371712</v>
      </c>
      <c r="C2252">
        <v>2372653</v>
      </c>
      <c r="E2252" t="s">
        <v>14</v>
      </c>
      <c r="F2252" t="s">
        <v>2985</v>
      </c>
      <c r="G2252" t="s">
        <v>7010</v>
      </c>
      <c r="H2252">
        <v>0</v>
      </c>
      <c r="I2252" t="s">
        <v>17</v>
      </c>
      <c r="K2252" t="s">
        <v>7011</v>
      </c>
      <c r="L2252">
        <v>313</v>
      </c>
      <c r="M2252" t="s">
        <v>7012</v>
      </c>
    </row>
    <row r="2253" spans="1:13">
      <c r="A2253" t="s">
        <v>13</v>
      </c>
      <c r="B2253">
        <v>2373264</v>
      </c>
      <c r="C2253">
        <v>2373710</v>
      </c>
      <c r="E2253" t="s">
        <v>14</v>
      </c>
      <c r="F2253" t="s">
        <v>28</v>
      </c>
      <c r="H2253">
        <v>0</v>
      </c>
      <c r="I2253" t="s">
        <v>17</v>
      </c>
      <c r="K2253" t="s">
        <v>7013</v>
      </c>
      <c r="L2253">
        <v>148</v>
      </c>
      <c r="M2253" t="s">
        <v>7014</v>
      </c>
    </row>
    <row r="2254" spans="1:13">
      <c r="A2254" t="s">
        <v>13</v>
      </c>
      <c r="B2254">
        <v>2373848</v>
      </c>
      <c r="C2254">
        <v>2374261</v>
      </c>
      <c r="E2254" t="s">
        <v>35</v>
      </c>
      <c r="F2254" t="s">
        <v>518</v>
      </c>
      <c r="H2254">
        <v>0</v>
      </c>
      <c r="I2254" t="s">
        <v>17</v>
      </c>
      <c r="K2254" t="s">
        <v>7015</v>
      </c>
      <c r="L2254">
        <v>137</v>
      </c>
      <c r="M2254" t="s">
        <v>7016</v>
      </c>
    </row>
    <row r="2255" spans="1:13">
      <c r="A2255" t="s">
        <v>13</v>
      </c>
      <c r="B2255">
        <v>2374587</v>
      </c>
      <c r="C2255">
        <v>2375127</v>
      </c>
      <c r="E2255" t="s">
        <v>35</v>
      </c>
      <c r="F2255" t="s">
        <v>290</v>
      </c>
      <c r="H2255">
        <v>0</v>
      </c>
      <c r="I2255" t="s">
        <v>292</v>
      </c>
      <c r="M2255" t="s">
        <v>7017</v>
      </c>
    </row>
    <row r="2256" spans="1:13">
      <c r="A2256" t="s">
        <v>13</v>
      </c>
      <c r="B2256">
        <v>2375311</v>
      </c>
      <c r="C2256">
        <v>2375823</v>
      </c>
      <c r="E2256" t="s">
        <v>35</v>
      </c>
      <c r="F2256" t="s">
        <v>28</v>
      </c>
      <c r="H2256">
        <v>0</v>
      </c>
      <c r="I2256" t="s">
        <v>17</v>
      </c>
      <c r="K2256" t="s">
        <v>7018</v>
      </c>
      <c r="L2256">
        <v>170</v>
      </c>
      <c r="M2256" t="s">
        <v>7019</v>
      </c>
    </row>
    <row r="2257" spans="1:13">
      <c r="A2257" t="s">
        <v>13</v>
      </c>
      <c r="B2257">
        <v>2376535</v>
      </c>
      <c r="C2257">
        <v>2376652</v>
      </c>
      <c r="E2257" t="s">
        <v>35</v>
      </c>
      <c r="F2257" t="s">
        <v>2318</v>
      </c>
      <c r="H2257">
        <v>0</v>
      </c>
      <c r="I2257" t="s">
        <v>2314</v>
      </c>
      <c r="M2257" t="s">
        <v>7020</v>
      </c>
    </row>
    <row r="2258" spans="1:13">
      <c r="A2258" t="s">
        <v>13</v>
      </c>
      <c r="B2258">
        <v>2376808</v>
      </c>
      <c r="C2258">
        <v>2379888</v>
      </c>
      <c r="E2258" t="s">
        <v>35</v>
      </c>
      <c r="F2258" t="s">
        <v>2316</v>
      </c>
      <c r="H2258">
        <v>0</v>
      </c>
      <c r="I2258" t="s">
        <v>2314</v>
      </c>
      <c r="M2258" t="s">
        <v>7021</v>
      </c>
    </row>
    <row r="2259" spans="1:13">
      <c r="A2259" t="s">
        <v>13</v>
      </c>
      <c r="B2259">
        <v>2380409</v>
      </c>
      <c r="C2259">
        <v>2381914</v>
      </c>
      <c r="E2259" t="s">
        <v>35</v>
      </c>
      <c r="F2259" t="s">
        <v>2313</v>
      </c>
      <c r="H2259">
        <v>0</v>
      </c>
      <c r="I2259" t="s">
        <v>2314</v>
      </c>
      <c r="M2259" t="s">
        <v>7022</v>
      </c>
    </row>
    <row r="2260" spans="1:13">
      <c r="A2260" t="s">
        <v>13</v>
      </c>
      <c r="B2260">
        <v>2382509</v>
      </c>
      <c r="C2260">
        <v>2383489</v>
      </c>
      <c r="E2260" t="s">
        <v>35</v>
      </c>
      <c r="F2260" t="s">
        <v>28</v>
      </c>
      <c r="H2260">
        <v>0</v>
      </c>
      <c r="I2260" t="s">
        <v>17</v>
      </c>
      <c r="K2260" t="s">
        <v>7023</v>
      </c>
      <c r="L2260">
        <v>326</v>
      </c>
      <c r="M2260" t="s">
        <v>7024</v>
      </c>
    </row>
    <row r="2261" spans="1:13">
      <c r="A2261" t="s">
        <v>13</v>
      </c>
      <c r="B2261">
        <v>2383486</v>
      </c>
      <c r="C2261">
        <v>2384289</v>
      </c>
      <c r="E2261" t="s">
        <v>35</v>
      </c>
      <c r="F2261" t="s">
        <v>7025</v>
      </c>
      <c r="G2261" t="s">
        <v>7026</v>
      </c>
      <c r="H2261">
        <v>0</v>
      </c>
      <c r="I2261" t="s">
        <v>17</v>
      </c>
      <c r="K2261" t="s">
        <v>7027</v>
      </c>
      <c r="L2261">
        <v>267</v>
      </c>
      <c r="M2261" t="s">
        <v>7028</v>
      </c>
    </row>
    <row r="2262" spans="1:13">
      <c r="A2262" t="s">
        <v>13</v>
      </c>
      <c r="B2262">
        <v>2384286</v>
      </c>
      <c r="C2262">
        <v>2384663</v>
      </c>
      <c r="E2262" t="s">
        <v>35</v>
      </c>
      <c r="F2262" t="s">
        <v>1858</v>
      </c>
      <c r="G2262" t="s">
        <v>7029</v>
      </c>
      <c r="H2262">
        <v>0</v>
      </c>
      <c r="I2262" t="s">
        <v>17</v>
      </c>
      <c r="K2262" t="s">
        <v>7030</v>
      </c>
      <c r="L2262">
        <v>125</v>
      </c>
      <c r="M2262" t="s">
        <v>7031</v>
      </c>
    </row>
    <row r="2263" spans="1:13">
      <c r="A2263" t="s">
        <v>13</v>
      </c>
      <c r="B2263">
        <v>2384869</v>
      </c>
      <c r="C2263">
        <v>2386044</v>
      </c>
      <c r="E2263" t="s">
        <v>14</v>
      </c>
      <c r="F2263" t="s">
        <v>7032</v>
      </c>
      <c r="H2263">
        <v>0</v>
      </c>
      <c r="I2263" t="s">
        <v>17</v>
      </c>
      <c r="K2263" t="s">
        <v>7033</v>
      </c>
      <c r="L2263">
        <v>391</v>
      </c>
      <c r="M2263" t="s">
        <v>7034</v>
      </c>
    </row>
    <row r="2264" spans="1:13">
      <c r="A2264" t="s">
        <v>13</v>
      </c>
      <c r="B2264">
        <v>2386041</v>
      </c>
      <c r="C2264">
        <v>2386778</v>
      </c>
      <c r="E2264" t="s">
        <v>35</v>
      </c>
      <c r="F2264" t="s">
        <v>4630</v>
      </c>
      <c r="H2264">
        <v>0</v>
      </c>
      <c r="I2264" t="s">
        <v>17</v>
      </c>
      <c r="K2264" t="s">
        <v>7035</v>
      </c>
      <c r="L2264">
        <v>245</v>
      </c>
      <c r="M2264" t="s">
        <v>7036</v>
      </c>
    </row>
    <row r="2265" spans="1:13">
      <c r="A2265" t="s">
        <v>13</v>
      </c>
      <c r="B2265">
        <v>2386870</v>
      </c>
      <c r="C2265">
        <v>2387241</v>
      </c>
      <c r="E2265" t="s">
        <v>35</v>
      </c>
      <c r="F2265" t="s">
        <v>7037</v>
      </c>
      <c r="G2265" t="s">
        <v>7038</v>
      </c>
      <c r="H2265">
        <v>0</v>
      </c>
      <c r="I2265" t="s">
        <v>17</v>
      </c>
      <c r="K2265" t="s">
        <v>7039</v>
      </c>
      <c r="L2265">
        <v>123</v>
      </c>
      <c r="M2265" t="s">
        <v>7040</v>
      </c>
    </row>
    <row r="2266" spans="1:13">
      <c r="A2266" t="s">
        <v>13</v>
      </c>
      <c r="B2266">
        <v>2387361</v>
      </c>
      <c r="C2266">
        <v>2387561</v>
      </c>
      <c r="E2266" t="s">
        <v>14</v>
      </c>
      <c r="F2266" t="s">
        <v>7041</v>
      </c>
      <c r="G2266" t="s">
        <v>7042</v>
      </c>
      <c r="H2266">
        <v>0</v>
      </c>
      <c r="I2266" t="s">
        <v>17</v>
      </c>
      <c r="K2266" t="s">
        <v>7043</v>
      </c>
      <c r="L2266">
        <v>66</v>
      </c>
      <c r="M2266" t="s">
        <v>7044</v>
      </c>
    </row>
    <row r="2267" spans="1:13">
      <c r="A2267" t="s">
        <v>13</v>
      </c>
      <c r="B2267">
        <v>2387571</v>
      </c>
      <c r="C2267">
        <v>2389760</v>
      </c>
      <c r="E2267" t="s">
        <v>14</v>
      </c>
      <c r="F2267" t="s">
        <v>7045</v>
      </c>
      <c r="G2267" t="s">
        <v>7046</v>
      </c>
      <c r="H2267">
        <v>0</v>
      </c>
      <c r="I2267" t="s">
        <v>17</v>
      </c>
      <c r="K2267" t="s">
        <v>7047</v>
      </c>
      <c r="L2267">
        <v>729</v>
      </c>
      <c r="M2267" t="s">
        <v>7048</v>
      </c>
    </row>
    <row r="2268" spans="1:13">
      <c r="A2268" t="s">
        <v>13</v>
      </c>
      <c r="B2268">
        <v>2389764</v>
      </c>
      <c r="C2268">
        <v>2391065</v>
      </c>
      <c r="E2268" t="s">
        <v>14</v>
      </c>
      <c r="F2268" t="s">
        <v>7049</v>
      </c>
      <c r="G2268" t="s">
        <v>7050</v>
      </c>
      <c r="H2268">
        <v>0</v>
      </c>
      <c r="I2268" t="s">
        <v>17</v>
      </c>
      <c r="K2268" t="s">
        <v>7051</v>
      </c>
      <c r="L2268">
        <v>433</v>
      </c>
      <c r="M2268" t="s">
        <v>7052</v>
      </c>
    </row>
    <row r="2269" spans="1:13">
      <c r="A2269" t="s">
        <v>13</v>
      </c>
      <c r="B2269">
        <v>2391094</v>
      </c>
      <c r="C2269">
        <v>2391558</v>
      </c>
      <c r="E2269" t="s">
        <v>14</v>
      </c>
      <c r="F2269" t="s">
        <v>7053</v>
      </c>
      <c r="H2269">
        <v>0</v>
      </c>
      <c r="I2269" t="s">
        <v>17</v>
      </c>
      <c r="K2269" t="s">
        <v>7054</v>
      </c>
      <c r="L2269">
        <v>154</v>
      </c>
      <c r="M2269" t="s">
        <v>7055</v>
      </c>
    </row>
    <row r="2270" spans="1:13">
      <c r="A2270" t="s">
        <v>13</v>
      </c>
      <c r="B2270">
        <v>2391564</v>
      </c>
      <c r="C2270">
        <v>2392997</v>
      </c>
      <c r="E2270" t="s">
        <v>35</v>
      </c>
      <c r="F2270" t="s">
        <v>7056</v>
      </c>
      <c r="G2270" t="s">
        <v>7057</v>
      </c>
      <c r="H2270">
        <v>0</v>
      </c>
      <c r="I2270" t="s">
        <v>17</v>
      </c>
      <c r="K2270" t="s">
        <v>7058</v>
      </c>
      <c r="L2270">
        <v>477</v>
      </c>
      <c r="M2270" t="s">
        <v>7059</v>
      </c>
    </row>
    <row r="2271" spans="1:13">
      <c r="A2271" t="s">
        <v>13</v>
      </c>
      <c r="B2271">
        <v>2393459</v>
      </c>
      <c r="C2271">
        <v>2393911</v>
      </c>
      <c r="E2271" t="s">
        <v>35</v>
      </c>
      <c r="F2271" t="s">
        <v>7060</v>
      </c>
      <c r="G2271" t="s">
        <v>7061</v>
      </c>
      <c r="H2271">
        <v>0</v>
      </c>
      <c r="I2271" t="s">
        <v>17</v>
      </c>
      <c r="K2271" t="s">
        <v>7062</v>
      </c>
      <c r="L2271">
        <v>150</v>
      </c>
      <c r="M2271" t="s">
        <v>7063</v>
      </c>
    </row>
    <row r="2272" spans="1:13">
      <c r="A2272" t="s">
        <v>13</v>
      </c>
      <c r="B2272">
        <v>2393960</v>
      </c>
      <c r="C2272">
        <v>2394511</v>
      </c>
      <c r="E2272" t="s">
        <v>35</v>
      </c>
      <c r="F2272" t="s">
        <v>5882</v>
      </c>
      <c r="G2272" t="s">
        <v>7064</v>
      </c>
      <c r="H2272">
        <v>0</v>
      </c>
      <c r="I2272" t="s">
        <v>17</v>
      </c>
      <c r="K2272" t="s">
        <v>7065</v>
      </c>
      <c r="L2272">
        <v>183</v>
      </c>
      <c r="M2272" t="s">
        <v>7066</v>
      </c>
    </row>
    <row r="2273" spans="1:13">
      <c r="A2273" t="s">
        <v>13</v>
      </c>
      <c r="B2273">
        <v>2394561</v>
      </c>
      <c r="C2273">
        <v>2394851</v>
      </c>
      <c r="E2273" t="s">
        <v>35</v>
      </c>
      <c r="F2273" t="s">
        <v>7067</v>
      </c>
      <c r="G2273" t="s">
        <v>7068</v>
      </c>
      <c r="H2273">
        <v>0</v>
      </c>
      <c r="I2273" t="s">
        <v>17</v>
      </c>
      <c r="K2273" t="s">
        <v>7069</v>
      </c>
      <c r="L2273">
        <v>96</v>
      </c>
      <c r="M2273" t="s">
        <v>7070</v>
      </c>
    </row>
    <row r="2274" spans="1:13">
      <c r="A2274" t="s">
        <v>13</v>
      </c>
      <c r="B2274">
        <v>2394974</v>
      </c>
      <c r="C2274">
        <v>2395162</v>
      </c>
      <c r="E2274" t="s">
        <v>35</v>
      </c>
      <c r="F2274" t="s">
        <v>28</v>
      </c>
      <c r="H2274">
        <v>0</v>
      </c>
      <c r="I2274" t="s">
        <v>17</v>
      </c>
      <c r="K2274" t="s">
        <v>7071</v>
      </c>
      <c r="L2274">
        <v>62</v>
      </c>
      <c r="M2274" t="s">
        <v>7072</v>
      </c>
    </row>
    <row r="2275" spans="1:13">
      <c r="A2275" t="s">
        <v>13</v>
      </c>
      <c r="B2275">
        <v>2395159</v>
      </c>
      <c r="C2275">
        <v>2396550</v>
      </c>
      <c r="E2275" t="s">
        <v>35</v>
      </c>
      <c r="F2275" t="s">
        <v>28</v>
      </c>
      <c r="H2275">
        <v>0</v>
      </c>
      <c r="I2275" t="s">
        <v>17</v>
      </c>
      <c r="K2275" t="s">
        <v>7073</v>
      </c>
      <c r="L2275">
        <v>463</v>
      </c>
      <c r="M2275" t="s">
        <v>7074</v>
      </c>
    </row>
    <row r="2276" spans="1:13">
      <c r="A2276" t="s">
        <v>13</v>
      </c>
      <c r="B2276">
        <v>2396567</v>
      </c>
      <c r="C2276">
        <v>2398825</v>
      </c>
      <c r="E2276" t="s">
        <v>35</v>
      </c>
      <c r="F2276" t="s">
        <v>7075</v>
      </c>
      <c r="G2276" t="s">
        <v>7076</v>
      </c>
      <c r="H2276">
        <v>0</v>
      </c>
      <c r="I2276" t="s">
        <v>17</v>
      </c>
      <c r="K2276" t="s">
        <v>7077</v>
      </c>
      <c r="L2276">
        <v>752</v>
      </c>
      <c r="M2276" t="s">
        <v>7078</v>
      </c>
    </row>
    <row r="2277" spans="1:13">
      <c r="A2277" t="s">
        <v>13</v>
      </c>
      <c r="B2277">
        <v>2398901</v>
      </c>
      <c r="C2277">
        <v>2399275</v>
      </c>
      <c r="E2277" t="s">
        <v>35</v>
      </c>
      <c r="F2277" t="s">
        <v>28</v>
      </c>
      <c r="H2277">
        <v>0</v>
      </c>
      <c r="I2277" t="s">
        <v>17</v>
      </c>
      <c r="K2277" t="s">
        <v>7079</v>
      </c>
      <c r="L2277">
        <v>124</v>
      </c>
      <c r="M2277" t="s">
        <v>7080</v>
      </c>
    </row>
    <row r="2278" spans="1:13">
      <c r="A2278" t="s">
        <v>13</v>
      </c>
      <c r="B2278">
        <v>2399392</v>
      </c>
      <c r="C2278">
        <v>2400480</v>
      </c>
      <c r="E2278" t="s">
        <v>14</v>
      </c>
      <c r="F2278" t="s">
        <v>7081</v>
      </c>
      <c r="G2278" t="s">
        <v>7082</v>
      </c>
      <c r="H2278">
        <v>0</v>
      </c>
      <c r="I2278" t="s">
        <v>17</v>
      </c>
      <c r="K2278" t="s">
        <v>7083</v>
      </c>
      <c r="L2278">
        <v>362</v>
      </c>
      <c r="M2278" t="s">
        <v>7084</v>
      </c>
    </row>
    <row r="2279" spans="1:13">
      <c r="A2279" t="s">
        <v>13</v>
      </c>
      <c r="B2279">
        <v>2400535</v>
      </c>
      <c r="C2279">
        <v>2401029</v>
      </c>
      <c r="E2279" t="s">
        <v>14</v>
      </c>
      <c r="F2279" t="s">
        <v>2251</v>
      </c>
      <c r="H2279">
        <v>0</v>
      </c>
      <c r="I2279" t="s">
        <v>17</v>
      </c>
      <c r="K2279" t="s">
        <v>7085</v>
      </c>
      <c r="L2279">
        <v>164</v>
      </c>
      <c r="M2279" t="s">
        <v>7086</v>
      </c>
    </row>
    <row r="2280" spans="1:13">
      <c r="A2280" t="s">
        <v>13</v>
      </c>
      <c r="B2280">
        <v>2401124</v>
      </c>
      <c r="C2280">
        <v>2402095</v>
      </c>
      <c r="E2280" t="s">
        <v>14</v>
      </c>
      <c r="F2280" t="s">
        <v>6734</v>
      </c>
      <c r="H2280">
        <v>0</v>
      </c>
      <c r="I2280" t="s">
        <v>17</v>
      </c>
      <c r="K2280" t="s">
        <v>7087</v>
      </c>
      <c r="L2280">
        <v>323</v>
      </c>
      <c r="M2280" t="s">
        <v>7088</v>
      </c>
    </row>
    <row r="2281" spans="1:13">
      <c r="A2281" t="s">
        <v>13</v>
      </c>
      <c r="B2281">
        <v>2402106</v>
      </c>
      <c r="C2281">
        <v>2402576</v>
      </c>
      <c r="E2281" t="s">
        <v>14</v>
      </c>
      <c r="F2281" t="s">
        <v>28</v>
      </c>
      <c r="H2281">
        <v>0</v>
      </c>
      <c r="I2281" t="s">
        <v>17</v>
      </c>
      <c r="K2281" t="s">
        <v>7089</v>
      </c>
      <c r="L2281">
        <v>156</v>
      </c>
      <c r="M2281" t="s">
        <v>7090</v>
      </c>
    </row>
    <row r="2282" spans="1:13">
      <c r="A2282" t="s">
        <v>13</v>
      </c>
      <c r="B2282">
        <v>2402586</v>
      </c>
      <c r="C2282">
        <v>2403518</v>
      </c>
      <c r="E2282" t="s">
        <v>35</v>
      </c>
      <c r="F2282" t="s">
        <v>7091</v>
      </c>
      <c r="H2282">
        <v>0</v>
      </c>
      <c r="I2282" t="s">
        <v>17</v>
      </c>
      <c r="K2282" t="s">
        <v>7092</v>
      </c>
      <c r="L2282">
        <v>310</v>
      </c>
      <c r="M2282" t="s">
        <v>7093</v>
      </c>
    </row>
    <row r="2283" spans="1:13">
      <c r="A2283" t="s">
        <v>13</v>
      </c>
      <c r="B2283">
        <v>2403555</v>
      </c>
      <c r="C2283">
        <v>2405051</v>
      </c>
      <c r="E2283" t="s">
        <v>35</v>
      </c>
      <c r="F2283" t="s">
        <v>28</v>
      </c>
      <c r="H2283">
        <v>0</v>
      </c>
      <c r="I2283" t="s">
        <v>17</v>
      </c>
      <c r="K2283" t="s">
        <v>7094</v>
      </c>
      <c r="L2283">
        <v>498</v>
      </c>
      <c r="M2283" t="s">
        <v>7095</v>
      </c>
    </row>
    <row r="2284" spans="1:13">
      <c r="A2284" t="s">
        <v>13</v>
      </c>
      <c r="B2284">
        <v>2405170</v>
      </c>
      <c r="C2284">
        <v>2405985</v>
      </c>
      <c r="E2284" t="s">
        <v>14</v>
      </c>
      <c r="F2284" t="s">
        <v>2459</v>
      </c>
      <c r="G2284" t="s">
        <v>7096</v>
      </c>
      <c r="H2284">
        <v>0</v>
      </c>
      <c r="I2284" t="s">
        <v>17</v>
      </c>
      <c r="K2284" t="s">
        <v>7097</v>
      </c>
      <c r="L2284">
        <v>271</v>
      </c>
      <c r="M2284" t="s">
        <v>7098</v>
      </c>
    </row>
    <row r="2285" spans="1:13">
      <c r="A2285" t="s">
        <v>13</v>
      </c>
      <c r="B2285">
        <v>2406003</v>
      </c>
      <c r="C2285">
        <v>2407595</v>
      </c>
      <c r="E2285" t="s">
        <v>14</v>
      </c>
      <c r="F2285" t="s">
        <v>7099</v>
      </c>
      <c r="G2285" t="s">
        <v>7100</v>
      </c>
      <c r="H2285">
        <v>0</v>
      </c>
      <c r="I2285" t="s">
        <v>17</v>
      </c>
      <c r="K2285" t="s">
        <v>7101</v>
      </c>
      <c r="L2285">
        <v>530</v>
      </c>
      <c r="M2285" t="s">
        <v>7102</v>
      </c>
    </row>
    <row r="2286" spans="1:13">
      <c r="A2286" t="s">
        <v>13</v>
      </c>
      <c r="B2286">
        <v>2407582</v>
      </c>
      <c r="C2286">
        <v>2408217</v>
      </c>
      <c r="E2286" t="s">
        <v>35</v>
      </c>
      <c r="F2286" t="s">
        <v>1670</v>
      </c>
      <c r="G2286" t="s">
        <v>7103</v>
      </c>
      <c r="H2286">
        <v>0</v>
      </c>
      <c r="I2286" t="s">
        <v>17</v>
      </c>
      <c r="K2286" t="s">
        <v>7104</v>
      </c>
      <c r="L2286">
        <v>211</v>
      </c>
      <c r="M2286" t="s">
        <v>7105</v>
      </c>
    </row>
    <row r="2287" spans="1:13">
      <c r="A2287" t="s">
        <v>13</v>
      </c>
      <c r="B2287">
        <v>2408218</v>
      </c>
      <c r="C2287">
        <v>2409201</v>
      </c>
      <c r="E2287" t="s">
        <v>35</v>
      </c>
      <c r="F2287" t="s">
        <v>1616</v>
      </c>
      <c r="H2287">
        <v>0</v>
      </c>
      <c r="I2287" t="s">
        <v>17</v>
      </c>
      <c r="K2287" t="s">
        <v>7106</v>
      </c>
      <c r="L2287">
        <v>327</v>
      </c>
      <c r="M2287" t="s">
        <v>7107</v>
      </c>
    </row>
    <row r="2288" spans="1:13">
      <c r="A2288" t="s">
        <v>13</v>
      </c>
      <c r="B2288">
        <v>2409355</v>
      </c>
      <c r="C2288">
        <v>2410452</v>
      </c>
      <c r="E2288" t="s">
        <v>14</v>
      </c>
      <c r="F2288" t="s">
        <v>6989</v>
      </c>
      <c r="G2288" t="s">
        <v>7108</v>
      </c>
      <c r="H2288">
        <v>0</v>
      </c>
      <c r="I2288" t="s">
        <v>17</v>
      </c>
      <c r="K2288" t="s">
        <v>7109</v>
      </c>
      <c r="L2288">
        <v>365</v>
      </c>
      <c r="M2288" t="s">
        <v>7110</v>
      </c>
    </row>
    <row r="2289" spans="1:13">
      <c r="A2289" t="s">
        <v>13</v>
      </c>
      <c r="B2289">
        <v>2410445</v>
      </c>
      <c r="C2289">
        <v>2411062</v>
      </c>
      <c r="E2289" t="s">
        <v>14</v>
      </c>
      <c r="F2289" t="s">
        <v>2708</v>
      </c>
      <c r="G2289" t="s">
        <v>7111</v>
      </c>
      <c r="H2289">
        <v>0</v>
      </c>
      <c r="I2289" t="s">
        <v>17</v>
      </c>
      <c r="K2289" t="s">
        <v>7112</v>
      </c>
      <c r="L2289">
        <v>205</v>
      </c>
      <c r="M2289" t="s">
        <v>7113</v>
      </c>
    </row>
    <row r="2290" spans="1:13">
      <c r="A2290" t="s">
        <v>13</v>
      </c>
      <c r="B2290">
        <v>2411062</v>
      </c>
      <c r="C2290">
        <v>2412045</v>
      </c>
      <c r="E2290" t="s">
        <v>14</v>
      </c>
      <c r="F2290" t="s">
        <v>6597</v>
      </c>
      <c r="G2290" t="s">
        <v>7114</v>
      </c>
      <c r="H2290">
        <v>0</v>
      </c>
      <c r="I2290" t="s">
        <v>17</v>
      </c>
      <c r="K2290" t="s">
        <v>7115</v>
      </c>
      <c r="L2290">
        <v>327</v>
      </c>
      <c r="M2290" t="s">
        <v>7116</v>
      </c>
    </row>
    <row r="2291" spans="1:13">
      <c r="A2291" t="s">
        <v>13</v>
      </c>
      <c r="B2291">
        <v>2412081</v>
      </c>
      <c r="C2291">
        <v>2413055</v>
      </c>
      <c r="E2291" t="s">
        <v>14</v>
      </c>
      <c r="F2291" t="s">
        <v>7117</v>
      </c>
      <c r="G2291" t="s">
        <v>7118</v>
      </c>
      <c r="H2291">
        <v>0</v>
      </c>
      <c r="I2291" t="s">
        <v>17</v>
      </c>
      <c r="K2291" t="s">
        <v>7119</v>
      </c>
      <c r="L2291">
        <v>324</v>
      </c>
      <c r="M2291" t="s">
        <v>7120</v>
      </c>
    </row>
    <row r="2292" spans="1:13">
      <c r="A2292" t="s">
        <v>13</v>
      </c>
      <c r="B2292">
        <v>2413139</v>
      </c>
      <c r="C2292">
        <v>2413585</v>
      </c>
      <c r="E2292" t="s">
        <v>35</v>
      </c>
      <c r="F2292" t="s">
        <v>63</v>
      </c>
      <c r="H2292">
        <v>0</v>
      </c>
      <c r="I2292" t="s">
        <v>17</v>
      </c>
      <c r="K2292" t="s">
        <v>7121</v>
      </c>
      <c r="L2292">
        <v>148</v>
      </c>
      <c r="M2292" t="s">
        <v>7122</v>
      </c>
    </row>
    <row r="2293" spans="1:13">
      <c r="A2293" t="s">
        <v>13</v>
      </c>
      <c r="B2293">
        <v>2413886</v>
      </c>
      <c r="C2293">
        <v>2414536</v>
      </c>
      <c r="E2293" t="s">
        <v>14</v>
      </c>
      <c r="F2293" t="s">
        <v>28</v>
      </c>
      <c r="H2293">
        <v>0</v>
      </c>
      <c r="I2293" t="s">
        <v>17</v>
      </c>
      <c r="K2293" t="s">
        <v>7123</v>
      </c>
      <c r="L2293">
        <v>216</v>
      </c>
      <c r="M2293" t="s">
        <v>7124</v>
      </c>
    </row>
    <row r="2294" spans="1:13">
      <c r="A2294" t="s">
        <v>13</v>
      </c>
      <c r="B2294">
        <v>2414565</v>
      </c>
      <c r="C2294">
        <v>2415131</v>
      </c>
      <c r="E2294" t="s">
        <v>35</v>
      </c>
      <c r="F2294" t="s">
        <v>7125</v>
      </c>
      <c r="H2294">
        <v>0</v>
      </c>
      <c r="I2294" t="s">
        <v>17</v>
      </c>
      <c r="K2294" t="s">
        <v>7126</v>
      </c>
      <c r="L2294">
        <v>188</v>
      </c>
      <c r="M2294" t="s">
        <v>7127</v>
      </c>
    </row>
    <row r="2295" spans="1:13">
      <c r="A2295" t="s">
        <v>13</v>
      </c>
      <c r="B2295">
        <v>2415167</v>
      </c>
      <c r="C2295">
        <v>2416180</v>
      </c>
      <c r="E2295" t="s">
        <v>35</v>
      </c>
      <c r="F2295" t="s">
        <v>7128</v>
      </c>
      <c r="G2295" t="s">
        <v>7129</v>
      </c>
      <c r="H2295">
        <v>0</v>
      </c>
      <c r="I2295" t="s">
        <v>17</v>
      </c>
      <c r="K2295" t="s">
        <v>7130</v>
      </c>
      <c r="L2295">
        <v>337</v>
      </c>
      <c r="M2295" t="s">
        <v>7131</v>
      </c>
    </row>
    <row r="2296" spans="1:13">
      <c r="A2296" t="s">
        <v>13</v>
      </c>
      <c r="B2296">
        <v>2416220</v>
      </c>
      <c r="C2296">
        <v>2416693</v>
      </c>
      <c r="E2296" t="s">
        <v>35</v>
      </c>
      <c r="F2296" t="s">
        <v>7132</v>
      </c>
      <c r="H2296">
        <v>0</v>
      </c>
      <c r="I2296" t="s">
        <v>17</v>
      </c>
      <c r="K2296" t="s">
        <v>7133</v>
      </c>
      <c r="L2296">
        <v>157</v>
      </c>
      <c r="M2296" t="s">
        <v>7134</v>
      </c>
    </row>
    <row r="2297" spans="1:13">
      <c r="A2297" t="s">
        <v>13</v>
      </c>
      <c r="B2297">
        <v>2416838</v>
      </c>
      <c r="C2297">
        <v>2417572</v>
      </c>
      <c r="E2297" t="s">
        <v>35</v>
      </c>
      <c r="F2297" t="s">
        <v>5728</v>
      </c>
      <c r="G2297" t="s">
        <v>7135</v>
      </c>
      <c r="H2297">
        <v>0</v>
      </c>
      <c r="I2297" t="s">
        <v>17</v>
      </c>
      <c r="K2297" t="s">
        <v>7136</v>
      </c>
      <c r="L2297">
        <v>244</v>
      </c>
      <c r="M2297" t="s">
        <v>7137</v>
      </c>
    </row>
    <row r="2298" spans="1:13">
      <c r="A2298" t="s">
        <v>13</v>
      </c>
      <c r="B2298">
        <v>2417576</v>
      </c>
      <c r="C2298">
        <v>2420422</v>
      </c>
      <c r="E2298" t="s">
        <v>35</v>
      </c>
      <c r="F2298" t="s">
        <v>7138</v>
      </c>
      <c r="G2298" t="s">
        <v>7139</v>
      </c>
      <c r="H2298">
        <v>0</v>
      </c>
      <c r="I2298" t="s">
        <v>17</v>
      </c>
      <c r="K2298" t="s">
        <v>7140</v>
      </c>
      <c r="L2298">
        <v>948</v>
      </c>
      <c r="M2298" t="s">
        <v>7141</v>
      </c>
    </row>
    <row r="2299" spans="1:13">
      <c r="A2299" t="s">
        <v>13</v>
      </c>
      <c r="B2299">
        <v>2420720</v>
      </c>
      <c r="C2299">
        <v>2422303</v>
      </c>
      <c r="E2299" t="s">
        <v>14</v>
      </c>
      <c r="F2299" t="s">
        <v>7142</v>
      </c>
      <c r="G2299" t="s">
        <v>7143</v>
      </c>
      <c r="H2299">
        <v>0</v>
      </c>
      <c r="I2299" t="s">
        <v>17</v>
      </c>
      <c r="K2299" t="s">
        <v>7144</v>
      </c>
      <c r="L2299">
        <v>527</v>
      </c>
      <c r="M2299" t="s">
        <v>7145</v>
      </c>
    </row>
    <row r="2300" spans="1:13">
      <c r="A2300" t="s">
        <v>13</v>
      </c>
      <c r="B2300">
        <v>2422419</v>
      </c>
      <c r="C2300">
        <v>2425004</v>
      </c>
      <c r="E2300" t="s">
        <v>14</v>
      </c>
      <c r="F2300" t="s">
        <v>28</v>
      </c>
      <c r="H2300">
        <v>0</v>
      </c>
      <c r="I2300" t="s">
        <v>17</v>
      </c>
      <c r="K2300" t="s">
        <v>7146</v>
      </c>
      <c r="L2300">
        <v>861</v>
      </c>
      <c r="M2300" t="s">
        <v>7147</v>
      </c>
    </row>
    <row r="2301" spans="1:13">
      <c r="A2301" t="s">
        <v>13</v>
      </c>
      <c r="B2301">
        <v>2425006</v>
      </c>
      <c r="C2301">
        <v>2425638</v>
      </c>
      <c r="E2301" t="s">
        <v>14</v>
      </c>
      <c r="F2301" t="s">
        <v>7148</v>
      </c>
      <c r="H2301">
        <v>0</v>
      </c>
      <c r="I2301" t="s">
        <v>17</v>
      </c>
      <c r="K2301" t="s">
        <v>7149</v>
      </c>
      <c r="L2301">
        <v>210</v>
      </c>
      <c r="M2301" t="s">
        <v>7150</v>
      </c>
    </row>
    <row r="2302" spans="1:13">
      <c r="A2302" t="s">
        <v>13</v>
      </c>
      <c r="B2302">
        <v>2425665</v>
      </c>
      <c r="C2302">
        <v>2426771</v>
      </c>
      <c r="E2302" t="s">
        <v>35</v>
      </c>
      <c r="F2302" t="s">
        <v>7151</v>
      </c>
      <c r="G2302" t="s">
        <v>7152</v>
      </c>
      <c r="H2302">
        <v>0</v>
      </c>
      <c r="I2302" t="s">
        <v>17</v>
      </c>
      <c r="K2302" t="s">
        <v>7153</v>
      </c>
      <c r="L2302">
        <v>368</v>
      </c>
      <c r="M2302" t="s">
        <v>7154</v>
      </c>
    </row>
    <row r="2303" spans="1:13">
      <c r="A2303" t="s">
        <v>13</v>
      </c>
      <c r="B2303">
        <v>2427064</v>
      </c>
      <c r="C2303">
        <v>2428539</v>
      </c>
      <c r="E2303" t="s">
        <v>35</v>
      </c>
      <c r="F2303" t="s">
        <v>7155</v>
      </c>
      <c r="G2303" t="s">
        <v>7156</v>
      </c>
      <c r="H2303">
        <v>0</v>
      </c>
      <c r="I2303" t="s">
        <v>17</v>
      </c>
      <c r="K2303" t="s">
        <v>7157</v>
      </c>
      <c r="L2303">
        <v>491</v>
      </c>
      <c r="M2303" t="s">
        <v>7158</v>
      </c>
    </row>
    <row r="2304" spans="1:13">
      <c r="A2304" t="s">
        <v>13</v>
      </c>
      <c r="B2304">
        <v>2428901</v>
      </c>
      <c r="C2304">
        <v>2430427</v>
      </c>
      <c r="E2304" t="s">
        <v>14</v>
      </c>
      <c r="F2304" t="s">
        <v>7159</v>
      </c>
      <c r="G2304" t="s">
        <v>7160</v>
      </c>
      <c r="H2304">
        <v>0</v>
      </c>
      <c r="I2304" t="s">
        <v>17</v>
      </c>
      <c r="K2304" t="s">
        <v>7161</v>
      </c>
      <c r="L2304">
        <v>508</v>
      </c>
      <c r="M2304" t="s">
        <v>7162</v>
      </c>
    </row>
    <row r="2305" spans="1:13">
      <c r="A2305" t="s">
        <v>13</v>
      </c>
      <c r="B2305">
        <v>2430424</v>
      </c>
      <c r="C2305">
        <v>2431071</v>
      </c>
      <c r="E2305" t="s">
        <v>14</v>
      </c>
      <c r="F2305" t="s">
        <v>7163</v>
      </c>
      <c r="G2305" t="s">
        <v>7164</v>
      </c>
      <c r="H2305">
        <v>0</v>
      </c>
      <c r="I2305" t="s">
        <v>17</v>
      </c>
      <c r="K2305" t="s">
        <v>7165</v>
      </c>
      <c r="L2305">
        <v>215</v>
      </c>
      <c r="M2305" t="s">
        <v>7166</v>
      </c>
    </row>
    <row r="2306" spans="1:13">
      <c r="A2306" t="s">
        <v>13</v>
      </c>
      <c r="B2306">
        <v>2431071</v>
      </c>
      <c r="C2306">
        <v>2432090</v>
      </c>
      <c r="E2306" t="s">
        <v>14</v>
      </c>
      <c r="F2306" t="s">
        <v>7167</v>
      </c>
      <c r="G2306" t="s">
        <v>7168</v>
      </c>
      <c r="H2306">
        <v>0</v>
      </c>
      <c r="I2306" t="s">
        <v>17</v>
      </c>
      <c r="K2306" t="s">
        <v>7169</v>
      </c>
      <c r="L2306">
        <v>339</v>
      </c>
      <c r="M2306" t="s">
        <v>7170</v>
      </c>
    </row>
    <row r="2307" spans="1:13">
      <c r="A2307" t="s">
        <v>13</v>
      </c>
      <c r="B2307">
        <v>2432114</v>
      </c>
      <c r="C2307">
        <v>2433541</v>
      </c>
      <c r="E2307" t="s">
        <v>14</v>
      </c>
      <c r="F2307" t="s">
        <v>7171</v>
      </c>
      <c r="G2307" t="s">
        <v>7172</v>
      </c>
      <c r="H2307">
        <v>0</v>
      </c>
      <c r="I2307" t="s">
        <v>17</v>
      </c>
      <c r="K2307" t="s">
        <v>7173</v>
      </c>
      <c r="L2307">
        <v>475</v>
      </c>
      <c r="M2307" t="s">
        <v>7174</v>
      </c>
    </row>
    <row r="2308" spans="1:13">
      <c r="A2308" t="s">
        <v>13</v>
      </c>
      <c r="B2308">
        <v>2433544</v>
      </c>
      <c r="C2308">
        <v>2434746</v>
      </c>
      <c r="E2308" t="s">
        <v>14</v>
      </c>
      <c r="F2308" t="s">
        <v>7175</v>
      </c>
      <c r="G2308" t="s">
        <v>7176</v>
      </c>
      <c r="H2308">
        <v>0</v>
      </c>
      <c r="I2308" t="s">
        <v>17</v>
      </c>
      <c r="K2308" t="s">
        <v>7177</v>
      </c>
      <c r="L2308">
        <v>400</v>
      </c>
      <c r="M2308" t="s">
        <v>7178</v>
      </c>
    </row>
    <row r="2309" spans="1:13">
      <c r="A2309" t="s">
        <v>13</v>
      </c>
      <c r="B2309">
        <v>2434749</v>
      </c>
      <c r="C2309">
        <v>2435591</v>
      </c>
      <c r="E2309" t="s">
        <v>14</v>
      </c>
      <c r="F2309" t="s">
        <v>7179</v>
      </c>
      <c r="G2309" t="s">
        <v>7180</v>
      </c>
      <c r="H2309">
        <v>0</v>
      </c>
      <c r="I2309" t="s">
        <v>17</v>
      </c>
      <c r="K2309" t="s">
        <v>7181</v>
      </c>
      <c r="L2309">
        <v>280</v>
      </c>
      <c r="M2309" t="s">
        <v>7182</v>
      </c>
    </row>
    <row r="2310" spans="1:13">
      <c r="A2310" t="s">
        <v>13</v>
      </c>
      <c r="B2310">
        <v>2435689</v>
      </c>
      <c r="C2310">
        <v>2436900</v>
      </c>
      <c r="E2310" t="s">
        <v>35</v>
      </c>
      <c r="F2310" t="s">
        <v>7183</v>
      </c>
      <c r="G2310" t="s">
        <v>7184</v>
      </c>
      <c r="H2310">
        <v>0</v>
      </c>
      <c r="I2310" t="s">
        <v>17</v>
      </c>
      <c r="K2310" t="s">
        <v>7185</v>
      </c>
      <c r="L2310">
        <v>403</v>
      </c>
      <c r="M2310" t="s">
        <v>7186</v>
      </c>
    </row>
    <row r="2311" spans="1:13">
      <c r="A2311" t="s">
        <v>13</v>
      </c>
      <c r="B2311">
        <v>2437101</v>
      </c>
      <c r="C2311">
        <v>2437583</v>
      </c>
      <c r="E2311" t="s">
        <v>14</v>
      </c>
      <c r="F2311" t="s">
        <v>28</v>
      </c>
      <c r="H2311">
        <v>0</v>
      </c>
      <c r="I2311" t="s">
        <v>17</v>
      </c>
      <c r="K2311" t="s">
        <v>7187</v>
      </c>
      <c r="L2311">
        <v>160</v>
      </c>
      <c r="M2311" t="s">
        <v>7188</v>
      </c>
    </row>
    <row r="2312" spans="1:13">
      <c r="A2312" t="s">
        <v>13</v>
      </c>
      <c r="B2312">
        <v>2437883</v>
      </c>
      <c r="C2312">
        <v>2438107</v>
      </c>
      <c r="E2312" t="s">
        <v>14</v>
      </c>
      <c r="F2312" t="s">
        <v>28</v>
      </c>
      <c r="H2312">
        <v>0</v>
      </c>
      <c r="I2312" t="s">
        <v>17</v>
      </c>
      <c r="K2312" t="s">
        <v>7189</v>
      </c>
      <c r="L2312">
        <v>74</v>
      </c>
      <c r="M2312" t="s">
        <v>7190</v>
      </c>
    </row>
    <row r="2313" spans="1:13">
      <c r="A2313" t="s">
        <v>13</v>
      </c>
      <c r="B2313">
        <v>2438225</v>
      </c>
      <c r="C2313">
        <v>2438590</v>
      </c>
      <c r="E2313" t="s">
        <v>14</v>
      </c>
      <c r="F2313" t="s">
        <v>7191</v>
      </c>
      <c r="G2313" t="s">
        <v>7192</v>
      </c>
      <c r="H2313">
        <v>0</v>
      </c>
      <c r="I2313" t="s">
        <v>17</v>
      </c>
      <c r="K2313" t="s">
        <v>7193</v>
      </c>
      <c r="L2313">
        <v>121</v>
      </c>
      <c r="M2313" t="s">
        <v>7194</v>
      </c>
    </row>
    <row r="2314" spans="1:13">
      <c r="A2314" t="s">
        <v>13</v>
      </c>
      <c r="B2314">
        <v>2438722</v>
      </c>
      <c r="C2314">
        <v>2439696</v>
      </c>
      <c r="E2314" t="s">
        <v>14</v>
      </c>
      <c r="F2314" t="s">
        <v>3383</v>
      </c>
      <c r="H2314">
        <v>0</v>
      </c>
      <c r="I2314" t="s">
        <v>17</v>
      </c>
      <c r="K2314" t="s">
        <v>7195</v>
      </c>
      <c r="L2314">
        <v>324</v>
      </c>
      <c r="M2314" t="s">
        <v>7196</v>
      </c>
    </row>
    <row r="2315" spans="1:13">
      <c r="A2315" t="s">
        <v>13</v>
      </c>
      <c r="B2315">
        <v>2439697</v>
      </c>
      <c r="C2315">
        <v>2440011</v>
      </c>
      <c r="E2315" t="s">
        <v>14</v>
      </c>
      <c r="F2315" t="s">
        <v>28</v>
      </c>
      <c r="H2315">
        <v>0</v>
      </c>
      <c r="I2315" t="s">
        <v>17</v>
      </c>
      <c r="K2315" t="s">
        <v>7197</v>
      </c>
      <c r="L2315">
        <v>104</v>
      </c>
      <c r="M2315" t="s">
        <v>7198</v>
      </c>
    </row>
    <row r="2316" spans="1:13">
      <c r="A2316" t="s">
        <v>13</v>
      </c>
      <c r="B2316">
        <v>2440023</v>
      </c>
      <c r="C2316">
        <v>2440355</v>
      </c>
      <c r="E2316" t="s">
        <v>35</v>
      </c>
      <c r="F2316" t="s">
        <v>7199</v>
      </c>
      <c r="H2316">
        <v>0</v>
      </c>
      <c r="I2316" t="s">
        <v>17</v>
      </c>
      <c r="K2316" t="s">
        <v>7200</v>
      </c>
      <c r="L2316">
        <v>110</v>
      </c>
      <c r="M2316" t="s">
        <v>7201</v>
      </c>
    </row>
    <row r="2317" spans="1:13">
      <c r="A2317" t="s">
        <v>13</v>
      </c>
      <c r="B2317">
        <v>2440356</v>
      </c>
      <c r="C2317">
        <v>2441087</v>
      </c>
      <c r="E2317" t="s">
        <v>35</v>
      </c>
      <c r="F2317" t="s">
        <v>7202</v>
      </c>
      <c r="G2317" t="s">
        <v>7203</v>
      </c>
      <c r="H2317">
        <v>0</v>
      </c>
      <c r="I2317" t="s">
        <v>17</v>
      </c>
      <c r="K2317" t="s">
        <v>7204</v>
      </c>
      <c r="L2317">
        <v>243</v>
      </c>
      <c r="M2317" t="s">
        <v>7205</v>
      </c>
    </row>
    <row r="2318" spans="1:13">
      <c r="A2318" t="s">
        <v>13</v>
      </c>
      <c r="B2318">
        <v>2441127</v>
      </c>
      <c r="C2318">
        <v>2441723</v>
      </c>
      <c r="E2318" t="s">
        <v>35</v>
      </c>
      <c r="F2318" t="s">
        <v>28</v>
      </c>
      <c r="H2318">
        <v>0</v>
      </c>
      <c r="I2318" t="s">
        <v>17</v>
      </c>
      <c r="K2318" t="s">
        <v>7206</v>
      </c>
      <c r="L2318">
        <v>198</v>
      </c>
      <c r="M2318" t="s">
        <v>7207</v>
      </c>
    </row>
    <row r="2319" spans="1:13">
      <c r="A2319" t="s">
        <v>13</v>
      </c>
      <c r="B2319">
        <v>2441723</v>
      </c>
      <c r="C2319">
        <v>2443159</v>
      </c>
      <c r="E2319" t="s">
        <v>35</v>
      </c>
      <c r="F2319" t="s">
        <v>7208</v>
      </c>
      <c r="G2319" t="s">
        <v>7209</v>
      </c>
      <c r="H2319">
        <v>0</v>
      </c>
      <c r="I2319" t="s">
        <v>17</v>
      </c>
      <c r="K2319" t="s">
        <v>7210</v>
      </c>
      <c r="L2319">
        <v>478</v>
      </c>
      <c r="M2319" t="s">
        <v>7211</v>
      </c>
    </row>
    <row r="2320" spans="1:13">
      <c r="A2320" t="s">
        <v>13</v>
      </c>
      <c r="B2320">
        <v>2443350</v>
      </c>
      <c r="C2320">
        <v>2443853</v>
      </c>
      <c r="E2320" t="s">
        <v>14</v>
      </c>
      <c r="F2320" t="s">
        <v>3522</v>
      </c>
      <c r="G2320" t="s">
        <v>7212</v>
      </c>
      <c r="H2320">
        <v>0</v>
      </c>
      <c r="I2320" t="s">
        <v>17</v>
      </c>
      <c r="K2320" t="s">
        <v>7213</v>
      </c>
      <c r="L2320">
        <v>167</v>
      </c>
      <c r="M2320" t="s">
        <v>7214</v>
      </c>
    </row>
    <row r="2321" spans="1:13">
      <c r="A2321" t="s">
        <v>13</v>
      </c>
      <c r="B2321">
        <v>2443853</v>
      </c>
      <c r="C2321">
        <v>2446084</v>
      </c>
      <c r="E2321" t="s">
        <v>14</v>
      </c>
      <c r="F2321" t="s">
        <v>28</v>
      </c>
      <c r="H2321">
        <v>0</v>
      </c>
      <c r="I2321" t="s">
        <v>17</v>
      </c>
      <c r="K2321" t="s">
        <v>7215</v>
      </c>
      <c r="L2321">
        <v>743</v>
      </c>
      <c r="M2321" t="s">
        <v>7216</v>
      </c>
    </row>
    <row r="2322" spans="1:13">
      <c r="A2322" t="s">
        <v>13</v>
      </c>
      <c r="B2322">
        <v>2446105</v>
      </c>
      <c r="C2322">
        <v>2449542</v>
      </c>
      <c r="E2322" t="s">
        <v>14</v>
      </c>
      <c r="F2322" t="s">
        <v>7217</v>
      </c>
      <c r="G2322" t="s">
        <v>7218</v>
      </c>
      <c r="H2322">
        <v>0</v>
      </c>
      <c r="I2322" t="s">
        <v>17</v>
      </c>
      <c r="K2322" t="s">
        <v>7219</v>
      </c>
      <c r="L2322">
        <v>1145</v>
      </c>
      <c r="M2322" t="s">
        <v>7220</v>
      </c>
    </row>
    <row r="2323" spans="1:13">
      <c r="A2323" t="s">
        <v>13</v>
      </c>
      <c r="B2323">
        <v>2449654</v>
      </c>
      <c r="C2323">
        <v>2450187</v>
      </c>
      <c r="E2323" t="s">
        <v>14</v>
      </c>
      <c r="F2323" t="s">
        <v>28</v>
      </c>
      <c r="H2323">
        <v>0</v>
      </c>
      <c r="I2323" t="s">
        <v>17</v>
      </c>
      <c r="K2323" t="s">
        <v>7221</v>
      </c>
      <c r="L2323">
        <v>177</v>
      </c>
      <c r="M2323" t="s">
        <v>7222</v>
      </c>
    </row>
    <row r="2324" spans="1:13">
      <c r="A2324" t="s">
        <v>13</v>
      </c>
      <c r="B2324">
        <v>2450351</v>
      </c>
      <c r="C2324">
        <v>2451385</v>
      </c>
      <c r="E2324" t="s">
        <v>35</v>
      </c>
      <c r="F2324" t="s">
        <v>4518</v>
      </c>
      <c r="G2324" t="s">
        <v>7223</v>
      </c>
      <c r="H2324">
        <v>0</v>
      </c>
      <c r="I2324" t="s">
        <v>17</v>
      </c>
      <c r="K2324" t="s">
        <v>7224</v>
      </c>
      <c r="L2324">
        <v>344</v>
      </c>
      <c r="M2324" t="s">
        <v>7225</v>
      </c>
    </row>
    <row r="2325" spans="1:13">
      <c r="A2325" t="s">
        <v>13</v>
      </c>
      <c r="B2325">
        <v>2451491</v>
      </c>
      <c r="C2325">
        <v>2452159</v>
      </c>
      <c r="E2325" t="s">
        <v>14</v>
      </c>
      <c r="F2325" t="s">
        <v>28</v>
      </c>
      <c r="H2325">
        <v>0</v>
      </c>
      <c r="I2325" t="s">
        <v>17</v>
      </c>
      <c r="K2325" t="s">
        <v>7226</v>
      </c>
      <c r="L2325">
        <v>222</v>
      </c>
      <c r="M2325" t="s">
        <v>7227</v>
      </c>
    </row>
    <row r="2326" spans="1:13">
      <c r="A2326" t="s">
        <v>13</v>
      </c>
      <c r="B2326">
        <v>2452156</v>
      </c>
      <c r="C2326">
        <v>2452461</v>
      </c>
      <c r="E2326" t="s">
        <v>14</v>
      </c>
      <c r="F2326" t="s">
        <v>28</v>
      </c>
      <c r="H2326">
        <v>0</v>
      </c>
      <c r="I2326" t="s">
        <v>17</v>
      </c>
      <c r="K2326" t="s">
        <v>7228</v>
      </c>
      <c r="L2326">
        <v>101</v>
      </c>
      <c r="M2326" t="s">
        <v>7229</v>
      </c>
    </row>
    <row r="2327" spans="1:13">
      <c r="A2327" t="s">
        <v>13</v>
      </c>
      <c r="B2327">
        <v>2452468</v>
      </c>
      <c r="C2327">
        <v>2452794</v>
      </c>
      <c r="E2327" t="s">
        <v>14</v>
      </c>
      <c r="F2327" t="s">
        <v>28</v>
      </c>
      <c r="H2327">
        <v>0</v>
      </c>
      <c r="I2327" t="s">
        <v>17</v>
      </c>
      <c r="K2327" t="s">
        <v>7230</v>
      </c>
      <c r="L2327">
        <v>108</v>
      </c>
      <c r="M2327" t="s">
        <v>7231</v>
      </c>
    </row>
    <row r="2328" spans="1:13">
      <c r="A2328" t="s">
        <v>13</v>
      </c>
      <c r="B2328">
        <v>2452826</v>
      </c>
      <c r="C2328">
        <v>2453179</v>
      </c>
      <c r="E2328" t="s">
        <v>14</v>
      </c>
      <c r="F2328" t="s">
        <v>28</v>
      </c>
      <c r="H2328">
        <v>0</v>
      </c>
      <c r="I2328" t="s">
        <v>17</v>
      </c>
      <c r="K2328" t="s">
        <v>7232</v>
      </c>
      <c r="L2328">
        <v>117</v>
      </c>
      <c r="M2328" t="s">
        <v>7233</v>
      </c>
    </row>
    <row r="2329" spans="1:13">
      <c r="A2329" t="s">
        <v>13</v>
      </c>
      <c r="B2329">
        <v>2453264</v>
      </c>
      <c r="C2329">
        <v>2455783</v>
      </c>
      <c r="E2329" t="s">
        <v>14</v>
      </c>
      <c r="F2329" t="s">
        <v>812</v>
      </c>
      <c r="G2329" t="s">
        <v>7234</v>
      </c>
      <c r="H2329">
        <v>0</v>
      </c>
      <c r="I2329" t="s">
        <v>17</v>
      </c>
      <c r="K2329" t="s">
        <v>7235</v>
      </c>
      <c r="L2329">
        <v>839</v>
      </c>
      <c r="M2329" t="s">
        <v>7236</v>
      </c>
    </row>
    <row r="2330" spans="1:13">
      <c r="A2330" t="s">
        <v>13</v>
      </c>
      <c r="B2330">
        <v>2455878</v>
      </c>
      <c r="C2330">
        <v>2456426</v>
      </c>
      <c r="E2330" t="s">
        <v>14</v>
      </c>
      <c r="F2330" t="s">
        <v>7237</v>
      </c>
      <c r="G2330" t="s">
        <v>7238</v>
      </c>
      <c r="H2330">
        <v>0</v>
      </c>
      <c r="I2330" t="s">
        <v>17</v>
      </c>
      <c r="K2330" t="s">
        <v>7239</v>
      </c>
      <c r="L2330">
        <v>182</v>
      </c>
      <c r="M2330" t="s">
        <v>7240</v>
      </c>
    </row>
    <row r="2331" spans="1:13">
      <c r="A2331" t="s">
        <v>13</v>
      </c>
      <c r="B2331">
        <v>2456559</v>
      </c>
      <c r="C2331">
        <v>2457485</v>
      </c>
      <c r="E2331" t="s">
        <v>14</v>
      </c>
      <c r="F2331" t="s">
        <v>7241</v>
      </c>
      <c r="G2331" t="s">
        <v>7242</v>
      </c>
      <c r="H2331">
        <v>0</v>
      </c>
      <c r="I2331" t="s">
        <v>17</v>
      </c>
      <c r="K2331" t="s">
        <v>7243</v>
      </c>
      <c r="L2331">
        <v>308</v>
      </c>
      <c r="M2331" t="s">
        <v>7244</v>
      </c>
    </row>
    <row r="2332" spans="1:13">
      <c r="A2332" t="s">
        <v>13</v>
      </c>
      <c r="B2332">
        <v>2457493</v>
      </c>
      <c r="C2332">
        <v>2457816</v>
      </c>
      <c r="E2332" t="s">
        <v>14</v>
      </c>
      <c r="F2332" t="s">
        <v>7245</v>
      </c>
      <c r="H2332">
        <v>0</v>
      </c>
      <c r="I2332" t="s">
        <v>17</v>
      </c>
      <c r="K2332" t="s">
        <v>7246</v>
      </c>
      <c r="L2332">
        <v>107</v>
      </c>
      <c r="M2332" t="s">
        <v>7247</v>
      </c>
    </row>
    <row r="2333" spans="1:13">
      <c r="A2333" t="s">
        <v>13</v>
      </c>
      <c r="B2333">
        <v>2457891</v>
      </c>
      <c r="C2333">
        <v>2459081</v>
      </c>
      <c r="E2333" t="s">
        <v>14</v>
      </c>
      <c r="F2333" t="s">
        <v>7248</v>
      </c>
      <c r="G2333" t="s">
        <v>7249</v>
      </c>
      <c r="H2333">
        <v>0</v>
      </c>
      <c r="I2333" t="s">
        <v>17</v>
      </c>
      <c r="K2333" t="s">
        <v>7250</v>
      </c>
      <c r="L2333">
        <v>396</v>
      </c>
      <c r="M2333" t="s">
        <v>7251</v>
      </c>
    </row>
    <row r="2334" spans="1:13">
      <c r="A2334" t="s">
        <v>13</v>
      </c>
      <c r="B2334">
        <v>2459184</v>
      </c>
      <c r="C2334">
        <v>2460545</v>
      </c>
      <c r="E2334" t="s">
        <v>14</v>
      </c>
      <c r="F2334" t="s">
        <v>7252</v>
      </c>
      <c r="G2334" t="s">
        <v>7253</v>
      </c>
      <c r="H2334">
        <v>0</v>
      </c>
      <c r="I2334" t="s">
        <v>17</v>
      </c>
      <c r="K2334" t="s">
        <v>7254</v>
      </c>
      <c r="L2334">
        <v>453</v>
      </c>
      <c r="M2334" t="s">
        <v>7255</v>
      </c>
    </row>
    <row r="2335" spans="1:13">
      <c r="A2335" t="s">
        <v>13</v>
      </c>
      <c r="B2335">
        <v>2460621</v>
      </c>
      <c r="C2335">
        <v>2461661</v>
      </c>
      <c r="E2335" t="s">
        <v>35</v>
      </c>
      <c r="F2335" t="s">
        <v>7256</v>
      </c>
      <c r="G2335" t="s">
        <v>7257</v>
      </c>
      <c r="H2335">
        <v>0</v>
      </c>
      <c r="I2335" t="s">
        <v>17</v>
      </c>
      <c r="K2335" t="s">
        <v>7258</v>
      </c>
      <c r="L2335">
        <v>346</v>
      </c>
      <c r="M2335" t="s">
        <v>7259</v>
      </c>
    </row>
    <row r="2336" spans="1:13">
      <c r="A2336" t="s">
        <v>13</v>
      </c>
      <c r="B2336">
        <v>2461668</v>
      </c>
      <c r="C2336">
        <v>2462516</v>
      </c>
      <c r="E2336" t="s">
        <v>35</v>
      </c>
      <c r="F2336" t="s">
        <v>3776</v>
      </c>
      <c r="G2336" t="s">
        <v>7260</v>
      </c>
      <c r="H2336">
        <v>0</v>
      </c>
      <c r="I2336" t="s">
        <v>17</v>
      </c>
      <c r="K2336" t="s">
        <v>7261</v>
      </c>
      <c r="L2336">
        <v>282</v>
      </c>
      <c r="M2336" t="s">
        <v>7262</v>
      </c>
    </row>
    <row r="2337" spans="1:13">
      <c r="A2337" t="s">
        <v>13</v>
      </c>
      <c r="B2337">
        <v>2462527</v>
      </c>
      <c r="C2337">
        <v>2463135</v>
      </c>
      <c r="E2337" t="s">
        <v>35</v>
      </c>
      <c r="F2337" t="s">
        <v>7263</v>
      </c>
      <c r="G2337" t="s">
        <v>7264</v>
      </c>
      <c r="H2337">
        <v>0</v>
      </c>
      <c r="I2337" t="s">
        <v>17</v>
      </c>
      <c r="K2337" t="s">
        <v>7265</v>
      </c>
      <c r="L2337">
        <v>202</v>
      </c>
      <c r="M2337" t="s">
        <v>7266</v>
      </c>
    </row>
    <row r="2338" spans="1:13">
      <c r="A2338" t="s">
        <v>13</v>
      </c>
      <c r="B2338">
        <v>2463160</v>
      </c>
      <c r="C2338">
        <v>2464143</v>
      </c>
      <c r="E2338" t="s">
        <v>35</v>
      </c>
      <c r="F2338" t="s">
        <v>7267</v>
      </c>
      <c r="G2338" t="s">
        <v>7268</v>
      </c>
      <c r="H2338">
        <v>0</v>
      </c>
      <c r="I2338" t="s">
        <v>17</v>
      </c>
      <c r="K2338" t="s">
        <v>7269</v>
      </c>
      <c r="L2338">
        <v>327</v>
      </c>
      <c r="M2338" t="s">
        <v>7270</v>
      </c>
    </row>
    <row r="2339" spans="1:13">
      <c r="A2339" t="s">
        <v>13</v>
      </c>
      <c r="B2339">
        <v>2464426</v>
      </c>
      <c r="C2339">
        <v>2464806</v>
      </c>
      <c r="E2339" t="s">
        <v>35</v>
      </c>
      <c r="F2339" t="s">
        <v>7271</v>
      </c>
      <c r="H2339">
        <v>0</v>
      </c>
      <c r="I2339" t="s">
        <v>17</v>
      </c>
      <c r="K2339" t="s">
        <v>7272</v>
      </c>
      <c r="L2339">
        <v>126</v>
      </c>
      <c r="M2339" t="s">
        <v>7273</v>
      </c>
    </row>
    <row r="2340" spans="1:13">
      <c r="A2340" t="s">
        <v>13</v>
      </c>
      <c r="B2340">
        <v>2464810</v>
      </c>
      <c r="C2340">
        <v>2464953</v>
      </c>
      <c r="E2340" t="s">
        <v>35</v>
      </c>
      <c r="F2340" t="s">
        <v>7274</v>
      </c>
      <c r="G2340" t="s">
        <v>7275</v>
      </c>
      <c r="H2340">
        <v>0</v>
      </c>
      <c r="I2340" t="s">
        <v>17</v>
      </c>
      <c r="K2340" t="s">
        <v>7276</v>
      </c>
      <c r="L2340">
        <v>47</v>
      </c>
      <c r="M2340" t="s">
        <v>7277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8E5D-DC50-AA41-84BF-257430DB93C1}">
  <dimension ref="A1:I3034"/>
  <sheetViews>
    <sheetView zoomScaleNormal="100" workbookViewId="0">
      <selection activeCell="F57" sqref="F57"/>
    </sheetView>
  </sheetViews>
  <sheetFormatPr defaultColWidth="10.6640625" defaultRowHeight="16"/>
  <cols>
    <col min="1" max="1" width="19.33203125" customWidth="1"/>
    <col min="2" max="2" width="18.1640625" customWidth="1"/>
    <col min="3" max="3" width="18.5" customWidth="1"/>
    <col min="4" max="4" width="24.83203125" customWidth="1"/>
    <col min="5" max="5" width="23.83203125" customWidth="1"/>
    <col min="6" max="6" width="53.33203125" customWidth="1"/>
    <col min="7" max="7" width="86.33203125" customWidth="1"/>
    <col min="8" max="8" width="46" customWidth="1"/>
    <col min="9" max="9" width="66.1640625" bestFit="1" customWidth="1"/>
    <col min="10" max="10" width="36.5" customWidth="1"/>
  </cols>
  <sheetData>
    <row r="1" spans="1:9">
      <c r="A1" t="s">
        <v>10</v>
      </c>
      <c r="B1" t="s">
        <v>11</v>
      </c>
      <c r="C1" t="s">
        <v>12</v>
      </c>
      <c r="D1" t="s">
        <v>7278</v>
      </c>
      <c r="E1" t="s">
        <v>7477</v>
      </c>
      <c r="F1" t="s">
        <v>7478</v>
      </c>
      <c r="G1" t="s">
        <v>7479</v>
      </c>
      <c r="H1" t="s">
        <v>10484</v>
      </c>
      <c r="I1" t="s">
        <v>10485</v>
      </c>
    </row>
    <row r="2" spans="1:9">
      <c r="A2" t="s">
        <v>18</v>
      </c>
      <c r="B2">
        <v>556</v>
      </c>
      <c r="C2" t="s">
        <v>19</v>
      </c>
      <c r="F2" s="1"/>
    </row>
    <row r="3" spans="1:9">
      <c r="A3" t="s">
        <v>22</v>
      </c>
      <c r="B3">
        <v>393</v>
      </c>
      <c r="C3" t="s">
        <v>23</v>
      </c>
      <c r="D3" s="1" t="s">
        <v>7279</v>
      </c>
      <c r="F3" s="1" t="s">
        <v>7828</v>
      </c>
      <c r="G3" s="1" t="s">
        <v>7829</v>
      </c>
      <c r="H3" t="s">
        <v>7830</v>
      </c>
      <c r="I3" s="3" t="s">
        <v>7831</v>
      </c>
    </row>
    <row r="4" spans="1:9">
      <c r="A4" t="s">
        <v>22</v>
      </c>
      <c r="B4">
        <v>393</v>
      </c>
      <c r="C4" t="s">
        <v>23</v>
      </c>
      <c r="D4" s="1" t="s">
        <v>7279</v>
      </c>
      <c r="F4" s="1" t="s">
        <v>7828</v>
      </c>
      <c r="G4" s="1" t="s">
        <v>7829</v>
      </c>
      <c r="H4" t="s">
        <v>10162</v>
      </c>
      <c r="I4" s="3" t="s">
        <v>10163</v>
      </c>
    </row>
    <row r="5" spans="1:9">
      <c r="A5" t="s">
        <v>22</v>
      </c>
      <c r="B5">
        <v>393</v>
      </c>
      <c r="C5" t="s">
        <v>23</v>
      </c>
      <c r="D5" s="1" t="s">
        <v>7279</v>
      </c>
      <c r="F5" s="1" t="s">
        <v>7828</v>
      </c>
      <c r="G5" s="1" t="s">
        <v>7829</v>
      </c>
      <c r="H5" t="s">
        <v>10164</v>
      </c>
      <c r="I5" s="3" t="s">
        <v>10163</v>
      </c>
    </row>
    <row r="6" spans="1:9">
      <c r="A6" t="s">
        <v>22</v>
      </c>
      <c r="B6">
        <v>393</v>
      </c>
      <c r="C6" t="s">
        <v>23</v>
      </c>
      <c r="D6" s="1" t="s">
        <v>7279</v>
      </c>
      <c r="F6" s="1" t="s">
        <v>7828</v>
      </c>
      <c r="G6" s="1" t="s">
        <v>7829</v>
      </c>
      <c r="H6" t="s">
        <v>10165</v>
      </c>
      <c r="I6" s="3" t="s">
        <v>10163</v>
      </c>
    </row>
    <row r="7" spans="1:9">
      <c r="A7" t="s">
        <v>22</v>
      </c>
      <c r="B7">
        <v>393</v>
      </c>
      <c r="C7" t="s">
        <v>23</v>
      </c>
      <c r="D7" s="1" t="s">
        <v>7279</v>
      </c>
      <c r="F7" s="1" t="s">
        <v>7828</v>
      </c>
      <c r="G7" s="1" t="s">
        <v>7829</v>
      </c>
      <c r="H7" t="s">
        <v>10166</v>
      </c>
      <c r="I7" s="3" t="s">
        <v>10163</v>
      </c>
    </row>
    <row r="8" spans="1:9">
      <c r="A8" t="s">
        <v>22</v>
      </c>
      <c r="B8">
        <v>393</v>
      </c>
      <c r="C8" t="s">
        <v>23</v>
      </c>
      <c r="D8" s="1" t="s">
        <v>7279</v>
      </c>
      <c r="F8" s="1" t="s">
        <v>7828</v>
      </c>
      <c r="G8" s="1" t="s">
        <v>7829</v>
      </c>
      <c r="H8" t="s">
        <v>10167</v>
      </c>
      <c r="I8" s="3" t="s">
        <v>10168</v>
      </c>
    </row>
    <row r="9" spans="1:9">
      <c r="A9" t="s">
        <v>26</v>
      </c>
      <c r="B9">
        <v>396</v>
      </c>
      <c r="C9" t="s">
        <v>27</v>
      </c>
      <c r="D9" s="2"/>
    </row>
    <row r="10" spans="1:9">
      <c r="A10" t="s">
        <v>29</v>
      </c>
      <c r="B10">
        <v>189</v>
      </c>
      <c r="C10" t="s">
        <v>30</v>
      </c>
    </row>
    <row r="11" spans="1:9">
      <c r="A11" t="s">
        <v>33</v>
      </c>
      <c r="B11">
        <v>689</v>
      </c>
      <c r="C11" t="s">
        <v>34</v>
      </c>
      <c r="D11" s="1" t="s">
        <v>7280</v>
      </c>
      <c r="F11" s="1" t="s">
        <v>7833</v>
      </c>
    </row>
    <row r="12" spans="1:9">
      <c r="A12" t="s">
        <v>38</v>
      </c>
      <c r="B12">
        <v>499</v>
      </c>
      <c r="C12" t="s">
        <v>39</v>
      </c>
    </row>
    <row r="13" spans="1:9">
      <c r="A13" t="s">
        <v>40</v>
      </c>
      <c r="B13">
        <v>145</v>
      </c>
      <c r="C13" t="s">
        <v>41</v>
      </c>
    </row>
    <row r="14" spans="1:9">
      <c r="A14" t="s">
        <v>42</v>
      </c>
      <c r="B14">
        <v>85</v>
      </c>
      <c r="C14" t="s">
        <v>43</v>
      </c>
    </row>
    <row r="15" spans="1:9">
      <c r="A15" t="s">
        <v>44</v>
      </c>
      <c r="B15">
        <v>73</v>
      </c>
      <c r="C15" t="s">
        <v>45</v>
      </c>
    </row>
    <row r="16" spans="1:9">
      <c r="A16" t="s">
        <v>48</v>
      </c>
      <c r="B16">
        <v>851</v>
      </c>
      <c r="C16" t="s">
        <v>49</v>
      </c>
      <c r="D16" s="1" t="s">
        <v>7280</v>
      </c>
      <c r="F16" s="1" t="s">
        <v>7833</v>
      </c>
    </row>
    <row r="17" spans="1:9">
      <c r="A17" t="s">
        <v>50</v>
      </c>
      <c r="B17">
        <v>112</v>
      </c>
      <c r="C17" t="s">
        <v>51</v>
      </c>
    </row>
    <row r="18" spans="1:9">
      <c r="C18" t="s">
        <v>54</v>
      </c>
    </row>
    <row r="19" spans="1:9">
      <c r="C19" t="s">
        <v>56</v>
      </c>
    </row>
    <row r="20" spans="1:9">
      <c r="A20" t="s">
        <v>57</v>
      </c>
      <c r="B20">
        <v>65</v>
      </c>
      <c r="C20" t="s">
        <v>58</v>
      </c>
    </row>
    <row r="21" spans="1:9">
      <c r="A21" t="s">
        <v>61</v>
      </c>
      <c r="B21">
        <v>659</v>
      </c>
      <c r="C21" t="s">
        <v>62</v>
      </c>
      <c r="D21" s="1" t="s">
        <v>7281</v>
      </c>
      <c r="F21" s="1" t="s">
        <v>7834</v>
      </c>
    </row>
    <row r="22" spans="1:9">
      <c r="A22" t="s">
        <v>64</v>
      </c>
      <c r="B22">
        <v>161</v>
      </c>
      <c r="C22" t="s">
        <v>65</v>
      </c>
    </row>
    <row r="23" spans="1:9">
      <c r="A23" t="s">
        <v>67</v>
      </c>
      <c r="B23">
        <v>182</v>
      </c>
      <c r="C23" t="s">
        <v>68</v>
      </c>
    </row>
    <row r="24" spans="1:9">
      <c r="A24" t="s">
        <v>71</v>
      </c>
      <c r="B24">
        <v>300</v>
      </c>
      <c r="C24" t="s">
        <v>72</v>
      </c>
      <c r="D24" s="1" t="s">
        <v>7282</v>
      </c>
    </row>
    <row r="25" spans="1:9">
      <c r="C25" t="s">
        <v>73</v>
      </c>
    </row>
    <row r="26" spans="1:9">
      <c r="A26" t="s">
        <v>76</v>
      </c>
      <c r="B26">
        <v>157</v>
      </c>
      <c r="C26" t="s">
        <v>77</v>
      </c>
      <c r="D26" s="1" t="s">
        <v>7283</v>
      </c>
    </row>
    <row r="27" spans="1:9">
      <c r="A27" t="s">
        <v>78</v>
      </c>
      <c r="B27">
        <v>67</v>
      </c>
      <c r="C27" t="s">
        <v>79</v>
      </c>
    </row>
    <row r="28" spans="1:9">
      <c r="A28" t="s">
        <v>80</v>
      </c>
      <c r="B28">
        <v>246</v>
      </c>
      <c r="C28" t="s">
        <v>81</v>
      </c>
    </row>
    <row r="29" spans="1:9">
      <c r="A29" t="s">
        <v>84</v>
      </c>
      <c r="B29">
        <v>310</v>
      </c>
      <c r="C29" t="s">
        <v>85</v>
      </c>
      <c r="D29" s="1" t="s">
        <v>7284</v>
      </c>
      <c r="F29" s="1" t="s">
        <v>7835</v>
      </c>
      <c r="G29" s="1" t="s">
        <v>7836</v>
      </c>
      <c r="H29" t="s">
        <v>7837</v>
      </c>
      <c r="I29" t="s">
        <v>7838</v>
      </c>
    </row>
    <row r="30" spans="1:9">
      <c r="A30" t="s">
        <v>84</v>
      </c>
      <c r="B30">
        <v>310</v>
      </c>
      <c r="C30" t="s">
        <v>85</v>
      </c>
      <c r="D30" s="1" t="s">
        <v>7284</v>
      </c>
      <c r="F30" s="1" t="s">
        <v>7835</v>
      </c>
      <c r="G30" s="1" t="s">
        <v>7836</v>
      </c>
      <c r="H30" t="s">
        <v>10169</v>
      </c>
      <c r="I30" t="s">
        <v>10170</v>
      </c>
    </row>
    <row r="31" spans="1:9">
      <c r="A31" t="s">
        <v>88</v>
      </c>
      <c r="B31">
        <v>756</v>
      </c>
      <c r="C31" t="s">
        <v>89</v>
      </c>
      <c r="D31" s="1" t="s">
        <v>7285</v>
      </c>
      <c r="F31" s="1" t="s">
        <v>7839</v>
      </c>
      <c r="G31" s="1" t="s">
        <v>7840</v>
      </c>
      <c r="H31" t="s">
        <v>7841</v>
      </c>
      <c r="I31" t="s">
        <v>7842</v>
      </c>
    </row>
    <row r="32" spans="1:9">
      <c r="A32" t="s">
        <v>88</v>
      </c>
      <c r="B32">
        <v>756</v>
      </c>
      <c r="C32" t="s">
        <v>89</v>
      </c>
      <c r="D32" s="1" t="s">
        <v>7285</v>
      </c>
      <c r="F32" s="1" t="s">
        <v>7839</v>
      </c>
      <c r="G32" s="1" t="s">
        <v>7840</v>
      </c>
      <c r="H32" t="s">
        <v>10171</v>
      </c>
      <c r="I32" t="s">
        <v>10172</v>
      </c>
    </row>
    <row r="33" spans="1:9">
      <c r="A33" t="s">
        <v>92</v>
      </c>
      <c r="B33">
        <v>545</v>
      </c>
      <c r="C33" t="s">
        <v>93</v>
      </c>
      <c r="D33" s="1" t="s">
        <v>7286</v>
      </c>
    </row>
    <row r="34" spans="1:9">
      <c r="A34" t="s">
        <v>96</v>
      </c>
      <c r="B34">
        <v>176</v>
      </c>
      <c r="C34" t="s">
        <v>97</v>
      </c>
      <c r="D34" s="1" t="s">
        <v>7287</v>
      </c>
      <c r="F34" s="1" t="s">
        <v>7843</v>
      </c>
      <c r="G34" s="1" t="s">
        <v>7844</v>
      </c>
      <c r="H34" t="s">
        <v>7845</v>
      </c>
      <c r="I34" t="s">
        <v>7846</v>
      </c>
    </row>
    <row r="35" spans="1:9">
      <c r="A35" t="s">
        <v>100</v>
      </c>
      <c r="B35">
        <v>215</v>
      </c>
      <c r="C35" t="s">
        <v>101</v>
      </c>
      <c r="D35" s="1" t="s">
        <v>7288</v>
      </c>
      <c r="F35" s="1" t="s">
        <v>7847</v>
      </c>
    </row>
    <row r="36" spans="1:9">
      <c r="A36" t="s">
        <v>102</v>
      </c>
      <c r="B36">
        <v>471</v>
      </c>
      <c r="C36" t="s">
        <v>103</v>
      </c>
    </row>
    <row r="37" spans="1:9">
      <c r="A37" t="s">
        <v>104</v>
      </c>
      <c r="B37">
        <v>200</v>
      </c>
      <c r="C37" t="s">
        <v>105</v>
      </c>
    </row>
    <row r="38" spans="1:9">
      <c r="A38" t="s">
        <v>106</v>
      </c>
      <c r="B38">
        <v>102</v>
      </c>
      <c r="C38" t="s">
        <v>107</v>
      </c>
    </row>
    <row r="39" spans="1:9">
      <c r="A39" t="s">
        <v>110</v>
      </c>
      <c r="B39">
        <v>391</v>
      </c>
      <c r="C39" t="s">
        <v>111</v>
      </c>
      <c r="D39" s="1" t="s">
        <v>7289</v>
      </c>
      <c r="F39" s="1" t="s">
        <v>7848</v>
      </c>
      <c r="G39" s="1" t="s">
        <v>7849</v>
      </c>
      <c r="H39" t="s">
        <v>7850</v>
      </c>
      <c r="I39" t="s">
        <v>7851</v>
      </c>
    </row>
    <row r="40" spans="1:9">
      <c r="A40" t="s">
        <v>114</v>
      </c>
      <c r="B40">
        <v>254</v>
      </c>
      <c r="C40" t="s">
        <v>115</v>
      </c>
      <c r="D40" s="1" t="s">
        <v>7290</v>
      </c>
      <c r="F40" s="1" t="s">
        <v>8907</v>
      </c>
      <c r="G40" s="1" t="s">
        <v>8908</v>
      </c>
      <c r="H40" t="s">
        <v>8909</v>
      </c>
      <c r="I40" t="s">
        <v>8910</v>
      </c>
    </row>
    <row r="41" spans="1:9">
      <c r="A41" t="s">
        <v>118</v>
      </c>
      <c r="B41">
        <v>700</v>
      </c>
      <c r="C41" t="s">
        <v>119</v>
      </c>
    </row>
    <row r="42" spans="1:9">
      <c r="A42" t="s">
        <v>122</v>
      </c>
      <c r="B42">
        <v>90</v>
      </c>
      <c r="C42" t="s">
        <v>123</v>
      </c>
    </row>
    <row r="43" spans="1:9">
      <c r="A43" t="s">
        <v>126</v>
      </c>
      <c r="B43">
        <v>650</v>
      </c>
      <c r="C43" t="s">
        <v>127</v>
      </c>
      <c r="D43" s="1" t="s">
        <v>7291</v>
      </c>
      <c r="F43" s="1" t="s">
        <v>7853</v>
      </c>
      <c r="G43" s="1" t="s">
        <v>7854</v>
      </c>
      <c r="H43" t="s">
        <v>7855</v>
      </c>
      <c r="I43" t="s">
        <v>7856</v>
      </c>
    </row>
    <row r="44" spans="1:9">
      <c r="A44" t="s">
        <v>126</v>
      </c>
      <c r="B44">
        <v>650</v>
      </c>
      <c r="C44" t="s">
        <v>127</v>
      </c>
      <c r="D44" s="1" t="s">
        <v>7291</v>
      </c>
      <c r="F44" s="1" t="str">
        <f>F2016</f>
        <v xml:space="preserve">https://www.genome.jp/dbget-bin/www_bget?ec:2.7.11.1 </v>
      </c>
      <c r="G44" s="1" t="s">
        <v>7854</v>
      </c>
      <c r="H44" t="s">
        <v>10159</v>
      </c>
      <c r="I44" t="s">
        <v>10160</v>
      </c>
    </row>
    <row r="45" spans="1:9">
      <c r="A45" t="s">
        <v>130</v>
      </c>
      <c r="B45">
        <v>502</v>
      </c>
      <c r="C45" t="s">
        <v>131</v>
      </c>
      <c r="D45" s="1" t="s">
        <v>7291</v>
      </c>
      <c r="F45" s="1" t="s">
        <v>7852</v>
      </c>
      <c r="G45" s="1" t="s">
        <v>7854</v>
      </c>
      <c r="H45" t="s">
        <v>7855</v>
      </c>
      <c r="I45" t="s">
        <v>7856</v>
      </c>
    </row>
    <row r="46" spans="1:9">
      <c r="A46" t="s">
        <v>130</v>
      </c>
      <c r="B46">
        <v>502</v>
      </c>
      <c r="C46" t="s">
        <v>131</v>
      </c>
      <c r="D46" s="1" t="s">
        <v>7291</v>
      </c>
      <c r="F46" s="1" t="s">
        <v>7852</v>
      </c>
      <c r="G46" s="1" t="s">
        <v>7854</v>
      </c>
      <c r="H46" t="s">
        <v>10159</v>
      </c>
      <c r="I46" t="s">
        <v>10160</v>
      </c>
    </row>
    <row r="47" spans="1:9">
      <c r="A47" t="s">
        <v>134</v>
      </c>
      <c r="B47">
        <v>476</v>
      </c>
      <c r="C47" t="s">
        <v>135</v>
      </c>
    </row>
    <row r="48" spans="1:9">
      <c r="A48" t="s">
        <v>138</v>
      </c>
      <c r="B48">
        <v>450</v>
      </c>
      <c r="C48" t="s">
        <v>139</v>
      </c>
    </row>
    <row r="49" spans="1:9">
      <c r="A49" t="s">
        <v>142</v>
      </c>
      <c r="B49">
        <v>454</v>
      </c>
      <c r="C49" t="s">
        <v>143</v>
      </c>
      <c r="D49" s="1" t="s">
        <v>7292</v>
      </c>
      <c r="F49" s="1" t="s">
        <v>7858</v>
      </c>
      <c r="G49" s="1" t="s">
        <v>7859</v>
      </c>
      <c r="H49" t="s">
        <v>7860</v>
      </c>
      <c r="I49" t="s">
        <v>7861</v>
      </c>
    </row>
    <row r="50" spans="1:9">
      <c r="A50" t="s">
        <v>146</v>
      </c>
      <c r="B50">
        <v>150</v>
      </c>
      <c r="C50" t="s">
        <v>147</v>
      </c>
    </row>
    <row r="51" spans="1:9">
      <c r="A51" t="s">
        <v>150</v>
      </c>
      <c r="B51">
        <v>277</v>
      </c>
      <c r="C51" t="s">
        <v>151</v>
      </c>
    </row>
    <row r="52" spans="1:9">
      <c r="C52" t="s">
        <v>153</v>
      </c>
    </row>
    <row r="53" spans="1:9">
      <c r="A53" t="s">
        <v>154</v>
      </c>
      <c r="B53">
        <v>29</v>
      </c>
      <c r="C53" t="s">
        <v>155</v>
      </c>
    </row>
    <row r="54" spans="1:9">
      <c r="A54" t="s">
        <v>156</v>
      </c>
      <c r="B54">
        <v>204</v>
      </c>
      <c r="C54" t="s">
        <v>157</v>
      </c>
    </row>
    <row r="55" spans="1:9">
      <c r="A55" t="s">
        <v>159</v>
      </c>
      <c r="B55">
        <v>744</v>
      </c>
      <c r="C55" t="s">
        <v>160</v>
      </c>
      <c r="D55" s="1" t="s">
        <v>7281</v>
      </c>
      <c r="F55" s="1" t="s">
        <v>7862</v>
      </c>
    </row>
    <row r="56" spans="1:9">
      <c r="A56" t="s">
        <v>162</v>
      </c>
      <c r="B56">
        <v>108</v>
      </c>
      <c r="C56" t="s">
        <v>163</v>
      </c>
    </row>
    <row r="57" spans="1:9">
      <c r="A57" t="s">
        <v>166</v>
      </c>
      <c r="B57">
        <v>375</v>
      </c>
      <c r="C57" t="s">
        <v>167</v>
      </c>
      <c r="D57" s="1" t="s">
        <v>7293</v>
      </c>
      <c r="F57" s="1" t="s">
        <v>7863</v>
      </c>
    </row>
    <row r="58" spans="1:9">
      <c r="A58" t="s">
        <v>170</v>
      </c>
      <c r="B58">
        <v>240</v>
      </c>
      <c r="C58" t="s">
        <v>171</v>
      </c>
    </row>
    <row r="59" spans="1:9">
      <c r="A59" t="s">
        <v>172</v>
      </c>
      <c r="B59">
        <v>191</v>
      </c>
      <c r="C59" t="s">
        <v>173</v>
      </c>
    </row>
    <row r="60" spans="1:9">
      <c r="A60" t="s">
        <v>176</v>
      </c>
      <c r="B60">
        <v>493</v>
      </c>
      <c r="C60" t="s">
        <v>177</v>
      </c>
    </row>
    <row r="61" spans="1:9">
      <c r="A61" t="s">
        <v>179</v>
      </c>
      <c r="B61">
        <v>184</v>
      </c>
      <c r="C61" t="s">
        <v>180</v>
      </c>
    </row>
    <row r="62" spans="1:9">
      <c r="A62" t="s">
        <v>181</v>
      </c>
      <c r="B62">
        <v>75</v>
      </c>
      <c r="C62" t="s">
        <v>182</v>
      </c>
    </row>
    <row r="63" spans="1:9">
      <c r="A63" t="s">
        <v>183</v>
      </c>
      <c r="B63">
        <v>63</v>
      </c>
      <c r="C63" t="s">
        <v>184</v>
      </c>
    </row>
    <row r="64" spans="1:9">
      <c r="A64" t="s">
        <v>186</v>
      </c>
      <c r="B64">
        <v>192</v>
      </c>
      <c r="C64" t="s">
        <v>187</v>
      </c>
    </row>
    <row r="65" spans="1:9">
      <c r="A65" t="s">
        <v>188</v>
      </c>
      <c r="B65">
        <v>398</v>
      </c>
      <c r="C65" t="s">
        <v>189</v>
      </c>
    </row>
    <row r="66" spans="1:9">
      <c r="A66" t="s">
        <v>190</v>
      </c>
      <c r="B66">
        <v>113</v>
      </c>
      <c r="C66" t="s">
        <v>191</v>
      </c>
    </row>
    <row r="67" spans="1:9">
      <c r="A67" t="s">
        <v>192</v>
      </c>
      <c r="B67">
        <v>276</v>
      </c>
      <c r="C67" t="s">
        <v>193</v>
      </c>
    </row>
    <row r="68" spans="1:9">
      <c r="A68" t="s">
        <v>195</v>
      </c>
      <c r="B68">
        <v>101</v>
      </c>
      <c r="C68" t="s">
        <v>196</v>
      </c>
    </row>
    <row r="69" spans="1:9">
      <c r="A69" t="s">
        <v>199</v>
      </c>
      <c r="B69">
        <v>435</v>
      </c>
      <c r="C69" t="s">
        <v>200</v>
      </c>
      <c r="D69" s="1" t="s">
        <v>7294</v>
      </c>
      <c r="F69" s="1" t="s">
        <v>7864</v>
      </c>
      <c r="G69" s="1" t="s">
        <v>7865</v>
      </c>
      <c r="H69" t="s">
        <v>7868</v>
      </c>
      <c r="I69" t="s">
        <v>7867</v>
      </c>
    </row>
    <row r="70" spans="1:9">
      <c r="A70" t="s">
        <v>203</v>
      </c>
      <c r="B70">
        <v>330</v>
      </c>
      <c r="C70" t="s">
        <v>204</v>
      </c>
      <c r="D70" s="1" t="s">
        <v>7295</v>
      </c>
      <c r="F70" s="1" t="s">
        <v>7869</v>
      </c>
      <c r="G70" s="1" t="s">
        <v>7870</v>
      </c>
      <c r="H70" s="3" t="s">
        <v>7882</v>
      </c>
      <c r="I70" s="3" t="s">
        <v>7883</v>
      </c>
    </row>
    <row r="71" spans="1:9">
      <c r="A71" t="s">
        <v>205</v>
      </c>
      <c r="B71">
        <v>87</v>
      </c>
      <c r="C71" t="s">
        <v>206</v>
      </c>
    </row>
    <row r="72" spans="1:9">
      <c r="A72" t="s">
        <v>207</v>
      </c>
      <c r="B72">
        <v>278</v>
      </c>
      <c r="C72" t="s">
        <v>208</v>
      </c>
    </row>
    <row r="73" spans="1:9">
      <c r="A73" t="s">
        <v>211</v>
      </c>
      <c r="B73">
        <v>307</v>
      </c>
      <c r="C73" t="s">
        <v>212</v>
      </c>
      <c r="D73" s="1" t="s">
        <v>7282</v>
      </c>
    </row>
    <row r="74" spans="1:9">
      <c r="A74" t="s">
        <v>215</v>
      </c>
      <c r="B74">
        <v>337</v>
      </c>
      <c r="C74" t="s">
        <v>216</v>
      </c>
      <c r="D74" s="1" t="s">
        <v>7296</v>
      </c>
      <c r="F74" s="1" t="s">
        <v>7871</v>
      </c>
    </row>
    <row r="75" spans="1:9">
      <c r="A75" t="s">
        <v>219</v>
      </c>
      <c r="B75">
        <v>467</v>
      </c>
      <c r="C75" t="s">
        <v>220</v>
      </c>
      <c r="D75" s="1" t="s">
        <v>7297</v>
      </c>
      <c r="F75" s="1" t="s">
        <v>7872</v>
      </c>
      <c r="G75" s="1" t="s">
        <v>7873</v>
      </c>
      <c r="H75" t="s">
        <v>7874</v>
      </c>
      <c r="I75" t="s">
        <v>7875</v>
      </c>
    </row>
    <row r="76" spans="1:9">
      <c r="A76" t="s">
        <v>222</v>
      </c>
      <c r="B76">
        <v>170</v>
      </c>
      <c r="C76" t="s">
        <v>223</v>
      </c>
    </row>
    <row r="77" spans="1:9">
      <c r="A77" t="s">
        <v>226</v>
      </c>
      <c r="B77">
        <v>493</v>
      </c>
      <c r="C77" t="s">
        <v>227</v>
      </c>
    </row>
    <row r="78" spans="1:9">
      <c r="A78" t="s">
        <v>230</v>
      </c>
      <c r="B78">
        <v>162</v>
      </c>
      <c r="C78" t="s">
        <v>231</v>
      </c>
      <c r="D78" s="1" t="s">
        <v>7298</v>
      </c>
      <c r="F78" s="1" t="s">
        <v>7876</v>
      </c>
      <c r="G78" s="1" t="s">
        <v>7877</v>
      </c>
      <c r="H78" t="s">
        <v>7884</v>
      </c>
      <c r="I78" t="s">
        <v>7885</v>
      </c>
    </row>
    <row r="79" spans="1:9">
      <c r="A79" t="s">
        <v>232</v>
      </c>
      <c r="B79">
        <v>117</v>
      </c>
      <c r="C79" t="s">
        <v>233</v>
      </c>
    </row>
    <row r="80" spans="1:9">
      <c r="A80" t="s">
        <v>235</v>
      </c>
      <c r="B80">
        <v>198</v>
      </c>
      <c r="C80" t="s">
        <v>236</v>
      </c>
      <c r="D80" s="1" t="s">
        <v>7299</v>
      </c>
    </row>
    <row r="81" spans="1:9">
      <c r="A81" t="s">
        <v>238</v>
      </c>
      <c r="B81">
        <v>377</v>
      </c>
      <c r="C81" t="s">
        <v>239</v>
      </c>
    </row>
    <row r="82" spans="1:9">
      <c r="A82" t="s">
        <v>242</v>
      </c>
      <c r="B82">
        <v>193</v>
      </c>
      <c r="C82" t="s">
        <v>243</v>
      </c>
    </row>
    <row r="83" spans="1:9">
      <c r="A83" t="s">
        <v>244</v>
      </c>
      <c r="B83">
        <v>556</v>
      </c>
      <c r="C83" t="s">
        <v>245</v>
      </c>
    </row>
    <row r="84" spans="1:9">
      <c r="A84" t="s">
        <v>247</v>
      </c>
      <c r="B84">
        <v>368</v>
      </c>
      <c r="C84" t="s">
        <v>248</v>
      </c>
    </row>
    <row r="85" spans="1:9">
      <c r="A85" t="s">
        <v>249</v>
      </c>
      <c r="B85">
        <v>256</v>
      </c>
      <c r="C85" t="s">
        <v>250</v>
      </c>
    </row>
    <row r="86" spans="1:9">
      <c r="A86" t="s">
        <v>253</v>
      </c>
      <c r="B86">
        <v>756</v>
      </c>
      <c r="C86" t="s">
        <v>254</v>
      </c>
      <c r="D86" s="1" t="s">
        <v>7300</v>
      </c>
      <c r="E86" s="4" t="s">
        <v>8846</v>
      </c>
      <c r="F86" s="1" t="s">
        <v>8847</v>
      </c>
      <c r="G86" s="7"/>
    </row>
    <row r="87" spans="1:9">
      <c r="A87" t="s">
        <v>253</v>
      </c>
      <c r="B87">
        <v>756</v>
      </c>
      <c r="C87" t="s">
        <v>254</v>
      </c>
      <c r="D87" s="1" t="s">
        <v>7300</v>
      </c>
      <c r="E87" s="4" t="s">
        <v>8827</v>
      </c>
      <c r="F87" s="1" t="s">
        <v>8828</v>
      </c>
      <c r="G87" s="7"/>
    </row>
    <row r="88" spans="1:9">
      <c r="A88" t="s">
        <v>253</v>
      </c>
      <c r="B88">
        <v>756</v>
      </c>
      <c r="C88" t="s">
        <v>254</v>
      </c>
      <c r="D88" s="1" t="s">
        <v>7300</v>
      </c>
      <c r="E88" s="4" t="s">
        <v>8829</v>
      </c>
      <c r="F88" s="1" t="s">
        <v>8830</v>
      </c>
      <c r="G88" s="7"/>
    </row>
    <row r="89" spans="1:9">
      <c r="A89" t="s">
        <v>256</v>
      </c>
      <c r="B89">
        <v>221</v>
      </c>
      <c r="C89" t="s">
        <v>257</v>
      </c>
      <c r="D89" s="1" t="s">
        <v>7283</v>
      </c>
    </row>
    <row r="90" spans="1:9">
      <c r="A90" t="s">
        <v>260</v>
      </c>
      <c r="B90">
        <v>227</v>
      </c>
      <c r="C90" t="s">
        <v>261</v>
      </c>
      <c r="D90" s="1" t="s">
        <v>7301</v>
      </c>
    </row>
    <row r="91" spans="1:9">
      <c r="A91" t="s">
        <v>264</v>
      </c>
      <c r="B91">
        <v>179</v>
      </c>
      <c r="C91" t="s">
        <v>265</v>
      </c>
      <c r="D91" s="1" t="s">
        <v>7302</v>
      </c>
    </row>
    <row r="92" spans="1:9">
      <c r="A92" t="s">
        <v>268</v>
      </c>
      <c r="B92">
        <v>239</v>
      </c>
      <c r="C92" t="s">
        <v>269</v>
      </c>
      <c r="D92" s="1" t="s">
        <v>7303</v>
      </c>
    </row>
    <row r="93" spans="1:9">
      <c r="A93" t="s">
        <v>272</v>
      </c>
      <c r="B93">
        <v>525</v>
      </c>
      <c r="C93" t="s">
        <v>273</v>
      </c>
      <c r="D93" s="1" t="s">
        <v>7304</v>
      </c>
      <c r="F93" s="1" t="s">
        <v>7878</v>
      </c>
      <c r="G93" s="1" t="s">
        <v>7879</v>
      </c>
      <c r="H93" t="s">
        <v>7880</v>
      </c>
      <c r="I93" t="s">
        <v>7881</v>
      </c>
    </row>
    <row r="94" spans="1:9">
      <c r="A94" t="s">
        <v>272</v>
      </c>
      <c r="B94">
        <v>525</v>
      </c>
      <c r="C94" t="s">
        <v>273</v>
      </c>
      <c r="D94" s="1" t="s">
        <v>7304</v>
      </c>
      <c r="F94" s="1" t="s">
        <v>7878</v>
      </c>
      <c r="G94" s="1" t="s">
        <v>7879</v>
      </c>
      <c r="H94" t="s">
        <v>10173</v>
      </c>
      <c r="I94" t="s">
        <v>10174</v>
      </c>
    </row>
    <row r="95" spans="1:9">
      <c r="A95" t="s">
        <v>276</v>
      </c>
      <c r="B95">
        <v>746</v>
      </c>
      <c r="C95" t="s">
        <v>277</v>
      </c>
    </row>
    <row r="96" spans="1:9">
      <c r="A96" t="s">
        <v>280</v>
      </c>
      <c r="B96">
        <v>591</v>
      </c>
      <c r="C96" t="s">
        <v>281</v>
      </c>
      <c r="D96" s="1" t="s">
        <v>7305</v>
      </c>
      <c r="F96" s="1" t="s">
        <v>7886</v>
      </c>
      <c r="G96" s="1" t="s">
        <v>7887</v>
      </c>
      <c r="H96" t="s">
        <v>7888</v>
      </c>
      <c r="I96" t="s">
        <v>7889</v>
      </c>
    </row>
    <row r="97" spans="1:9">
      <c r="A97" t="s">
        <v>282</v>
      </c>
      <c r="B97">
        <v>42</v>
      </c>
      <c r="C97" t="s">
        <v>283</v>
      </c>
    </row>
    <row r="98" spans="1:9">
      <c r="A98" t="s">
        <v>284</v>
      </c>
      <c r="B98">
        <v>62</v>
      </c>
      <c r="C98" t="s">
        <v>285</v>
      </c>
    </row>
    <row r="99" spans="1:9">
      <c r="A99" t="s">
        <v>288</v>
      </c>
      <c r="B99">
        <v>119</v>
      </c>
      <c r="C99" t="s">
        <v>289</v>
      </c>
    </row>
    <row r="100" spans="1:9">
      <c r="C100" t="s">
        <v>293</v>
      </c>
    </row>
    <row r="101" spans="1:9">
      <c r="A101" t="s">
        <v>294</v>
      </c>
      <c r="B101">
        <v>74</v>
      </c>
      <c r="C101" t="s">
        <v>295</v>
      </c>
    </row>
    <row r="102" spans="1:9">
      <c r="A102" t="s">
        <v>296</v>
      </c>
      <c r="B102">
        <v>97</v>
      </c>
      <c r="C102" t="s">
        <v>297</v>
      </c>
    </row>
    <row r="103" spans="1:9">
      <c r="A103" t="s">
        <v>299</v>
      </c>
      <c r="B103">
        <v>243</v>
      </c>
      <c r="C103" t="s">
        <v>300</v>
      </c>
    </row>
    <row r="104" spans="1:9">
      <c r="A104" t="s">
        <v>301</v>
      </c>
      <c r="B104">
        <v>231</v>
      </c>
      <c r="C104" t="s">
        <v>302</v>
      </c>
    </row>
    <row r="105" spans="1:9">
      <c r="A105" t="s">
        <v>303</v>
      </c>
      <c r="B105">
        <v>75</v>
      </c>
      <c r="C105" t="s">
        <v>304</v>
      </c>
    </row>
    <row r="106" spans="1:9">
      <c r="A106" t="s">
        <v>305</v>
      </c>
      <c r="B106">
        <v>184</v>
      </c>
      <c r="C106" t="s">
        <v>306</v>
      </c>
    </row>
    <row r="107" spans="1:9">
      <c r="A107" t="s">
        <v>309</v>
      </c>
      <c r="B107">
        <v>227</v>
      </c>
      <c r="C107" t="s">
        <v>310</v>
      </c>
    </row>
    <row r="108" spans="1:9">
      <c r="A108" t="s">
        <v>312</v>
      </c>
      <c r="B108">
        <v>224</v>
      </c>
      <c r="C108" t="s">
        <v>313</v>
      </c>
    </row>
    <row r="109" spans="1:9">
      <c r="A109" t="s">
        <v>314</v>
      </c>
      <c r="B109">
        <v>109</v>
      </c>
      <c r="C109" t="s">
        <v>315</v>
      </c>
    </row>
    <row r="110" spans="1:9">
      <c r="A110" t="s">
        <v>317</v>
      </c>
      <c r="B110">
        <v>94</v>
      </c>
      <c r="C110" t="s">
        <v>318</v>
      </c>
    </row>
    <row r="111" spans="1:9">
      <c r="A111" t="s">
        <v>320</v>
      </c>
      <c r="B111">
        <v>275</v>
      </c>
      <c r="C111" t="s">
        <v>321</v>
      </c>
    </row>
    <row r="112" spans="1:9">
      <c r="A112" t="s">
        <v>324</v>
      </c>
      <c r="B112">
        <v>109</v>
      </c>
      <c r="C112" t="s">
        <v>325</v>
      </c>
      <c r="D112" s="1" t="s">
        <v>7306</v>
      </c>
      <c r="F112" s="1" t="s">
        <v>7890</v>
      </c>
      <c r="G112" s="1" t="s">
        <v>7891</v>
      </c>
      <c r="H112" t="s">
        <v>7892</v>
      </c>
      <c r="I112" t="s">
        <v>7893</v>
      </c>
    </row>
    <row r="113" spans="1:9">
      <c r="A113" t="s">
        <v>328</v>
      </c>
      <c r="B113">
        <v>541</v>
      </c>
      <c r="C113" t="s">
        <v>329</v>
      </c>
      <c r="D113" s="1" t="s">
        <v>7409</v>
      </c>
      <c r="F113" s="1" t="s">
        <v>7894</v>
      </c>
      <c r="G113" s="1" t="s">
        <v>7895</v>
      </c>
      <c r="H113" s="3" t="s">
        <v>7896</v>
      </c>
      <c r="I113" s="3" t="s">
        <v>7897</v>
      </c>
    </row>
    <row r="114" spans="1:9">
      <c r="A114" t="s">
        <v>332</v>
      </c>
      <c r="B114">
        <v>424</v>
      </c>
      <c r="C114" t="s">
        <v>333</v>
      </c>
    </row>
    <row r="115" spans="1:9">
      <c r="A115" t="s">
        <v>335</v>
      </c>
      <c r="B115">
        <v>497</v>
      </c>
      <c r="C115" t="s">
        <v>336</v>
      </c>
    </row>
    <row r="116" spans="1:9">
      <c r="A116" t="s">
        <v>339</v>
      </c>
      <c r="B116">
        <v>457</v>
      </c>
      <c r="C116" t="s">
        <v>340</v>
      </c>
      <c r="D116" s="1" t="s">
        <v>7307</v>
      </c>
      <c r="F116" s="1" t="s">
        <v>7898</v>
      </c>
      <c r="G116" s="1" t="s">
        <v>7899</v>
      </c>
      <c r="H116" t="s">
        <v>7900</v>
      </c>
      <c r="I116" t="s">
        <v>7901</v>
      </c>
    </row>
    <row r="117" spans="1:9">
      <c r="A117" t="s">
        <v>343</v>
      </c>
      <c r="B117">
        <v>350</v>
      </c>
      <c r="C117" t="s">
        <v>344</v>
      </c>
      <c r="D117" s="1" t="s">
        <v>7308</v>
      </c>
    </row>
    <row r="118" spans="1:9">
      <c r="A118" t="s">
        <v>347</v>
      </c>
      <c r="B118">
        <v>441</v>
      </c>
      <c r="C118" t="s">
        <v>348</v>
      </c>
    </row>
    <row r="119" spans="1:9">
      <c r="A119" t="s">
        <v>350</v>
      </c>
      <c r="B119">
        <v>417</v>
      </c>
      <c r="C119" t="s">
        <v>351</v>
      </c>
      <c r="D119" s="1" t="s">
        <v>7309</v>
      </c>
    </row>
    <row r="120" spans="1:9">
      <c r="A120" t="s">
        <v>352</v>
      </c>
      <c r="B120">
        <v>422</v>
      </c>
      <c r="C120" t="s">
        <v>353</v>
      </c>
    </row>
    <row r="121" spans="1:9">
      <c r="A121" t="s">
        <v>356</v>
      </c>
      <c r="B121">
        <v>551</v>
      </c>
      <c r="C121" t="s">
        <v>357</v>
      </c>
      <c r="D121" s="1" t="s">
        <v>7310</v>
      </c>
      <c r="F121" s="1" t="s">
        <v>7902</v>
      </c>
      <c r="G121" s="1" t="s">
        <v>7903</v>
      </c>
      <c r="H121" s="3" t="s">
        <v>7904</v>
      </c>
      <c r="I121" t="s">
        <v>7905</v>
      </c>
    </row>
    <row r="122" spans="1:9">
      <c r="A122" t="s">
        <v>356</v>
      </c>
      <c r="B122">
        <v>551</v>
      </c>
      <c r="C122" t="s">
        <v>357</v>
      </c>
      <c r="D122" s="1" t="s">
        <v>7310</v>
      </c>
      <c r="F122" s="1" t="s">
        <v>7902</v>
      </c>
      <c r="G122" s="1" t="s">
        <v>7903</v>
      </c>
      <c r="H122" s="3" t="s">
        <v>10175</v>
      </c>
      <c r="I122" t="s">
        <v>7905</v>
      </c>
    </row>
    <row r="123" spans="1:9">
      <c r="A123" t="s">
        <v>356</v>
      </c>
      <c r="B123">
        <v>551</v>
      </c>
      <c r="C123" t="s">
        <v>357</v>
      </c>
      <c r="D123" s="1" t="s">
        <v>7310</v>
      </c>
      <c r="F123" s="1" t="s">
        <v>7902</v>
      </c>
      <c r="G123" s="1" t="s">
        <v>7903</v>
      </c>
      <c r="H123" s="3" t="s">
        <v>10176</v>
      </c>
      <c r="I123" t="s">
        <v>10177</v>
      </c>
    </row>
    <row r="124" spans="1:9">
      <c r="A124" t="s">
        <v>356</v>
      </c>
      <c r="B124">
        <v>551</v>
      </c>
      <c r="C124" t="s">
        <v>357</v>
      </c>
      <c r="D124" s="1" t="s">
        <v>7310</v>
      </c>
      <c r="F124" s="1" t="s">
        <v>7902</v>
      </c>
      <c r="G124" s="1" t="s">
        <v>7903</v>
      </c>
      <c r="H124" s="3" t="s">
        <v>10178</v>
      </c>
      <c r="I124" t="s">
        <v>10179</v>
      </c>
    </row>
    <row r="125" spans="1:9">
      <c r="A125" t="s">
        <v>356</v>
      </c>
      <c r="B125">
        <v>551</v>
      </c>
      <c r="C125" t="s">
        <v>357</v>
      </c>
      <c r="D125" s="1" t="s">
        <v>7310</v>
      </c>
      <c r="F125" s="1" t="s">
        <v>7902</v>
      </c>
      <c r="G125" s="1" t="s">
        <v>7903</v>
      </c>
      <c r="H125" s="3" t="s">
        <v>10180</v>
      </c>
      <c r="I125" t="s">
        <v>10179</v>
      </c>
    </row>
    <row r="126" spans="1:9">
      <c r="A126" t="s">
        <v>356</v>
      </c>
      <c r="B126">
        <v>551</v>
      </c>
      <c r="C126" t="s">
        <v>357</v>
      </c>
      <c r="D126" s="1" t="s">
        <v>7310</v>
      </c>
      <c r="F126" s="1" t="s">
        <v>7902</v>
      </c>
      <c r="G126" s="1" t="s">
        <v>7903</v>
      </c>
      <c r="H126" s="3" t="s">
        <v>10181</v>
      </c>
      <c r="I126" t="s">
        <v>10182</v>
      </c>
    </row>
    <row r="127" spans="1:9">
      <c r="A127" t="s">
        <v>356</v>
      </c>
      <c r="B127">
        <v>551</v>
      </c>
      <c r="C127" t="s">
        <v>357</v>
      </c>
      <c r="D127" s="1" t="s">
        <v>7310</v>
      </c>
      <c r="F127" s="1" t="s">
        <v>7902</v>
      </c>
      <c r="G127" s="1" t="s">
        <v>7903</v>
      </c>
      <c r="H127" s="3" t="s">
        <v>10183</v>
      </c>
      <c r="I127" t="s">
        <v>10184</v>
      </c>
    </row>
    <row r="128" spans="1:9">
      <c r="A128" t="s">
        <v>360</v>
      </c>
      <c r="B128">
        <v>299</v>
      </c>
      <c r="C128" t="s">
        <v>361</v>
      </c>
    </row>
    <row r="129" spans="1:9">
      <c r="A129" t="s">
        <v>362</v>
      </c>
      <c r="B129">
        <v>292</v>
      </c>
      <c r="C129" t="s">
        <v>363</v>
      </c>
    </row>
    <row r="130" spans="1:9">
      <c r="A130" t="s">
        <v>365</v>
      </c>
      <c r="B130">
        <v>443</v>
      </c>
      <c r="C130" t="s">
        <v>366</v>
      </c>
    </row>
    <row r="131" spans="1:9">
      <c r="A131" t="s">
        <v>367</v>
      </c>
      <c r="B131">
        <v>283</v>
      </c>
      <c r="C131" t="s">
        <v>368</v>
      </c>
    </row>
    <row r="132" spans="1:9">
      <c r="A132" t="s">
        <v>369</v>
      </c>
      <c r="B132">
        <v>193</v>
      </c>
      <c r="C132" t="s">
        <v>370</v>
      </c>
    </row>
    <row r="133" spans="1:9">
      <c r="A133" t="s">
        <v>373</v>
      </c>
      <c r="B133">
        <v>644</v>
      </c>
      <c r="C133" t="s">
        <v>374</v>
      </c>
      <c r="D133" s="1" t="s">
        <v>7311</v>
      </c>
    </row>
    <row r="134" spans="1:9">
      <c r="A134" t="s">
        <v>376</v>
      </c>
      <c r="B134">
        <v>292</v>
      </c>
      <c r="C134" t="s">
        <v>377</v>
      </c>
    </row>
    <row r="135" spans="1:9">
      <c r="A135" t="s">
        <v>378</v>
      </c>
      <c r="B135">
        <v>484</v>
      </c>
      <c r="C135" t="s">
        <v>379</v>
      </c>
    </row>
    <row r="136" spans="1:9">
      <c r="A136" t="s">
        <v>382</v>
      </c>
      <c r="B136">
        <v>1137</v>
      </c>
      <c r="C136" t="s">
        <v>383</v>
      </c>
      <c r="D136" s="1" t="s">
        <v>7312</v>
      </c>
    </row>
    <row r="137" spans="1:9">
      <c r="A137" t="s">
        <v>386</v>
      </c>
      <c r="B137">
        <v>658</v>
      </c>
      <c r="C137" t="s">
        <v>387</v>
      </c>
      <c r="D137" s="1" t="s">
        <v>7312</v>
      </c>
    </row>
    <row r="138" spans="1:9">
      <c r="A138" t="s">
        <v>390</v>
      </c>
      <c r="B138">
        <v>252</v>
      </c>
      <c r="C138" t="s">
        <v>391</v>
      </c>
      <c r="D138" s="1" t="s">
        <v>7313</v>
      </c>
      <c r="F138" s="1" t="s">
        <v>7906</v>
      </c>
      <c r="G138" s="1" t="s">
        <v>7907</v>
      </c>
      <c r="H138" t="s">
        <v>7908</v>
      </c>
      <c r="I138" t="s">
        <v>7909</v>
      </c>
    </row>
    <row r="139" spans="1:9">
      <c r="A139" t="s">
        <v>390</v>
      </c>
      <c r="B139">
        <v>252</v>
      </c>
      <c r="C139" t="s">
        <v>391</v>
      </c>
      <c r="D139" s="1" t="s">
        <v>7313</v>
      </c>
      <c r="F139" s="1" t="s">
        <v>7906</v>
      </c>
      <c r="G139" s="1" t="s">
        <v>7907</v>
      </c>
      <c r="H139" t="s">
        <v>10185</v>
      </c>
      <c r="I139" t="s">
        <v>10186</v>
      </c>
    </row>
    <row r="140" spans="1:9">
      <c r="A140" t="s">
        <v>394</v>
      </c>
      <c r="B140">
        <v>471</v>
      </c>
      <c r="C140" t="s">
        <v>395</v>
      </c>
      <c r="D140" s="1" t="s">
        <v>7314</v>
      </c>
    </row>
    <row r="141" spans="1:9">
      <c r="A141" t="s">
        <v>396</v>
      </c>
      <c r="B141">
        <v>91</v>
      </c>
      <c r="C141" t="s">
        <v>397</v>
      </c>
    </row>
    <row r="142" spans="1:9">
      <c r="A142" t="s">
        <v>398</v>
      </c>
      <c r="B142">
        <v>154</v>
      </c>
      <c r="C142" t="s">
        <v>399</v>
      </c>
    </row>
    <row r="143" spans="1:9">
      <c r="A143" t="s">
        <v>400</v>
      </c>
      <c r="B143">
        <v>298</v>
      </c>
      <c r="C143" t="s">
        <v>401</v>
      </c>
    </row>
    <row r="144" spans="1:9">
      <c r="A144" t="s">
        <v>403</v>
      </c>
      <c r="B144">
        <v>146</v>
      </c>
      <c r="C144" t="s">
        <v>404</v>
      </c>
    </row>
    <row r="145" spans="1:9">
      <c r="A145" t="s">
        <v>407</v>
      </c>
      <c r="B145">
        <v>305</v>
      </c>
      <c r="C145" t="s">
        <v>408</v>
      </c>
      <c r="D145" s="1" t="s">
        <v>7315</v>
      </c>
      <c r="F145" s="1" t="s">
        <v>7910</v>
      </c>
      <c r="G145" s="1" t="s">
        <v>7911</v>
      </c>
      <c r="H145" t="s">
        <v>7912</v>
      </c>
      <c r="I145" t="s">
        <v>7913</v>
      </c>
    </row>
    <row r="146" spans="1:9">
      <c r="A146" t="s">
        <v>407</v>
      </c>
      <c r="B146">
        <v>305</v>
      </c>
      <c r="C146" t="s">
        <v>408</v>
      </c>
      <c r="D146" s="1" t="s">
        <v>7315</v>
      </c>
      <c r="F146" s="1" t="s">
        <v>7910</v>
      </c>
      <c r="G146" s="1" t="s">
        <v>7911</v>
      </c>
      <c r="H146" t="s">
        <v>10187</v>
      </c>
      <c r="I146" t="s">
        <v>10188</v>
      </c>
    </row>
    <row r="147" spans="1:9">
      <c r="A147" t="s">
        <v>410</v>
      </c>
      <c r="B147">
        <v>218</v>
      </c>
      <c r="C147" t="s">
        <v>411</v>
      </c>
      <c r="D147" s="1" t="s">
        <v>7316</v>
      </c>
    </row>
    <row r="148" spans="1:9">
      <c r="A148" t="s">
        <v>414</v>
      </c>
      <c r="B148">
        <v>266</v>
      </c>
      <c r="C148" t="s">
        <v>415</v>
      </c>
      <c r="D148" s="1" t="s">
        <v>7317</v>
      </c>
    </row>
    <row r="149" spans="1:9">
      <c r="A149" t="s">
        <v>418</v>
      </c>
      <c r="B149">
        <v>296</v>
      </c>
      <c r="C149" t="s">
        <v>419</v>
      </c>
    </row>
    <row r="150" spans="1:9">
      <c r="A150" t="s">
        <v>421</v>
      </c>
      <c r="B150">
        <v>417</v>
      </c>
      <c r="C150" t="s">
        <v>422</v>
      </c>
    </row>
    <row r="151" spans="1:9">
      <c r="A151" t="s">
        <v>425</v>
      </c>
      <c r="B151">
        <v>318</v>
      </c>
      <c r="C151" t="s">
        <v>426</v>
      </c>
      <c r="D151" s="1" t="s">
        <v>7318</v>
      </c>
      <c r="F151" s="1" t="s">
        <v>7914</v>
      </c>
      <c r="G151" s="1" t="s">
        <v>7915</v>
      </c>
      <c r="H151" t="s">
        <v>7916</v>
      </c>
      <c r="I151" t="s">
        <v>7917</v>
      </c>
    </row>
    <row r="152" spans="1:9">
      <c r="C152" t="s">
        <v>427</v>
      </c>
    </row>
    <row r="153" spans="1:9">
      <c r="A153" t="s">
        <v>428</v>
      </c>
      <c r="B153">
        <v>101</v>
      </c>
      <c r="C153" t="s">
        <v>429</v>
      </c>
    </row>
    <row r="154" spans="1:9">
      <c r="A154" t="s">
        <v>431</v>
      </c>
      <c r="B154">
        <v>434</v>
      </c>
      <c r="C154" t="s">
        <v>432</v>
      </c>
    </row>
    <row r="155" spans="1:9">
      <c r="A155" t="s">
        <v>434</v>
      </c>
      <c r="B155">
        <v>297</v>
      </c>
      <c r="C155" t="s">
        <v>435</v>
      </c>
    </row>
    <row r="156" spans="1:9">
      <c r="A156" t="s">
        <v>436</v>
      </c>
      <c r="B156">
        <v>1283</v>
      </c>
      <c r="C156" t="s">
        <v>437</v>
      </c>
    </row>
    <row r="157" spans="1:9">
      <c r="A157" t="s">
        <v>438</v>
      </c>
      <c r="B157">
        <v>133</v>
      </c>
      <c r="C157" t="s">
        <v>439</v>
      </c>
    </row>
    <row r="158" spans="1:9">
      <c r="A158" t="s">
        <v>440</v>
      </c>
      <c r="B158">
        <v>154</v>
      </c>
      <c r="C158" t="s">
        <v>441</v>
      </c>
    </row>
    <row r="159" spans="1:9">
      <c r="A159" t="s">
        <v>442</v>
      </c>
      <c r="B159">
        <v>277</v>
      </c>
      <c r="C159" t="s">
        <v>443</v>
      </c>
    </row>
    <row r="160" spans="1:9">
      <c r="A160" t="s">
        <v>444</v>
      </c>
      <c r="B160">
        <v>323</v>
      </c>
      <c r="C160" t="s">
        <v>445</v>
      </c>
    </row>
    <row r="161" spans="1:9">
      <c r="A161" t="s">
        <v>446</v>
      </c>
      <c r="B161">
        <v>133</v>
      </c>
      <c r="C161" t="s">
        <v>447</v>
      </c>
    </row>
    <row r="162" spans="1:9">
      <c r="A162" t="s">
        <v>448</v>
      </c>
      <c r="B162">
        <v>154</v>
      </c>
      <c r="C162" t="s">
        <v>449</v>
      </c>
    </row>
    <row r="163" spans="1:9">
      <c r="A163" t="s">
        <v>450</v>
      </c>
      <c r="B163">
        <v>84</v>
      </c>
      <c r="C163" t="s">
        <v>451</v>
      </c>
    </row>
    <row r="164" spans="1:9">
      <c r="A164" t="s">
        <v>452</v>
      </c>
      <c r="B164">
        <v>194</v>
      </c>
      <c r="C164" t="s">
        <v>453</v>
      </c>
    </row>
    <row r="165" spans="1:9">
      <c r="A165" t="s">
        <v>454</v>
      </c>
      <c r="B165">
        <v>83</v>
      </c>
      <c r="C165" t="s">
        <v>455</v>
      </c>
    </row>
    <row r="166" spans="1:9">
      <c r="A166" t="s">
        <v>458</v>
      </c>
      <c r="B166">
        <v>335</v>
      </c>
      <c r="C166" t="s">
        <v>459</v>
      </c>
    </row>
    <row r="167" spans="1:9">
      <c r="A167" t="s">
        <v>462</v>
      </c>
      <c r="B167">
        <v>153</v>
      </c>
      <c r="C167" t="s">
        <v>463</v>
      </c>
      <c r="D167" s="1" t="s">
        <v>7319</v>
      </c>
      <c r="F167" s="1" t="s">
        <v>7918</v>
      </c>
      <c r="G167" s="1" t="s">
        <v>7919</v>
      </c>
      <c r="H167" t="s">
        <v>7920</v>
      </c>
      <c r="I167" t="s">
        <v>7921</v>
      </c>
    </row>
    <row r="168" spans="1:9">
      <c r="A168" t="s">
        <v>466</v>
      </c>
      <c r="B168">
        <v>159</v>
      </c>
      <c r="C168" t="s">
        <v>467</v>
      </c>
    </row>
    <row r="169" spans="1:9">
      <c r="A169" t="s">
        <v>470</v>
      </c>
      <c r="B169">
        <v>378</v>
      </c>
      <c r="C169" t="s">
        <v>471</v>
      </c>
      <c r="D169" s="1" t="s">
        <v>7320</v>
      </c>
      <c r="F169" s="1" t="s">
        <v>7922</v>
      </c>
      <c r="G169" s="1" t="s">
        <v>7923</v>
      </c>
      <c r="H169" t="s">
        <v>7924</v>
      </c>
      <c r="I169" t="s">
        <v>7925</v>
      </c>
    </row>
    <row r="170" spans="1:9">
      <c r="A170" t="s">
        <v>473</v>
      </c>
      <c r="B170">
        <v>86</v>
      </c>
      <c r="C170" t="s">
        <v>474</v>
      </c>
    </row>
    <row r="171" spans="1:9">
      <c r="A171" t="s">
        <v>476</v>
      </c>
      <c r="B171">
        <v>130</v>
      </c>
      <c r="C171" t="s">
        <v>477</v>
      </c>
    </row>
    <row r="172" spans="1:9">
      <c r="A172" t="s">
        <v>479</v>
      </c>
      <c r="B172">
        <v>350</v>
      </c>
      <c r="C172" t="s">
        <v>480</v>
      </c>
      <c r="D172" s="1" t="s">
        <v>7308</v>
      </c>
    </row>
    <row r="173" spans="1:9">
      <c r="C173" t="s">
        <v>481</v>
      </c>
    </row>
    <row r="174" spans="1:9">
      <c r="A174" t="s">
        <v>482</v>
      </c>
      <c r="B174">
        <v>62</v>
      </c>
      <c r="C174" t="s">
        <v>483</v>
      </c>
    </row>
    <row r="175" spans="1:9">
      <c r="A175" t="s">
        <v>486</v>
      </c>
      <c r="B175">
        <v>129</v>
      </c>
      <c r="C175" t="s">
        <v>487</v>
      </c>
      <c r="D175" s="1" t="s">
        <v>7321</v>
      </c>
      <c r="F175" s="1" t="s">
        <v>7927</v>
      </c>
      <c r="G175" s="1" t="s">
        <v>7928</v>
      </c>
      <c r="H175" t="s">
        <v>7930</v>
      </c>
      <c r="I175" t="s">
        <v>7929</v>
      </c>
    </row>
    <row r="176" spans="1:9">
      <c r="A176" t="s">
        <v>490</v>
      </c>
      <c r="B176">
        <v>120</v>
      </c>
      <c r="C176" t="s">
        <v>491</v>
      </c>
    </row>
    <row r="177" spans="1:9">
      <c r="A177" t="s">
        <v>492</v>
      </c>
      <c r="B177">
        <v>107</v>
      </c>
      <c r="C177" t="s">
        <v>493</v>
      </c>
    </row>
    <row r="178" spans="1:9">
      <c r="A178" t="s">
        <v>495</v>
      </c>
      <c r="B178">
        <v>464</v>
      </c>
      <c r="C178" t="s">
        <v>496</v>
      </c>
    </row>
    <row r="179" spans="1:9">
      <c r="A179" t="s">
        <v>499</v>
      </c>
      <c r="B179">
        <v>524</v>
      </c>
      <c r="C179" t="s">
        <v>500</v>
      </c>
    </row>
    <row r="180" spans="1:9">
      <c r="A180" t="s">
        <v>503</v>
      </c>
      <c r="B180">
        <v>355</v>
      </c>
      <c r="C180" t="s">
        <v>504</v>
      </c>
    </row>
    <row r="181" spans="1:9">
      <c r="C181" t="s">
        <v>506</v>
      </c>
    </row>
    <row r="182" spans="1:9">
      <c r="C182" t="s">
        <v>507</v>
      </c>
    </row>
    <row r="183" spans="1:9">
      <c r="A183" t="s">
        <v>508</v>
      </c>
      <c r="B183">
        <v>269</v>
      </c>
      <c r="C183" t="s">
        <v>509</v>
      </c>
    </row>
    <row r="184" spans="1:9">
      <c r="A184" t="s">
        <v>512</v>
      </c>
      <c r="B184">
        <v>97</v>
      </c>
      <c r="C184" t="s">
        <v>513</v>
      </c>
      <c r="D184" s="1" t="s">
        <v>7322</v>
      </c>
      <c r="F184" s="1" t="s">
        <v>7931</v>
      </c>
      <c r="G184" s="1" t="s">
        <v>7932</v>
      </c>
      <c r="H184" t="s">
        <v>7933</v>
      </c>
      <c r="I184" t="s">
        <v>7934</v>
      </c>
    </row>
    <row r="185" spans="1:9">
      <c r="A185" t="s">
        <v>514</v>
      </c>
      <c r="B185">
        <v>41</v>
      </c>
      <c r="C185" t="s">
        <v>515</v>
      </c>
    </row>
    <row r="186" spans="1:9">
      <c r="A186" t="s">
        <v>516</v>
      </c>
      <c r="B186">
        <v>497</v>
      </c>
      <c r="C186" t="s">
        <v>517</v>
      </c>
    </row>
    <row r="187" spans="1:9">
      <c r="A187" t="s">
        <v>519</v>
      </c>
      <c r="B187">
        <v>238</v>
      </c>
      <c r="C187" t="s">
        <v>520</v>
      </c>
    </row>
    <row r="188" spans="1:9">
      <c r="A188" t="s">
        <v>521</v>
      </c>
      <c r="B188">
        <v>60</v>
      </c>
      <c r="C188" t="s">
        <v>522</v>
      </c>
    </row>
    <row r="189" spans="1:9">
      <c r="A189" t="s">
        <v>525</v>
      </c>
      <c r="B189">
        <v>296</v>
      </c>
      <c r="C189" t="s">
        <v>526</v>
      </c>
    </row>
    <row r="190" spans="1:9">
      <c r="A190" t="s">
        <v>527</v>
      </c>
      <c r="B190">
        <v>286</v>
      </c>
      <c r="C190" t="s">
        <v>528</v>
      </c>
    </row>
    <row r="191" spans="1:9">
      <c r="A191" t="s">
        <v>530</v>
      </c>
      <c r="B191">
        <v>105</v>
      </c>
      <c r="C191" t="s">
        <v>531</v>
      </c>
    </row>
    <row r="192" spans="1:9">
      <c r="A192" t="s">
        <v>532</v>
      </c>
      <c r="B192">
        <v>225</v>
      </c>
      <c r="C192" t="s">
        <v>533</v>
      </c>
    </row>
    <row r="193" spans="1:9">
      <c r="A193" t="s">
        <v>534</v>
      </c>
      <c r="B193">
        <v>447</v>
      </c>
      <c r="C193" t="s">
        <v>535</v>
      </c>
    </row>
    <row r="194" spans="1:9">
      <c r="A194" t="s">
        <v>537</v>
      </c>
      <c r="B194">
        <v>424</v>
      </c>
      <c r="C194" t="s">
        <v>538</v>
      </c>
    </row>
    <row r="195" spans="1:9">
      <c r="A195" t="s">
        <v>540</v>
      </c>
      <c r="B195">
        <v>309</v>
      </c>
      <c r="C195" t="s">
        <v>541</v>
      </c>
    </row>
    <row r="196" spans="1:9">
      <c r="A196" t="s">
        <v>543</v>
      </c>
      <c r="B196">
        <v>401</v>
      </c>
      <c r="C196" t="s">
        <v>544</v>
      </c>
    </row>
    <row r="197" spans="1:9">
      <c r="A197" t="s">
        <v>546</v>
      </c>
      <c r="B197">
        <v>342</v>
      </c>
      <c r="C197" t="s">
        <v>547</v>
      </c>
    </row>
    <row r="198" spans="1:9">
      <c r="A198" t="s">
        <v>548</v>
      </c>
      <c r="B198">
        <v>159</v>
      </c>
      <c r="C198" t="s">
        <v>549</v>
      </c>
    </row>
    <row r="199" spans="1:9">
      <c r="A199" t="s">
        <v>552</v>
      </c>
      <c r="B199">
        <v>147</v>
      </c>
      <c r="C199" t="s">
        <v>553</v>
      </c>
      <c r="D199" s="1" t="s">
        <v>7323</v>
      </c>
      <c r="F199" s="1" t="s">
        <v>7935</v>
      </c>
      <c r="G199" s="1" t="s">
        <v>7936</v>
      </c>
      <c r="H199" t="s">
        <v>7937</v>
      </c>
      <c r="I199" t="s">
        <v>7938</v>
      </c>
    </row>
    <row r="200" spans="1:9">
      <c r="A200" t="s">
        <v>555</v>
      </c>
      <c r="B200">
        <v>66</v>
      </c>
      <c r="C200" t="s">
        <v>556</v>
      </c>
    </row>
    <row r="201" spans="1:9">
      <c r="C201" t="s">
        <v>557</v>
      </c>
    </row>
    <row r="202" spans="1:9">
      <c r="A202" t="s">
        <v>558</v>
      </c>
      <c r="B202">
        <v>153</v>
      </c>
      <c r="C202" t="s">
        <v>559</v>
      </c>
    </row>
    <row r="203" spans="1:9">
      <c r="A203" t="s">
        <v>561</v>
      </c>
      <c r="B203">
        <v>623</v>
      </c>
      <c r="C203" t="s">
        <v>562</v>
      </c>
    </row>
    <row r="204" spans="1:9">
      <c r="A204" t="s">
        <v>565</v>
      </c>
      <c r="B204">
        <v>348</v>
      </c>
      <c r="C204" t="s">
        <v>566</v>
      </c>
    </row>
    <row r="205" spans="1:9">
      <c r="A205" t="s">
        <v>569</v>
      </c>
      <c r="B205">
        <v>349</v>
      </c>
      <c r="C205" t="s">
        <v>570</v>
      </c>
    </row>
    <row r="206" spans="1:9">
      <c r="A206" t="s">
        <v>573</v>
      </c>
      <c r="B206">
        <v>264</v>
      </c>
      <c r="C206" t="s">
        <v>574</v>
      </c>
      <c r="D206" s="1" t="s">
        <v>7324</v>
      </c>
    </row>
    <row r="207" spans="1:9">
      <c r="A207" t="s">
        <v>576</v>
      </c>
      <c r="B207">
        <v>395</v>
      </c>
      <c r="C207" t="s">
        <v>577</v>
      </c>
    </row>
    <row r="208" spans="1:9">
      <c r="A208" t="s">
        <v>580</v>
      </c>
      <c r="B208">
        <v>213</v>
      </c>
      <c r="C208" t="s">
        <v>581</v>
      </c>
      <c r="D208" s="1" t="s">
        <v>7322</v>
      </c>
      <c r="F208" s="1" t="s">
        <v>7931</v>
      </c>
      <c r="G208" s="1" t="s">
        <v>7932</v>
      </c>
      <c r="H208" t="s">
        <v>7933</v>
      </c>
      <c r="I208" t="s">
        <v>7934</v>
      </c>
    </row>
    <row r="209" spans="1:9">
      <c r="A209" t="s">
        <v>582</v>
      </c>
      <c r="B209">
        <v>289</v>
      </c>
      <c r="C209" t="s">
        <v>583</v>
      </c>
    </row>
    <row r="210" spans="1:9">
      <c r="A210" t="s">
        <v>586</v>
      </c>
      <c r="B210">
        <v>884</v>
      </c>
      <c r="C210" t="s">
        <v>587</v>
      </c>
    </row>
    <row r="211" spans="1:9">
      <c r="A211" t="s">
        <v>590</v>
      </c>
      <c r="B211">
        <v>418</v>
      </c>
      <c r="C211" t="s">
        <v>591</v>
      </c>
      <c r="D211" s="1" t="s">
        <v>7325</v>
      </c>
      <c r="F211" s="1" t="s">
        <v>7939</v>
      </c>
      <c r="G211" s="1" t="s">
        <v>7940</v>
      </c>
      <c r="H211" t="s">
        <v>7941</v>
      </c>
      <c r="I211" t="s">
        <v>7942</v>
      </c>
    </row>
    <row r="212" spans="1:9">
      <c r="A212" t="s">
        <v>592</v>
      </c>
      <c r="B212">
        <v>227</v>
      </c>
      <c r="C212" t="s">
        <v>593</v>
      </c>
    </row>
    <row r="213" spans="1:9">
      <c r="A213" t="s">
        <v>596</v>
      </c>
      <c r="B213">
        <v>297</v>
      </c>
      <c r="C213" t="s">
        <v>597</v>
      </c>
      <c r="D213" s="1" t="s">
        <v>7326</v>
      </c>
    </row>
    <row r="214" spans="1:9">
      <c r="A214" t="s">
        <v>600</v>
      </c>
      <c r="B214">
        <v>530</v>
      </c>
      <c r="C214" t="s">
        <v>601</v>
      </c>
    </row>
    <row r="215" spans="1:9">
      <c r="A215" t="s">
        <v>602</v>
      </c>
      <c r="B215">
        <v>111</v>
      </c>
      <c r="C215" t="s">
        <v>603</v>
      </c>
    </row>
    <row r="216" spans="1:9">
      <c r="A216" t="s">
        <v>604</v>
      </c>
      <c r="B216">
        <v>82</v>
      </c>
      <c r="C216" t="s">
        <v>605</v>
      </c>
    </row>
    <row r="217" spans="1:9">
      <c r="A217" t="s">
        <v>607</v>
      </c>
      <c r="B217">
        <v>513</v>
      </c>
      <c r="C217" t="s">
        <v>608</v>
      </c>
    </row>
    <row r="218" spans="1:9">
      <c r="C218" t="s">
        <v>609</v>
      </c>
    </row>
    <row r="219" spans="1:9">
      <c r="C219" t="s">
        <v>613</v>
      </c>
    </row>
    <row r="220" spans="1:9">
      <c r="A220" t="s">
        <v>615</v>
      </c>
      <c r="B220">
        <v>423</v>
      </c>
      <c r="C220" t="s">
        <v>616</v>
      </c>
    </row>
    <row r="221" spans="1:9">
      <c r="A221" t="s">
        <v>618</v>
      </c>
      <c r="B221">
        <v>174</v>
      </c>
      <c r="C221" t="s">
        <v>619</v>
      </c>
    </row>
    <row r="222" spans="1:9">
      <c r="A222" t="s">
        <v>622</v>
      </c>
      <c r="B222">
        <v>904</v>
      </c>
      <c r="C222" t="s">
        <v>623</v>
      </c>
      <c r="D222" s="1" t="s">
        <v>7279</v>
      </c>
      <c r="F222" s="1" t="s">
        <v>7828</v>
      </c>
      <c r="G222" s="1" t="s">
        <v>7829</v>
      </c>
      <c r="H222" t="s">
        <v>7830</v>
      </c>
      <c r="I222" s="3" t="s">
        <v>7831</v>
      </c>
    </row>
    <row r="223" spans="1:9">
      <c r="A223" t="s">
        <v>622</v>
      </c>
      <c r="B223">
        <v>904</v>
      </c>
      <c r="C223" t="s">
        <v>623</v>
      </c>
      <c r="D223" s="1" t="s">
        <v>7279</v>
      </c>
      <c r="F223" s="1" t="s">
        <v>7828</v>
      </c>
      <c r="G223" s="1" t="s">
        <v>7829</v>
      </c>
      <c r="H223" t="s">
        <v>10162</v>
      </c>
      <c r="I223" s="3" t="s">
        <v>10163</v>
      </c>
    </row>
    <row r="224" spans="1:9">
      <c r="A224" t="s">
        <v>622</v>
      </c>
      <c r="B224">
        <v>904</v>
      </c>
      <c r="C224" t="s">
        <v>623</v>
      </c>
      <c r="D224" s="1" t="s">
        <v>7279</v>
      </c>
      <c r="F224" s="1" t="s">
        <v>7828</v>
      </c>
      <c r="G224" s="1" t="s">
        <v>7829</v>
      </c>
      <c r="H224" t="s">
        <v>10164</v>
      </c>
      <c r="I224" s="3" t="s">
        <v>10163</v>
      </c>
    </row>
    <row r="225" spans="1:9">
      <c r="A225" t="s">
        <v>622</v>
      </c>
      <c r="B225">
        <v>904</v>
      </c>
      <c r="C225" t="s">
        <v>623</v>
      </c>
      <c r="D225" s="1" t="s">
        <v>7279</v>
      </c>
      <c r="F225" s="1" t="s">
        <v>7828</v>
      </c>
      <c r="G225" s="1" t="s">
        <v>7829</v>
      </c>
      <c r="H225" t="s">
        <v>10165</v>
      </c>
      <c r="I225" s="3" t="s">
        <v>10163</v>
      </c>
    </row>
    <row r="226" spans="1:9">
      <c r="A226" t="s">
        <v>622</v>
      </c>
      <c r="B226">
        <v>904</v>
      </c>
      <c r="C226" t="s">
        <v>623</v>
      </c>
      <c r="D226" s="1" t="s">
        <v>7279</v>
      </c>
      <c r="F226" s="1" t="s">
        <v>7828</v>
      </c>
      <c r="G226" s="1" t="s">
        <v>7829</v>
      </c>
      <c r="H226" t="s">
        <v>10166</v>
      </c>
      <c r="I226" s="3" t="s">
        <v>10163</v>
      </c>
    </row>
    <row r="227" spans="1:9">
      <c r="A227" t="s">
        <v>622</v>
      </c>
      <c r="B227">
        <v>904</v>
      </c>
      <c r="C227" t="s">
        <v>623</v>
      </c>
      <c r="D227" s="1" t="s">
        <v>7279</v>
      </c>
      <c r="F227" s="1" t="s">
        <v>7828</v>
      </c>
      <c r="G227" s="1" t="s">
        <v>7829</v>
      </c>
      <c r="H227" t="s">
        <v>10167</v>
      </c>
      <c r="I227" s="3" t="s">
        <v>10168</v>
      </c>
    </row>
    <row r="228" spans="1:9">
      <c r="A228" t="s">
        <v>625</v>
      </c>
      <c r="B228">
        <v>122</v>
      </c>
      <c r="C228" t="s">
        <v>626</v>
      </c>
    </row>
    <row r="229" spans="1:9">
      <c r="A229" t="s">
        <v>629</v>
      </c>
      <c r="B229">
        <v>218</v>
      </c>
      <c r="C229" t="s">
        <v>630</v>
      </c>
    </row>
    <row r="230" spans="1:9">
      <c r="A230" t="s">
        <v>631</v>
      </c>
      <c r="B230">
        <v>366</v>
      </c>
      <c r="C230" t="s">
        <v>632</v>
      </c>
    </row>
    <row r="231" spans="1:9">
      <c r="A231" t="s">
        <v>634</v>
      </c>
      <c r="B231">
        <v>257</v>
      </c>
      <c r="C231" t="s">
        <v>635</v>
      </c>
    </row>
    <row r="232" spans="1:9">
      <c r="A232" t="s">
        <v>637</v>
      </c>
      <c r="B232">
        <v>425</v>
      </c>
      <c r="C232" t="s">
        <v>638</v>
      </c>
    </row>
    <row r="233" spans="1:9">
      <c r="A233" t="s">
        <v>640</v>
      </c>
      <c r="B233">
        <v>479</v>
      </c>
      <c r="C233" t="s">
        <v>641</v>
      </c>
    </row>
    <row r="234" spans="1:9">
      <c r="A234" t="s">
        <v>642</v>
      </c>
      <c r="B234">
        <v>260</v>
      </c>
      <c r="C234" t="s">
        <v>643</v>
      </c>
    </row>
    <row r="235" spans="1:9">
      <c r="A235" t="s">
        <v>646</v>
      </c>
      <c r="B235">
        <v>605</v>
      </c>
      <c r="C235" t="s">
        <v>647</v>
      </c>
      <c r="D235" s="1" t="s">
        <v>7327</v>
      </c>
      <c r="F235" s="1" t="s">
        <v>7943</v>
      </c>
      <c r="G235" s="1" t="s">
        <v>7944</v>
      </c>
      <c r="H235" t="s">
        <v>7945</v>
      </c>
      <c r="I235" t="s">
        <v>7946</v>
      </c>
    </row>
    <row r="236" spans="1:9">
      <c r="A236" t="s">
        <v>649</v>
      </c>
      <c r="B236">
        <v>369</v>
      </c>
      <c r="C236" t="s">
        <v>650</v>
      </c>
    </row>
    <row r="237" spans="1:9">
      <c r="A237" t="s">
        <v>651</v>
      </c>
      <c r="B237">
        <v>292</v>
      </c>
      <c r="C237" t="s">
        <v>652</v>
      </c>
    </row>
    <row r="238" spans="1:9">
      <c r="A238" t="s">
        <v>655</v>
      </c>
      <c r="B238">
        <v>421</v>
      </c>
      <c r="C238" t="s">
        <v>656</v>
      </c>
      <c r="D238" s="1" t="s">
        <v>7328</v>
      </c>
      <c r="F238" s="1" t="s">
        <v>7947</v>
      </c>
      <c r="G238" s="1" t="s">
        <v>7948</v>
      </c>
      <c r="H238" t="s">
        <v>7950</v>
      </c>
      <c r="I238" t="s">
        <v>7949</v>
      </c>
    </row>
    <row r="239" spans="1:9">
      <c r="A239" t="s">
        <v>659</v>
      </c>
      <c r="B239">
        <v>343</v>
      </c>
      <c r="C239" t="s">
        <v>660</v>
      </c>
      <c r="D239" s="1" t="s">
        <v>7329</v>
      </c>
      <c r="F239" s="1" t="s">
        <v>7951</v>
      </c>
      <c r="G239" s="1" t="s">
        <v>7952</v>
      </c>
      <c r="H239" t="s">
        <v>7954</v>
      </c>
      <c r="I239" t="s">
        <v>7953</v>
      </c>
    </row>
    <row r="240" spans="1:9">
      <c r="A240" t="s">
        <v>661</v>
      </c>
      <c r="B240">
        <v>443</v>
      </c>
      <c r="C240" t="s">
        <v>662</v>
      </c>
    </row>
    <row r="241" spans="1:9">
      <c r="A241" t="s">
        <v>665</v>
      </c>
      <c r="B241">
        <v>180</v>
      </c>
      <c r="C241" t="s">
        <v>666</v>
      </c>
    </row>
    <row r="242" spans="1:9">
      <c r="A242" t="s">
        <v>669</v>
      </c>
      <c r="B242">
        <v>516</v>
      </c>
      <c r="C242" t="s">
        <v>670</v>
      </c>
      <c r="D242" s="1" t="s">
        <v>7330</v>
      </c>
      <c r="F242" s="1" t="s">
        <v>7955</v>
      </c>
      <c r="G242" s="1" t="s">
        <v>7956</v>
      </c>
      <c r="H242" t="s">
        <v>7957</v>
      </c>
      <c r="I242" t="s">
        <v>7958</v>
      </c>
    </row>
    <row r="243" spans="1:9">
      <c r="A243" t="s">
        <v>669</v>
      </c>
      <c r="B243">
        <v>516</v>
      </c>
      <c r="C243" t="s">
        <v>670</v>
      </c>
      <c r="D243" s="1" t="s">
        <v>7330</v>
      </c>
      <c r="F243" s="1" t="s">
        <v>7955</v>
      </c>
      <c r="G243" s="1" t="s">
        <v>7956</v>
      </c>
      <c r="H243" t="s">
        <v>10189</v>
      </c>
      <c r="I243" t="s">
        <v>10190</v>
      </c>
    </row>
    <row r="244" spans="1:9">
      <c r="A244" t="s">
        <v>669</v>
      </c>
      <c r="B244">
        <v>516</v>
      </c>
      <c r="C244" t="s">
        <v>670</v>
      </c>
      <c r="D244" s="1" t="s">
        <v>7330</v>
      </c>
      <c r="F244" s="1" t="s">
        <v>7955</v>
      </c>
      <c r="G244" s="1" t="s">
        <v>7956</v>
      </c>
      <c r="H244" t="s">
        <v>10191</v>
      </c>
      <c r="I244" t="s">
        <v>10192</v>
      </c>
    </row>
    <row r="245" spans="1:9">
      <c r="A245" t="s">
        <v>671</v>
      </c>
      <c r="B245">
        <v>185</v>
      </c>
      <c r="C245" t="s">
        <v>672</v>
      </c>
    </row>
    <row r="246" spans="1:9">
      <c r="A246" t="s">
        <v>673</v>
      </c>
      <c r="B246">
        <v>487</v>
      </c>
      <c r="C246" t="s">
        <v>674</v>
      </c>
    </row>
    <row r="247" spans="1:9">
      <c r="A247" t="s">
        <v>677</v>
      </c>
      <c r="B247">
        <v>454</v>
      </c>
      <c r="C247" t="s">
        <v>678</v>
      </c>
    </row>
    <row r="248" spans="1:9">
      <c r="C248" t="s">
        <v>680</v>
      </c>
    </row>
    <row r="249" spans="1:9">
      <c r="A249" t="s">
        <v>682</v>
      </c>
      <c r="B249">
        <v>295</v>
      </c>
      <c r="C249" t="s">
        <v>683</v>
      </c>
    </row>
    <row r="250" spans="1:9">
      <c r="A250" t="s">
        <v>685</v>
      </c>
      <c r="B250">
        <v>154</v>
      </c>
      <c r="C250" t="s">
        <v>686</v>
      </c>
    </row>
    <row r="251" spans="1:9">
      <c r="A251" t="s">
        <v>689</v>
      </c>
      <c r="B251">
        <v>823</v>
      </c>
      <c r="C251" t="s">
        <v>690</v>
      </c>
    </row>
    <row r="252" spans="1:9">
      <c r="A252" t="s">
        <v>693</v>
      </c>
      <c r="B252">
        <v>107</v>
      </c>
      <c r="C252" t="s">
        <v>694</v>
      </c>
    </row>
    <row r="253" spans="1:9">
      <c r="A253" t="s">
        <v>695</v>
      </c>
      <c r="B253">
        <v>55</v>
      </c>
      <c r="C253" t="s">
        <v>696</v>
      </c>
    </row>
    <row r="254" spans="1:9">
      <c r="A254" t="s">
        <v>699</v>
      </c>
      <c r="B254">
        <v>152</v>
      </c>
      <c r="C254" t="s">
        <v>700</v>
      </c>
      <c r="D254" s="1" t="s">
        <v>7331</v>
      </c>
    </row>
    <row r="255" spans="1:9">
      <c r="A255" t="s">
        <v>703</v>
      </c>
      <c r="B255">
        <v>277</v>
      </c>
      <c r="C255" t="s">
        <v>704</v>
      </c>
      <c r="D255" s="1" t="s">
        <v>7332</v>
      </c>
    </row>
    <row r="256" spans="1:9">
      <c r="A256" t="s">
        <v>707</v>
      </c>
      <c r="B256">
        <v>227</v>
      </c>
      <c r="C256" t="s">
        <v>708</v>
      </c>
    </row>
    <row r="257" spans="1:9">
      <c r="A257" t="s">
        <v>709</v>
      </c>
      <c r="B257">
        <v>74</v>
      </c>
      <c r="C257" t="s">
        <v>710</v>
      </c>
    </row>
    <row r="258" spans="1:9">
      <c r="A258" t="s">
        <v>713</v>
      </c>
      <c r="B258">
        <v>238</v>
      </c>
      <c r="C258" t="s">
        <v>714</v>
      </c>
    </row>
    <row r="259" spans="1:9">
      <c r="A259" t="s">
        <v>717</v>
      </c>
      <c r="B259">
        <v>196</v>
      </c>
      <c r="C259" t="s">
        <v>718</v>
      </c>
    </row>
    <row r="260" spans="1:9">
      <c r="A260" t="s">
        <v>720</v>
      </c>
      <c r="B260">
        <v>233</v>
      </c>
      <c r="C260" t="s">
        <v>721</v>
      </c>
    </row>
    <row r="261" spans="1:9">
      <c r="A261" t="s">
        <v>723</v>
      </c>
      <c r="B261">
        <v>398</v>
      </c>
      <c r="C261" t="s">
        <v>724</v>
      </c>
      <c r="D261" s="1" t="s">
        <v>7333</v>
      </c>
    </row>
    <row r="262" spans="1:9">
      <c r="A262" t="s">
        <v>726</v>
      </c>
      <c r="B262">
        <v>302</v>
      </c>
      <c r="C262" t="s">
        <v>727</v>
      </c>
      <c r="D262" s="1" t="s">
        <v>7334</v>
      </c>
      <c r="F262" s="1" t="s">
        <v>10193</v>
      </c>
      <c r="G262" s="1" t="s">
        <v>10194</v>
      </c>
      <c r="H262" t="s">
        <v>10195</v>
      </c>
      <c r="I262" t="s">
        <v>10196</v>
      </c>
    </row>
    <row r="263" spans="1:9">
      <c r="A263" t="s">
        <v>726</v>
      </c>
      <c r="B263">
        <v>302</v>
      </c>
      <c r="C263" t="s">
        <v>727</v>
      </c>
      <c r="D263" s="1" t="s">
        <v>7334</v>
      </c>
      <c r="F263" s="1" t="s">
        <v>10193</v>
      </c>
      <c r="G263" s="1" t="s">
        <v>10194</v>
      </c>
      <c r="H263" t="s">
        <v>10197</v>
      </c>
      <c r="I263" t="s">
        <v>10198</v>
      </c>
    </row>
    <row r="264" spans="1:9">
      <c r="A264" t="s">
        <v>726</v>
      </c>
      <c r="B264">
        <v>302</v>
      </c>
      <c r="C264" t="s">
        <v>727</v>
      </c>
      <c r="D264" s="1" t="s">
        <v>7334</v>
      </c>
      <c r="F264" s="1" t="s">
        <v>10193</v>
      </c>
      <c r="G264" s="1" t="s">
        <v>10194</v>
      </c>
      <c r="H264" t="s">
        <v>10199</v>
      </c>
      <c r="I264" t="s">
        <v>10200</v>
      </c>
    </row>
    <row r="265" spans="1:9">
      <c r="A265" t="s">
        <v>726</v>
      </c>
      <c r="B265">
        <v>302</v>
      </c>
      <c r="C265" t="s">
        <v>727</v>
      </c>
      <c r="D265" s="1" t="s">
        <v>7334</v>
      </c>
      <c r="F265" s="1" t="s">
        <v>10193</v>
      </c>
      <c r="G265" s="1" t="s">
        <v>10194</v>
      </c>
      <c r="H265" t="s">
        <v>10201</v>
      </c>
      <c r="I265" t="s">
        <v>10202</v>
      </c>
    </row>
    <row r="266" spans="1:9">
      <c r="A266" t="s">
        <v>726</v>
      </c>
      <c r="B266">
        <v>302</v>
      </c>
      <c r="C266" t="s">
        <v>727</v>
      </c>
      <c r="D266" s="1" t="s">
        <v>7334</v>
      </c>
      <c r="F266" s="1" t="s">
        <v>10193</v>
      </c>
      <c r="G266" s="1" t="s">
        <v>10194</v>
      </c>
      <c r="H266" t="s">
        <v>10203</v>
      </c>
      <c r="I266" t="s">
        <v>10204</v>
      </c>
    </row>
    <row r="267" spans="1:9">
      <c r="A267" t="s">
        <v>726</v>
      </c>
      <c r="B267">
        <v>302</v>
      </c>
      <c r="C267" t="s">
        <v>727</v>
      </c>
      <c r="D267" s="1" t="s">
        <v>7334</v>
      </c>
      <c r="F267" s="1" t="s">
        <v>10193</v>
      </c>
      <c r="G267" s="1" t="s">
        <v>10194</v>
      </c>
      <c r="H267" t="s">
        <v>10205</v>
      </c>
      <c r="I267" t="s">
        <v>10206</v>
      </c>
    </row>
    <row r="268" spans="1:9">
      <c r="A268" t="s">
        <v>728</v>
      </c>
      <c r="B268">
        <v>167</v>
      </c>
      <c r="C268" t="s">
        <v>729</v>
      </c>
    </row>
    <row r="269" spans="1:9">
      <c r="A269" t="s">
        <v>730</v>
      </c>
      <c r="B269">
        <v>238</v>
      </c>
      <c r="C269" t="s">
        <v>731</v>
      </c>
    </row>
    <row r="270" spans="1:9">
      <c r="A270" t="s">
        <v>732</v>
      </c>
      <c r="B270">
        <v>356</v>
      </c>
      <c r="C270" t="s">
        <v>733</v>
      </c>
    </row>
    <row r="271" spans="1:9">
      <c r="A271" t="s">
        <v>735</v>
      </c>
      <c r="B271">
        <v>400</v>
      </c>
      <c r="C271" t="s">
        <v>736</v>
      </c>
    </row>
    <row r="272" spans="1:9">
      <c r="A272" t="s">
        <v>737</v>
      </c>
      <c r="B272">
        <v>259</v>
      </c>
      <c r="C272" t="s">
        <v>738</v>
      </c>
    </row>
    <row r="273" spans="1:9">
      <c r="A273" t="s">
        <v>740</v>
      </c>
      <c r="B273">
        <v>207</v>
      </c>
      <c r="C273" t="s">
        <v>741</v>
      </c>
    </row>
    <row r="274" spans="1:9">
      <c r="A274" t="s">
        <v>742</v>
      </c>
      <c r="B274">
        <v>67</v>
      </c>
      <c r="C274" t="s">
        <v>743</v>
      </c>
    </row>
    <row r="275" spans="1:9">
      <c r="A275" t="s">
        <v>744</v>
      </c>
      <c r="B275">
        <v>104</v>
      </c>
      <c r="C275" t="s">
        <v>745</v>
      </c>
    </row>
    <row r="276" spans="1:9">
      <c r="A276" t="s">
        <v>746</v>
      </c>
      <c r="B276">
        <v>107</v>
      </c>
      <c r="C276" t="s">
        <v>747</v>
      </c>
    </row>
    <row r="277" spans="1:9">
      <c r="A277" t="s">
        <v>749</v>
      </c>
      <c r="B277">
        <v>790</v>
      </c>
      <c r="C277" t="s">
        <v>750</v>
      </c>
    </row>
    <row r="278" spans="1:9">
      <c r="A278" t="s">
        <v>753</v>
      </c>
      <c r="B278">
        <v>67</v>
      </c>
      <c r="C278" t="s">
        <v>754</v>
      </c>
    </row>
    <row r="279" spans="1:9">
      <c r="A279" t="s">
        <v>757</v>
      </c>
      <c r="B279">
        <v>209</v>
      </c>
      <c r="C279" t="s">
        <v>758</v>
      </c>
    </row>
    <row r="280" spans="1:9">
      <c r="A280" t="s">
        <v>761</v>
      </c>
      <c r="B280">
        <v>997</v>
      </c>
      <c r="C280" t="s">
        <v>762</v>
      </c>
    </row>
    <row r="281" spans="1:9">
      <c r="A281" t="s">
        <v>763</v>
      </c>
      <c r="B281">
        <v>252</v>
      </c>
      <c r="C281" t="s">
        <v>764</v>
      </c>
    </row>
    <row r="282" spans="1:9">
      <c r="A282" t="s">
        <v>765</v>
      </c>
      <c r="B282">
        <v>497</v>
      </c>
      <c r="C282" t="s">
        <v>766</v>
      </c>
    </row>
    <row r="283" spans="1:9">
      <c r="A283" t="s">
        <v>767</v>
      </c>
      <c r="B283">
        <v>41</v>
      </c>
      <c r="C283" t="s">
        <v>768</v>
      </c>
    </row>
    <row r="284" spans="1:9">
      <c r="A284" t="s">
        <v>769</v>
      </c>
      <c r="B284">
        <v>402</v>
      </c>
      <c r="C284" t="s">
        <v>770</v>
      </c>
    </row>
    <row r="285" spans="1:9">
      <c r="A285" t="s">
        <v>773</v>
      </c>
      <c r="B285">
        <v>499</v>
      </c>
      <c r="C285" t="s">
        <v>774</v>
      </c>
      <c r="D285" s="1" t="s">
        <v>7335</v>
      </c>
      <c r="F285" s="1" t="s">
        <v>7959</v>
      </c>
      <c r="G285" s="1" t="s">
        <v>7960</v>
      </c>
      <c r="H285" t="s">
        <v>7961</v>
      </c>
      <c r="I285" t="s">
        <v>7962</v>
      </c>
    </row>
    <row r="286" spans="1:9">
      <c r="A286" t="s">
        <v>773</v>
      </c>
      <c r="B286">
        <v>499</v>
      </c>
      <c r="C286" t="s">
        <v>774</v>
      </c>
      <c r="D286" s="1" t="s">
        <v>7335</v>
      </c>
      <c r="F286" s="1" t="s">
        <v>7959</v>
      </c>
      <c r="G286" s="1" t="s">
        <v>7960</v>
      </c>
      <c r="H286" t="s">
        <v>10207</v>
      </c>
      <c r="I286" t="s">
        <v>10208</v>
      </c>
    </row>
    <row r="287" spans="1:9">
      <c r="A287" t="s">
        <v>776</v>
      </c>
      <c r="B287">
        <v>399</v>
      </c>
      <c r="C287" t="s">
        <v>777</v>
      </c>
      <c r="D287" s="1" t="s">
        <v>7279</v>
      </c>
      <c r="F287" s="1" t="s">
        <v>7828</v>
      </c>
      <c r="G287" s="1" t="s">
        <v>7829</v>
      </c>
      <c r="H287" t="s">
        <v>7830</v>
      </c>
      <c r="I287" s="3" t="s">
        <v>7831</v>
      </c>
    </row>
    <row r="288" spans="1:9">
      <c r="A288" t="s">
        <v>776</v>
      </c>
      <c r="B288">
        <v>399</v>
      </c>
      <c r="C288" t="s">
        <v>777</v>
      </c>
      <c r="D288" s="1" t="s">
        <v>7279</v>
      </c>
      <c r="F288" s="1" t="s">
        <v>7828</v>
      </c>
      <c r="G288" s="1" t="s">
        <v>7829</v>
      </c>
      <c r="H288" t="s">
        <v>10162</v>
      </c>
      <c r="I288" s="3" t="s">
        <v>10163</v>
      </c>
    </row>
    <row r="289" spans="1:9">
      <c r="A289" t="s">
        <v>776</v>
      </c>
      <c r="B289">
        <v>399</v>
      </c>
      <c r="C289" t="s">
        <v>777</v>
      </c>
      <c r="D289" s="1" t="s">
        <v>7279</v>
      </c>
      <c r="F289" s="1" t="s">
        <v>7828</v>
      </c>
      <c r="G289" s="1" t="s">
        <v>7829</v>
      </c>
      <c r="H289" t="s">
        <v>10164</v>
      </c>
      <c r="I289" s="3" t="s">
        <v>10163</v>
      </c>
    </row>
    <row r="290" spans="1:9">
      <c r="A290" t="s">
        <v>776</v>
      </c>
      <c r="B290">
        <v>399</v>
      </c>
      <c r="C290" t="s">
        <v>777</v>
      </c>
      <c r="D290" s="1" t="s">
        <v>7279</v>
      </c>
      <c r="F290" s="1" t="s">
        <v>7828</v>
      </c>
      <c r="G290" s="1" t="s">
        <v>7829</v>
      </c>
      <c r="H290" t="s">
        <v>10165</v>
      </c>
      <c r="I290" s="3" t="s">
        <v>10163</v>
      </c>
    </row>
    <row r="291" spans="1:9">
      <c r="A291" t="s">
        <v>776</v>
      </c>
      <c r="B291">
        <v>399</v>
      </c>
      <c r="C291" t="s">
        <v>777</v>
      </c>
      <c r="D291" s="1" t="s">
        <v>7279</v>
      </c>
      <c r="F291" s="1" t="s">
        <v>7828</v>
      </c>
      <c r="G291" s="1" t="s">
        <v>7829</v>
      </c>
      <c r="H291" t="s">
        <v>10166</v>
      </c>
      <c r="I291" s="3" t="s">
        <v>10163</v>
      </c>
    </row>
    <row r="292" spans="1:9">
      <c r="A292" t="s">
        <v>776</v>
      </c>
      <c r="B292">
        <v>399</v>
      </c>
      <c r="C292" t="s">
        <v>777</v>
      </c>
      <c r="D292" s="1" t="s">
        <v>7279</v>
      </c>
      <c r="F292" s="1" t="s">
        <v>7828</v>
      </c>
      <c r="G292" s="1" t="s">
        <v>7829</v>
      </c>
      <c r="H292" t="s">
        <v>10167</v>
      </c>
      <c r="I292" s="3" t="s">
        <v>10168</v>
      </c>
    </row>
    <row r="293" spans="1:9">
      <c r="A293" t="s">
        <v>778</v>
      </c>
      <c r="B293">
        <v>497</v>
      </c>
      <c r="C293" t="s">
        <v>779</v>
      </c>
    </row>
    <row r="294" spans="1:9">
      <c r="A294" t="s">
        <v>780</v>
      </c>
      <c r="B294">
        <v>41</v>
      </c>
      <c r="C294" t="s">
        <v>781</v>
      </c>
    </row>
    <row r="295" spans="1:9">
      <c r="C295" t="s">
        <v>783</v>
      </c>
    </row>
    <row r="296" spans="1:9">
      <c r="A296" t="s">
        <v>784</v>
      </c>
      <c r="B296">
        <v>96</v>
      </c>
      <c r="C296" t="s">
        <v>785</v>
      </c>
    </row>
    <row r="297" spans="1:9">
      <c r="A297" t="s">
        <v>788</v>
      </c>
      <c r="B297">
        <v>540</v>
      </c>
      <c r="C297" t="s">
        <v>789</v>
      </c>
      <c r="D297" s="1" t="s">
        <v>7336</v>
      </c>
      <c r="F297" s="1" t="s">
        <v>7963</v>
      </c>
      <c r="G297" s="1" t="s">
        <v>7964</v>
      </c>
      <c r="H297" t="s">
        <v>7965</v>
      </c>
      <c r="I297" t="s">
        <v>7968</v>
      </c>
    </row>
    <row r="298" spans="1:9">
      <c r="A298" t="s">
        <v>788</v>
      </c>
      <c r="B298">
        <v>540</v>
      </c>
      <c r="C298" t="s">
        <v>789</v>
      </c>
      <c r="D298" s="1" t="s">
        <v>7336</v>
      </c>
      <c r="F298" s="1" t="s">
        <v>7963</v>
      </c>
      <c r="G298" s="1" t="s">
        <v>7964</v>
      </c>
      <c r="H298" t="s">
        <v>10156</v>
      </c>
      <c r="I298" t="s">
        <v>10157</v>
      </c>
    </row>
    <row r="299" spans="1:9">
      <c r="A299" t="s">
        <v>790</v>
      </c>
      <c r="B299">
        <v>272</v>
      </c>
      <c r="C299" t="s">
        <v>791</v>
      </c>
    </row>
    <row r="300" spans="1:9">
      <c r="A300" t="s">
        <v>793</v>
      </c>
      <c r="B300">
        <v>366</v>
      </c>
      <c r="C300" t="s">
        <v>794</v>
      </c>
      <c r="D300" s="1" t="s">
        <v>7337</v>
      </c>
      <c r="F300" s="1" t="s">
        <v>7969</v>
      </c>
      <c r="G300" s="1" t="s">
        <v>7970</v>
      </c>
      <c r="H300" s="3" t="s">
        <v>7971</v>
      </c>
      <c r="I300" s="3" t="s">
        <v>7972</v>
      </c>
    </row>
    <row r="301" spans="1:9">
      <c r="A301" t="s">
        <v>793</v>
      </c>
      <c r="B301">
        <v>366</v>
      </c>
      <c r="C301" t="s">
        <v>794</v>
      </c>
      <c r="D301" s="1" t="s">
        <v>7337</v>
      </c>
      <c r="F301" s="1" t="s">
        <v>7969</v>
      </c>
      <c r="G301" s="1" t="s">
        <v>7970</v>
      </c>
      <c r="H301" s="3" t="s">
        <v>10209</v>
      </c>
      <c r="I301" s="3" t="s">
        <v>10210</v>
      </c>
    </row>
    <row r="302" spans="1:9">
      <c r="A302" t="s">
        <v>796</v>
      </c>
      <c r="B302">
        <v>204</v>
      </c>
      <c r="C302" t="s">
        <v>797</v>
      </c>
      <c r="D302" s="1" t="s">
        <v>7332</v>
      </c>
    </row>
    <row r="303" spans="1:9">
      <c r="A303" t="s">
        <v>800</v>
      </c>
      <c r="B303">
        <v>282</v>
      </c>
      <c r="C303" t="s">
        <v>801</v>
      </c>
      <c r="D303" s="1" t="s">
        <v>7338</v>
      </c>
      <c r="F303" s="1" t="s">
        <v>7973</v>
      </c>
      <c r="G303" s="1" t="s">
        <v>7974</v>
      </c>
      <c r="H303" t="s">
        <v>7976</v>
      </c>
      <c r="I303" t="s">
        <v>7975</v>
      </c>
    </row>
    <row r="304" spans="1:9">
      <c r="A304" t="s">
        <v>804</v>
      </c>
      <c r="B304">
        <v>461</v>
      </c>
      <c r="C304" t="s">
        <v>805</v>
      </c>
      <c r="D304" s="1" t="s">
        <v>7339</v>
      </c>
      <c r="F304" s="1" t="s">
        <v>7977</v>
      </c>
      <c r="G304" s="1" t="s">
        <v>7978</v>
      </c>
      <c r="H304" t="s">
        <v>7979</v>
      </c>
      <c r="I304" t="s">
        <v>7980</v>
      </c>
    </row>
    <row r="305" spans="1:9">
      <c r="A305" t="s">
        <v>808</v>
      </c>
      <c r="B305">
        <v>334</v>
      </c>
      <c r="C305" t="s">
        <v>809</v>
      </c>
      <c r="D305" s="1" t="s">
        <v>7340</v>
      </c>
      <c r="F305" s="1" t="s">
        <v>7981</v>
      </c>
      <c r="G305" s="1" t="s">
        <v>7982</v>
      </c>
      <c r="H305" t="s">
        <v>7983</v>
      </c>
      <c r="I305" t="s">
        <v>7984</v>
      </c>
    </row>
    <row r="306" spans="1:9">
      <c r="A306" t="s">
        <v>810</v>
      </c>
      <c r="B306">
        <v>518</v>
      </c>
      <c r="C306" t="s">
        <v>811</v>
      </c>
    </row>
    <row r="307" spans="1:9">
      <c r="A307" t="s">
        <v>814</v>
      </c>
      <c r="B307">
        <v>441</v>
      </c>
      <c r="C307" t="s">
        <v>815</v>
      </c>
      <c r="D307" s="1" t="s">
        <v>7341</v>
      </c>
      <c r="F307" s="1" t="s">
        <v>7985</v>
      </c>
      <c r="G307" s="1" t="s">
        <v>7986</v>
      </c>
      <c r="H307" t="s">
        <v>7987</v>
      </c>
      <c r="I307" t="s">
        <v>7988</v>
      </c>
    </row>
    <row r="308" spans="1:9">
      <c r="A308" t="s">
        <v>814</v>
      </c>
      <c r="B308">
        <v>441</v>
      </c>
      <c r="C308" t="s">
        <v>815</v>
      </c>
      <c r="D308" s="1" t="s">
        <v>7341</v>
      </c>
      <c r="F308" s="1" t="s">
        <v>7985</v>
      </c>
      <c r="G308" s="1" t="s">
        <v>7986</v>
      </c>
      <c r="H308" t="s">
        <v>10211</v>
      </c>
      <c r="I308" t="s">
        <v>10212</v>
      </c>
    </row>
    <row r="309" spans="1:9">
      <c r="A309" t="s">
        <v>818</v>
      </c>
      <c r="B309">
        <v>359</v>
      </c>
      <c r="C309" t="s">
        <v>819</v>
      </c>
      <c r="D309" s="1" t="s">
        <v>7342</v>
      </c>
      <c r="F309" s="1" t="s">
        <v>7989</v>
      </c>
      <c r="G309" s="1" t="s">
        <v>7990</v>
      </c>
      <c r="H309" t="s">
        <v>7991</v>
      </c>
      <c r="I309" t="s">
        <v>7992</v>
      </c>
    </row>
    <row r="310" spans="1:9">
      <c r="A310" t="s">
        <v>818</v>
      </c>
      <c r="B310">
        <v>359</v>
      </c>
      <c r="C310" t="s">
        <v>819</v>
      </c>
      <c r="D310" s="1" t="s">
        <v>7342</v>
      </c>
      <c r="F310" s="1" t="s">
        <v>7989</v>
      </c>
      <c r="G310" s="1" t="s">
        <v>7990</v>
      </c>
      <c r="H310" t="s">
        <v>10214</v>
      </c>
      <c r="I310" t="s">
        <v>10215</v>
      </c>
    </row>
    <row r="311" spans="1:9">
      <c r="A311" t="s">
        <v>820</v>
      </c>
      <c r="B311">
        <v>36</v>
      </c>
      <c r="C311" t="s">
        <v>821</v>
      </c>
    </row>
    <row r="312" spans="1:9">
      <c r="A312" t="s">
        <v>824</v>
      </c>
      <c r="B312">
        <v>470</v>
      </c>
      <c r="C312" t="s">
        <v>825</v>
      </c>
      <c r="D312" s="1" t="s">
        <v>7343</v>
      </c>
      <c r="F312" s="1" t="s">
        <v>7993</v>
      </c>
      <c r="G312" s="1" t="s">
        <v>7994</v>
      </c>
      <c r="H312" t="s">
        <v>7995</v>
      </c>
      <c r="I312" t="s">
        <v>7996</v>
      </c>
    </row>
    <row r="313" spans="1:9">
      <c r="A313" t="s">
        <v>824</v>
      </c>
      <c r="B313">
        <v>470</v>
      </c>
      <c r="C313" t="s">
        <v>825</v>
      </c>
      <c r="D313" s="1" t="s">
        <v>7343</v>
      </c>
      <c r="F313" s="1" t="s">
        <v>7993</v>
      </c>
      <c r="G313" s="1" t="s">
        <v>7994</v>
      </c>
      <c r="H313" t="s">
        <v>10216</v>
      </c>
      <c r="I313" t="s">
        <v>10217</v>
      </c>
    </row>
    <row r="314" spans="1:9">
      <c r="A314" t="s">
        <v>824</v>
      </c>
      <c r="B314">
        <v>470</v>
      </c>
      <c r="C314" t="s">
        <v>825</v>
      </c>
      <c r="D314" s="1" t="s">
        <v>7343</v>
      </c>
      <c r="F314" s="1" t="s">
        <v>7993</v>
      </c>
      <c r="G314" s="1" t="s">
        <v>7994</v>
      </c>
      <c r="H314" t="s">
        <v>10218</v>
      </c>
      <c r="I314" t="s">
        <v>10219</v>
      </c>
    </row>
    <row r="315" spans="1:9">
      <c r="A315" t="s">
        <v>824</v>
      </c>
      <c r="B315">
        <v>470</v>
      </c>
      <c r="C315" t="s">
        <v>825</v>
      </c>
      <c r="D315" s="1" t="s">
        <v>7343</v>
      </c>
      <c r="F315" s="1" t="s">
        <v>7993</v>
      </c>
      <c r="G315" s="1" t="s">
        <v>7994</v>
      </c>
      <c r="H315" t="s">
        <v>10220</v>
      </c>
      <c r="I315" t="s">
        <v>10221</v>
      </c>
    </row>
    <row r="316" spans="1:9">
      <c r="A316" t="s">
        <v>827</v>
      </c>
      <c r="B316">
        <v>469</v>
      </c>
      <c r="C316" t="s">
        <v>828</v>
      </c>
    </row>
    <row r="317" spans="1:9">
      <c r="A317" t="s">
        <v>830</v>
      </c>
      <c r="B317">
        <v>251</v>
      </c>
      <c r="C317" t="s">
        <v>831</v>
      </c>
    </row>
    <row r="318" spans="1:9">
      <c r="A318" t="s">
        <v>834</v>
      </c>
      <c r="B318">
        <v>671</v>
      </c>
      <c r="C318" t="s">
        <v>835</v>
      </c>
      <c r="D318" s="1" t="s">
        <v>7344</v>
      </c>
      <c r="F318" s="1" t="s">
        <v>7997</v>
      </c>
    </row>
    <row r="319" spans="1:9">
      <c r="A319" t="s">
        <v>838</v>
      </c>
      <c r="B319">
        <v>249</v>
      </c>
      <c r="C319" t="s">
        <v>839</v>
      </c>
      <c r="D319" s="1" t="s">
        <v>7345</v>
      </c>
      <c r="F319" s="1" t="s">
        <v>7998</v>
      </c>
      <c r="G319" s="1" t="s">
        <v>7999</v>
      </c>
      <c r="H319" t="s">
        <v>8000</v>
      </c>
      <c r="I319" t="s">
        <v>8001</v>
      </c>
    </row>
    <row r="320" spans="1:9">
      <c r="A320" t="s">
        <v>838</v>
      </c>
      <c r="B320">
        <v>249</v>
      </c>
      <c r="C320" t="s">
        <v>839</v>
      </c>
      <c r="D320" s="1" t="s">
        <v>7345</v>
      </c>
      <c r="F320" s="1" t="s">
        <v>7998</v>
      </c>
      <c r="G320" s="1" t="s">
        <v>7999</v>
      </c>
      <c r="H320" t="s">
        <v>10222</v>
      </c>
      <c r="I320" t="s">
        <v>10223</v>
      </c>
    </row>
    <row r="321" spans="1:9">
      <c r="A321" t="s">
        <v>840</v>
      </c>
      <c r="B321">
        <v>124</v>
      </c>
      <c r="C321" t="s">
        <v>841</v>
      </c>
    </row>
    <row r="322" spans="1:9">
      <c r="A322" t="s">
        <v>842</v>
      </c>
      <c r="B322">
        <v>71</v>
      </c>
      <c r="C322" t="s">
        <v>843</v>
      </c>
    </row>
    <row r="323" spans="1:9">
      <c r="A323" t="s">
        <v>844</v>
      </c>
      <c r="B323">
        <v>52</v>
      </c>
      <c r="C323" t="s">
        <v>845</v>
      </c>
    </row>
    <row r="324" spans="1:9">
      <c r="A324" t="s">
        <v>846</v>
      </c>
      <c r="B324">
        <v>145</v>
      </c>
      <c r="C324" t="s">
        <v>847</v>
      </c>
    </row>
    <row r="325" spans="1:9">
      <c r="A325" t="s">
        <v>848</v>
      </c>
      <c r="B325">
        <v>48</v>
      </c>
      <c r="C325" t="s">
        <v>849</v>
      </c>
    </row>
    <row r="326" spans="1:9">
      <c r="A326" t="s">
        <v>850</v>
      </c>
      <c r="B326">
        <v>150</v>
      </c>
      <c r="C326" t="s">
        <v>851</v>
      </c>
    </row>
    <row r="327" spans="1:9">
      <c r="A327" t="s">
        <v>852</v>
      </c>
      <c r="B327">
        <v>155</v>
      </c>
      <c r="C327" t="s">
        <v>853</v>
      </c>
    </row>
    <row r="328" spans="1:9">
      <c r="A328" t="s">
        <v>854</v>
      </c>
      <c r="B328">
        <v>125</v>
      </c>
      <c r="C328" t="s">
        <v>855</v>
      </c>
    </row>
    <row r="329" spans="1:9">
      <c r="A329" t="s">
        <v>856</v>
      </c>
      <c r="B329">
        <v>90</v>
      </c>
      <c r="C329" t="s">
        <v>857</v>
      </c>
    </row>
    <row r="330" spans="1:9">
      <c r="A330" t="s">
        <v>858</v>
      </c>
      <c r="B330">
        <v>54</v>
      </c>
      <c r="C330" t="s">
        <v>859</v>
      </c>
    </row>
    <row r="331" spans="1:9">
      <c r="A331" t="s">
        <v>860</v>
      </c>
      <c r="B331">
        <v>43</v>
      </c>
      <c r="C331" t="s">
        <v>861</v>
      </c>
    </row>
    <row r="332" spans="1:9">
      <c r="A332" t="s">
        <v>862</v>
      </c>
      <c r="B332">
        <v>285</v>
      </c>
      <c r="C332" t="s">
        <v>863</v>
      </c>
    </row>
    <row r="333" spans="1:9">
      <c r="A333" t="s">
        <v>864</v>
      </c>
      <c r="B333">
        <v>30</v>
      </c>
      <c r="C333" t="s">
        <v>865</v>
      </c>
    </row>
    <row r="334" spans="1:9">
      <c r="C334" t="s">
        <v>866</v>
      </c>
    </row>
    <row r="335" spans="1:9">
      <c r="A335" t="s">
        <v>867</v>
      </c>
      <c r="B335">
        <v>86</v>
      </c>
      <c r="C335" t="s">
        <v>868</v>
      </c>
    </row>
    <row r="336" spans="1:9">
      <c r="A336" t="s">
        <v>870</v>
      </c>
      <c r="B336">
        <v>324</v>
      </c>
      <c r="C336" t="s">
        <v>871</v>
      </c>
      <c r="D336" s="1" t="s">
        <v>7343</v>
      </c>
      <c r="F336" s="1" t="s">
        <v>7993</v>
      </c>
      <c r="G336" s="1" t="s">
        <v>7994</v>
      </c>
      <c r="H336" t="s">
        <v>7995</v>
      </c>
      <c r="I336" t="s">
        <v>7996</v>
      </c>
    </row>
    <row r="337" spans="1:9">
      <c r="A337" t="s">
        <v>870</v>
      </c>
      <c r="B337">
        <v>324</v>
      </c>
      <c r="C337" t="s">
        <v>871</v>
      </c>
      <c r="D337" s="1" t="s">
        <v>7343</v>
      </c>
      <c r="F337" s="1" t="s">
        <v>7993</v>
      </c>
      <c r="G337" s="1" t="s">
        <v>7994</v>
      </c>
      <c r="H337" t="s">
        <v>10216</v>
      </c>
      <c r="I337" t="s">
        <v>10217</v>
      </c>
    </row>
    <row r="338" spans="1:9">
      <c r="A338" t="s">
        <v>870</v>
      </c>
      <c r="B338">
        <v>324</v>
      </c>
      <c r="C338" t="s">
        <v>871</v>
      </c>
      <c r="D338" s="1" t="s">
        <v>7343</v>
      </c>
      <c r="F338" s="1" t="s">
        <v>7993</v>
      </c>
      <c r="G338" s="1" t="s">
        <v>7994</v>
      </c>
      <c r="H338" t="s">
        <v>10218</v>
      </c>
      <c r="I338" t="s">
        <v>10219</v>
      </c>
    </row>
    <row r="339" spans="1:9">
      <c r="A339" t="s">
        <v>870</v>
      </c>
      <c r="B339">
        <v>324</v>
      </c>
      <c r="C339" t="s">
        <v>871</v>
      </c>
      <c r="D339" s="1" t="s">
        <v>7343</v>
      </c>
      <c r="F339" s="1" t="s">
        <v>7993</v>
      </c>
      <c r="G339" s="1" t="s">
        <v>7994</v>
      </c>
      <c r="H339" t="s">
        <v>10220</v>
      </c>
      <c r="I339" t="s">
        <v>10221</v>
      </c>
    </row>
    <row r="340" spans="1:9">
      <c r="A340" t="s">
        <v>873</v>
      </c>
      <c r="B340">
        <v>39</v>
      </c>
      <c r="C340" t="s">
        <v>874</v>
      </c>
      <c r="D340" s="1" t="s">
        <v>7343</v>
      </c>
      <c r="F340" s="1" t="s">
        <v>7993</v>
      </c>
      <c r="G340" s="1" t="s">
        <v>7994</v>
      </c>
      <c r="H340" t="s">
        <v>7995</v>
      </c>
      <c r="I340" t="s">
        <v>7996</v>
      </c>
    </row>
    <row r="341" spans="1:9">
      <c r="A341" t="s">
        <v>873</v>
      </c>
      <c r="B341">
        <v>39</v>
      </c>
      <c r="C341" t="s">
        <v>874</v>
      </c>
      <c r="D341" s="1" t="s">
        <v>7343</v>
      </c>
      <c r="F341" s="1" t="s">
        <v>7993</v>
      </c>
      <c r="G341" s="1" t="s">
        <v>7994</v>
      </c>
      <c r="H341" t="s">
        <v>10216</v>
      </c>
      <c r="I341" t="s">
        <v>10217</v>
      </c>
    </row>
    <row r="342" spans="1:9">
      <c r="A342" t="s">
        <v>873</v>
      </c>
      <c r="B342">
        <v>39</v>
      </c>
      <c r="C342" t="s">
        <v>874</v>
      </c>
      <c r="D342" s="1" t="s">
        <v>7343</v>
      </c>
      <c r="F342" s="1" t="s">
        <v>7993</v>
      </c>
      <c r="G342" s="1" t="s">
        <v>7994</v>
      </c>
      <c r="H342" t="s">
        <v>10218</v>
      </c>
      <c r="I342" t="s">
        <v>10219</v>
      </c>
    </row>
    <row r="343" spans="1:9">
      <c r="A343" t="s">
        <v>873</v>
      </c>
      <c r="B343">
        <v>39</v>
      </c>
      <c r="C343" t="s">
        <v>874</v>
      </c>
      <c r="D343" s="1" t="s">
        <v>7343</v>
      </c>
      <c r="F343" s="1" t="s">
        <v>7993</v>
      </c>
      <c r="G343" s="1" t="s">
        <v>7994</v>
      </c>
      <c r="H343" t="s">
        <v>10220</v>
      </c>
      <c r="I343" t="s">
        <v>10221</v>
      </c>
    </row>
    <row r="344" spans="1:9">
      <c r="C344" t="s">
        <v>875</v>
      </c>
    </row>
    <row r="345" spans="1:9">
      <c r="A345" t="s">
        <v>876</v>
      </c>
      <c r="B345">
        <v>125</v>
      </c>
      <c r="C345" t="s">
        <v>877</v>
      </c>
    </row>
    <row r="346" spans="1:9">
      <c r="A346" t="s">
        <v>878</v>
      </c>
      <c r="B346">
        <v>75</v>
      </c>
      <c r="C346" t="s">
        <v>879</v>
      </c>
    </row>
    <row r="347" spans="1:9">
      <c r="A347" t="s">
        <v>880</v>
      </c>
      <c r="B347">
        <v>157</v>
      </c>
      <c r="C347" t="s">
        <v>881</v>
      </c>
    </row>
    <row r="348" spans="1:9">
      <c r="A348" t="s">
        <v>883</v>
      </c>
      <c r="B348">
        <v>248</v>
      </c>
      <c r="C348" t="s">
        <v>884</v>
      </c>
      <c r="D348" s="1" t="s">
        <v>7344</v>
      </c>
      <c r="F348" s="1" t="s">
        <v>7997</v>
      </c>
    </row>
    <row r="349" spans="1:9">
      <c r="A349" t="s">
        <v>886</v>
      </c>
      <c r="B349">
        <v>144</v>
      </c>
      <c r="C349" t="s">
        <v>887</v>
      </c>
      <c r="D349" s="1" t="s">
        <v>7344</v>
      </c>
      <c r="F349" s="1" t="s">
        <v>7997</v>
      </c>
    </row>
    <row r="350" spans="1:9">
      <c r="A350" t="s">
        <v>889</v>
      </c>
      <c r="B350">
        <v>246</v>
      </c>
      <c r="C350" t="s">
        <v>890</v>
      </c>
      <c r="D350" s="1" t="s">
        <v>7345</v>
      </c>
      <c r="F350" s="1" t="s">
        <v>7998</v>
      </c>
      <c r="G350" s="1" t="s">
        <v>7999</v>
      </c>
      <c r="H350" t="s">
        <v>8000</v>
      </c>
      <c r="I350" t="s">
        <v>8001</v>
      </c>
    </row>
    <row r="351" spans="1:9">
      <c r="A351" t="s">
        <v>889</v>
      </c>
      <c r="B351">
        <v>246</v>
      </c>
      <c r="C351" t="s">
        <v>890</v>
      </c>
      <c r="D351" s="1" t="s">
        <v>7345</v>
      </c>
      <c r="F351" s="1" t="s">
        <v>7998</v>
      </c>
      <c r="G351" s="1" t="s">
        <v>7999</v>
      </c>
      <c r="H351" t="s">
        <v>10222</v>
      </c>
      <c r="I351" t="s">
        <v>10223</v>
      </c>
    </row>
    <row r="352" spans="1:9">
      <c r="A352" t="s">
        <v>891</v>
      </c>
      <c r="B352">
        <v>124</v>
      </c>
      <c r="C352" t="s">
        <v>892</v>
      </c>
    </row>
    <row r="353" spans="1:7">
      <c r="A353" t="s">
        <v>893</v>
      </c>
      <c r="B353">
        <v>71</v>
      </c>
      <c r="C353" t="s">
        <v>894</v>
      </c>
    </row>
    <row r="354" spans="1:7">
      <c r="A354" t="s">
        <v>895</v>
      </c>
      <c r="B354">
        <v>52</v>
      </c>
      <c r="C354" t="s">
        <v>896</v>
      </c>
      <c r="G354" s="1"/>
    </row>
    <row r="355" spans="1:7">
      <c r="A355" t="s">
        <v>897</v>
      </c>
      <c r="B355">
        <v>62</v>
      </c>
      <c r="C355" t="s">
        <v>898</v>
      </c>
    </row>
    <row r="356" spans="1:7">
      <c r="A356" t="s">
        <v>899</v>
      </c>
      <c r="B356">
        <v>48</v>
      </c>
      <c r="C356" t="s">
        <v>900</v>
      </c>
    </row>
    <row r="357" spans="1:7">
      <c r="A357" t="s">
        <v>901</v>
      </c>
      <c r="B357">
        <v>150</v>
      </c>
      <c r="C357" t="s">
        <v>902</v>
      </c>
    </row>
    <row r="358" spans="1:7">
      <c r="A358" t="s">
        <v>903</v>
      </c>
      <c r="B358">
        <v>155</v>
      </c>
      <c r="C358" t="s">
        <v>904</v>
      </c>
    </row>
    <row r="359" spans="1:7">
      <c r="A359" t="s">
        <v>905</v>
      </c>
      <c r="B359">
        <v>497</v>
      </c>
      <c r="C359" t="s">
        <v>906</v>
      </c>
    </row>
    <row r="360" spans="1:7">
      <c r="A360" t="s">
        <v>907</v>
      </c>
      <c r="B360">
        <v>41</v>
      </c>
      <c r="C360" t="s">
        <v>908</v>
      </c>
    </row>
    <row r="361" spans="1:7">
      <c r="A361" t="s">
        <v>909</v>
      </c>
      <c r="B361">
        <v>160</v>
      </c>
      <c r="C361" t="s">
        <v>910</v>
      </c>
    </row>
    <row r="362" spans="1:7">
      <c r="A362" t="s">
        <v>911</v>
      </c>
      <c r="B362">
        <v>89</v>
      </c>
      <c r="C362" t="s">
        <v>912</v>
      </c>
    </row>
    <row r="363" spans="1:7">
      <c r="A363" t="s">
        <v>913</v>
      </c>
      <c r="B363">
        <v>99</v>
      </c>
      <c r="C363" t="s">
        <v>914</v>
      </c>
    </row>
    <row r="364" spans="1:7">
      <c r="A364" t="s">
        <v>916</v>
      </c>
      <c r="B364">
        <v>298</v>
      </c>
      <c r="C364" t="s">
        <v>917</v>
      </c>
    </row>
    <row r="365" spans="1:7">
      <c r="A365" t="s">
        <v>918</v>
      </c>
      <c r="B365">
        <v>263</v>
      </c>
      <c r="C365" t="s">
        <v>919</v>
      </c>
    </row>
    <row r="366" spans="1:7">
      <c r="A366" t="s">
        <v>920</v>
      </c>
      <c r="B366">
        <v>68</v>
      </c>
      <c r="C366" t="s">
        <v>921</v>
      </c>
    </row>
    <row r="367" spans="1:7">
      <c r="A367" t="s">
        <v>922</v>
      </c>
      <c r="B367">
        <v>189</v>
      </c>
      <c r="C367" t="s">
        <v>923</v>
      </c>
    </row>
    <row r="368" spans="1:7">
      <c r="A368" t="s">
        <v>925</v>
      </c>
      <c r="B368">
        <v>264</v>
      </c>
      <c r="C368" t="s">
        <v>926</v>
      </c>
    </row>
    <row r="369" spans="1:4">
      <c r="A369" t="s">
        <v>929</v>
      </c>
      <c r="B369">
        <v>292</v>
      </c>
      <c r="C369" t="s">
        <v>930</v>
      </c>
      <c r="D369" s="1" t="s">
        <v>7346</v>
      </c>
    </row>
    <row r="370" spans="1:4">
      <c r="A370" t="s">
        <v>933</v>
      </c>
      <c r="B370">
        <v>223</v>
      </c>
      <c r="C370" t="s">
        <v>934</v>
      </c>
    </row>
    <row r="371" spans="1:4">
      <c r="A371" t="s">
        <v>936</v>
      </c>
      <c r="B371">
        <v>454</v>
      </c>
      <c r="C371" t="s">
        <v>937</v>
      </c>
    </row>
    <row r="372" spans="1:4">
      <c r="A372" t="s">
        <v>938</v>
      </c>
      <c r="B372">
        <v>77</v>
      </c>
      <c r="C372" t="s">
        <v>939</v>
      </c>
    </row>
    <row r="373" spans="1:4">
      <c r="A373" t="s">
        <v>940</v>
      </c>
      <c r="B373">
        <v>150</v>
      </c>
      <c r="C373" t="s">
        <v>941</v>
      </c>
    </row>
    <row r="374" spans="1:4">
      <c r="A374" t="s">
        <v>942</v>
      </c>
      <c r="B374">
        <v>48</v>
      </c>
      <c r="C374" t="s">
        <v>943</v>
      </c>
    </row>
    <row r="375" spans="1:4">
      <c r="A375" t="s">
        <v>944</v>
      </c>
      <c r="B375">
        <v>108</v>
      </c>
      <c r="C375" t="s">
        <v>945</v>
      </c>
    </row>
    <row r="376" spans="1:4">
      <c r="A376" t="s">
        <v>946</v>
      </c>
      <c r="B376">
        <v>170</v>
      </c>
      <c r="C376" t="s">
        <v>947</v>
      </c>
    </row>
    <row r="377" spans="1:4">
      <c r="A377" t="s">
        <v>948</v>
      </c>
      <c r="B377">
        <v>48</v>
      </c>
      <c r="C377" t="s">
        <v>949</v>
      </c>
    </row>
    <row r="378" spans="1:4">
      <c r="A378" t="s">
        <v>950</v>
      </c>
      <c r="B378">
        <v>150</v>
      </c>
      <c r="C378" t="s">
        <v>951</v>
      </c>
    </row>
    <row r="379" spans="1:4">
      <c r="A379" t="s">
        <v>952</v>
      </c>
      <c r="B379">
        <v>77</v>
      </c>
      <c r="C379" t="s">
        <v>953</v>
      </c>
    </row>
    <row r="380" spans="1:4">
      <c r="A380" t="s">
        <v>954</v>
      </c>
      <c r="B380">
        <v>110</v>
      </c>
      <c r="C380" t="s">
        <v>955</v>
      </c>
    </row>
    <row r="381" spans="1:4">
      <c r="A381" t="s">
        <v>956</v>
      </c>
      <c r="B381">
        <v>443</v>
      </c>
      <c r="C381" t="s">
        <v>957</v>
      </c>
    </row>
    <row r="382" spans="1:4">
      <c r="A382" t="s">
        <v>958</v>
      </c>
      <c r="B382">
        <v>144</v>
      </c>
      <c r="C382" t="s">
        <v>959</v>
      </c>
    </row>
    <row r="383" spans="1:4">
      <c r="A383" t="s">
        <v>960</v>
      </c>
      <c r="B383">
        <v>96</v>
      </c>
      <c r="C383" t="s">
        <v>961</v>
      </c>
    </row>
    <row r="384" spans="1:4">
      <c r="A384" t="s">
        <v>963</v>
      </c>
      <c r="B384">
        <v>147</v>
      </c>
      <c r="C384" t="s">
        <v>964</v>
      </c>
    </row>
    <row r="385" spans="1:9">
      <c r="A385" t="s">
        <v>965</v>
      </c>
      <c r="B385">
        <v>267</v>
      </c>
      <c r="C385" t="s">
        <v>966</v>
      </c>
    </row>
    <row r="386" spans="1:9">
      <c r="A386" t="s">
        <v>967</v>
      </c>
      <c r="B386">
        <v>269</v>
      </c>
      <c r="C386" t="s">
        <v>968</v>
      </c>
    </row>
    <row r="387" spans="1:9">
      <c r="A387" t="s">
        <v>969</v>
      </c>
      <c r="B387">
        <v>163</v>
      </c>
      <c r="C387" t="s">
        <v>970</v>
      </c>
    </row>
    <row r="388" spans="1:9">
      <c r="A388" t="s">
        <v>973</v>
      </c>
      <c r="B388">
        <v>374</v>
      </c>
      <c r="C388" t="s">
        <v>974</v>
      </c>
      <c r="D388" s="9" t="s">
        <v>7347</v>
      </c>
      <c r="F388" s="1" t="s">
        <v>8002</v>
      </c>
      <c r="G388" s="1" t="s">
        <v>8003</v>
      </c>
      <c r="H388" t="s">
        <v>8004</v>
      </c>
      <c r="I388" t="s">
        <v>8005</v>
      </c>
    </row>
    <row r="389" spans="1:9">
      <c r="A389" t="s">
        <v>973</v>
      </c>
      <c r="B389">
        <v>374</v>
      </c>
      <c r="C389" t="s">
        <v>974</v>
      </c>
      <c r="D389" s="9" t="s">
        <v>7347</v>
      </c>
      <c r="F389" s="1" t="s">
        <v>8002</v>
      </c>
      <c r="G389" s="1" t="s">
        <v>8003</v>
      </c>
      <c r="H389" t="s">
        <v>10228</v>
      </c>
      <c r="I389" t="s">
        <v>10229</v>
      </c>
    </row>
    <row r="390" spans="1:9">
      <c r="A390" t="s">
        <v>977</v>
      </c>
      <c r="B390">
        <v>158</v>
      </c>
      <c r="C390" t="s">
        <v>978</v>
      </c>
      <c r="D390" s="1" t="s">
        <v>7348</v>
      </c>
      <c r="F390" s="1" t="s">
        <v>8006</v>
      </c>
      <c r="G390" s="1" t="s">
        <v>8007</v>
      </c>
      <c r="H390" t="s">
        <v>8008</v>
      </c>
      <c r="I390" t="s">
        <v>8009</v>
      </c>
    </row>
    <row r="391" spans="1:9">
      <c r="A391" t="s">
        <v>979</v>
      </c>
      <c r="B391">
        <v>389</v>
      </c>
      <c r="C391" t="s">
        <v>980</v>
      </c>
    </row>
    <row r="392" spans="1:9">
      <c r="A392" t="s">
        <v>982</v>
      </c>
      <c r="B392">
        <v>505</v>
      </c>
      <c r="C392" t="s">
        <v>983</v>
      </c>
      <c r="D392" s="1" t="s">
        <v>7336</v>
      </c>
      <c r="F392" s="1" t="s">
        <v>7963</v>
      </c>
      <c r="G392" s="1" t="s">
        <v>7964</v>
      </c>
      <c r="H392" t="s">
        <v>7965</v>
      </c>
      <c r="I392" s="3" t="s">
        <v>7968</v>
      </c>
    </row>
    <row r="393" spans="1:9">
      <c r="A393" t="s">
        <v>982</v>
      </c>
      <c r="B393">
        <v>505</v>
      </c>
      <c r="C393" t="s">
        <v>983</v>
      </c>
      <c r="D393" s="1" t="s">
        <v>7336</v>
      </c>
      <c r="F393" s="1" t="s">
        <v>7963</v>
      </c>
      <c r="G393" s="1" t="s">
        <v>7964</v>
      </c>
      <c r="H393" t="s">
        <v>10158</v>
      </c>
      <c r="I393" s="3" t="s">
        <v>10157</v>
      </c>
    </row>
    <row r="394" spans="1:9">
      <c r="A394" t="s">
        <v>985</v>
      </c>
      <c r="B394">
        <v>569</v>
      </c>
      <c r="C394" t="s">
        <v>986</v>
      </c>
      <c r="D394" s="1" t="s">
        <v>7336</v>
      </c>
      <c r="F394" s="1" t="s">
        <v>7963</v>
      </c>
      <c r="G394" s="1" t="s">
        <v>7964</v>
      </c>
      <c r="H394" s="3" t="s">
        <v>7966</v>
      </c>
      <c r="I394" s="3" t="s">
        <v>7967</v>
      </c>
    </row>
    <row r="395" spans="1:9">
      <c r="A395" t="s">
        <v>985</v>
      </c>
      <c r="B395">
        <v>569</v>
      </c>
      <c r="C395" t="s">
        <v>986</v>
      </c>
      <c r="D395" s="1" t="s">
        <v>7336</v>
      </c>
      <c r="F395" s="1" t="s">
        <v>7963</v>
      </c>
      <c r="G395" s="1" t="s">
        <v>7964</v>
      </c>
      <c r="H395" s="3" t="s">
        <v>10156</v>
      </c>
      <c r="I395" s="3" t="s">
        <v>10157</v>
      </c>
    </row>
    <row r="396" spans="1:9">
      <c r="A396" t="s">
        <v>989</v>
      </c>
      <c r="B396">
        <v>182</v>
      </c>
      <c r="C396" t="s">
        <v>990</v>
      </c>
      <c r="D396" s="1" t="s">
        <v>7306</v>
      </c>
      <c r="F396" s="1" t="s">
        <v>7890</v>
      </c>
      <c r="G396" s="1" t="s">
        <v>7891</v>
      </c>
      <c r="H396" t="s">
        <v>7892</v>
      </c>
      <c r="I396" s="3" t="s">
        <v>7893</v>
      </c>
    </row>
    <row r="397" spans="1:9">
      <c r="A397" t="s">
        <v>992</v>
      </c>
      <c r="B397">
        <v>572</v>
      </c>
      <c r="C397" t="s">
        <v>993</v>
      </c>
      <c r="D397" s="1" t="s">
        <v>7336</v>
      </c>
      <c r="F397" s="1" t="s">
        <v>7963</v>
      </c>
      <c r="G397" s="1" t="s">
        <v>7964</v>
      </c>
      <c r="H397" t="s">
        <v>7965</v>
      </c>
      <c r="I397" t="s">
        <v>7968</v>
      </c>
    </row>
    <row r="398" spans="1:9">
      <c r="A398" t="s">
        <v>992</v>
      </c>
      <c r="B398">
        <v>572</v>
      </c>
      <c r="C398" t="s">
        <v>993</v>
      </c>
      <c r="D398" s="1" t="s">
        <v>7336</v>
      </c>
      <c r="F398" s="1" t="s">
        <v>7963</v>
      </c>
      <c r="G398" s="1" t="s">
        <v>7964</v>
      </c>
      <c r="H398" t="s">
        <v>10156</v>
      </c>
      <c r="I398" t="s">
        <v>10157</v>
      </c>
    </row>
    <row r="399" spans="1:9">
      <c r="A399" t="s">
        <v>996</v>
      </c>
      <c r="B399">
        <v>421</v>
      </c>
      <c r="C399" t="s">
        <v>997</v>
      </c>
      <c r="D399" s="1" t="s">
        <v>7349</v>
      </c>
      <c r="F399" s="1" t="s">
        <v>8010</v>
      </c>
      <c r="G399" s="1" t="s">
        <v>8011</v>
      </c>
      <c r="H399" t="s">
        <v>8012</v>
      </c>
      <c r="I399" t="s">
        <v>8013</v>
      </c>
    </row>
    <row r="400" spans="1:9">
      <c r="A400" t="s">
        <v>1000</v>
      </c>
      <c r="B400">
        <v>248</v>
      </c>
      <c r="C400" t="s">
        <v>1001</v>
      </c>
      <c r="D400" s="1" t="s">
        <v>7350</v>
      </c>
    </row>
    <row r="401" spans="1:9">
      <c r="A401" t="s">
        <v>1004</v>
      </c>
      <c r="B401">
        <v>426</v>
      </c>
      <c r="C401" t="s">
        <v>1005</v>
      </c>
      <c r="D401" s="1" t="s">
        <v>7293</v>
      </c>
      <c r="F401" s="1" t="s">
        <v>7863</v>
      </c>
    </row>
    <row r="402" spans="1:9">
      <c r="A402" t="s">
        <v>1008</v>
      </c>
      <c r="B402">
        <v>236</v>
      </c>
      <c r="C402" t="s">
        <v>1009</v>
      </c>
    </row>
    <row r="403" spans="1:9">
      <c r="A403" t="s">
        <v>1010</v>
      </c>
      <c r="B403">
        <v>299</v>
      </c>
      <c r="C403" t="s">
        <v>1011</v>
      </c>
    </row>
    <row r="404" spans="1:9">
      <c r="A404" t="s">
        <v>1014</v>
      </c>
      <c r="B404">
        <v>281</v>
      </c>
      <c r="C404" t="s">
        <v>1015</v>
      </c>
      <c r="D404" s="9" t="s">
        <v>7351</v>
      </c>
      <c r="F404" s="1" t="s">
        <v>8014</v>
      </c>
      <c r="G404" s="1" t="s">
        <v>8015</v>
      </c>
      <c r="H404" t="s">
        <v>8016</v>
      </c>
      <c r="I404" t="s">
        <v>8017</v>
      </c>
    </row>
    <row r="405" spans="1:9">
      <c r="A405" t="s">
        <v>1014</v>
      </c>
      <c r="B405">
        <v>281</v>
      </c>
      <c r="C405" t="s">
        <v>1015</v>
      </c>
      <c r="D405" s="9" t="s">
        <v>7351</v>
      </c>
      <c r="F405" s="1" t="s">
        <v>8014</v>
      </c>
      <c r="G405" s="1" t="s">
        <v>8015</v>
      </c>
      <c r="H405" t="s">
        <v>10230</v>
      </c>
      <c r="I405" t="s">
        <v>10231</v>
      </c>
    </row>
    <row r="406" spans="1:9">
      <c r="A406" t="s">
        <v>1016</v>
      </c>
      <c r="B406">
        <v>413</v>
      </c>
      <c r="C406" t="s">
        <v>1017</v>
      </c>
    </row>
    <row r="407" spans="1:9">
      <c r="A407" t="s">
        <v>1020</v>
      </c>
      <c r="B407">
        <v>263</v>
      </c>
      <c r="C407" t="s">
        <v>1021</v>
      </c>
      <c r="D407" s="9" t="s">
        <v>7352</v>
      </c>
      <c r="F407" s="1" t="s">
        <v>8018</v>
      </c>
      <c r="G407" s="1" t="s">
        <v>8019</v>
      </c>
      <c r="H407" t="s">
        <v>8020</v>
      </c>
      <c r="I407" t="s">
        <v>8021</v>
      </c>
    </row>
    <row r="408" spans="1:9">
      <c r="A408" t="s">
        <v>1020</v>
      </c>
      <c r="B408">
        <v>263</v>
      </c>
      <c r="C408" t="s">
        <v>1021</v>
      </c>
      <c r="D408" s="9" t="s">
        <v>7352</v>
      </c>
      <c r="F408" s="1" t="s">
        <v>8018</v>
      </c>
      <c r="G408" s="1" t="s">
        <v>8019</v>
      </c>
      <c r="H408" t="s">
        <v>10232</v>
      </c>
      <c r="I408" t="s">
        <v>10233</v>
      </c>
    </row>
    <row r="409" spans="1:9">
      <c r="A409" t="s">
        <v>1020</v>
      </c>
      <c r="B409">
        <v>263</v>
      </c>
      <c r="C409" t="s">
        <v>1021</v>
      </c>
      <c r="D409" s="9" t="s">
        <v>7352</v>
      </c>
      <c r="F409" s="1" t="s">
        <v>8018</v>
      </c>
      <c r="G409" s="1" t="s">
        <v>8019</v>
      </c>
      <c r="H409" t="s">
        <v>10234</v>
      </c>
      <c r="I409" t="s">
        <v>10235</v>
      </c>
    </row>
    <row r="410" spans="1:9">
      <c r="A410" t="s">
        <v>1020</v>
      </c>
      <c r="B410">
        <v>263</v>
      </c>
      <c r="C410" t="s">
        <v>1021</v>
      </c>
      <c r="D410" s="9" t="s">
        <v>7352</v>
      </c>
      <c r="F410" s="1" t="s">
        <v>8018</v>
      </c>
      <c r="G410" s="1" t="s">
        <v>8019</v>
      </c>
      <c r="H410" t="s">
        <v>10236</v>
      </c>
      <c r="I410" t="s">
        <v>10237</v>
      </c>
    </row>
    <row r="411" spans="1:9">
      <c r="A411" t="s">
        <v>1022</v>
      </c>
      <c r="B411">
        <v>62</v>
      </c>
      <c r="C411" t="s">
        <v>1023</v>
      </c>
    </row>
    <row r="412" spans="1:9">
      <c r="A412" t="s">
        <v>1024</v>
      </c>
      <c r="B412">
        <v>33</v>
      </c>
      <c r="C412" t="s">
        <v>1025</v>
      </c>
    </row>
    <row r="413" spans="1:9">
      <c r="A413" t="s">
        <v>1026</v>
      </c>
      <c r="B413">
        <v>121</v>
      </c>
      <c r="C413" t="s">
        <v>1027</v>
      </c>
    </row>
    <row r="414" spans="1:9">
      <c r="A414" t="s">
        <v>1030</v>
      </c>
      <c r="B414">
        <v>345</v>
      </c>
      <c r="C414" t="s">
        <v>1031</v>
      </c>
      <c r="D414" s="1" t="s">
        <v>7353</v>
      </c>
      <c r="F414" s="1" t="s">
        <v>8022</v>
      </c>
      <c r="G414" s="1" t="s">
        <v>8023</v>
      </c>
      <c r="H414" t="s">
        <v>8024</v>
      </c>
      <c r="I414" t="s">
        <v>8025</v>
      </c>
    </row>
    <row r="415" spans="1:9">
      <c r="A415" t="s">
        <v>1030</v>
      </c>
      <c r="B415">
        <v>345</v>
      </c>
      <c r="C415" t="s">
        <v>1031</v>
      </c>
      <c r="D415" s="1" t="s">
        <v>7353</v>
      </c>
      <c r="F415" s="1" t="s">
        <v>8022</v>
      </c>
      <c r="G415" s="1" t="s">
        <v>8023</v>
      </c>
      <c r="H415" t="s">
        <v>10152</v>
      </c>
      <c r="I415" t="s">
        <v>10153</v>
      </c>
    </row>
    <row r="416" spans="1:9">
      <c r="A416" t="s">
        <v>1033</v>
      </c>
      <c r="B416">
        <v>79</v>
      </c>
      <c r="C416" t="s">
        <v>1034</v>
      </c>
    </row>
    <row r="417" spans="1:9">
      <c r="A417" t="s">
        <v>1037</v>
      </c>
      <c r="B417">
        <v>444</v>
      </c>
      <c r="C417" t="s">
        <v>1038</v>
      </c>
      <c r="D417" s="1" t="s">
        <v>7354</v>
      </c>
      <c r="F417" s="1" t="s">
        <v>8026</v>
      </c>
      <c r="G417" s="1" t="s">
        <v>8027</v>
      </c>
      <c r="H417" t="s">
        <v>8028</v>
      </c>
      <c r="I417" t="s">
        <v>8029</v>
      </c>
    </row>
    <row r="418" spans="1:9">
      <c r="A418" t="s">
        <v>1041</v>
      </c>
      <c r="B418">
        <v>295</v>
      </c>
      <c r="C418" t="s">
        <v>1042</v>
      </c>
      <c r="D418" s="1" t="s">
        <v>7355</v>
      </c>
      <c r="F418" s="1" t="s">
        <v>8030</v>
      </c>
      <c r="G418" s="1" t="s">
        <v>8031</v>
      </c>
      <c r="H418" t="s">
        <v>8032</v>
      </c>
      <c r="I418" t="s">
        <v>8033</v>
      </c>
    </row>
    <row r="419" spans="1:9">
      <c r="A419" t="s">
        <v>1045</v>
      </c>
      <c r="B419">
        <v>573</v>
      </c>
      <c r="C419" t="s">
        <v>1046</v>
      </c>
      <c r="D419" s="9" t="s">
        <v>7356</v>
      </c>
      <c r="F419" s="1" t="s">
        <v>8034</v>
      </c>
      <c r="G419" s="1" t="s">
        <v>8035</v>
      </c>
      <c r="H419" t="s">
        <v>8036</v>
      </c>
      <c r="I419" t="s">
        <v>8037</v>
      </c>
    </row>
    <row r="420" spans="1:9">
      <c r="A420" t="s">
        <v>1045</v>
      </c>
      <c r="B420">
        <v>573</v>
      </c>
      <c r="C420" t="s">
        <v>1046</v>
      </c>
      <c r="D420" s="9" t="s">
        <v>7356</v>
      </c>
      <c r="F420" s="1" t="s">
        <v>8034</v>
      </c>
      <c r="G420" s="1" t="s">
        <v>8035</v>
      </c>
      <c r="H420" t="s">
        <v>10238</v>
      </c>
      <c r="I420" t="s">
        <v>10239</v>
      </c>
    </row>
    <row r="421" spans="1:9">
      <c r="A421" t="s">
        <v>1045</v>
      </c>
      <c r="B421">
        <v>573</v>
      </c>
      <c r="C421" t="s">
        <v>1046</v>
      </c>
      <c r="D421" s="9" t="s">
        <v>7356</v>
      </c>
      <c r="F421" s="1" t="s">
        <v>8034</v>
      </c>
      <c r="G421" s="1" t="s">
        <v>8035</v>
      </c>
      <c r="H421" t="s">
        <v>10240</v>
      </c>
      <c r="I421" t="s">
        <v>10241</v>
      </c>
    </row>
    <row r="422" spans="1:9">
      <c r="A422" t="s">
        <v>1045</v>
      </c>
      <c r="B422">
        <v>573</v>
      </c>
      <c r="C422" t="s">
        <v>1046</v>
      </c>
      <c r="D422" s="9" t="s">
        <v>7356</v>
      </c>
      <c r="F422" s="1" t="s">
        <v>8034</v>
      </c>
      <c r="G422" s="1" t="s">
        <v>8035</v>
      </c>
      <c r="H422" t="s">
        <v>10242</v>
      </c>
      <c r="I422" t="s">
        <v>10243</v>
      </c>
    </row>
    <row r="423" spans="1:9">
      <c r="A423" t="s">
        <v>1049</v>
      </c>
      <c r="B423">
        <v>327</v>
      </c>
      <c r="C423" t="s">
        <v>1050</v>
      </c>
      <c r="D423" s="1" t="s">
        <v>7357</v>
      </c>
      <c r="F423" s="1" t="s">
        <v>8038</v>
      </c>
      <c r="G423" s="1" t="s">
        <v>8039</v>
      </c>
      <c r="H423" s="5" t="s">
        <v>8040</v>
      </c>
      <c r="I423" t="s">
        <v>8041</v>
      </c>
    </row>
    <row r="424" spans="1:9">
      <c r="A424" t="s">
        <v>1051</v>
      </c>
      <c r="B424">
        <v>358</v>
      </c>
      <c r="C424" t="s">
        <v>1052</v>
      </c>
      <c r="H424" s="1"/>
    </row>
    <row r="425" spans="1:9">
      <c r="A425" t="s">
        <v>1053</v>
      </c>
      <c r="B425">
        <v>184</v>
      </c>
      <c r="C425" t="s">
        <v>1054</v>
      </c>
    </row>
    <row r="426" spans="1:9">
      <c r="A426" t="s">
        <v>1057</v>
      </c>
      <c r="B426">
        <v>344</v>
      </c>
      <c r="C426" t="s">
        <v>1058</v>
      </c>
      <c r="D426" s="9" t="s">
        <v>7358</v>
      </c>
      <c r="F426" s="1" t="s">
        <v>8042</v>
      </c>
      <c r="G426" s="1" t="s">
        <v>8043</v>
      </c>
      <c r="H426" t="s">
        <v>8044</v>
      </c>
      <c r="I426" t="s">
        <v>8045</v>
      </c>
    </row>
    <row r="427" spans="1:9">
      <c r="A427" t="s">
        <v>1057</v>
      </c>
      <c r="B427">
        <v>344</v>
      </c>
      <c r="C427" t="s">
        <v>1058</v>
      </c>
      <c r="D427" s="9" t="s">
        <v>7358</v>
      </c>
      <c r="F427" s="1" t="s">
        <v>8042</v>
      </c>
      <c r="G427" s="1" t="s">
        <v>8043</v>
      </c>
      <c r="H427" t="s">
        <v>10244</v>
      </c>
      <c r="I427" t="s">
        <v>10245</v>
      </c>
    </row>
    <row r="428" spans="1:9">
      <c r="A428" t="s">
        <v>1061</v>
      </c>
      <c r="B428">
        <v>460</v>
      </c>
      <c r="C428" t="s">
        <v>1062</v>
      </c>
      <c r="D428" s="1" t="s">
        <v>7359</v>
      </c>
      <c r="F428" s="1" t="s">
        <v>8046</v>
      </c>
      <c r="G428" s="1" t="s">
        <v>8047</v>
      </c>
      <c r="H428" t="s">
        <v>8049</v>
      </c>
      <c r="I428" t="s">
        <v>8048</v>
      </c>
    </row>
    <row r="429" spans="1:9">
      <c r="A429" t="s">
        <v>1063</v>
      </c>
      <c r="B429">
        <v>346</v>
      </c>
      <c r="C429" t="s">
        <v>1064</v>
      </c>
    </row>
    <row r="430" spans="1:9">
      <c r="A430" t="s">
        <v>1067</v>
      </c>
      <c r="B430">
        <v>269</v>
      </c>
      <c r="C430" t="s">
        <v>1068</v>
      </c>
      <c r="D430" s="9" t="s">
        <v>7360</v>
      </c>
      <c r="F430" s="1" t="s">
        <v>8050</v>
      </c>
      <c r="G430" s="1" t="s">
        <v>8051</v>
      </c>
      <c r="H430" t="s">
        <v>8052</v>
      </c>
      <c r="I430" s="3" t="s">
        <v>8053</v>
      </c>
    </row>
    <row r="431" spans="1:9">
      <c r="A431" t="s">
        <v>1067</v>
      </c>
      <c r="B431">
        <v>269</v>
      </c>
      <c r="C431" t="s">
        <v>1068</v>
      </c>
      <c r="D431" s="9" t="s">
        <v>7360</v>
      </c>
      <c r="F431" s="1" t="s">
        <v>8050</v>
      </c>
      <c r="G431" s="1" t="s">
        <v>8051</v>
      </c>
      <c r="H431" t="s">
        <v>10246</v>
      </c>
      <c r="I431" s="3" t="s">
        <v>10247</v>
      </c>
    </row>
    <row r="432" spans="1:9">
      <c r="A432" t="s">
        <v>1071</v>
      </c>
      <c r="B432">
        <v>436</v>
      </c>
      <c r="C432" t="s">
        <v>1072</v>
      </c>
      <c r="D432" s="1" t="s">
        <v>7361</v>
      </c>
      <c r="F432" s="1" t="s">
        <v>8054</v>
      </c>
      <c r="G432" s="1" t="s">
        <v>8055</v>
      </c>
      <c r="H432" t="s">
        <v>8056</v>
      </c>
      <c r="I432" s="3" t="s">
        <v>8057</v>
      </c>
    </row>
    <row r="433" spans="1:9">
      <c r="A433" t="s">
        <v>1074</v>
      </c>
      <c r="B433">
        <v>202</v>
      </c>
      <c r="C433" t="s">
        <v>1075</v>
      </c>
    </row>
    <row r="434" spans="1:9">
      <c r="A434" t="s">
        <v>1077</v>
      </c>
      <c r="B434">
        <v>205</v>
      </c>
      <c r="C434" t="s">
        <v>1078</v>
      </c>
    </row>
    <row r="435" spans="1:9">
      <c r="A435" t="s">
        <v>1080</v>
      </c>
      <c r="B435">
        <v>267</v>
      </c>
      <c r="C435" t="s">
        <v>1081</v>
      </c>
    </row>
    <row r="436" spans="1:9">
      <c r="A436" t="s">
        <v>1084</v>
      </c>
      <c r="B436">
        <v>543</v>
      </c>
      <c r="C436" t="s">
        <v>1085</v>
      </c>
    </row>
    <row r="437" spans="1:9">
      <c r="A437" t="s">
        <v>1088</v>
      </c>
      <c r="B437">
        <v>362</v>
      </c>
      <c r="C437" t="s">
        <v>1089</v>
      </c>
    </row>
    <row r="438" spans="1:9">
      <c r="A438" t="s">
        <v>1091</v>
      </c>
      <c r="B438">
        <v>85</v>
      </c>
      <c r="C438" t="s">
        <v>1092</v>
      </c>
    </row>
    <row r="439" spans="1:9">
      <c r="A439" t="s">
        <v>1093</v>
      </c>
      <c r="B439">
        <v>91</v>
      </c>
      <c r="C439" t="s">
        <v>1094</v>
      </c>
    </row>
    <row r="440" spans="1:9">
      <c r="A440" t="s">
        <v>1095</v>
      </c>
      <c r="B440">
        <v>107</v>
      </c>
      <c r="C440" t="s">
        <v>1096</v>
      </c>
    </row>
    <row r="441" spans="1:9">
      <c r="A441" t="s">
        <v>1099</v>
      </c>
      <c r="B441">
        <v>301</v>
      </c>
      <c r="C441" t="s">
        <v>1100</v>
      </c>
      <c r="D441" s="1" t="s">
        <v>7362</v>
      </c>
      <c r="F441" s="1" t="s">
        <v>8058</v>
      </c>
      <c r="G441" s="1" t="s">
        <v>8059</v>
      </c>
      <c r="H441" t="s">
        <v>8060</v>
      </c>
      <c r="I441" t="s">
        <v>8061</v>
      </c>
    </row>
    <row r="442" spans="1:9">
      <c r="A442" t="s">
        <v>1103</v>
      </c>
      <c r="B442">
        <v>385</v>
      </c>
      <c r="C442" t="s">
        <v>1104</v>
      </c>
      <c r="D442" s="1" t="s">
        <v>7363</v>
      </c>
      <c r="F442" s="1" t="s">
        <v>8062</v>
      </c>
      <c r="G442" s="1" t="s">
        <v>8063</v>
      </c>
      <c r="H442" t="s">
        <v>8064</v>
      </c>
      <c r="I442" t="s">
        <v>8065</v>
      </c>
    </row>
    <row r="443" spans="1:9">
      <c r="A443" t="s">
        <v>1105</v>
      </c>
      <c r="B443">
        <v>46</v>
      </c>
      <c r="C443" t="s">
        <v>1106</v>
      </c>
    </row>
    <row r="444" spans="1:9">
      <c r="A444" t="s">
        <v>1109</v>
      </c>
      <c r="B444">
        <v>326</v>
      </c>
      <c r="C444" t="s">
        <v>1110</v>
      </c>
      <c r="D444" s="9" t="s">
        <v>7364</v>
      </c>
      <c r="F444" s="1" t="s">
        <v>8066</v>
      </c>
      <c r="G444" s="1" t="s">
        <v>8067</v>
      </c>
      <c r="H444" t="s">
        <v>8068</v>
      </c>
      <c r="I444" t="s">
        <v>8069</v>
      </c>
    </row>
    <row r="445" spans="1:9">
      <c r="A445" t="s">
        <v>1109</v>
      </c>
      <c r="B445">
        <v>326</v>
      </c>
      <c r="C445" t="s">
        <v>1110</v>
      </c>
      <c r="D445" s="9" t="s">
        <v>7364</v>
      </c>
      <c r="F445" s="1" t="s">
        <v>8066</v>
      </c>
      <c r="G445" s="1" t="s">
        <v>8067</v>
      </c>
      <c r="H445" t="s">
        <v>8068</v>
      </c>
      <c r="I445" t="s">
        <v>10248</v>
      </c>
    </row>
    <row r="446" spans="1:9">
      <c r="A446" t="s">
        <v>1111</v>
      </c>
      <c r="B446">
        <v>153</v>
      </c>
      <c r="C446" t="s">
        <v>1112</v>
      </c>
    </row>
    <row r="447" spans="1:9">
      <c r="A447" t="s">
        <v>1115</v>
      </c>
      <c r="B447">
        <v>101</v>
      </c>
      <c r="C447" t="s">
        <v>1116</v>
      </c>
      <c r="D447" s="1" t="s">
        <v>7299</v>
      </c>
    </row>
    <row r="448" spans="1:9">
      <c r="A448" t="s">
        <v>1119</v>
      </c>
      <c r="B448">
        <v>304</v>
      </c>
      <c r="C448" t="s">
        <v>1120</v>
      </c>
      <c r="D448" s="1" t="s">
        <v>7299</v>
      </c>
    </row>
    <row r="449" spans="1:9">
      <c r="A449" t="s">
        <v>1123</v>
      </c>
      <c r="B449">
        <v>1099</v>
      </c>
      <c r="C449" t="s">
        <v>1124</v>
      </c>
    </row>
    <row r="450" spans="1:9">
      <c r="A450" t="s">
        <v>1127</v>
      </c>
      <c r="B450">
        <v>336</v>
      </c>
      <c r="C450" t="s">
        <v>1128</v>
      </c>
      <c r="D450" s="1" t="s">
        <v>7365</v>
      </c>
    </row>
    <row r="451" spans="1:9">
      <c r="A451" t="s">
        <v>1130</v>
      </c>
      <c r="B451">
        <v>181</v>
      </c>
      <c r="C451" t="s">
        <v>1131</v>
      </c>
    </row>
    <row r="452" spans="1:9">
      <c r="A452" t="s">
        <v>1134</v>
      </c>
      <c r="B452">
        <v>389</v>
      </c>
      <c r="C452" t="s">
        <v>1135</v>
      </c>
      <c r="D452" s="1" t="s">
        <v>7324</v>
      </c>
    </row>
    <row r="453" spans="1:9">
      <c r="A453" t="s">
        <v>1138</v>
      </c>
      <c r="B453">
        <v>293</v>
      </c>
      <c r="C453" t="s">
        <v>1139</v>
      </c>
    </row>
    <row r="454" spans="1:9">
      <c r="A454" t="s">
        <v>1142</v>
      </c>
      <c r="B454">
        <v>254</v>
      </c>
      <c r="C454" t="s">
        <v>1143</v>
      </c>
      <c r="D454" s="1" t="s">
        <v>7324</v>
      </c>
    </row>
    <row r="455" spans="1:9">
      <c r="A455" t="s">
        <v>1144</v>
      </c>
      <c r="B455">
        <v>202</v>
      </c>
      <c r="C455" t="s">
        <v>1145</v>
      </c>
    </row>
    <row r="456" spans="1:9">
      <c r="A456" t="s">
        <v>1146</v>
      </c>
      <c r="B456">
        <v>303</v>
      </c>
      <c r="C456" t="s">
        <v>1147</v>
      </c>
    </row>
    <row r="457" spans="1:9">
      <c r="A457" t="s">
        <v>1148</v>
      </c>
      <c r="B457">
        <v>154</v>
      </c>
      <c r="C457" t="s">
        <v>1149</v>
      </c>
    </row>
    <row r="458" spans="1:9">
      <c r="A458" t="s">
        <v>1150</v>
      </c>
      <c r="B458">
        <v>97</v>
      </c>
      <c r="C458" t="s">
        <v>1151</v>
      </c>
    </row>
    <row r="459" spans="1:9">
      <c r="A459" t="s">
        <v>1152</v>
      </c>
      <c r="B459">
        <v>79</v>
      </c>
      <c r="C459" t="s">
        <v>1153</v>
      </c>
    </row>
    <row r="460" spans="1:9">
      <c r="A460" t="s">
        <v>1154</v>
      </c>
      <c r="B460">
        <v>659</v>
      </c>
      <c r="C460" t="s">
        <v>1155</v>
      </c>
    </row>
    <row r="461" spans="1:9">
      <c r="A461" t="s">
        <v>1158</v>
      </c>
      <c r="B461">
        <v>804</v>
      </c>
      <c r="C461" t="s">
        <v>1159</v>
      </c>
    </row>
    <row r="462" spans="1:9">
      <c r="A462" t="s">
        <v>1160</v>
      </c>
      <c r="B462">
        <v>250</v>
      </c>
      <c r="C462" t="s">
        <v>1161</v>
      </c>
    </row>
    <row r="463" spans="1:9">
      <c r="A463" t="s">
        <v>1164</v>
      </c>
      <c r="B463">
        <v>540</v>
      </c>
      <c r="C463" t="s">
        <v>1165</v>
      </c>
      <c r="D463" s="1" t="s">
        <v>7366</v>
      </c>
      <c r="F463" s="1" t="s">
        <v>8070</v>
      </c>
      <c r="G463" s="1" t="s">
        <v>8071</v>
      </c>
      <c r="H463" t="s">
        <v>8073</v>
      </c>
      <c r="I463" t="s">
        <v>8072</v>
      </c>
    </row>
    <row r="464" spans="1:9">
      <c r="A464" t="s">
        <v>1166</v>
      </c>
      <c r="B464">
        <v>153</v>
      </c>
      <c r="C464" t="s">
        <v>1167</v>
      </c>
    </row>
    <row r="465" spans="1:9">
      <c r="A465" t="s">
        <v>1170</v>
      </c>
      <c r="B465">
        <v>399</v>
      </c>
      <c r="C465" t="s">
        <v>1171</v>
      </c>
      <c r="D465" s="1" t="s">
        <v>7367</v>
      </c>
    </row>
    <row r="466" spans="1:9">
      <c r="A466" t="s">
        <v>1174</v>
      </c>
      <c r="B466">
        <v>234</v>
      </c>
      <c r="C466" t="s">
        <v>1175</v>
      </c>
      <c r="D466" s="1" t="s">
        <v>7368</v>
      </c>
      <c r="F466" s="1" t="s">
        <v>8074</v>
      </c>
      <c r="G466" s="1" t="s">
        <v>8075</v>
      </c>
      <c r="H466" t="s">
        <v>8077</v>
      </c>
      <c r="I466" t="s">
        <v>8076</v>
      </c>
    </row>
    <row r="467" spans="1:9">
      <c r="A467" t="s">
        <v>1177</v>
      </c>
      <c r="B467">
        <v>422</v>
      </c>
      <c r="C467" t="s">
        <v>1178</v>
      </c>
      <c r="D467" s="1" t="s">
        <v>7314</v>
      </c>
    </row>
    <row r="468" spans="1:9">
      <c r="A468" t="s">
        <v>1181</v>
      </c>
      <c r="B468">
        <v>334</v>
      </c>
      <c r="C468" t="s">
        <v>1182</v>
      </c>
      <c r="D468" s="1" t="s">
        <v>7369</v>
      </c>
      <c r="F468" s="1" t="s">
        <v>8078</v>
      </c>
      <c r="G468" s="1" t="s">
        <v>8079</v>
      </c>
      <c r="H468" t="s">
        <v>8081</v>
      </c>
      <c r="I468" t="s">
        <v>8080</v>
      </c>
    </row>
    <row r="469" spans="1:9">
      <c r="C469" t="s">
        <v>1184</v>
      </c>
    </row>
    <row r="470" spans="1:9">
      <c r="A470" t="s">
        <v>1185</v>
      </c>
      <c r="B470">
        <v>55</v>
      </c>
      <c r="C470" t="s">
        <v>1186</v>
      </c>
    </row>
    <row r="471" spans="1:9">
      <c r="A471" t="s">
        <v>1187</v>
      </c>
      <c r="B471">
        <v>109</v>
      </c>
      <c r="C471" t="s">
        <v>1188</v>
      </c>
    </row>
    <row r="472" spans="1:9">
      <c r="A472" t="s">
        <v>1189</v>
      </c>
      <c r="B472">
        <v>134</v>
      </c>
      <c r="C472" t="s">
        <v>1190</v>
      </c>
    </row>
    <row r="473" spans="1:9">
      <c r="A473" t="s">
        <v>1191</v>
      </c>
      <c r="B473">
        <v>45</v>
      </c>
      <c r="C473" t="s">
        <v>1192</v>
      </c>
    </row>
    <row r="474" spans="1:9">
      <c r="A474" t="s">
        <v>1193</v>
      </c>
      <c r="B474">
        <v>66</v>
      </c>
      <c r="C474" t="s">
        <v>1194</v>
      </c>
    </row>
    <row r="475" spans="1:9">
      <c r="A475" t="s">
        <v>1197</v>
      </c>
      <c r="B475">
        <v>267</v>
      </c>
      <c r="C475" t="s">
        <v>1198</v>
      </c>
    </row>
    <row r="476" spans="1:9">
      <c r="A476" t="s">
        <v>1201</v>
      </c>
      <c r="B476">
        <v>351</v>
      </c>
      <c r="C476" t="s">
        <v>1202</v>
      </c>
    </row>
    <row r="477" spans="1:9">
      <c r="A477" t="s">
        <v>1205</v>
      </c>
      <c r="B477">
        <v>338</v>
      </c>
      <c r="C477" t="s">
        <v>1206</v>
      </c>
    </row>
    <row r="478" spans="1:9">
      <c r="A478" t="s">
        <v>1209</v>
      </c>
      <c r="B478">
        <v>345</v>
      </c>
      <c r="C478" t="s">
        <v>1210</v>
      </c>
    </row>
    <row r="479" spans="1:9">
      <c r="A479" t="s">
        <v>1212</v>
      </c>
      <c r="B479">
        <v>525</v>
      </c>
      <c r="C479" t="s">
        <v>1213</v>
      </c>
      <c r="D479" s="1" t="s">
        <v>7370</v>
      </c>
      <c r="F479" s="1" t="s">
        <v>8082</v>
      </c>
      <c r="G479" s="1" t="s">
        <v>8083</v>
      </c>
      <c r="H479" t="s">
        <v>8084</v>
      </c>
      <c r="I479" t="s">
        <v>8085</v>
      </c>
    </row>
    <row r="480" spans="1:9">
      <c r="A480" t="s">
        <v>1216</v>
      </c>
      <c r="B480">
        <v>215</v>
      </c>
      <c r="C480" t="s">
        <v>1217</v>
      </c>
      <c r="D480" s="1" t="s">
        <v>7371</v>
      </c>
    </row>
    <row r="481" spans="1:9">
      <c r="A481" t="s">
        <v>1219</v>
      </c>
      <c r="B481">
        <v>451</v>
      </c>
      <c r="C481" t="s">
        <v>1220</v>
      </c>
    </row>
    <row r="482" spans="1:9">
      <c r="A482" t="s">
        <v>1223</v>
      </c>
      <c r="B482">
        <v>241</v>
      </c>
      <c r="C482" t="s">
        <v>1224</v>
      </c>
      <c r="D482" s="1" t="s">
        <v>7372</v>
      </c>
      <c r="F482" s="1" t="s">
        <v>8086</v>
      </c>
      <c r="G482" s="1" t="s">
        <v>8087</v>
      </c>
      <c r="H482" t="s">
        <v>8088</v>
      </c>
      <c r="I482" t="s">
        <v>8089</v>
      </c>
    </row>
    <row r="483" spans="1:9">
      <c r="A483" t="s">
        <v>1227</v>
      </c>
      <c r="B483">
        <v>314</v>
      </c>
      <c r="C483" t="s">
        <v>1228</v>
      </c>
    </row>
    <row r="484" spans="1:9">
      <c r="C484" t="s">
        <v>1229</v>
      </c>
    </row>
    <row r="485" spans="1:9">
      <c r="C485" t="s">
        <v>1231</v>
      </c>
    </row>
    <row r="486" spans="1:9">
      <c r="C486" t="s">
        <v>1233</v>
      </c>
    </row>
    <row r="487" spans="1:9">
      <c r="A487" t="s">
        <v>1235</v>
      </c>
      <c r="B487">
        <v>110</v>
      </c>
      <c r="C487" t="s">
        <v>1236</v>
      </c>
    </row>
    <row r="488" spans="1:9">
      <c r="A488" t="s">
        <v>1237</v>
      </c>
      <c r="B488">
        <v>301</v>
      </c>
      <c r="C488" t="s">
        <v>1238</v>
      </c>
    </row>
    <row r="489" spans="1:9">
      <c r="A489" t="s">
        <v>1241</v>
      </c>
      <c r="B489">
        <v>147</v>
      </c>
      <c r="C489" t="s">
        <v>1242</v>
      </c>
    </row>
    <row r="490" spans="1:9">
      <c r="A490" t="s">
        <v>1245</v>
      </c>
      <c r="B490">
        <v>234</v>
      </c>
      <c r="C490" t="s">
        <v>1246</v>
      </c>
    </row>
    <row r="491" spans="1:9">
      <c r="A491" t="s">
        <v>1249</v>
      </c>
      <c r="B491">
        <v>445</v>
      </c>
      <c r="C491" t="s">
        <v>1250</v>
      </c>
      <c r="D491" s="9" t="s">
        <v>7373</v>
      </c>
      <c r="F491" s="1" t="s">
        <v>8090</v>
      </c>
      <c r="G491" s="1" t="s">
        <v>8091</v>
      </c>
      <c r="H491" t="s">
        <v>8092</v>
      </c>
      <c r="I491" t="s">
        <v>8093</v>
      </c>
    </row>
    <row r="492" spans="1:9">
      <c r="A492" t="s">
        <v>1249</v>
      </c>
      <c r="B492">
        <v>445</v>
      </c>
      <c r="C492" t="s">
        <v>1250</v>
      </c>
      <c r="D492" s="9" t="s">
        <v>7373</v>
      </c>
      <c r="F492" s="1" t="s">
        <v>8090</v>
      </c>
      <c r="G492" s="1" t="s">
        <v>8091</v>
      </c>
      <c r="H492" t="s">
        <v>10249</v>
      </c>
      <c r="I492" t="s">
        <v>10250</v>
      </c>
    </row>
    <row r="493" spans="1:9">
      <c r="A493" t="s">
        <v>1253</v>
      </c>
      <c r="B493">
        <v>173</v>
      </c>
      <c r="C493" t="s">
        <v>1254</v>
      </c>
    </row>
    <row r="494" spans="1:9">
      <c r="A494" t="s">
        <v>1257</v>
      </c>
      <c r="B494">
        <v>129</v>
      </c>
      <c r="C494" t="s">
        <v>1258</v>
      </c>
    </row>
    <row r="495" spans="1:9">
      <c r="C495" t="s">
        <v>1259</v>
      </c>
    </row>
    <row r="496" spans="1:9">
      <c r="A496" t="s">
        <v>1260</v>
      </c>
      <c r="B496">
        <v>416</v>
      </c>
      <c r="C496" t="s">
        <v>1261</v>
      </c>
    </row>
    <row r="497" spans="1:9">
      <c r="A497" t="s">
        <v>1262</v>
      </c>
      <c r="B497">
        <v>353</v>
      </c>
      <c r="C497" t="s">
        <v>1263</v>
      </c>
    </row>
    <row r="498" spans="1:9">
      <c r="A498" t="s">
        <v>1265</v>
      </c>
      <c r="B498">
        <v>331</v>
      </c>
      <c r="C498" t="s">
        <v>1266</v>
      </c>
    </row>
    <row r="499" spans="1:9">
      <c r="A499" t="s">
        <v>1267</v>
      </c>
      <c r="B499">
        <v>337</v>
      </c>
      <c r="C499" t="s">
        <v>1268</v>
      </c>
    </row>
    <row r="500" spans="1:9">
      <c r="A500" t="s">
        <v>1271</v>
      </c>
      <c r="B500">
        <v>1164</v>
      </c>
      <c r="C500" t="s">
        <v>1272</v>
      </c>
      <c r="D500" s="9" t="s">
        <v>7374</v>
      </c>
      <c r="F500" s="1" t="s">
        <v>8094</v>
      </c>
      <c r="G500" s="1" t="s">
        <v>8095</v>
      </c>
      <c r="H500" t="s">
        <v>8096</v>
      </c>
      <c r="I500" t="s">
        <v>8097</v>
      </c>
    </row>
    <row r="501" spans="1:9">
      <c r="A501" t="s">
        <v>1271</v>
      </c>
      <c r="B501">
        <v>1164</v>
      </c>
      <c r="C501" t="s">
        <v>1272</v>
      </c>
      <c r="D501" s="9" t="s">
        <v>7374</v>
      </c>
      <c r="F501" s="1" t="s">
        <v>8094</v>
      </c>
      <c r="G501" s="1" t="s">
        <v>8095</v>
      </c>
      <c r="H501" t="s">
        <v>10251</v>
      </c>
      <c r="I501" t="s">
        <v>10252</v>
      </c>
    </row>
    <row r="502" spans="1:9">
      <c r="A502" t="s">
        <v>1271</v>
      </c>
      <c r="B502">
        <v>1164</v>
      </c>
      <c r="C502" t="s">
        <v>1272</v>
      </c>
      <c r="D502" s="9" t="s">
        <v>7374</v>
      </c>
      <c r="F502" s="1" t="s">
        <v>8094</v>
      </c>
      <c r="G502" s="1" t="s">
        <v>8095</v>
      </c>
      <c r="H502" t="s">
        <v>10253</v>
      </c>
      <c r="I502" t="s">
        <v>10252</v>
      </c>
    </row>
    <row r="503" spans="1:9">
      <c r="A503" t="s">
        <v>1271</v>
      </c>
      <c r="B503">
        <v>1164</v>
      </c>
      <c r="C503" t="s">
        <v>1272</v>
      </c>
      <c r="D503" s="9" t="s">
        <v>7374</v>
      </c>
      <c r="F503" s="1" t="s">
        <v>8094</v>
      </c>
      <c r="G503" s="1" t="s">
        <v>8095</v>
      </c>
      <c r="H503" t="s">
        <v>10254</v>
      </c>
      <c r="I503" t="s">
        <v>10252</v>
      </c>
    </row>
    <row r="504" spans="1:9">
      <c r="A504" t="s">
        <v>1271</v>
      </c>
      <c r="B504">
        <v>1164</v>
      </c>
      <c r="C504" t="s">
        <v>1272</v>
      </c>
      <c r="D504" s="9" t="s">
        <v>7374</v>
      </c>
      <c r="F504" s="1" t="s">
        <v>8094</v>
      </c>
      <c r="G504" s="1" t="s">
        <v>8095</v>
      </c>
      <c r="H504" t="s">
        <v>10255</v>
      </c>
      <c r="I504" t="s">
        <v>10252</v>
      </c>
    </row>
    <row r="505" spans="1:9">
      <c r="A505" t="s">
        <v>1271</v>
      </c>
      <c r="B505">
        <v>1164</v>
      </c>
      <c r="C505" t="s">
        <v>1272</v>
      </c>
      <c r="D505" s="9" t="s">
        <v>7374</v>
      </c>
      <c r="F505" s="1" t="s">
        <v>8094</v>
      </c>
      <c r="G505" s="1" t="s">
        <v>8095</v>
      </c>
      <c r="H505" t="s">
        <v>10256</v>
      </c>
      <c r="I505" t="s">
        <v>10257</v>
      </c>
    </row>
    <row r="506" spans="1:9">
      <c r="A506" t="s">
        <v>1275</v>
      </c>
      <c r="B506">
        <v>1331</v>
      </c>
      <c r="C506" t="s">
        <v>1276</v>
      </c>
      <c r="D506" s="9" t="s">
        <v>7374</v>
      </c>
      <c r="F506" s="1" t="s">
        <v>8094</v>
      </c>
      <c r="G506" s="1" t="s">
        <v>8095</v>
      </c>
      <c r="H506" t="s">
        <v>8096</v>
      </c>
      <c r="I506" t="s">
        <v>8097</v>
      </c>
    </row>
    <row r="507" spans="1:9">
      <c r="A507" t="s">
        <v>1275</v>
      </c>
      <c r="B507">
        <v>1331</v>
      </c>
      <c r="C507" t="s">
        <v>1276</v>
      </c>
      <c r="D507" s="9" t="s">
        <v>7374</v>
      </c>
      <c r="F507" s="1" t="s">
        <v>8094</v>
      </c>
      <c r="G507" s="1" t="s">
        <v>8095</v>
      </c>
      <c r="H507" t="s">
        <v>10251</v>
      </c>
      <c r="I507" t="s">
        <v>10252</v>
      </c>
    </row>
    <row r="508" spans="1:9">
      <c r="A508" t="s">
        <v>1275</v>
      </c>
      <c r="B508">
        <v>1331</v>
      </c>
      <c r="C508" t="s">
        <v>1276</v>
      </c>
      <c r="D508" s="9" t="s">
        <v>7374</v>
      </c>
      <c r="F508" s="1" t="s">
        <v>8094</v>
      </c>
      <c r="G508" s="1" t="s">
        <v>8095</v>
      </c>
      <c r="H508" t="s">
        <v>10253</v>
      </c>
      <c r="I508" t="s">
        <v>10252</v>
      </c>
    </row>
    <row r="509" spans="1:9">
      <c r="A509" t="s">
        <v>1275</v>
      </c>
      <c r="B509">
        <v>1331</v>
      </c>
      <c r="C509" t="s">
        <v>1276</v>
      </c>
      <c r="D509" s="9" t="s">
        <v>7374</v>
      </c>
      <c r="F509" s="1" t="s">
        <v>8094</v>
      </c>
      <c r="G509" s="1" t="s">
        <v>8095</v>
      </c>
      <c r="H509" t="s">
        <v>10254</v>
      </c>
      <c r="I509" t="s">
        <v>10252</v>
      </c>
    </row>
    <row r="510" spans="1:9">
      <c r="A510" t="s">
        <v>1275</v>
      </c>
      <c r="B510">
        <v>1331</v>
      </c>
      <c r="C510" t="s">
        <v>1276</v>
      </c>
      <c r="D510" s="9" t="s">
        <v>7374</v>
      </c>
      <c r="F510" s="1" t="s">
        <v>8094</v>
      </c>
      <c r="G510" s="1" t="s">
        <v>8095</v>
      </c>
      <c r="H510" t="s">
        <v>10255</v>
      </c>
      <c r="I510" t="s">
        <v>10252</v>
      </c>
    </row>
    <row r="511" spans="1:9">
      <c r="A511" t="s">
        <v>1275</v>
      </c>
      <c r="B511">
        <v>1331</v>
      </c>
      <c r="C511" t="s">
        <v>1276</v>
      </c>
      <c r="D511" s="9" t="s">
        <v>7374</v>
      </c>
      <c r="F511" s="1" t="s">
        <v>8094</v>
      </c>
      <c r="G511" s="1" t="s">
        <v>8095</v>
      </c>
      <c r="H511" t="s">
        <v>10256</v>
      </c>
      <c r="I511" t="s">
        <v>10257</v>
      </c>
    </row>
    <row r="512" spans="1:9">
      <c r="A512" t="s">
        <v>1278</v>
      </c>
      <c r="B512">
        <v>264</v>
      </c>
      <c r="C512" t="s">
        <v>1279</v>
      </c>
    </row>
    <row r="513" spans="1:4">
      <c r="A513" t="s">
        <v>1282</v>
      </c>
      <c r="B513">
        <v>204</v>
      </c>
      <c r="C513" t="s">
        <v>1283</v>
      </c>
    </row>
    <row r="514" spans="1:4">
      <c r="A514" t="s">
        <v>1286</v>
      </c>
      <c r="B514">
        <v>475</v>
      </c>
      <c r="C514" t="s">
        <v>1287</v>
      </c>
      <c r="D514" s="1" t="s">
        <v>7324</v>
      </c>
    </row>
    <row r="515" spans="1:4">
      <c r="A515" t="s">
        <v>1290</v>
      </c>
      <c r="B515">
        <v>256</v>
      </c>
      <c r="C515" t="s">
        <v>1291</v>
      </c>
    </row>
    <row r="516" spans="1:4">
      <c r="A516" t="s">
        <v>1292</v>
      </c>
      <c r="B516">
        <v>183</v>
      </c>
      <c r="C516" t="s">
        <v>1293</v>
      </c>
    </row>
    <row r="517" spans="1:4">
      <c r="A517" t="s">
        <v>1296</v>
      </c>
      <c r="B517">
        <v>123</v>
      </c>
      <c r="C517" t="s">
        <v>1297</v>
      </c>
    </row>
    <row r="518" spans="1:4">
      <c r="A518" t="s">
        <v>1300</v>
      </c>
      <c r="B518">
        <v>155</v>
      </c>
      <c r="C518" t="s">
        <v>1301</v>
      </c>
    </row>
    <row r="519" spans="1:4">
      <c r="A519" t="s">
        <v>1304</v>
      </c>
      <c r="B519">
        <v>709</v>
      </c>
      <c r="C519" t="s">
        <v>1305</v>
      </c>
    </row>
    <row r="520" spans="1:4">
      <c r="A520" t="s">
        <v>1308</v>
      </c>
      <c r="B520">
        <v>396</v>
      </c>
      <c r="C520" t="s">
        <v>1309</v>
      </c>
    </row>
    <row r="521" spans="1:4">
      <c r="A521" t="s">
        <v>1310</v>
      </c>
      <c r="B521">
        <v>497</v>
      </c>
      <c r="C521" t="s">
        <v>1311</v>
      </c>
    </row>
    <row r="522" spans="1:4">
      <c r="A522" t="s">
        <v>1312</v>
      </c>
      <c r="B522">
        <v>39</v>
      </c>
      <c r="C522" t="s">
        <v>1313</v>
      </c>
    </row>
    <row r="523" spans="1:4">
      <c r="A523" t="s">
        <v>1315</v>
      </c>
      <c r="B523">
        <v>568</v>
      </c>
      <c r="C523" t="s">
        <v>1316</v>
      </c>
    </row>
    <row r="524" spans="1:4">
      <c r="A524" t="s">
        <v>1319</v>
      </c>
      <c r="B524">
        <v>627</v>
      </c>
      <c r="C524" t="s">
        <v>1320</v>
      </c>
      <c r="D524" s="1" t="s">
        <v>7324</v>
      </c>
    </row>
    <row r="525" spans="1:4">
      <c r="A525" t="s">
        <v>1323</v>
      </c>
      <c r="B525">
        <v>330</v>
      </c>
      <c r="C525" t="s">
        <v>1324</v>
      </c>
    </row>
    <row r="526" spans="1:4">
      <c r="A526" t="s">
        <v>1327</v>
      </c>
      <c r="B526">
        <v>327</v>
      </c>
      <c r="C526" t="s">
        <v>1328</v>
      </c>
    </row>
    <row r="527" spans="1:4">
      <c r="A527" t="s">
        <v>1329</v>
      </c>
      <c r="B527">
        <v>232</v>
      </c>
      <c r="C527" t="s">
        <v>1330</v>
      </c>
    </row>
    <row r="528" spans="1:4">
      <c r="A528" t="s">
        <v>1331</v>
      </c>
      <c r="B528">
        <v>191</v>
      </c>
      <c r="C528" t="s">
        <v>1332</v>
      </c>
    </row>
    <row r="529" spans="1:3">
      <c r="A529" t="s">
        <v>1333</v>
      </c>
      <c r="B529">
        <v>188</v>
      </c>
      <c r="C529" t="s">
        <v>1334</v>
      </c>
    </row>
    <row r="530" spans="1:3">
      <c r="A530" t="s">
        <v>1335</v>
      </c>
      <c r="B530">
        <v>387</v>
      </c>
      <c r="C530" t="s">
        <v>1336</v>
      </c>
    </row>
    <row r="531" spans="1:3">
      <c r="A531" t="s">
        <v>1337</v>
      </c>
      <c r="B531">
        <v>64</v>
      </c>
      <c r="C531" t="s">
        <v>1338</v>
      </c>
    </row>
    <row r="532" spans="1:3">
      <c r="A532" t="s">
        <v>1339</v>
      </c>
      <c r="B532">
        <v>115</v>
      </c>
      <c r="C532" t="s">
        <v>1340</v>
      </c>
    </row>
    <row r="533" spans="1:3">
      <c r="A533" t="s">
        <v>1342</v>
      </c>
      <c r="B533">
        <v>159</v>
      </c>
      <c r="C533" t="s">
        <v>1343</v>
      </c>
    </row>
    <row r="534" spans="1:3">
      <c r="A534" t="s">
        <v>1346</v>
      </c>
      <c r="B534">
        <v>101</v>
      </c>
      <c r="C534" t="s">
        <v>1347</v>
      </c>
    </row>
    <row r="535" spans="1:3">
      <c r="A535" t="s">
        <v>1350</v>
      </c>
      <c r="B535">
        <v>218</v>
      </c>
      <c r="C535" t="s">
        <v>1351</v>
      </c>
    </row>
    <row r="536" spans="1:3">
      <c r="A536" t="s">
        <v>1354</v>
      </c>
      <c r="B536">
        <v>217</v>
      </c>
      <c r="C536" t="s">
        <v>1355</v>
      </c>
    </row>
    <row r="537" spans="1:3">
      <c r="A537" t="s">
        <v>1358</v>
      </c>
      <c r="B537">
        <v>100</v>
      </c>
      <c r="C537" t="s">
        <v>1359</v>
      </c>
    </row>
    <row r="538" spans="1:3">
      <c r="A538" t="s">
        <v>1362</v>
      </c>
      <c r="B538">
        <v>278</v>
      </c>
      <c r="C538" t="s">
        <v>1363</v>
      </c>
    </row>
    <row r="539" spans="1:3">
      <c r="A539" t="s">
        <v>1366</v>
      </c>
      <c r="B539">
        <v>92</v>
      </c>
      <c r="C539" t="s">
        <v>1367</v>
      </c>
    </row>
    <row r="540" spans="1:3">
      <c r="A540" t="s">
        <v>1370</v>
      </c>
      <c r="B540">
        <v>120</v>
      </c>
      <c r="C540" t="s">
        <v>1371</v>
      </c>
    </row>
    <row r="541" spans="1:3">
      <c r="A541" t="s">
        <v>1374</v>
      </c>
      <c r="B541">
        <v>248</v>
      </c>
      <c r="C541" t="s">
        <v>1375</v>
      </c>
    </row>
    <row r="542" spans="1:3">
      <c r="A542" t="s">
        <v>1378</v>
      </c>
      <c r="B542">
        <v>138</v>
      </c>
      <c r="C542" t="s">
        <v>1379</v>
      </c>
    </row>
    <row r="543" spans="1:3">
      <c r="A543" t="s">
        <v>1382</v>
      </c>
      <c r="B543">
        <v>76</v>
      </c>
      <c r="C543" t="s">
        <v>1383</v>
      </c>
    </row>
    <row r="544" spans="1:3">
      <c r="A544" t="s">
        <v>1386</v>
      </c>
      <c r="B544">
        <v>102</v>
      </c>
      <c r="C544" t="s">
        <v>1387</v>
      </c>
    </row>
    <row r="545" spans="1:6">
      <c r="A545" t="s">
        <v>1390</v>
      </c>
      <c r="B545">
        <v>295</v>
      </c>
      <c r="C545" t="s">
        <v>1391</v>
      </c>
    </row>
    <row r="546" spans="1:6">
      <c r="A546" t="s">
        <v>1394</v>
      </c>
      <c r="B546">
        <v>316</v>
      </c>
      <c r="C546" t="s">
        <v>1395</v>
      </c>
    </row>
    <row r="547" spans="1:6">
      <c r="A547" t="s">
        <v>1397</v>
      </c>
      <c r="B547">
        <v>359</v>
      </c>
      <c r="C547" t="s">
        <v>1398</v>
      </c>
    </row>
    <row r="548" spans="1:6">
      <c r="A548" t="s">
        <v>1401</v>
      </c>
      <c r="B548">
        <v>344</v>
      </c>
      <c r="C548" t="s">
        <v>1402</v>
      </c>
    </row>
    <row r="549" spans="1:6">
      <c r="A549" t="s">
        <v>1404</v>
      </c>
      <c r="B549">
        <v>275</v>
      </c>
      <c r="C549" t="s">
        <v>1405</v>
      </c>
    </row>
    <row r="550" spans="1:6">
      <c r="A550" t="s">
        <v>1406</v>
      </c>
      <c r="B550">
        <v>132</v>
      </c>
      <c r="C550" t="s">
        <v>1407</v>
      </c>
    </row>
    <row r="551" spans="1:6">
      <c r="A551" t="s">
        <v>1408</v>
      </c>
      <c r="B551">
        <v>162</v>
      </c>
      <c r="C551" t="s">
        <v>1409</v>
      </c>
    </row>
    <row r="552" spans="1:6">
      <c r="A552" t="s">
        <v>1412</v>
      </c>
      <c r="B552">
        <v>122</v>
      </c>
      <c r="C552" t="s">
        <v>1413</v>
      </c>
    </row>
    <row r="553" spans="1:6">
      <c r="A553" t="s">
        <v>1416</v>
      </c>
      <c r="B553">
        <v>104</v>
      </c>
      <c r="C553" t="s">
        <v>1417</v>
      </c>
    </row>
    <row r="554" spans="1:6">
      <c r="A554" t="s">
        <v>1420</v>
      </c>
      <c r="B554">
        <v>183</v>
      </c>
      <c r="C554" t="s">
        <v>1421</v>
      </c>
    </row>
    <row r="555" spans="1:6">
      <c r="A555" t="s">
        <v>1422</v>
      </c>
      <c r="B555">
        <v>1145</v>
      </c>
      <c r="C555" t="s">
        <v>1423</v>
      </c>
    </row>
    <row r="556" spans="1:6">
      <c r="A556" t="s">
        <v>1424</v>
      </c>
      <c r="B556">
        <v>336</v>
      </c>
      <c r="C556" t="s">
        <v>1425</v>
      </c>
    </row>
    <row r="557" spans="1:6">
      <c r="A557" t="s">
        <v>1428</v>
      </c>
      <c r="B557">
        <v>261</v>
      </c>
      <c r="C557" t="s">
        <v>1429</v>
      </c>
    </row>
    <row r="558" spans="1:6">
      <c r="A558" t="s">
        <v>1432</v>
      </c>
      <c r="B558">
        <v>300</v>
      </c>
      <c r="C558" t="s">
        <v>1433</v>
      </c>
    </row>
    <row r="559" spans="1:6">
      <c r="A559" t="s">
        <v>1436</v>
      </c>
      <c r="B559">
        <v>296</v>
      </c>
      <c r="C559" t="s">
        <v>1437</v>
      </c>
    </row>
    <row r="560" spans="1:6">
      <c r="A560" t="s">
        <v>1440</v>
      </c>
      <c r="B560">
        <v>397</v>
      </c>
      <c r="C560" t="s">
        <v>1441</v>
      </c>
      <c r="D560" s="1" t="s">
        <v>7375</v>
      </c>
      <c r="F560" s="1" t="s">
        <v>8098</v>
      </c>
    </row>
    <row r="561" spans="1:9">
      <c r="A561" t="s">
        <v>1443</v>
      </c>
      <c r="B561">
        <v>273</v>
      </c>
      <c r="C561" t="s">
        <v>1444</v>
      </c>
    </row>
    <row r="562" spans="1:9">
      <c r="A562" t="s">
        <v>1445</v>
      </c>
      <c r="B562">
        <v>82</v>
      </c>
      <c r="C562" t="s">
        <v>1446</v>
      </c>
    </row>
    <row r="563" spans="1:9">
      <c r="A563" t="s">
        <v>1449</v>
      </c>
      <c r="B563">
        <v>127</v>
      </c>
      <c r="C563" t="s">
        <v>1450</v>
      </c>
    </row>
    <row r="564" spans="1:9">
      <c r="A564" t="s">
        <v>1453</v>
      </c>
      <c r="B564">
        <v>178</v>
      </c>
      <c r="C564" t="s">
        <v>1454</v>
      </c>
    </row>
    <row r="565" spans="1:9">
      <c r="A565" t="s">
        <v>1457</v>
      </c>
      <c r="B565">
        <v>133</v>
      </c>
      <c r="C565" t="s">
        <v>1458</v>
      </c>
    </row>
    <row r="566" spans="1:9">
      <c r="A566" t="s">
        <v>1461</v>
      </c>
      <c r="B566">
        <v>207</v>
      </c>
      <c r="C566" t="s">
        <v>1462</v>
      </c>
    </row>
    <row r="567" spans="1:9">
      <c r="A567" t="s">
        <v>1465</v>
      </c>
      <c r="B567">
        <v>61</v>
      </c>
      <c r="C567" t="s">
        <v>1466</v>
      </c>
    </row>
    <row r="568" spans="1:9">
      <c r="A568" t="s">
        <v>1469</v>
      </c>
      <c r="B568">
        <v>148</v>
      </c>
      <c r="C568" t="s">
        <v>1470</v>
      </c>
    </row>
    <row r="569" spans="1:9">
      <c r="A569" t="s">
        <v>1471</v>
      </c>
      <c r="B569">
        <v>46</v>
      </c>
      <c r="C569" t="s">
        <v>1472</v>
      </c>
    </row>
    <row r="570" spans="1:9">
      <c r="A570" t="s">
        <v>1474</v>
      </c>
      <c r="B570">
        <v>500</v>
      </c>
      <c r="C570" t="s">
        <v>1475</v>
      </c>
    </row>
    <row r="571" spans="1:9">
      <c r="A571" t="s">
        <v>1478</v>
      </c>
      <c r="B571">
        <v>435</v>
      </c>
      <c r="C571" t="s">
        <v>1479</v>
      </c>
      <c r="D571" s="1" t="s">
        <v>7376</v>
      </c>
      <c r="F571" s="1" t="s">
        <v>8099</v>
      </c>
      <c r="G571" s="1" t="s">
        <v>8100</v>
      </c>
      <c r="H571" t="s">
        <v>8101</v>
      </c>
      <c r="I571" t="s">
        <v>8102</v>
      </c>
    </row>
    <row r="572" spans="1:9">
      <c r="A572" t="s">
        <v>1481</v>
      </c>
      <c r="B572">
        <v>441</v>
      </c>
      <c r="C572" t="s">
        <v>1482</v>
      </c>
    </row>
    <row r="573" spans="1:9">
      <c r="A573" t="s">
        <v>1485</v>
      </c>
      <c r="B573">
        <v>181</v>
      </c>
      <c r="C573" t="s">
        <v>1486</v>
      </c>
      <c r="D573" s="9" t="s">
        <v>7377</v>
      </c>
      <c r="F573" s="1" t="s">
        <v>8103</v>
      </c>
      <c r="G573" s="1" t="s">
        <v>8104</v>
      </c>
      <c r="H573" t="s">
        <v>8106</v>
      </c>
      <c r="I573" t="s">
        <v>8105</v>
      </c>
    </row>
    <row r="574" spans="1:9">
      <c r="A574" t="s">
        <v>1485</v>
      </c>
      <c r="B574">
        <v>181</v>
      </c>
      <c r="C574" t="s">
        <v>1486</v>
      </c>
      <c r="D574" s="9" t="s">
        <v>7377</v>
      </c>
      <c r="F574" s="1" t="s">
        <v>8103</v>
      </c>
      <c r="G574" s="1" t="s">
        <v>8104</v>
      </c>
      <c r="H574" t="s">
        <v>10258</v>
      </c>
      <c r="I574" t="s">
        <v>10259</v>
      </c>
    </row>
    <row r="575" spans="1:9">
      <c r="A575" t="s">
        <v>1485</v>
      </c>
      <c r="B575">
        <v>181</v>
      </c>
      <c r="C575" t="s">
        <v>1486</v>
      </c>
      <c r="D575" s="9" t="s">
        <v>7377</v>
      </c>
      <c r="F575" s="1" t="s">
        <v>8103</v>
      </c>
      <c r="G575" s="1" t="s">
        <v>8104</v>
      </c>
      <c r="H575" t="s">
        <v>10260</v>
      </c>
      <c r="I575" t="s">
        <v>10261</v>
      </c>
    </row>
    <row r="576" spans="1:9">
      <c r="A576" t="s">
        <v>1489</v>
      </c>
      <c r="B576">
        <v>264</v>
      </c>
      <c r="C576" t="s">
        <v>1490</v>
      </c>
      <c r="D576" s="1" t="s">
        <v>7378</v>
      </c>
      <c r="F576" s="1" t="s">
        <v>8107</v>
      </c>
    </row>
    <row r="577" spans="1:9">
      <c r="A577" t="s">
        <v>1491</v>
      </c>
      <c r="B577">
        <v>263</v>
      </c>
      <c r="C577" t="s">
        <v>1492</v>
      </c>
    </row>
    <row r="578" spans="1:9">
      <c r="A578" t="s">
        <v>1495</v>
      </c>
      <c r="B578">
        <v>81</v>
      </c>
      <c r="C578" t="s">
        <v>1496</v>
      </c>
    </row>
    <row r="579" spans="1:9">
      <c r="A579" t="s">
        <v>1499</v>
      </c>
      <c r="B579">
        <v>122</v>
      </c>
      <c r="C579" t="s">
        <v>1500</v>
      </c>
    </row>
    <row r="580" spans="1:9">
      <c r="A580" t="s">
        <v>1503</v>
      </c>
      <c r="B580">
        <v>134</v>
      </c>
      <c r="C580" t="s">
        <v>1504</v>
      </c>
    </row>
    <row r="581" spans="1:9">
      <c r="A581" t="s">
        <v>1507</v>
      </c>
      <c r="B581">
        <v>201</v>
      </c>
      <c r="C581" t="s">
        <v>1508</v>
      </c>
    </row>
    <row r="582" spans="1:9">
      <c r="A582" t="s">
        <v>1511</v>
      </c>
      <c r="B582">
        <v>336</v>
      </c>
      <c r="C582" t="s">
        <v>1512</v>
      </c>
      <c r="D582" s="9" t="s">
        <v>7374</v>
      </c>
      <c r="F582" s="1" t="s">
        <v>8094</v>
      </c>
      <c r="G582" s="1" t="s">
        <v>8095</v>
      </c>
      <c r="H582" t="s">
        <v>8096</v>
      </c>
      <c r="I582" t="s">
        <v>8097</v>
      </c>
    </row>
    <row r="583" spans="1:9">
      <c r="A583" t="s">
        <v>1511</v>
      </c>
      <c r="B583">
        <v>336</v>
      </c>
      <c r="C583" t="s">
        <v>1512</v>
      </c>
      <c r="D583" s="9" t="s">
        <v>7374</v>
      </c>
      <c r="F583" s="1" t="s">
        <v>8094</v>
      </c>
      <c r="G583" s="1" t="s">
        <v>8095</v>
      </c>
      <c r="H583" s="4" t="s">
        <v>10251</v>
      </c>
      <c r="I583" s="4" t="s">
        <v>10252</v>
      </c>
    </row>
    <row r="584" spans="1:9">
      <c r="A584" t="s">
        <v>1511</v>
      </c>
      <c r="B584">
        <v>336</v>
      </c>
      <c r="C584" t="s">
        <v>1512</v>
      </c>
      <c r="D584" s="9" t="s">
        <v>7374</v>
      </c>
      <c r="F584" s="1" t="s">
        <v>8094</v>
      </c>
      <c r="G584" s="1" t="s">
        <v>8095</v>
      </c>
      <c r="H584" s="4" t="s">
        <v>10253</v>
      </c>
      <c r="I584" s="4" t="s">
        <v>10252</v>
      </c>
    </row>
    <row r="585" spans="1:9">
      <c r="A585" t="s">
        <v>1511</v>
      </c>
      <c r="B585">
        <v>336</v>
      </c>
      <c r="C585" t="s">
        <v>1512</v>
      </c>
      <c r="D585" s="9" t="s">
        <v>7374</v>
      </c>
      <c r="F585" s="1" t="s">
        <v>8094</v>
      </c>
      <c r="G585" s="1" t="s">
        <v>8095</v>
      </c>
      <c r="H585" s="4" t="s">
        <v>10254</v>
      </c>
      <c r="I585" s="4" t="s">
        <v>10252</v>
      </c>
    </row>
    <row r="586" spans="1:9">
      <c r="A586" t="s">
        <v>1511</v>
      </c>
      <c r="B586">
        <v>336</v>
      </c>
      <c r="C586" t="s">
        <v>1512</v>
      </c>
      <c r="D586" s="9" t="s">
        <v>7374</v>
      </c>
      <c r="F586" s="1" t="s">
        <v>8094</v>
      </c>
      <c r="G586" s="1" t="s">
        <v>8095</v>
      </c>
      <c r="H586" s="4" t="s">
        <v>10255</v>
      </c>
      <c r="I586" s="4" t="s">
        <v>10252</v>
      </c>
    </row>
    <row r="587" spans="1:9">
      <c r="A587" t="s">
        <v>1511</v>
      </c>
      <c r="B587">
        <v>336</v>
      </c>
      <c r="C587" t="s">
        <v>1512</v>
      </c>
      <c r="D587" s="9" t="s">
        <v>7374</v>
      </c>
      <c r="F587" s="1" t="s">
        <v>8094</v>
      </c>
      <c r="G587" s="1" t="s">
        <v>8095</v>
      </c>
      <c r="H587" s="4" t="s">
        <v>10256</v>
      </c>
      <c r="I587" s="4" t="s">
        <v>10257</v>
      </c>
    </row>
    <row r="588" spans="1:9">
      <c r="A588" t="s">
        <v>1515</v>
      </c>
      <c r="B588">
        <v>170</v>
      </c>
      <c r="C588" t="s">
        <v>1516</v>
      </c>
    </row>
    <row r="589" spans="1:9">
      <c r="A589" t="s">
        <v>1519</v>
      </c>
      <c r="B589">
        <v>293</v>
      </c>
      <c r="C589" t="s">
        <v>1520</v>
      </c>
      <c r="D589" s="1" t="s">
        <v>7379</v>
      </c>
      <c r="F589" s="1" t="s">
        <v>8108</v>
      </c>
      <c r="G589" s="1" t="s">
        <v>8109</v>
      </c>
      <c r="H589" t="s">
        <v>8110</v>
      </c>
      <c r="I589" t="s">
        <v>8111</v>
      </c>
    </row>
    <row r="590" spans="1:9">
      <c r="A590" t="s">
        <v>1523</v>
      </c>
      <c r="B590">
        <v>427</v>
      </c>
      <c r="C590" t="s">
        <v>1524</v>
      </c>
    </row>
    <row r="591" spans="1:9">
      <c r="A591" t="s">
        <v>1526</v>
      </c>
      <c r="B591">
        <v>416</v>
      </c>
      <c r="C591" t="s">
        <v>1527</v>
      </c>
      <c r="D591" s="1" t="s">
        <v>7380</v>
      </c>
      <c r="F591" s="1" t="s">
        <v>8112</v>
      </c>
    </row>
    <row r="592" spans="1:9">
      <c r="A592" t="s">
        <v>1528</v>
      </c>
      <c r="B592">
        <v>489</v>
      </c>
      <c r="C592" t="s">
        <v>1529</v>
      </c>
    </row>
    <row r="593" spans="1:9">
      <c r="A593" t="s">
        <v>1532</v>
      </c>
      <c r="B593">
        <v>1229</v>
      </c>
      <c r="C593" t="s">
        <v>1533</v>
      </c>
    </row>
    <row r="594" spans="1:9">
      <c r="A594" t="s">
        <v>1534</v>
      </c>
      <c r="B594">
        <v>392</v>
      </c>
      <c r="C594" t="s">
        <v>1535</v>
      </c>
    </row>
    <row r="595" spans="1:9">
      <c r="A595" t="s">
        <v>1537</v>
      </c>
      <c r="B595">
        <v>104</v>
      </c>
      <c r="C595" t="s">
        <v>1538</v>
      </c>
    </row>
    <row r="596" spans="1:9">
      <c r="A596" t="s">
        <v>1541</v>
      </c>
      <c r="B596">
        <v>95</v>
      </c>
      <c r="C596" t="s">
        <v>1542</v>
      </c>
    </row>
    <row r="597" spans="1:9">
      <c r="A597" t="s">
        <v>1543</v>
      </c>
      <c r="B597">
        <v>53</v>
      </c>
      <c r="C597" t="s">
        <v>1544</v>
      </c>
    </row>
    <row r="598" spans="1:9">
      <c r="A598" t="s">
        <v>1547</v>
      </c>
      <c r="B598">
        <v>189</v>
      </c>
      <c r="C598" t="s">
        <v>1548</v>
      </c>
    </row>
    <row r="599" spans="1:9">
      <c r="A599" t="s">
        <v>1551</v>
      </c>
      <c r="B599">
        <v>180</v>
      </c>
      <c r="C599" t="s">
        <v>1552</v>
      </c>
    </row>
    <row r="600" spans="1:9">
      <c r="A600" t="s">
        <v>1555</v>
      </c>
      <c r="B600">
        <v>641</v>
      </c>
      <c r="C600" t="s">
        <v>1556</v>
      </c>
    </row>
    <row r="601" spans="1:9">
      <c r="A601" t="s">
        <v>1559</v>
      </c>
      <c r="B601">
        <v>447</v>
      </c>
      <c r="C601" t="s">
        <v>1560</v>
      </c>
      <c r="D601" s="1" t="s">
        <v>7381</v>
      </c>
      <c r="F601" s="1" t="s">
        <v>8113</v>
      </c>
      <c r="G601" s="1" t="s">
        <v>8114</v>
      </c>
      <c r="H601" t="s">
        <v>8115</v>
      </c>
      <c r="I601" t="s">
        <v>8116</v>
      </c>
    </row>
    <row r="602" spans="1:9">
      <c r="A602" t="s">
        <v>1561</v>
      </c>
      <c r="B602">
        <v>104</v>
      </c>
      <c r="C602" t="s">
        <v>1562</v>
      </c>
    </row>
    <row r="603" spans="1:9">
      <c r="A603" t="s">
        <v>1563</v>
      </c>
      <c r="B603">
        <v>594</v>
      </c>
      <c r="C603" t="s">
        <v>1564</v>
      </c>
    </row>
    <row r="604" spans="1:9">
      <c r="A604" t="s">
        <v>1565</v>
      </c>
      <c r="B604">
        <v>92</v>
      </c>
      <c r="C604" t="s">
        <v>1566</v>
      </c>
    </row>
    <row r="605" spans="1:9">
      <c r="A605" t="s">
        <v>1568</v>
      </c>
      <c r="B605">
        <v>277</v>
      </c>
      <c r="C605" t="s">
        <v>1569</v>
      </c>
    </row>
    <row r="606" spans="1:9">
      <c r="A606" t="s">
        <v>1571</v>
      </c>
      <c r="B606">
        <v>934</v>
      </c>
      <c r="C606" t="s">
        <v>1572</v>
      </c>
      <c r="D606" s="1" t="s">
        <v>7314</v>
      </c>
    </row>
    <row r="607" spans="1:9">
      <c r="A607" t="s">
        <v>1575</v>
      </c>
      <c r="B607">
        <v>623</v>
      </c>
      <c r="C607" t="s">
        <v>1576</v>
      </c>
      <c r="D607" s="1" t="s">
        <v>7382</v>
      </c>
      <c r="F607" s="1" t="s">
        <v>8117</v>
      </c>
      <c r="G607" s="1" t="s">
        <v>8118</v>
      </c>
      <c r="H607" t="s">
        <v>8120</v>
      </c>
      <c r="I607" t="s">
        <v>8119</v>
      </c>
    </row>
    <row r="608" spans="1:9">
      <c r="A608" t="s">
        <v>1579</v>
      </c>
      <c r="B608">
        <v>365</v>
      </c>
      <c r="C608" t="s">
        <v>1580</v>
      </c>
      <c r="D608" s="1" t="s">
        <v>7383</v>
      </c>
      <c r="F608" s="1" t="s">
        <v>8121</v>
      </c>
      <c r="G608" s="1" t="s">
        <v>8122</v>
      </c>
      <c r="H608" t="s">
        <v>8123</v>
      </c>
      <c r="I608" t="s">
        <v>8124</v>
      </c>
    </row>
    <row r="609" spans="1:6">
      <c r="A609" t="s">
        <v>1583</v>
      </c>
      <c r="B609">
        <v>166</v>
      </c>
      <c r="C609" t="s">
        <v>1584</v>
      </c>
      <c r="F609" s="1"/>
    </row>
    <row r="610" spans="1:6">
      <c r="A610" t="s">
        <v>1587</v>
      </c>
      <c r="B610">
        <v>529</v>
      </c>
      <c r="C610" t="s">
        <v>1588</v>
      </c>
    </row>
    <row r="611" spans="1:6">
      <c r="A611" t="s">
        <v>1589</v>
      </c>
      <c r="B611">
        <v>169</v>
      </c>
      <c r="C611" t="s">
        <v>1590</v>
      </c>
    </row>
    <row r="612" spans="1:6">
      <c r="A612" t="s">
        <v>1593</v>
      </c>
      <c r="B612">
        <v>230</v>
      </c>
      <c r="C612" t="s">
        <v>1594</v>
      </c>
    </row>
    <row r="613" spans="1:6">
      <c r="A613" t="s">
        <v>1596</v>
      </c>
      <c r="B613">
        <v>173</v>
      </c>
      <c r="C613" t="s">
        <v>1597</v>
      </c>
    </row>
    <row r="614" spans="1:6">
      <c r="A614" t="s">
        <v>1600</v>
      </c>
      <c r="B614">
        <v>347</v>
      </c>
      <c r="C614" t="s">
        <v>1601</v>
      </c>
      <c r="D614" s="1" t="s">
        <v>7283</v>
      </c>
    </row>
    <row r="615" spans="1:6">
      <c r="A615" t="s">
        <v>1602</v>
      </c>
      <c r="B615">
        <v>142</v>
      </c>
      <c r="C615" t="s">
        <v>1603</v>
      </c>
    </row>
    <row r="616" spans="1:6">
      <c r="A616" t="s">
        <v>1606</v>
      </c>
      <c r="B616">
        <v>211</v>
      </c>
      <c r="C616" t="s">
        <v>1607</v>
      </c>
    </row>
    <row r="617" spans="1:6">
      <c r="A617" t="s">
        <v>1610</v>
      </c>
      <c r="B617">
        <v>406</v>
      </c>
      <c r="C617" t="s">
        <v>1611</v>
      </c>
      <c r="D617" s="1" t="s">
        <v>7293</v>
      </c>
      <c r="F617" s="1" t="s">
        <v>7863</v>
      </c>
    </row>
    <row r="618" spans="1:6">
      <c r="A618" t="s">
        <v>1614</v>
      </c>
      <c r="B618">
        <v>201</v>
      </c>
      <c r="C618" t="s">
        <v>1615</v>
      </c>
      <c r="D618" s="1" t="s">
        <v>7324</v>
      </c>
    </row>
    <row r="619" spans="1:6">
      <c r="A619" t="s">
        <v>1617</v>
      </c>
      <c r="B619">
        <v>419</v>
      </c>
      <c r="C619" t="s">
        <v>1618</v>
      </c>
    </row>
    <row r="620" spans="1:6">
      <c r="A620" t="s">
        <v>1619</v>
      </c>
      <c r="B620">
        <v>413</v>
      </c>
      <c r="C620" t="s">
        <v>1620</v>
      </c>
    </row>
    <row r="621" spans="1:6">
      <c r="A621" t="s">
        <v>1623</v>
      </c>
      <c r="B621">
        <v>97</v>
      </c>
      <c r="C621" t="s">
        <v>1624</v>
      </c>
    </row>
    <row r="622" spans="1:6">
      <c r="A622" t="s">
        <v>1627</v>
      </c>
      <c r="B622">
        <v>541</v>
      </c>
      <c r="C622" t="s">
        <v>1628</v>
      </c>
    </row>
    <row r="623" spans="1:6">
      <c r="A623" t="s">
        <v>1631</v>
      </c>
      <c r="B623">
        <v>98</v>
      </c>
      <c r="C623" t="s">
        <v>1632</v>
      </c>
    </row>
    <row r="624" spans="1:6">
      <c r="A624" t="s">
        <v>1635</v>
      </c>
      <c r="B624">
        <v>190</v>
      </c>
      <c r="C624" t="s">
        <v>1636</v>
      </c>
    </row>
    <row r="625" spans="1:9">
      <c r="A625" t="s">
        <v>1637</v>
      </c>
      <c r="B625">
        <v>252</v>
      </c>
      <c r="C625" t="s">
        <v>1638</v>
      </c>
    </row>
    <row r="626" spans="1:9">
      <c r="A626" t="s">
        <v>1639</v>
      </c>
      <c r="B626">
        <v>123</v>
      </c>
      <c r="C626" t="s">
        <v>1640</v>
      </c>
    </row>
    <row r="627" spans="1:9">
      <c r="A627" t="s">
        <v>1643</v>
      </c>
      <c r="B627">
        <v>506</v>
      </c>
      <c r="C627" t="s">
        <v>1644</v>
      </c>
      <c r="D627" s="9" t="s">
        <v>7384</v>
      </c>
      <c r="F627" s="1" t="s">
        <v>8125</v>
      </c>
      <c r="G627" s="1" t="s">
        <v>8126</v>
      </c>
      <c r="H627" t="s">
        <v>8128</v>
      </c>
      <c r="I627" t="s">
        <v>8127</v>
      </c>
    </row>
    <row r="628" spans="1:9">
      <c r="A628" t="s">
        <v>1643</v>
      </c>
      <c r="B628">
        <v>506</v>
      </c>
      <c r="C628" t="s">
        <v>1644</v>
      </c>
      <c r="D628" s="9" t="s">
        <v>7384</v>
      </c>
      <c r="F628" s="1" t="s">
        <v>8125</v>
      </c>
      <c r="G628" s="1" t="s">
        <v>8126</v>
      </c>
      <c r="H628" t="s">
        <v>10262</v>
      </c>
      <c r="I628" t="s">
        <v>10263</v>
      </c>
    </row>
    <row r="629" spans="1:9">
      <c r="A629" t="s">
        <v>1646</v>
      </c>
      <c r="B629">
        <v>383</v>
      </c>
      <c r="C629" t="s">
        <v>1647</v>
      </c>
      <c r="D629" s="1" t="s">
        <v>7314</v>
      </c>
    </row>
    <row r="630" spans="1:9">
      <c r="A630" t="s">
        <v>1650</v>
      </c>
      <c r="B630">
        <v>524</v>
      </c>
      <c r="C630" t="s">
        <v>1651</v>
      </c>
      <c r="D630" s="1" t="s">
        <v>7385</v>
      </c>
    </row>
    <row r="631" spans="1:9">
      <c r="A631" t="s">
        <v>1652</v>
      </c>
      <c r="B631">
        <v>364</v>
      </c>
      <c r="C631" t="s">
        <v>1653</v>
      </c>
    </row>
    <row r="632" spans="1:9">
      <c r="A632" t="s">
        <v>1654</v>
      </c>
      <c r="B632">
        <v>139</v>
      </c>
      <c r="C632" t="s">
        <v>1655</v>
      </c>
    </row>
    <row r="633" spans="1:9">
      <c r="A633" t="s">
        <v>1656</v>
      </c>
      <c r="B633">
        <v>220</v>
      </c>
      <c r="C633" t="s">
        <v>1657</v>
      </c>
    </row>
    <row r="634" spans="1:9">
      <c r="A634" t="s">
        <v>1659</v>
      </c>
      <c r="B634">
        <v>510</v>
      </c>
      <c r="C634" t="s">
        <v>1660</v>
      </c>
    </row>
    <row r="635" spans="1:9">
      <c r="A635" t="s">
        <v>1661</v>
      </c>
      <c r="B635">
        <v>185</v>
      </c>
      <c r="C635" t="s">
        <v>1662</v>
      </c>
    </row>
    <row r="636" spans="1:9">
      <c r="A636" t="s">
        <v>1664</v>
      </c>
      <c r="B636">
        <v>290</v>
      </c>
      <c r="C636" t="s">
        <v>1665</v>
      </c>
    </row>
    <row r="637" spans="1:9">
      <c r="A637" t="s">
        <v>1668</v>
      </c>
      <c r="B637">
        <v>226</v>
      </c>
      <c r="C637" t="s">
        <v>1669</v>
      </c>
    </row>
    <row r="638" spans="1:9">
      <c r="A638" t="s">
        <v>1672</v>
      </c>
      <c r="B638">
        <v>345</v>
      </c>
      <c r="C638" t="s">
        <v>1673</v>
      </c>
      <c r="D638" s="1" t="s">
        <v>7324</v>
      </c>
    </row>
    <row r="639" spans="1:9">
      <c r="A639" t="s">
        <v>1676</v>
      </c>
      <c r="B639">
        <v>287</v>
      </c>
      <c r="C639" t="s">
        <v>1677</v>
      </c>
    </row>
    <row r="640" spans="1:9">
      <c r="A640" t="s">
        <v>1680</v>
      </c>
      <c r="B640">
        <v>1039</v>
      </c>
      <c r="C640" t="s">
        <v>1681</v>
      </c>
      <c r="D640" s="1" t="s">
        <v>7279</v>
      </c>
      <c r="F640" s="1" t="s">
        <v>7828</v>
      </c>
      <c r="G640" s="1" t="s">
        <v>7829</v>
      </c>
      <c r="H640" t="s">
        <v>7830</v>
      </c>
      <c r="I640" s="3" t="s">
        <v>7831</v>
      </c>
    </row>
    <row r="641" spans="1:9">
      <c r="A641" t="s">
        <v>1680</v>
      </c>
      <c r="B641">
        <v>1039</v>
      </c>
      <c r="C641" t="s">
        <v>1681</v>
      </c>
      <c r="D641" s="1" t="s">
        <v>7279</v>
      </c>
      <c r="F641" s="1" t="s">
        <v>7828</v>
      </c>
      <c r="G641" s="1" t="s">
        <v>7829</v>
      </c>
      <c r="H641" t="s">
        <v>10162</v>
      </c>
      <c r="I641" s="3" t="s">
        <v>10163</v>
      </c>
    </row>
    <row r="642" spans="1:9">
      <c r="A642" t="s">
        <v>1680</v>
      </c>
      <c r="B642">
        <v>1039</v>
      </c>
      <c r="C642" t="s">
        <v>1681</v>
      </c>
      <c r="D642" s="1" t="s">
        <v>7279</v>
      </c>
      <c r="F642" s="1" t="s">
        <v>7828</v>
      </c>
      <c r="G642" s="1" t="s">
        <v>7829</v>
      </c>
      <c r="H642" t="s">
        <v>10164</v>
      </c>
      <c r="I642" s="3" t="s">
        <v>10163</v>
      </c>
    </row>
    <row r="643" spans="1:9">
      <c r="A643" t="s">
        <v>1680</v>
      </c>
      <c r="B643">
        <v>1039</v>
      </c>
      <c r="C643" t="s">
        <v>1681</v>
      </c>
      <c r="D643" s="1" t="s">
        <v>7279</v>
      </c>
      <c r="F643" s="1" t="s">
        <v>7828</v>
      </c>
      <c r="G643" s="1" t="s">
        <v>7829</v>
      </c>
      <c r="H643" t="s">
        <v>10165</v>
      </c>
      <c r="I643" s="3" t="s">
        <v>10163</v>
      </c>
    </row>
    <row r="644" spans="1:9">
      <c r="A644" t="s">
        <v>1680</v>
      </c>
      <c r="B644">
        <v>1039</v>
      </c>
      <c r="C644" t="s">
        <v>1681</v>
      </c>
      <c r="D644" s="1" t="s">
        <v>7279</v>
      </c>
      <c r="F644" s="1" t="s">
        <v>7828</v>
      </c>
      <c r="G644" s="1" t="s">
        <v>7829</v>
      </c>
      <c r="H644" t="s">
        <v>10166</v>
      </c>
      <c r="I644" s="3" t="s">
        <v>10163</v>
      </c>
    </row>
    <row r="645" spans="1:9">
      <c r="A645" t="s">
        <v>1680</v>
      </c>
      <c r="B645">
        <v>1039</v>
      </c>
      <c r="C645" t="s">
        <v>1681</v>
      </c>
      <c r="D645" s="1" t="s">
        <v>7279</v>
      </c>
      <c r="F645" s="1" t="s">
        <v>7828</v>
      </c>
      <c r="G645" s="1" t="s">
        <v>7829</v>
      </c>
      <c r="H645" t="s">
        <v>10167</v>
      </c>
      <c r="I645" s="3" t="s">
        <v>10168</v>
      </c>
    </row>
    <row r="646" spans="1:9">
      <c r="A646" t="s">
        <v>1682</v>
      </c>
      <c r="B646">
        <v>72</v>
      </c>
      <c r="C646" t="s">
        <v>1683</v>
      </c>
    </row>
    <row r="647" spans="1:9">
      <c r="A647" t="s">
        <v>1684</v>
      </c>
      <c r="B647">
        <v>182</v>
      </c>
      <c r="C647" t="s">
        <v>1685</v>
      </c>
    </row>
    <row r="648" spans="1:9">
      <c r="A648" t="s">
        <v>1687</v>
      </c>
      <c r="B648">
        <v>149</v>
      </c>
      <c r="C648" t="s">
        <v>1688</v>
      </c>
    </row>
    <row r="649" spans="1:9">
      <c r="A649" t="s">
        <v>1689</v>
      </c>
      <c r="B649">
        <v>434</v>
      </c>
      <c r="C649" t="s">
        <v>1690</v>
      </c>
    </row>
    <row r="650" spans="1:9">
      <c r="A650" t="s">
        <v>1693</v>
      </c>
      <c r="B650">
        <v>156</v>
      </c>
      <c r="C650" t="s">
        <v>1694</v>
      </c>
      <c r="D650" s="1" t="s">
        <v>7386</v>
      </c>
      <c r="F650" s="1" t="s">
        <v>8129</v>
      </c>
    </row>
    <row r="651" spans="1:9">
      <c r="A651" t="s">
        <v>1697</v>
      </c>
      <c r="B651">
        <v>282</v>
      </c>
      <c r="C651" t="s">
        <v>1698</v>
      </c>
    </row>
    <row r="652" spans="1:9">
      <c r="A652" t="s">
        <v>1699</v>
      </c>
      <c r="B652">
        <v>104</v>
      </c>
      <c r="C652" t="s">
        <v>1700</v>
      </c>
    </row>
    <row r="653" spans="1:9">
      <c r="A653" t="s">
        <v>1701</v>
      </c>
      <c r="B653">
        <v>322</v>
      </c>
      <c r="C653" t="s">
        <v>1702</v>
      </c>
    </row>
    <row r="654" spans="1:9">
      <c r="A654" t="s">
        <v>1705</v>
      </c>
      <c r="B654">
        <v>368</v>
      </c>
      <c r="C654" t="s">
        <v>1706</v>
      </c>
      <c r="D654" s="1" t="s">
        <v>7387</v>
      </c>
      <c r="F654" s="1" t="s">
        <v>8130</v>
      </c>
      <c r="G654" s="1" t="s">
        <v>8131</v>
      </c>
      <c r="H654" t="s">
        <v>8133</v>
      </c>
      <c r="I654" t="s">
        <v>8132</v>
      </c>
    </row>
    <row r="655" spans="1:9">
      <c r="A655" t="s">
        <v>1709</v>
      </c>
      <c r="B655">
        <v>438</v>
      </c>
      <c r="C655" t="s">
        <v>1710</v>
      </c>
      <c r="D655" s="1" t="s">
        <v>7388</v>
      </c>
    </row>
    <row r="656" spans="1:9">
      <c r="A656" t="s">
        <v>1712</v>
      </c>
      <c r="B656">
        <v>193</v>
      </c>
      <c r="C656" t="s">
        <v>1713</v>
      </c>
    </row>
    <row r="657" spans="1:9">
      <c r="A657" t="s">
        <v>1716</v>
      </c>
      <c r="B657">
        <v>522</v>
      </c>
      <c r="C657" t="s">
        <v>1717</v>
      </c>
      <c r="D657" s="1" t="s">
        <v>7389</v>
      </c>
    </row>
    <row r="658" spans="1:9">
      <c r="A658" t="s">
        <v>1718</v>
      </c>
      <c r="B658">
        <v>69</v>
      </c>
      <c r="C658" t="s">
        <v>1719</v>
      </c>
    </row>
    <row r="659" spans="1:9">
      <c r="A659" t="s">
        <v>1722</v>
      </c>
      <c r="B659">
        <v>190</v>
      </c>
      <c r="C659" t="s">
        <v>1723</v>
      </c>
    </row>
    <row r="660" spans="1:9">
      <c r="A660" t="s">
        <v>1725</v>
      </c>
      <c r="B660">
        <v>203</v>
      </c>
      <c r="C660" t="s">
        <v>1726</v>
      </c>
    </row>
    <row r="661" spans="1:9">
      <c r="A661" t="s">
        <v>1727</v>
      </c>
      <c r="B661">
        <v>74</v>
      </c>
      <c r="C661" t="s">
        <v>1728</v>
      </c>
    </row>
    <row r="662" spans="1:9">
      <c r="A662" t="s">
        <v>1731</v>
      </c>
      <c r="B662">
        <v>854</v>
      </c>
      <c r="C662" t="s">
        <v>1732</v>
      </c>
      <c r="D662" s="1" t="s">
        <v>7390</v>
      </c>
    </row>
    <row r="663" spans="1:9">
      <c r="A663" t="s">
        <v>1733</v>
      </c>
      <c r="B663">
        <v>214</v>
      </c>
      <c r="C663" t="s">
        <v>1734</v>
      </c>
    </row>
    <row r="664" spans="1:9">
      <c r="A664" t="s">
        <v>1737</v>
      </c>
      <c r="B664">
        <v>278</v>
      </c>
      <c r="C664" t="s">
        <v>1738</v>
      </c>
    </row>
    <row r="665" spans="1:9">
      <c r="A665" t="s">
        <v>1739</v>
      </c>
      <c r="B665">
        <v>65</v>
      </c>
      <c r="C665" t="s">
        <v>1740</v>
      </c>
    </row>
    <row r="666" spans="1:9">
      <c r="A666" t="s">
        <v>1743</v>
      </c>
      <c r="B666">
        <v>438</v>
      </c>
      <c r="C666" t="s">
        <v>1744</v>
      </c>
    </row>
    <row r="667" spans="1:9">
      <c r="A667" t="s">
        <v>1747</v>
      </c>
      <c r="B667">
        <v>295</v>
      </c>
      <c r="C667" t="s">
        <v>1748</v>
      </c>
      <c r="D667" s="1" t="s">
        <v>7391</v>
      </c>
    </row>
    <row r="668" spans="1:9">
      <c r="A668" t="s">
        <v>1751</v>
      </c>
      <c r="B668">
        <v>222</v>
      </c>
      <c r="C668" t="s">
        <v>1752</v>
      </c>
      <c r="D668" s="1" t="s">
        <v>7392</v>
      </c>
    </row>
    <row r="669" spans="1:9">
      <c r="A669" t="s">
        <v>1755</v>
      </c>
      <c r="B669">
        <v>212</v>
      </c>
      <c r="C669" t="s">
        <v>1756</v>
      </c>
      <c r="D669" s="1" t="s">
        <v>7393</v>
      </c>
      <c r="F669" s="1" t="s">
        <v>8134</v>
      </c>
    </row>
    <row r="670" spans="1:9">
      <c r="A670" t="s">
        <v>1758</v>
      </c>
      <c r="B670">
        <v>461</v>
      </c>
      <c r="C670" t="s">
        <v>1759</v>
      </c>
      <c r="D670" s="1" t="s">
        <v>7393</v>
      </c>
      <c r="F670" s="1" t="s">
        <v>8134</v>
      </c>
    </row>
    <row r="671" spans="1:9">
      <c r="A671" t="s">
        <v>1760</v>
      </c>
      <c r="B671">
        <v>473</v>
      </c>
      <c r="C671" t="s">
        <v>1761</v>
      </c>
    </row>
    <row r="672" spans="1:9">
      <c r="A672" t="s">
        <v>1764</v>
      </c>
      <c r="B672">
        <v>737</v>
      </c>
      <c r="C672" t="s">
        <v>1765</v>
      </c>
      <c r="D672" s="9" t="s">
        <v>7394</v>
      </c>
      <c r="F672" s="1" t="s">
        <v>8135</v>
      </c>
      <c r="G672" s="1" t="s">
        <v>8136</v>
      </c>
      <c r="H672" t="s">
        <v>8137</v>
      </c>
      <c r="I672" t="s">
        <v>8138</v>
      </c>
    </row>
    <row r="673" spans="1:9">
      <c r="A673" t="s">
        <v>1764</v>
      </c>
      <c r="B673">
        <v>737</v>
      </c>
      <c r="C673" t="s">
        <v>1765</v>
      </c>
      <c r="D673" s="9" t="s">
        <v>7394</v>
      </c>
      <c r="F673" s="1" t="s">
        <v>8135</v>
      </c>
      <c r="G673" s="1" t="s">
        <v>8136</v>
      </c>
      <c r="H673" t="s">
        <v>10264</v>
      </c>
      <c r="I673" t="s">
        <v>10265</v>
      </c>
    </row>
    <row r="674" spans="1:9">
      <c r="A674" t="s">
        <v>1764</v>
      </c>
      <c r="B674">
        <v>737</v>
      </c>
      <c r="C674" t="s">
        <v>1765</v>
      </c>
      <c r="D674" s="9" t="s">
        <v>7394</v>
      </c>
      <c r="F674" s="1" t="s">
        <v>8135</v>
      </c>
      <c r="G674" s="1" t="s">
        <v>8136</v>
      </c>
      <c r="H674" t="s">
        <v>10266</v>
      </c>
      <c r="I674" t="s">
        <v>10267</v>
      </c>
    </row>
    <row r="675" spans="1:9">
      <c r="A675" t="s">
        <v>1768</v>
      </c>
      <c r="B675">
        <v>427</v>
      </c>
      <c r="C675" t="s">
        <v>1769</v>
      </c>
    </row>
    <row r="676" spans="1:9">
      <c r="A676" t="s">
        <v>1772</v>
      </c>
      <c r="B676">
        <v>297</v>
      </c>
      <c r="C676" t="s">
        <v>1773</v>
      </c>
      <c r="D676" s="1" t="s">
        <v>7395</v>
      </c>
      <c r="F676" s="1" t="s">
        <v>8139</v>
      </c>
    </row>
    <row r="677" spans="1:9">
      <c r="A677" t="s">
        <v>1774</v>
      </c>
      <c r="B677">
        <v>315</v>
      </c>
      <c r="C677" t="s">
        <v>1775</v>
      </c>
    </row>
    <row r="678" spans="1:9">
      <c r="A678" t="s">
        <v>1776</v>
      </c>
      <c r="B678">
        <v>63</v>
      </c>
      <c r="C678" t="s">
        <v>1777</v>
      </c>
    </row>
    <row r="679" spans="1:9">
      <c r="A679" t="s">
        <v>1779</v>
      </c>
      <c r="B679">
        <v>159</v>
      </c>
      <c r="C679" t="s">
        <v>1780</v>
      </c>
    </row>
    <row r="680" spans="1:9">
      <c r="A680" t="s">
        <v>1783</v>
      </c>
      <c r="B680">
        <v>343</v>
      </c>
      <c r="C680" t="s">
        <v>1784</v>
      </c>
      <c r="D680" s="1" t="s">
        <v>7396</v>
      </c>
      <c r="F680" s="1" t="s">
        <v>8140</v>
      </c>
      <c r="G680" s="1" t="s">
        <v>8141</v>
      </c>
      <c r="H680" t="s">
        <v>8142</v>
      </c>
      <c r="I680" s="3" t="s">
        <v>8143</v>
      </c>
    </row>
    <row r="681" spans="1:9">
      <c r="A681" t="s">
        <v>1787</v>
      </c>
      <c r="B681">
        <v>358</v>
      </c>
      <c r="C681" t="s">
        <v>1788</v>
      </c>
    </row>
    <row r="682" spans="1:9">
      <c r="A682" t="s">
        <v>1790</v>
      </c>
      <c r="B682">
        <v>297</v>
      </c>
      <c r="C682" t="s">
        <v>1791</v>
      </c>
    </row>
    <row r="683" spans="1:9">
      <c r="A683" t="s">
        <v>1793</v>
      </c>
      <c r="B683">
        <v>306</v>
      </c>
      <c r="C683" t="s">
        <v>1794</v>
      </c>
    </row>
    <row r="684" spans="1:9">
      <c r="A684" t="s">
        <v>1797</v>
      </c>
      <c r="B684">
        <v>225</v>
      </c>
      <c r="C684" t="s">
        <v>1798</v>
      </c>
      <c r="D684" s="1" t="s">
        <v>7397</v>
      </c>
      <c r="F684" s="1" t="s">
        <v>8144</v>
      </c>
      <c r="G684" s="1" t="s">
        <v>8145</v>
      </c>
      <c r="H684" t="s">
        <v>8146</v>
      </c>
      <c r="I684" t="s">
        <v>8147</v>
      </c>
    </row>
    <row r="685" spans="1:9">
      <c r="A685" t="s">
        <v>1801</v>
      </c>
      <c r="B685">
        <v>334</v>
      </c>
      <c r="C685" t="s">
        <v>1802</v>
      </c>
      <c r="D685" s="1" t="s">
        <v>7398</v>
      </c>
      <c r="F685" s="1" t="s">
        <v>8148</v>
      </c>
      <c r="G685" s="1" t="s">
        <v>8149</v>
      </c>
      <c r="H685" t="s">
        <v>8150</v>
      </c>
      <c r="I685" t="s">
        <v>8151</v>
      </c>
    </row>
    <row r="686" spans="1:9">
      <c r="A686" t="s">
        <v>1801</v>
      </c>
      <c r="B686">
        <v>334</v>
      </c>
      <c r="C686" t="s">
        <v>1802</v>
      </c>
      <c r="D686" s="1" t="s">
        <v>7398</v>
      </c>
      <c r="F686" s="1" t="s">
        <v>8148</v>
      </c>
      <c r="G686" s="1" t="s">
        <v>8149</v>
      </c>
      <c r="H686" t="s">
        <v>9413</v>
      </c>
      <c r="I686" t="s">
        <v>9414</v>
      </c>
    </row>
    <row r="687" spans="1:9">
      <c r="A687" t="s">
        <v>1801</v>
      </c>
      <c r="B687">
        <v>334</v>
      </c>
      <c r="C687" t="s">
        <v>1802</v>
      </c>
      <c r="D687" s="1" t="s">
        <v>7398</v>
      </c>
      <c r="F687" s="1" t="s">
        <v>8148</v>
      </c>
      <c r="G687" s="1" t="s">
        <v>8149</v>
      </c>
      <c r="H687" t="s">
        <v>9415</v>
      </c>
      <c r="I687" t="s">
        <v>9416</v>
      </c>
    </row>
    <row r="688" spans="1:9">
      <c r="A688" t="s">
        <v>1801</v>
      </c>
      <c r="B688">
        <v>334</v>
      </c>
      <c r="C688" t="s">
        <v>1802</v>
      </c>
      <c r="D688" s="1" t="s">
        <v>7398</v>
      </c>
      <c r="F688" s="1" t="s">
        <v>8148</v>
      </c>
      <c r="G688" s="1" t="s">
        <v>8149</v>
      </c>
      <c r="H688" t="s">
        <v>9417</v>
      </c>
      <c r="I688" t="s">
        <v>9418</v>
      </c>
    </row>
    <row r="689" spans="1:9">
      <c r="A689" t="s">
        <v>1801</v>
      </c>
      <c r="B689">
        <v>334</v>
      </c>
      <c r="C689" t="s">
        <v>1802</v>
      </c>
      <c r="D689" s="1" t="s">
        <v>7398</v>
      </c>
      <c r="F689" s="1" t="s">
        <v>8148</v>
      </c>
      <c r="G689" s="1" t="s">
        <v>8149</v>
      </c>
      <c r="H689" t="s">
        <v>9419</v>
      </c>
      <c r="I689" t="s">
        <v>9420</v>
      </c>
    </row>
    <row r="690" spans="1:9">
      <c r="A690" t="s">
        <v>1801</v>
      </c>
      <c r="B690">
        <v>334</v>
      </c>
      <c r="C690" t="s">
        <v>1802</v>
      </c>
      <c r="D690" s="1" t="s">
        <v>7398</v>
      </c>
      <c r="F690" s="1" t="s">
        <v>8148</v>
      </c>
      <c r="G690" s="1" t="s">
        <v>8149</v>
      </c>
      <c r="H690" t="s">
        <v>9421</v>
      </c>
      <c r="I690" t="s">
        <v>9422</v>
      </c>
    </row>
    <row r="691" spans="1:9">
      <c r="A691" t="s">
        <v>1801</v>
      </c>
      <c r="B691">
        <v>334</v>
      </c>
      <c r="C691" t="s">
        <v>1802</v>
      </c>
      <c r="D691" s="1" t="s">
        <v>7398</v>
      </c>
      <c r="F691" s="1" t="s">
        <v>8148</v>
      </c>
      <c r="G691" s="1" t="s">
        <v>8149</v>
      </c>
      <c r="H691" t="s">
        <v>9423</v>
      </c>
      <c r="I691" t="s">
        <v>9424</v>
      </c>
    </row>
    <row r="692" spans="1:9">
      <c r="A692" t="s">
        <v>1801</v>
      </c>
      <c r="B692">
        <v>334</v>
      </c>
      <c r="C692" t="s">
        <v>1802</v>
      </c>
      <c r="D692" s="1" t="s">
        <v>7398</v>
      </c>
      <c r="F692" s="1" t="s">
        <v>8148</v>
      </c>
      <c r="G692" s="1" t="s">
        <v>8149</v>
      </c>
      <c r="H692" t="s">
        <v>9425</v>
      </c>
      <c r="I692" t="s">
        <v>9426</v>
      </c>
    </row>
    <row r="693" spans="1:9">
      <c r="A693" t="s">
        <v>1801</v>
      </c>
      <c r="B693">
        <v>334</v>
      </c>
      <c r="C693" t="s">
        <v>1802</v>
      </c>
      <c r="D693" s="1" t="s">
        <v>7398</v>
      </c>
      <c r="F693" s="1" t="s">
        <v>8148</v>
      </c>
      <c r="G693" s="1" t="s">
        <v>8149</v>
      </c>
      <c r="H693" t="s">
        <v>9427</v>
      </c>
      <c r="I693" t="s">
        <v>9428</v>
      </c>
    </row>
    <row r="694" spans="1:9">
      <c r="A694" t="s">
        <v>1803</v>
      </c>
      <c r="B694">
        <v>412</v>
      </c>
      <c r="C694" t="s">
        <v>1804</v>
      </c>
    </row>
    <row r="695" spans="1:9">
      <c r="A695" t="s">
        <v>1806</v>
      </c>
      <c r="B695">
        <v>302</v>
      </c>
      <c r="C695" t="s">
        <v>1807</v>
      </c>
      <c r="D695" s="1" t="s">
        <v>7399</v>
      </c>
    </row>
    <row r="696" spans="1:9">
      <c r="A696" t="s">
        <v>1808</v>
      </c>
      <c r="B696">
        <v>92</v>
      </c>
      <c r="C696" t="s">
        <v>1809</v>
      </c>
    </row>
    <row r="697" spans="1:9">
      <c r="A697" t="s">
        <v>1812</v>
      </c>
      <c r="B697">
        <v>224</v>
      </c>
      <c r="C697" t="s">
        <v>1813</v>
      </c>
      <c r="D697" s="1" t="s">
        <v>7400</v>
      </c>
      <c r="F697" s="1" t="s">
        <v>8152</v>
      </c>
      <c r="G697" s="1" t="s">
        <v>8153</v>
      </c>
      <c r="H697" t="s">
        <v>8154</v>
      </c>
      <c r="I697" t="s">
        <v>8155</v>
      </c>
    </row>
    <row r="698" spans="1:9">
      <c r="A698" t="s">
        <v>1816</v>
      </c>
      <c r="B698">
        <v>153</v>
      </c>
      <c r="C698" t="s">
        <v>1817</v>
      </c>
    </row>
    <row r="699" spans="1:9">
      <c r="A699" t="s">
        <v>1820</v>
      </c>
      <c r="B699">
        <v>396</v>
      </c>
      <c r="C699" t="s">
        <v>1821</v>
      </c>
      <c r="D699" s="1" t="s">
        <v>7332</v>
      </c>
    </row>
    <row r="700" spans="1:9">
      <c r="A700" t="s">
        <v>1824</v>
      </c>
      <c r="B700">
        <v>475</v>
      </c>
      <c r="C700" t="s">
        <v>1825</v>
      </c>
      <c r="D700" s="9" t="s">
        <v>7401</v>
      </c>
      <c r="F700" s="1" t="s">
        <v>8156</v>
      </c>
      <c r="G700" s="1" t="s">
        <v>8157</v>
      </c>
      <c r="H700" t="s">
        <v>8159</v>
      </c>
      <c r="I700" t="s">
        <v>8158</v>
      </c>
    </row>
    <row r="701" spans="1:9">
      <c r="A701" t="s">
        <v>1824</v>
      </c>
      <c r="B701">
        <v>475</v>
      </c>
      <c r="C701" t="s">
        <v>1825</v>
      </c>
      <c r="D701" s="9" t="s">
        <v>7401</v>
      </c>
      <c r="F701" s="1" t="s">
        <v>8156</v>
      </c>
      <c r="G701" s="1" t="s">
        <v>8157</v>
      </c>
      <c r="H701" t="s">
        <v>10268</v>
      </c>
      <c r="I701" t="s">
        <v>10269</v>
      </c>
    </row>
    <row r="702" spans="1:9">
      <c r="A702" t="s">
        <v>1824</v>
      </c>
      <c r="B702">
        <v>475</v>
      </c>
      <c r="C702" t="s">
        <v>1825</v>
      </c>
      <c r="D702" s="9" t="s">
        <v>7401</v>
      </c>
      <c r="F702" s="1" t="s">
        <v>8156</v>
      </c>
      <c r="G702" s="1" t="s">
        <v>8157</v>
      </c>
      <c r="H702" t="s">
        <v>10270</v>
      </c>
      <c r="I702" t="s">
        <v>10271</v>
      </c>
    </row>
    <row r="703" spans="1:9">
      <c r="A703" t="s">
        <v>1824</v>
      </c>
      <c r="B703">
        <v>475</v>
      </c>
      <c r="C703" t="s">
        <v>1825</v>
      </c>
      <c r="D703" s="9" t="s">
        <v>7401</v>
      </c>
      <c r="F703" s="1" t="s">
        <v>8156</v>
      </c>
      <c r="G703" s="1" t="s">
        <v>8157</v>
      </c>
      <c r="H703" t="s">
        <v>10272</v>
      </c>
      <c r="I703" t="s">
        <v>10273</v>
      </c>
    </row>
    <row r="704" spans="1:9">
      <c r="A704" t="s">
        <v>1824</v>
      </c>
      <c r="B704">
        <v>475</v>
      </c>
      <c r="C704" t="s">
        <v>1825</v>
      </c>
      <c r="D704" s="9" t="s">
        <v>7401</v>
      </c>
      <c r="F704" s="1" t="s">
        <v>8156</v>
      </c>
      <c r="G704" s="1" t="s">
        <v>8157</v>
      </c>
      <c r="H704" t="s">
        <v>10274</v>
      </c>
      <c r="I704" t="s">
        <v>10275</v>
      </c>
    </row>
    <row r="705" spans="1:9">
      <c r="A705" t="s">
        <v>1826</v>
      </c>
      <c r="B705">
        <v>437</v>
      </c>
      <c r="C705" t="s">
        <v>1827</v>
      </c>
    </row>
    <row r="706" spans="1:9">
      <c r="A706" t="s">
        <v>1830</v>
      </c>
      <c r="B706">
        <v>503</v>
      </c>
      <c r="C706" t="s">
        <v>1831</v>
      </c>
      <c r="D706" s="1" t="s">
        <v>7402</v>
      </c>
      <c r="F706" s="1" t="s">
        <v>8160</v>
      </c>
      <c r="G706" s="1" t="s">
        <v>8161</v>
      </c>
      <c r="H706" t="s">
        <v>8162</v>
      </c>
      <c r="I706" t="s">
        <v>8167</v>
      </c>
    </row>
    <row r="707" spans="1:9">
      <c r="A707" t="s">
        <v>1834</v>
      </c>
      <c r="B707">
        <v>310</v>
      </c>
      <c r="C707" t="s">
        <v>1835</v>
      </c>
      <c r="D707" s="9" t="s">
        <v>7403</v>
      </c>
      <c r="F707" s="1" t="s">
        <v>8163</v>
      </c>
      <c r="G707" s="1" t="s">
        <v>8164</v>
      </c>
      <c r="H707" t="s">
        <v>8165</v>
      </c>
      <c r="I707" t="s">
        <v>8166</v>
      </c>
    </row>
    <row r="708" spans="1:9">
      <c r="A708" t="s">
        <v>1834</v>
      </c>
      <c r="B708">
        <v>310</v>
      </c>
      <c r="C708" t="s">
        <v>1835</v>
      </c>
      <c r="D708" s="9" t="s">
        <v>7403</v>
      </c>
      <c r="F708" s="1" t="s">
        <v>8163</v>
      </c>
      <c r="G708" s="1" t="s">
        <v>8164</v>
      </c>
      <c r="H708" t="s">
        <v>10276</v>
      </c>
      <c r="I708" t="s">
        <v>10277</v>
      </c>
    </row>
    <row r="709" spans="1:9">
      <c r="A709" t="s">
        <v>1834</v>
      </c>
      <c r="B709">
        <v>310</v>
      </c>
      <c r="C709" t="s">
        <v>1835</v>
      </c>
      <c r="D709" s="9" t="s">
        <v>7403</v>
      </c>
      <c r="F709" s="1" t="s">
        <v>8163</v>
      </c>
      <c r="G709" s="1" t="s">
        <v>8164</v>
      </c>
      <c r="H709" t="s">
        <v>10277</v>
      </c>
      <c r="I709" t="s">
        <v>10278</v>
      </c>
    </row>
    <row r="710" spans="1:9">
      <c r="A710" t="s">
        <v>1838</v>
      </c>
      <c r="B710">
        <v>386</v>
      </c>
      <c r="C710" t="s">
        <v>1839</v>
      </c>
    </row>
    <row r="711" spans="1:9">
      <c r="A711" t="s">
        <v>1842</v>
      </c>
      <c r="B711">
        <v>1159</v>
      </c>
      <c r="C711" t="s">
        <v>1843</v>
      </c>
      <c r="D711" s="1" t="s">
        <v>7404</v>
      </c>
      <c r="F711" s="1" t="s">
        <v>8168</v>
      </c>
      <c r="G711" s="1" t="s">
        <v>8169</v>
      </c>
      <c r="H711" t="s">
        <v>8171</v>
      </c>
      <c r="I711" s="3" t="s">
        <v>8170</v>
      </c>
    </row>
    <row r="712" spans="1:9">
      <c r="A712" t="s">
        <v>1846</v>
      </c>
      <c r="B712">
        <v>406</v>
      </c>
      <c r="C712" t="s">
        <v>1847</v>
      </c>
    </row>
    <row r="713" spans="1:9">
      <c r="A713" t="s">
        <v>1850</v>
      </c>
      <c r="B713">
        <v>146</v>
      </c>
      <c r="C713" t="s">
        <v>1851</v>
      </c>
      <c r="D713" s="9" t="s">
        <v>7405</v>
      </c>
      <c r="F713" s="1" t="s">
        <v>8173</v>
      </c>
      <c r="G713" s="1" t="s">
        <v>8174</v>
      </c>
      <c r="H713" t="s">
        <v>8175</v>
      </c>
      <c r="I713" s="3" t="s">
        <v>8176</v>
      </c>
    </row>
    <row r="714" spans="1:9">
      <c r="A714" t="s">
        <v>1850</v>
      </c>
      <c r="B714">
        <v>146</v>
      </c>
      <c r="C714" t="s">
        <v>1851</v>
      </c>
      <c r="D714" s="9" t="s">
        <v>7405</v>
      </c>
      <c r="F714" s="1" t="s">
        <v>8173</v>
      </c>
      <c r="G714" s="1" t="s">
        <v>8174</v>
      </c>
      <c r="H714" t="s">
        <v>10279</v>
      </c>
      <c r="I714" s="3" t="s">
        <v>10280</v>
      </c>
    </row>
    <row r="715" spans="1:9">
      <c r="A715" t="s">
        <v>1850</v>
      </c>
      <c r="B715">
        <v>146</v>
      </c>
      <c r="C715" t="s">
        <v>1851</v>
      </c>
      <c r="D715" s="9" t="s">
        <v>7405</v>
      </c>
      <c r="F715" s="1" t="s">
        <v>8173</v>
      </c>
      <c r="G715" s="1" t="s">
        <v>8174</v>
      </c>
      <c r="H715" t="s">
        <v>10281</v>
      </c>
      <c r="I715" s="3" t="s">
        <v>10282</v>
      </c>
    </row>
    <row r="716" spans="1:9">
      <c r="A716" t="s">
        <v>1854</v>
      </c>
      <c r="B716">
        <v>428</v>
      </c>
      <c r="C716" t="s">
        <v>1855</v>
      </c>
      <c r="D716" s="9" t="s">
        <v>7406</v>
      </c>
      <c r="F716" s="1" t="s">
        <v>8177</v>
      </c>
      <c r="G716" s="1" t="s">
        <v>8178</v>
      </c>
      <c r="H716" t="s">
        <v>8179</v>
      </c>
      <c r="I716" s="3" t="s">
        <v>8180</v>
      </c>
    </row>
    <row r="717" spans="1:9">
      <c r="A717" t="s">
        <v>1854</v>
      </c>
      <c r="B717">
        <v>428</v>
      </c>
      <c r="C717" t="s">
        <v>1855</v>
      </c>
      <c r="D717" s="9" t="s">
        <v>7406</v>
      </c>
      <c r="F717" s="1" t="s">
        <v>8177</v>
      </c>
      <c r="G717" s="1" t="s">
        <v>8178</v>
      </c>
      <c r="H717" t="s">
        <v>10283</v>
      </c>
      <c r="I717" s="3" t="s">
        <v>10284</v>
      </c>
    </row>
    <row r="718" spans="1:9">
      <c r="A718" t="s">
        <v>1854</v>
      </c>
      <c r="B718">
        <v>428</v>
      </c>
      <c r="C718" t="s">
        <v>1855</v>
      </c>
      <c r="D718" s="9" t="s">
        <v>7406</v>
      </c>
      <c r="F718" s="1" t="s">
        <v>8177</v>
      </c>
      <c r="G718" s="1" t="s">
        <v>8178</v>
      </c>
      <c r="H718" t="s">
        <v>10285</v>
      </c>
      <c r="I718" s="3" t="s">
        <v>10286</v>
      </c>
    </row>
    <row r="719" spans="1:9">
      <c r="A719" t="s">
        <v>1854</v>
      </c>
      <c r="B719">
        <v>428</v>
      </c>
      <c r="C719" t="s">
        <v>1855</v>
      </c>
      <c r="D719" s="9" t="s">
        <v>7406</v>
      </c>
      <c r="F719" s="1" t="s">
        <v>8177</v>
      </c>
      <c r="G719" s="1" t="s">
        <v>8178</v>
      </c>
      <c r="H719" t="s">
        <v>10287</v>
      </c>
      <c r="I719" s="3" t="s">
        <v>10288</v>
      </c>
    </row>
    <row r="720" spans="1:9">
      <c r="A720" t="s">
        <v>1854</v>
      </c>
      <c r="B720">
        <v>428</v>
      </c>
      <c r="C720" t="s">
        <v>1855</v>
      </c>
      <c r="D720" s="9" t="s">
        <v>7406</v>
      </c>
      <c r="F720" s="1" t="s">
        <v>8177</v>
      </c>
      <c r="G720" s="1" t="s">
        <v>8178</v>
      </c>
      <c r="H720" t="s">
        <v>10289</v>
      </c>
      <c r="I720" s="3" t="s">
        <v>10290</v>
      </c>
    </row>
    <row r="721" spans="1:9">
      <c r="A721" t="s">
        <v>1856</v>
      </c>
      <c r="B721">
        <v>374</v>
      </c>
      <c r="C721" t="s">
        <v>1857</v>
      </c>
    </row>
    <row r="722" spans="1:9">
      <c r="A722" t="s">
        <v>1860</v>
      </c>
      <c r="B722">
        <v>122</v>
      </c>
      <c r="C722" t="s">
        <v>1861</v>
      </c>
    </row>
    <row r="723" spans="1:9">
      <c r="A723" t="s">
        <v>1864</v>
      </c>
      <c r="B723">
        <v>501</v>
      </c>
      <c r="C723" t="s">
        <v>1865</v>
      </c>
    </row>
    <row r="724" spans="1:9">
      <c r="A724" t="s">
        <v>1866</v>
      </c>
      <c r="B724">
        <v>152</v>
      </c>
      <c r="C724" t="s">
        <v>1867</v>
      </c>
    </row>
    <row r="725" spans="1:9">
      <c r="A725" t="s">
        <v>1870</v>
      </c>
      <c r="B725">
        <v>586</v>
      </c>
      <c r="C725" t="s">
        <v>1871</v>
      </c>
    </row>
    <row r="726" spans="1:9">
      <c r="A726" t="s">
        <v>1874</v>
      </c>
      <c r="B726">
        <v>287</v>
      </c>
      <c r="C726" t="s">
        <v>1875</v>
      </c>
      <c r="D726" s="1" t="s">
        <v>7407</v>
      </c>
      <c r="F726" s="1" t="s">
        <v>8181</v>
      </c>
      <c r="G726" s="1" t="s">
        <v>8182</v>
      </c>
      <c r="H726" t="s">
        <v>8184</v>
      </c>
      <c r="I726" t="s">
        <v>8183</v>
      </c>
    </row>
    <row r="727" spans="1:9">
      <c r="A727" t="s">
        <v>1876</v>
      </c>
      <c r="B727">
        <v>239</v>
      </c>
      <c r="C727" t="s">
        <v>1877</v>
      </c>
    </row>
    <row r="728" spans="1:9">
      <c r="A728" t="s">
        <v>1878</v>
      </c>
      <c r="B728">
        <v>138</v>
      </c>
      <c r="C728" t="s">
        <v>1879</v>
      </c>
    </row>
    <row r="729" spans="1:9">
      <c r="A729" t="s">
        <v>1882</v>
      </c>
      <c r="B729">
        <v>195</v>
      </c>
      <c r="C729" t="s">
        <v>1883</v>
      </c>
    </row>
    <row r="730" spans="1:9">
      <c r="A730" t="s">
        <v>1884</v>
      </c>
      <c r="B730">
        <v>69</v>
      </c>
      <c r="C730" t="s">
        <v>1885</v>
      </c>
    </row>
    <row r="731" spans="1:9">
      <c r="A731" t="s">
        <v>1888</v>
      </c>
      <c r="B731">
        <v>486</v>
      </c>
      <c r="C731" t="s">
        <v>1889</v>
      </c>
      <c r="D731" s="1" t="s">
        <v>7408</v>
      </c>
      <c r="F731" s="1" t="s">
        <v>8185</v>
      </c>
      <c r="G731" s="1" t="s">
        <v>8186</v>
      </c>
      <c r="H731" t="s">
        <v>8187</v>
      </c>
      <c r="I731" s="6" t="s">
        <v>8188</v>
      </c>
    </row>
    <row r="732" spans="1:9">
      <c r="A732" t="s">
        <v>1888</v>
      </c>
      <c r="B732">
        <v>486</v>
      </c>
      <c r="C732" t="s">
        <v>1889</v>
      </c>
      <c r="D732" s="1" t="s">
        <v>7408</v>
      </c>
      <c r="F732" s="1" t="s">
        <v>8185</v>
      </c>
      <c r="G732" s="1" t="s">
        <v>8186</v>
      </c>
      <c r="H732" s="4" t="s">
        <v>10473</v>
      </c>
      <c r="I732" s="4" t="s">
        <v>10474</v>
      </c>
    </row>
    <row r="733" spans="1:9">
      <c r="A733" t="s">
        <v>1890</v>
      </c>
      <c r="B733">
        <v>422</v>
      </c>
      <c r="C733" t="s">
        <v>1891</v>
      </c>
    </row>
    <row r="734" spans="1:9">
      <c r="A734" t="s">
        <v>1892</v>
      </c>
      <c r="B734">
        <v>190</v>
      </c>
      <c r="C734" t="s">
        <v>1893</v>
      </c>
    </row>
    <row r="735" spans="1:9">
      <c r="A735" t="s">
        <v>1894</v>
      </c>
      <c r="B735">
        <v>192</v>
      </c>
      <c r="C735" t="s">
        <v>1895</v>
      </c>
    </row>
    <row r="736" spans="1:9">
      <c r="A736" t="s">
        <v>1898</v>
      </c>
      <c r="B736">
        <v>501</v>
      </c>
      <c r="C736" t="s">
        <v>1899</v>
      </c>
      <c r="D736" s="9" t="s">
        <v>7410</v>
      </c>
      <c r="F736" s="1" t="s">
        <v>8189</v>
      </c>
      <c r="G736" s="1" t="s">
        <v>8190</v>
      </c>
      <c r="H736" t="s">
        <v>8192</v>
      </c>
      <c r="I736" t="s">
        <v>8191</v>
      </c>
    </row>
    <row r="737" spans="1:9">
      <c r="A737" t="s">
        <v>1898</v>
      </c>
      <c r="B737">
        <v>501</v>
      </c>
      <c r="C737" t="s">
        <v>1899</v>
      </c>
      <c r="D737" s="9" t="s">
        <v>7410</v>
      </c>
      <c r="F737" s="1" t="s">
        <v>8189</v>
      </c>
      <c r="G737" s="1" t="s">
        <v>8190</v>
      </c>
      <c r="H737" t="s">
        <v>10291</v>
      </c>
      <c r="I737" t="s">
        <v>10292</v>
      </c>
    </row>
    <row r="738" spans="1:9">
      <c r="A738" t="s">
        <v>1898</v>
      </c>
      <c r="B738">
        <v>501</v>
      </c>
      <c r="C738" t="s">
        <v>1899</v>
      </c>
      <c r="D738" s="9" t="s">
        <v>7410</v>
      </c>
      <c r="F738" s="1" t="s">
        <v>8189</v>
      </c>
      <c r="G738" s="1" t="s">
        <v>8190</v>
      </c>
      <c r="H738" t="s">
        <v>10293</v>
      </c>
      <c r="I738" t="s">
        <v>10294</v>
      </c>
    </row>
    <row r="739" spans="1:9">
      <c r="A739" t="s">
        <v>1898</v>
      </c>
      <c r="B739">
        <v>501</v>
      </c>
      <c r="C739" t="s">
        <v>1899</v>
      </c>
      <c r="D739" s="9" t="s">
        <v>7410</v>
      </c>
      <c r="F739" s="1" t="s">
        <v>8189</v>
      </c>
      <c r="G739" s="1" t="s">
        <v>8190</v>
      </c>
      <c r="H739" t="s">
        <v>10295</v>
      </c>
      <c r="I739" t="s">
        <v>10296</v>
      </c>
    </row>
    <row r="740" spans="1:9">
      <c r="A740" t="s">
        <v>1900</v>
      </c>
      <c r="B740">
        <v>61</v>
      </c>
      <c r="C740" t="s">
        <v>1901</v>
      </c>
    </row>
    <row r="741" spans="1:9">
      <c r="A741" t="s">
        <v>1904</v>
      </c>
      <c r="B741">
        <v>273</v>
      </c>
      <c r="C741" t="s">
        <v>1905</v>
      </c>
    </row>
    <row r="742" spans="1:9">
      <c r="A742" t="s">
        <v>1908</v>
      </c>
      <c r="B742">
        <v>335</v>
      </c>
      <c r="C742" t="s">
        <v>1909</v>
      </c>
    </row>
    <row r="743" spans="1:9">
      <c r="A743" t="s">
        <v>1912</v>
      </c>
      <c r="B743">
        <v>422</v>
      </c>
      <c r="C743" t="s">
        <v>1913</v>
      </c>
    </row>
    <row r="744" spans="1:9">
      <c r="A744" t="s">
        <v>1916</v>
      </c>
      <c r="B744">
        <v>330</v>
      </c>
      <c r="C744" t="s">
        <v>1917</v>
      </c>
      <c r="D744" s="1" t="s">
        <v>7411</v>
      </c>
      <c r="F744" s="1" t="s">
        <v>8193</v>
      </c>
    </row>
    <row r="745" spans="1:9">
      <c r="A745" t="s">
        <v>1920</v>
      </c>
      <c r="B745">
        <v>289</v>
      </c>
      <c r="C745" t="s">
        <v>1921</v>
      </c>
      <c r="D745" s="9" t="s">
        <v>7412</v>
      </c>
      <c r="F745" s="1" t="s">
        <v>8194</v>
      </c>
      <c r="G745" s="1" t="s">
        <v>8195</v>
      </c>
      <c r="H745" t="s">
        <v>8196</v>
      </c>
      <c r="I745" t="s">
        <v>8197</v>
      </c>
    </row>
    <row r="746" spans="1:9">
      <c r="A746" t="s">
        <v>1920</v>
      </c>
      <c r="B746">
        <v>289</v>
      </c>
      <c r="C746" t="s">
        <v>1921</v>
      </c>
      <c r="D746" s="9" t="s">
        <v>7412</v>
      </c>
      <c r="F746" s="1" t="s">
        <v>8194</v>
      </c>
      <c r="G746" s="1" t="s">
        <v>8195</v>
      </c>
      <c r="H746" t="s">
        <v>10297</v>
      </c>
      <c r="I746" t="s">
        <v>10298</v>
      </c>
    </row>
    <row r="747" spans="1:9">
      <c r="A747" t="s">
        <v>1920</v>
      </c>
      <c r="B747">
        <v>289</v>
      </c>
      <c r="C747" t="s">
        <v>1921</v>
      </c>
      <c r="D747" s="9" t="s">
        <v>7412</v>
      </c>
      <c r="F747" s="1" t="s">
        <v>8194</v>
      </c>
      <c r="G747" s="1" t="s">
        <v>8195</v>
      </c>
      <c r="H747" t="s">
        <v>10299</v>
      </c>
      <c r="I747" t="s">
        <v>10300</v>
      </c>
    </row>
    <row r="748" spans="1:9">
      <c r="A748" t="s">
        <v>1922</v>
      </c>
      <c r="B748">
        <v>148</v>
      </c>
      <c r="C748" t="s">
        <v>1923</v>
      </c>
    </row>
    <row r="749" spans="1:9">
      <c r="A749" t="s">
        <v>1926</v>
      </c>
      <c r="B749">
        <v>243</v>
      </c>
      <c r="C749" t="s">
        <v>1927</v>
      </c>
      <c r="D749" s="1" t="s">
        <v>7413</v>
      </c>
      <c r="F749" s="1" t="s">
        <v>8198</v>
      </c>
      <c r="G749" s="1" t="s">
        <v>8199</v>
      </c>
      <c r="H749" t="s">
        <v>8200</v>
      </c>
      <c r="I749" t="s">
        <v>8201</v>
      </c>
    </row>
    <row r="750" spans="1:9">
      <c r="A750" t="s">
        <v>1930</v>
      </c>
      <c r="B750">
        <v>371</v>
      </c>
      <c r="C750" t="s">
        <v>1931</v>
      </c>
      <c r="D750" s="1" t="s">
        <v>7414</v>
      </c>
      <c r="F750" s="1" t="s">
        <v>8202</v>
      </c>
      <c r="G750" s="1" t="s">
        <v>8203</v>
      </c>
      <c r="H750" t="s">
        <v>8204</v>
      </c>
      <c r="I750" t="s">
        <v>8205</v>
      </c>
    </row>
    <row r="751" spans="1:9">
      <c r="A751" t="s">
        <v>1934</v>
      </c>
      <c r="B751">
        <v>158</v>
      </c>
      <c r="C751" t="s">
        <v>1935</v>
      </c>
      <c r="D751" s="1" t="s">
        <v>7415</v>
      </c>
    </row>
    <row r="752" spans="1:9">
      <c r="A752" t="s">
        <v>1936</v>
      </c>
      <c r="B752">
        <v>91</v>
      </c>
      <c r="C752" t="s">
        <v>1937</v>
      </c>
    </row>
    <row r="753" spans="1:9">
      <c r="A753" t="s">
        <v>1940</v>
      </c>
      <c r="B753">
        <v>302</v>
      </c>
      <c r="C753" t="s">
        <v>1941</v>
      </c>
      <c r="D753" s="9" t="s">
        <v>7416</v>
      </c>
      <c r="F753" s="1" t="s">
        <v>8206</v>
      </c>
      <c r="G753" s="1" t="s">
        <v>8207</v>
      </c>
      <c r="H753" t="s">
        <v>8209</v>
      </c>
      <c r="I753" t="s">
        <v>8208</v>
      </c>
    </row>
    <row r="754" spans="1:9">
      <c r="A754" t="s">
        <v>1940</v>
      </c>
      <c r="B754">
        <v>302</v>
      </c>
      <c r="C754" t="s">
        <v>1941</v>
      </c>
      <c r="D754" s="9" t="s">
        <v>7416</v>
      </c>
      <c r="F754" s="1" t="s">
        <v>8206</v>
      </c>
      <c r="G754" s="1" t="s">
        <v>8207</v>
      </c>
      <c r="H754" t="s">
        <v>10301</v>
      </c>
      <c r="I754" t="s">
        <v>10302</v>
      </c>
    </row>
    <row r="755" spans="1:9">
      <c r="A755" t="s">
        <v>1944</v>
      </c>
      <c r="B755">
        <v>304</v>
      </c>
      <c r="C755" t="s">
        <v>1945</v>
      </c>
    </row>
    <row r="756" spans="1:9">
      <c r="A756" t="s">
        <v>1948</v>
      </c>
      <c r="B756">
        <v>313</v>
      </c>
      <c r="C756" t="s">
        <v>1949</v>
      </c>
    </row>
    <row r="757" spans="1:9">
      <c r="A757" t="s">
        <v>1952</v>
      </c>
      <c r="B757">
        <v>516</v>
      </c>
      <c r="C757" t="s">
        <v>1953</v>
      </c>
    </row>
    <row r="758" spans="1:9">
      <c r="A758" t="s">
        <v>1956</v>
      </c>
      <c r="B758">
        <v>329</v>
      </c>
      <c r="C758" t="s">
        <v>1957</v>
      </c>
    </row>
    <row r="759" spans="1:9">
      <c r="A759" t="s">
        <v>1958</v>
      </c>
      <c r="B759">
        <v>151</v>
      </c>
      <c r="C759" t="s">
        <v>1959</v>
      </c>
    </row>
    <row r="760" spans="1:9">
      <c r="A760" t="s">
        <v>1962</v>
      </c>
      <c r="B760">
        <v>299</v>
      </c>
      <c r="C760" t="s">
        <v>1963</v>
      </c>
      <c r="D760" s="9" t="s">
        <v>7417</v>
      </c>
      <c r="F760" s="1" t="s">
        <v>8210</v>
      </c>
      <c r="G760" s="1" t="s">
        <v>8211</v>
      </c>
      <c r="H760" t="s">
        <v>8212</v>
      </c>
      <c r="I760" t="s">
        <v>8213</v>
      </c>
    </row>
    <row r="761" spans="1:9">
      <c r="A761" t="s">
        <v>1962</v>
      </c>
      <c r="B761">
        <v>299</v>
      </c>
      <c r="C761" t="s">
        <v>1963</v>
      </c>
      <c r="D761" s="9" t="s">
        <v>7417</v>
      </c>
      <c r="F761" s="1" t="s">
        <v>8210</v>
      </c>
      <c r="G761" s="1" t="s">
        <v>8211</v>
      </c>
      <c r="H761" t="s">
        <v>10303</v>
      </c>
      <c r="I761" t="s">
        <v>10304</v>
      </c>
    </row>
    <row r="762" spans="1:9">
      <c r="A762" t="s">
        <v>1966</v>
      </c>
      <c r="B762">
        <v>549</v>
      </c>
      <c r="C762" t="s">
        <v>1967</v>
      </c>
    </row>
    <row r="763" spans="1:9">
      <c r="A763" t="s">
        <v>1968</v>
      </c>
      <c r="B763">
        <v>80</v>
      </c>
      <c r="C763" t="s">
        <v>1969</v>
      </c>
    </row>
    <row r="764" spans="1:9">
      <c r="A764" t="s">
        <v>1972</v>
      </c>
      <c r="B764">
        <v>364</v>
      </c>
      <c r="C764" t="s">
        <v>1973</v>
      </c>
      <c r="D764" s="1" t="s">
        <v>7418</v>
      </c>
      <c r="F764" s="1" t="s">
        <v>8214</v>
      </c>
      <c r="G764" s="1" t="s">
        <v>8215</v>
      </c>
      <c r="H764" t="s">
        <v>8216</v>
      </c>
      <c r="I764" t="s">
        <v>8217</v>
      </c>
    </row>
    <row r="765" spans="1:9">
      <c r="A765" t="s">
        <v>1976</v>
      </c>
      <c r="B765">
        <v>408</v>
      </c>
      <c r="C765" t="s">
        <v>1977</v>
      </c>
      <c r="D765" s="1" t="s">
        <v>7419</v>
      </c>
      <c r="F765" s="1" t="s">
        <v>8218</v>
      </c>
      <c r="G765" s="1" t="s">
        <v>8219</v>
      </c>
      <c r="H765" t="s">
        <v>8221</v>
      </c>
      <c r="I765" s="6" t="s">
        <v>8220</v>
      </c>
    </row>
    <row r="766" spans="1:9">
      <c r="A766" t="s">
        <v>1979</v>
      </c>
      <c r="B766">
        <v>364</v>
      </c>
      <c r="C766" t="s">
        <v>1980</v>
      </c>
    </row>
    <row r="767" spans="1:9">
      <c r="A767" t="s">
        <v>1981</v>
      </c>
      <c r="B767">
        <v>299</v>
      </c>
      <c r="C767" t="s">
        <v>1982</v>
      </c>
    </row>
    <row r="768" spans="1:9">
      <c r="A768" t="s">
        <v>1984</v>
      </c>
      <c r="B768">
        <v>403</v>
      </c>
      <c r="C768" t="s">
        <v>1985</v>
      </c>
    </row>
    <row r="769" spans="1:9">
      <c r="A769" t="s">
        <v>1986</v>
      </c>
      <c r="B769">
        <v>259</v>
      </c>
      <c r="C769" t="s">
        <v>1987</v>
      </c>
    </row>
    <row r="770" spans="1:9">
      <c r="A770" t="s">
        <v>1990</v>
      </c>
      <c r="B770">
        <v>205</v>
      </c>
      <c r="C770" t="s">
        <v>1991</v>
      </c>
    </row>
    <row r="771" spans="1:9">
      <c r="A771" t="s">
        <v>1993</v>
      </c>
      <c r="B771">
        <v>375</v>
      </c>
      <c r="C771" t="s">
        <v>1994</v>
      </c>
    </row>
    <row r="772" spans="1:9">
      <c r="A772" t="s">
        <v>1997</v>
      </c>
      <c r="B772">
        <v>597</v>
      </c>
      <c r="C772" t="s">
        <v>1998</v>
      </c>
      <c r="D772" s="1" t="s">
        <v>7420</v>
      </c>
      <c r="F772" s="1" t="s">
        <v>8222</v>
      </c>
      <c r="G772" s="1" t="s">
        <v>8223</v>
      </c>
      <c r="H772" s="6" t="s">
        <v>8224</v>
      </c>
      <c r="I772" s="3" t="s">
        <v>8225</v>
      </c>
    </row>
    <row r="773" spans="1:9">
      <c r="A773" t="s">
        <v>2001</v>
      </c>
      <c r="B773">
        <v>533</v>
      </c>
      <c r="C773" t="s">
        <v>2002</v>
      </c>
    </row>
    <row r="774" spans="1:9">
      <c r="A774" t="s">
        <v>2004</v>
      </c>
      <c r="B774">
        <v>253</v>
      </c>
      <c r="C774" t="s">
        <v>2005</v>
      </c>
    </row>
    <row r="775" spans="1:9">
      <c r="A775" t="s">
        <v>2008</v>
      </c>
      <c r="B775">
        <v>648</v>
      </c>
      <c r="C775" t="s">
        <v>2009</v>
      </c>
    </row>
    <row r="776" spans="1:9">
      <c r="A776" t="s">
        <v>2011</v>
      </c>
      <c r="B776">
        <v>169</v>
      </c>
      <c r="C776" t="s">
        <v>2012</v>
      </c>
    </row>
    <row r="777" spans="1:9">
      <c r="A777" t="s">
        <v>2013</v>
      </c>
      <c r="B777">
        <v>139</v>
      </c>
      <c r="C777" t="s">
        <v>2014</v>
      </c>
    </row>
    <row r="778" spans="1:9">
      <c r="A778" t="s">
        <v>2017</v>
      </c>
      <c r="B778">
        <v>400</v>
      </c>
      <c r="C778" t="s">
        <v>2018</v>
      </c>
      <c r="D778" s="1" t="s">
        <v>7421</v>
      </c>
    </row>
    <row r="779" spans="1:9">
      <c r="A779" t="s">
        <v>2021</v>
      </c>
      <c r="B779">
        <v>313</v>
      </c>
      <c r="C779" t="s">
        <v>2022</v>
      </c>
      <c r="D779" s="1" t="s">
        <v>7422</v>
      </c>
    </row>
    <row r="780" spans="1:9">
      <c r="A780" t="s">
        <v>2024</v>
      </c>
      <c r="B780">
        <v>373</v>
      </c>
      <c r="C780" t="s">
        <v>2025</v>
      </c>
    </row>
    <row r="781" spans="1:9">
      <c r="A781" t="s">
        <v>2028</v>
      </c>
      <c r="B781">
        <v>861</v>
      </c>
      <c r="C781" t="s">
        <v>2029</v>
      </c>
      <c r="D781" s="1" t="s">
        <v>7423</v>
      </c>
    </row>
    <row r="782" spans="1:9">
      <c r="A782" t="s">
        <v>2032</v>
      </c>
      <c r="B782">
        <v>169</v>
      </c>
      <c r="C782" t="s">
        <v>2033</v>
      </c>
      <c r="D782" s="1" t="s">
        <v>7424</v>
      </c>
    </row>
    <row r="783" spans="1:9">
      <c r="A783" t="s">
        <v>2036</v>
      </c>
      <c r="B783">
        <v>464</v>
      </c>
      <c r="C783" t="s">
        <v>2037</v>
      </c>
    </row>
    <row r="784" spans="1:9">
      <c r="A784" t="s">
        <v>2038</v>
      </c>
      <c r="B784">
        <v>302</v>
      </c>
      <c r="C784" t="s">
        <v>2039</v>
      </c>
    </row>
    <row r="785" spans="1:9">
      <c r="A785" t="s">
        <v>2042</v>
      </c>
      <c r="B785">
        <v>454</v>
      </c>
      <c r="C785" t="s">
        <v>2043</v>
      </c>
    </row>
    <row r="786" spans="1:9">
      <c r="A786" t="s">
        <v>2045</v>
      </c>
      <c r="B786">
        <v>440</v>
      </c>
      <c r="C786" t="s">
        <v>2046</v>
      </c>
    </row>
    <row r="787" spans="1:9">
      <c r="A787" t="s">
        <v>2049</v>
      </c>
      <c r="B787">
        <v>318</v>
      </c>
      <c r="C787" t="s">
        <v>2050</v>
      </c>
    </row>
    <row r="788" spans="1:9">
      <c r="A788" t="s">
        <v>2053</v>
      </c>
      <c r="B788">
        <v>250</v>
      </c>
      <c r="C788" t="s">
        <v>2054</v>
      </c>
    </row>
    <row r="789" spans="1:9">
      <c r="A789" t="s">
        <v>2057</v>
      </c>
      <c r="B789">
        <v>404</v>
      </c>
      <c r="C789" t="s">
        <v>2058</v>
      </c>
      <c r="D789" s="1" t="s">
        <v>7375</v>
      </c>
      <c r="F789" s="1" t="s">
        <v>8098</v>
      </c>
    </row>
    <row r="790" spans="1:9">
      <c r="A790" t="s">
        <v>2060</v>
      </c>
      <c r="B790">
        <v>211</v>
      </c>
      <c r="C790" t="s">
        <v>2061</v>
      </c>
    </row>
    <row r="791" spans="1:9">
      <c r="A791" t="s">
        <v>2063</v>
      </c>
      <c r="B791">
        <v>245</v>
      </c>
      <c r="C791" t="s">
        <v>2064</v>
      </c>
    </row>
    <row r="792" spans="1:9">
      <c r="A792" t="s">
        <v>2065</v>
      </c>
      <c r="B792">
        <v>220</v>
      </c>
      <c r="C792" t="s">
        <v>2066</v>
      </c>
    </row>
    <row r="793" spans="1:9">
      <c r="A793" t="s">
        <v>2069</v>
      </c>
      <c r="B793">
        <v>543</v>
      </c>
      <c r="C793" t="s">
        <v>2070</v>
      </c>
    </row>
    <row r="794" spans="1:9">
      <c r="A794" t="s">
        <v>2073</v>
      </c>
      <c r="B794">
        <v>298</v>
      </c>
      <c r="C794" t="s">
        <v>2074</v>
      </c>
      <c r="D794" s="1" t="s">
        <v>7425</v>
      </c>
    </row>
    <row r="795" spans="1:9">
      <c r="A795" t="s">
        <v>2077</v>
      </c>
      <c r="B795">
        <v>364</v>
      </c>
      <c r="C795" t="s">
        <v>2078</v>
      </c>
      <c r="D795" s="1" t="s">
        <v>7426</v>
      </c>
    </row>
    <row r="796" spans="1:9">
      <c r="A796" t="s">
        <v>2081</v>
      </c>
      <c r="B796">
        <v>100</v>
      </c>
      <c r="C796" t="s">
        <v>2082</v>
      </c>
    </row>
    <row r="797" spans="1:9">
      <c r="A797" t="s">
        <v>2083</v>
      </c>
      <c r="B797">
        <v>158</v>
      </c>
      <c r="C797" t="s">
        <v>2084</v>
      </c>
    </row>
    <row r="798" spans="1:9">
      <c r="A798" t="s">
        <v>2085</v>
      </c>
      <c r="B798">
        <v>165</v>
      </c>
      <c r="C798" t="s">
        <v>2086</v>
      </c>
    </row>
    <row r="799" spans="1:9">
      <c r="A799" t="s">
        <v>2089</v>
      </c>
      <c r="B799">
        <v>446</v>
      </c>
      <c r="C799" t="s">
        <v>2090</v>
      </c>
      <c r="D799" s="1" t="s">
        <v>7427</v>
      </c>
    </row>
    <row r="800" spans="1:9">
      <c r="A800" t="s">
        <v>2093</v>
      </c>
      <c r="B800">
        <v>450</v>
      </c>
      <c r="C800" t="s">
        <v>2094</v>
      </c>
      <c r="D800" s="1" t="s">
        <v>7428</v>
      </c>
      <c r="F800" s="1" t="s">
        <v>9384</v>
      </c>
      <c r="G800" s="1" t="s">
        <v>9385</v>
      </c>
      <c r="H800" t="s">
        <v>9386</v>
      </c>
      <c r="I800" t="s">
        <v>9387</v>
      </c>
    </row>
    <row r="801" spans="1:9">
      <c r="A801" t="s">
        <v>2093</v>
      </c>
      <c r="B801">
        <v>450</v>
      </c>
      <c r="C801" t="s">
        <v>2094</v>
      </c>
      <c r="D801" s="1" t="s">
        <v>7428</v>
      </c>
      <c r="F801" s="1" t="s">
        <v>9384</v>
      </c>
      <c r="G801" s="1" t="s">
        <v>9385</v>
      </c>
      <c r="H801" t="s">
        <v>9388</v>
      </c>
      <c r="I801" t="s">
        <v>9389</v>
      </c>
    </row>
    <row r="802" spans="1:9">
      <c r="A802" t="s">
        <v>2097</v>
      </c>
      <c r="B802">
        <v>558</v>
      </c>
      <c r="C802" t="s">
        <v>2098</v>
      </c>
      <c r="D802" s="1" t="s">
        <v>7429</v>
      </c>
    </row>
    <row r="803" spans="1:9">
      <c r="A803" t="s">
        <v>2099</v>
      </c>
      <c r="B803">
        <v>83</v>
      </c>
      <c r="C803" t="s">
        <v>2100</v>
      </c>
    </row>
    <row r="804" spans="1:9">
      <c r="A804" t="s">
        <v>2102</v>
      </c>
      <c r="B804">
        <v>245</v>
      </c>
      <c r="C804" t="s">
        <v>2103</v>
      </c>
    </row>
    <row r="805" spans="1:9">
      <c r="A805" t="s">
        <v>2104</v>
      </c>
      <c r="B805">
        <v>339</v>
      </c>
      <c r="C805" t="s">
        <v>2105</v>
      </c>
    </row>
    <row r="806" spans="1:9">
      <c r="A806" t="s">
        <v>2107</v>
      </c>
      <c r="B806">
        <v>250</v>
      </c>
      <c r="C806" t="s">
        <v>2108</v>
      </c>
      <c r="D806" s="9" t="s">
        <v>7356</v>
      </c>
      <c r="F806" s="1" t="s">
        <v>8034</v>
      </c>
      <c r="G806" s="1" t="s">
        <v>8035</v>
      </c>
      <c r="H806" t="s">
        <v>8036</v>
      </c>
      <c r="I806" t="s">
        <v>8037</v>
      </c>
    </row>
    <row r="807" spans="1:9">
      <c r="A807" t="s">
        <v>2107</v>
      </c>
      <c r="B807">
        <v>250</v>
      </c>
      <c r="C807" t="s">
        <v>2108</v>
      </c>
      <c r="D807" s="9" t="s">
        <v>7356</v>
      </c>
      <c r="F807" s="1" t="s">
        <v>8034</v>
      </c>
      <c r="G807" s="1" t="s">
        <v>8035</v>
      </c>
      <c r="H807" s="4" t="s">
        <v>10238</v>
      </c>
      <c r="I807" s="4" t="s">
        <v>10239</v>
      </c>
    </row>
    <row r="808" spans="1:9">
      <c r="A808" t="s">
        <v>2107</v>
      </c>
      <c r="B808">
        <v>250</v>
      </c>
      <c r="C808" t="s">
        <v>2108</v>
      </c>
      <c r="D808" s="9" t="s">
        <v>7356</v>
      </c>
      <c r="F808" s="1" t="s">
        <v>8034</v>
      </c>
      <c r="G808" s="1" t="s">
        <v>8035</v>
      </c>
      <c r="H808" s="4" t="s">
        <v>10240</v>
      </c>
      <c r="I808" s="4" t="s">
        <v>10241</v>
      </c>
    </row>
    <row r="809" spans="1:9">
      <c r="A809" t="s">
        <v>2107</v>
      </c>
      <c r="B809">
        <v>250</v>
      </c>
      <c r="C809" t="s">
        <v>2108</v>
      </c>
      <c r="D809" s="9" t="s">
        <v>7356</v>
      </c>
      <c r="F809" s="1" t="s">
        <v>8034</v>
      </c>
      <c r="G809" s="1" t="s">
        <v>8035</v>
      </c>
      <c r="H809" s="4" t="s">
        <v>10242</v>
      </c>
      <c r="I809" s="4" t="s">
        <v>10243</v>
      </c>
    </row>
    <row r="810" spans="1:9">
      <c r="A810" t="s">
        <v>2109</v>
      </c>
      <c r="B810">
        <v>349</v>
      </c>
      <c r="C810" t="s">
        <v>2110</v>
      </c>
    </row>
    <row r="811" spans="1:9">
      <c r="A811" t="s">
        <v>2113</v>
      </c>
      <c r="B811">
        <v>417</v>
      </c>
      <c r="C811" t="s">
        <v>2114</v>
      </c>
      <c r="D811" s="1" t="s">
        <v>7430</v>
      </c>
    </row>
    <row r="812" spans="1:9">
      <c r="A812" t="s">
        <v>2115</v>
      </c>
      <c r="B812">
        <v>290</v>
      </c>
      <c r="C812" t="s">
        <v>2116</v>
      </c>
    </row>
    <row r="813" spans="1:9">
      <c r="A813" t="s">
        <v>2117</v>
      </c>
      <c r="B813">
        <v>117</v>
      </c>
      <c r="C813" t="s">
        <v>2118</v>
      </c>
    </row>
    <row r="814" spans="1:9">
      <c r="A814" t="s">
        <v>2121</v>
      </c>
      <c r="B814">
        <v>204</v>
      </c>
      <c r="C814" t="s">
        <v>2122</v>
      </c>
      <c r="D814" s="1" t="s">
        <v>7431</v>
      </c>
    </row>
    <row r="815" spans="1:9">
      <c r="A815" t="s">
        <v>2125</v>
      </c>
      <c r="B815">
        <v>213</v>
      </c>
      <c r="C815" t="s">
        <v>2126</v>
      </c>
    </row>
    <row r="816" spans="1:9">
      <c r="A816" t="s">
        <v>2129</v>
      </c>
      <c r="B816">
        <v>648</v>
      </c>
      <c r="C816" t="s">
        <v>2130</v>
      </c>
      <c r="D816" s="1" t="s">
        <v>7293</v>
      </c>
      <c r="F816" s="1" t="s">
        <v>7863</v>
      </c>
    </row>
    <row r="817" spans="1:9">
      <c r="A817" t="s">
        <v>2133</v>
      </c>
      <c r="B817">
        <v>581</v>
      </c>
      <c r="C817" t="s">
        <v>2134</v>
      </c>
    </row>
    <row r="818" spans="1:9">
      <c r="A818" t="s">
        <v>2136</v>
      </c>
      <c r="B818">
        <v>215</v>
      </c>
      <c r="C818" t="s">
        <v>2137</v>
      </c>
    </row>
    <row r="819" spans="1:9">
      <c r="A819" t="s">
        <v>2140</v>
      </c>
      <c r="B819">
        <v>214</v>
      </c>
      <c r="C819" t="s">
        <v>2141</v>
      </c>
    </row>
    <row r="820" spans="1:9">
      <c r="A820" t="s">
        <v>2143</v>
      </c>
      <c r="B820">
        <v>861</v>
      </c>
      <c r="C820" t="s">
        <v>2144</v>
      </c>
    </row>
    <row r="821" spans="1:9">
      <c r="A821" t="s">
        <v>2145</v>
      </c>
      <c r="B821">
        <v>127</v>
      </c>
      <c r="C821" t="s">
        <v>2146</v>
      </c>
    </row>
    <row r="822" spans="1:9">
      <c r="A822" t="s">
        <v>2148</v>
      </c>
      <c r="B822">
        <v>136</v>
      </c>
      <c r="C822" t="s">
        <v>2149</v>
      </c>
    </row>
    <row r="823" spans="1:9">
      <c r="A823" t="s">
        <v>2150</v>
      </c>
      <c r="B823">
        <v>171</v>
      </c>
      <c r="C823" t="s">
        <v>2151</v>
      </c>
    </row>
    <row r="824" spans="1:9">
      <c r="A824" t="s">
        <v>2154</v>
      </c>
      <c r="B824">
        <v>344</v>
      </c>
      <c r="C824" t="s">
        <v>2155</v>
      </c>
      <c r="D824" s="1" t="s">
        <v>7432</v>
      </c>
    </row>
    <row r="825" spans="1:9">
      <c r="A825" t="s">
        <v>2158</v>
      </c>
      <c r="B825">
        <v>426</v>
      </c>
      <c r="C825" t="s">
        <v>2159</v>
      </c>
      <c r="D825" s="1" t="s">
        <v>7433</v>
      </c>
      <c r="F825" s="1" t="s">
        <v>8227</v>
      </c>
      <c r="G825" s="1" t="s">
        <v>8228</v>
      </c>
      <c r="H825" t="s">
        <v>8230</v>
      </c>
      <c r="I825" t="s">
        <v>8229</v>
      </c>
    </row>
    <row r="826" spans="1:9">
      <c r="A826" t="s">
        <v>2162</v>
      </c>
      <c r="B826">
        <v>222</v>
      </c>
      <c r="C826" t="s">
        <v>2163</v>
      </c>
      <c r="D826" s="1" t="s">
        <v>7399</v>
      </c>
    </row>
    <row r="827" spans="1:9">
      <c r="A827" t="s">
        <v>2166</v>
      </c>
      <c r="B827">
        <v>168</v>
      </c>
      <c r="C827" t="s">
        <v>2167</v>
      </c>
      <c r="D827" s="1" t="s">
        <v>7434</v>
      </c>
    </row>
    <row r="828" spans="1:9">
      <c r="A828" t="s">
        <v>2170</v>
      </c>
      <c r="B828">
        <v>200</v>
      </c>
      <c r="C828" t="s">
        <v>2171</v>
      </c>
    </row>
    <row r="829" spans="1:9">
      <c r="A829" t="s">
        <v>2172</v>
      </c>
      <c r="B829">
        <v>90</v>
      </c>
      <c r="C829" t="s">
        <v>2173</v>
      </c>
    </row>
    <row r="830" spans="1:9">
      <c r="A830" t="s">
        <v>2176</v>
      </c>
      <c r="B830">
        <v>86</v>
      </c>
      <c r="C830" t="s">
        <v>2177</v>
      </c>
    </row>
    <row r="831" spans="1:9">
      <c r="A831" t="s">
        <v>2178</v>
      </c>
      <c r="B831">
        <v>175</v>
      </c>
      <c r="C831" t="s">
        <v>2179</v>
      </c>
    </row>
    <row r="832" spans="1:9">
      <c r="A832" t="s">
        <v>2180</v>
      </c>
      <c r="B832">
        <v>412</v>
      </c>
      <c r="C832" t="s">
        <v>2181</v>
      </c>
    </row>
    <row r="833" spans="1:9">
      <c r="A833" t="s">
        <v>2184</v>
      </c>
      <c r="B833">
        <v>452</v>
      </c>
      <c r="C833" t="s">
        <v>2185</v>
      </c>
      <c r="D833" s="1" t="s">
        <v>7300</v>
      </c>
      <c r="E833" s="4" t="s">
        <v>8846</v>
      </c>
      <c r="F833" s="1" t="s">
        <v>8847</v>
      </c>
      <c r="G833" s="7"/>
    </row>
    <row r="834" spans="1:9">
      <c r="A834" t="s">
        <v>2184</v>
      </c>
      <c r="B834">
        <v>452</v>
      </c>
      <c r="C834" t="s">
        <v>2185</v>
      </c>
      <c r="D834" s="1" t="s">
        <v>7300</v>
      </c>
      <c r="E834" s="4" t="s">
        <v>8827</v>
      </c>
      <c r="F834" s="1" t="s">
        <v>8828</v>
      </c>
      <c r="G834" s="7"/>
    </row>
    <row r="835" spans="1:9">
      <c r="A835" t="s">
        <v>2184</v>
      </c>
      <c r="B835">
        <v>452</v>
      </c>
      <c r="C835" t="s">
        <v>2185</v>
      </c>
      <c r="D835" s="1" t="s">
        <v>7300</v>
      </c>
      <c r="E835" s="4" t="s">
        <v>8829</v>
      </c>
      <c r="F835" s="1" t="s">
        <v>8830</v>
      </c>
      <c r="G835" s="7"/>
    </row>
    <row r="836" spans="1:9">
      <c r="A836" t="s">
        <v>2186</v>
      </c>
      <c r="B836">
        <v>74</v>
      </c>
      <c r="C836" t="s">
        <v>2187</v>
      </c>
    </row>
    <row r="837" spans="1:9">
      <c r="A837" t="s">
        <v>2188</v>
      </c>
      <c r="B837">
        <v>318</v>
      </c>
      <c r="C837" t="s">
        <v>2189</v>
      </c>
    </row>
    <row r="838" spans="1:9">
      <c r="A838" t="s">
        <v>2190</v>
      </c>
      <c r="B838">
        <v>262</v>
      </c>
      <c r="C838" t="s">
        <v>2191</v>
      </c>
    </row>
    <row r="839" spans="1:9">
      <c r="A839" t="s">
        <v>2194</v>
      </c>
      <c r="B839">
        <v>1047</v>
      </c>
      <c r="C839" t="s">
        <v>2195</v>
      </c>
      <c r="D839" s="1" t="s">
        <v>7435</v>
      </c>
      <c r="F839" s="1" t="s">
        <v>8231</v>
      </c>
    </row>
    <row r="840" spans="1:9">
      <c r="A840" t="s">
        <v>2197</v>
      </c>
      <c r="B840">
        <v>1059</v>
      </c>
      <c r="C840" t="s">
        <v>2198</v>
      </c>
      <c r="D840" s="1" t="s">
        <v>7435</v>
      </c>
      <c r="F840" s="1" t="s">
        <v>8231</v>
      </c>
    </row>
    <row r="841" spans="1:9">
      <c r="A841" t="s">
        <v>2201</v>
      </c>
      <c r="B841">
        <v>372</v>
      </c>
      <c r="C841" t="s">
        <v>2202</v>
      </c>
    </row>
    <row r="842" spans="1:9">
      <c r="A842" t="s">
        <v>2205</v>
      </c>
      <c r="B842">
        <v>243</v>
      </c>
      <c r="C842" t="s">
        <v>2206</v>
      </c>
      <c r="D842" s="9" t="s">
        <v>7436</v>
      </c>
      <c r="F842" s="1" t="s">
        <v>8232</v>
      </c>
      <c r="G842" s="1" t="s">
        <v>8233</v>
      </c>
      <c r="H842" t="s">
        <v>8234</v>
      </c>
      <c r="I842" t="s">
        <v>8235</v>
      </c>
    </row>
    <row r="843" spans="1:9">
      <c r="A843" t="s">
        <v>2205</v>
      </c>
      <c r="B843">
        <v>243</v>
      </c>
      <c r="C843" t="s">
        <v>2206</v>
      </c>
      <c r="D843" s="9" t="s">
        <v>7436</v>
      </c>
      <c r="F843" s="1" t="s">
        <v>8232</v>
      </c>
      <c r="G843" s="1" t="s">
        <v>8233</v>
      </c>
      <c r="H843" t="s">
        <v>10305</v>
      </c>
      <c r="I843" t="s">
        <v>10306</v>
      </c>
    </row>
    <row r="844" spans="1:9">
      <c r="A844" t="s">
        <v>2205</v>
      </c>
      <c r="B844">
        <v>243</v>
      </c>
      <c r="C844" t="s">
        <v>2206</v>
      </c>
      <c r="D844" s="9" t="s">
        <v>7436</v>
      </c>
      <c r="F844" s="1" t="s">
        <v>8232</v>
      </c>
      <c r="G844" s="1" t="s">
        <v>8233</v>
      </c>
      <c r="H844" t="s">
        <v>9817</v>
      </c>
      <c r="I844" t="s">
        <v>9818</v>
      </c>
    </row>
    <row r="845" spans="1:9">
      <c r="A845" t="s">
        <v>2209</v>
      </c>
      <c r="B845">
        <v>684</v>
      </c>
      <c r="C845" t="s">
        <v>2210</v>
      </c>
      <c r="D845" s="1" t="s">
        <v>7435</v>
      </c>
      <c r="F845" s="1" t="s">
        <v>8231</v>
      </c>
    </row>
    <row r="846" spans="1:9">
      <c r="A846" t="s">
        <v>2211</v>
      </c>
      <c r="B846">
        <v>273</v>
      </c>
      <c r="C846" t="s">
        <v>2212</v>
      </c>
    </row>
    <row r="847" spans="1:9">
      <c r="A847" t="s">
        <v>2213</v>
      </c>
      <c r="B847">
        <v>173</v>
      </c>
      <c r="C847" t="s">
        <v>2214</v>
      </c>
    </row>
    <row r="848" spans="1:9">
      <c r="A848" t="s">
        <v>2215</v>
      </c>
      <c r="B848">
        <v>485</v>
      </c>
      <c r="C848" t="s">
        <v>2216</v>
      </c>
    </row>
    <row r="849" spans="1:4">
      <c r="A849" t="s">
        <v>2218</v>
      </c>
      <c r="B849">
        <v>373</v>
      </c>
      <c r="C849" t="s">
        <v>2219</v>
      </c>
    </row>
    <row r="850" spans="1:4">
      <c r="A850" t="s">
        <v>2220</v>
      </c>
      <c r="B850">
        <v>221</v>
      </c>
      <c r="C850" t="s">
        <v>2221</v>
      </c>
    </row>
    <row r="851" spans="1:4">
      <c r="A851" t="s">
        <v>2222</v>
      </c>
      <c r="B851">
        <v>178</v>
      </c>
      <c r="C851" t="s">
        <v>2223</v>
      </c>
    </row>
    <row r="852" spans="1:4">
      <c r="A852" t="s">
        <v>2224</v>
      </c>
      <c r="B852">
        <v>962</v>
      </c>
      <c r="C852" t="s">
        <v>2225</v>
      </c>
    </row>
    <row r="853" spans="1:4">
      <c r="C853" t="s">
        <v>2226</v>
      </c>
    </row>
    <row r="854" spans="1:4">
      <c r="A854" t="s">
        <v>2228</v>
      </c>
      <c r="B854">
        <v>276</v>
      </c>
      <c r="C854" t="s">
        <v>2229</v>
      </c>
    </row>
    <row r="855" spans="1:4">
      <c r="A855" t="s">
        <v>2231</v>
      </c>
      <c r="B855">
        <v>370</v>
      </c>
      <c r="C855" t="s">
        <v>2232</v>
      </c>
    </row>
    <row r="856" spans="1:4">
      <c r="A856" t="s">
        <v>2235</v>
      </c>
      <c r="B856">
        <v>341</v>
      </c>
      <c r="C856" t="s">
        <v>2236</v>
      </c>
    </row>
    <row r="857" spans="1:4">
      <c r="A857" t="s">
        <v>2238</v>
      </c>
      <c r="B857">
        <v>338</v>
      </c>
      <c r="C857" t="s">
        <v>2239</v>
      </c>
    </row>
    <row r="858" spans="1:4">
      <c r="A858" t="s">
        <v>2241</v>
      </c>
      <c r="B858">
        <v>327</v>
      </c>
      <c r="C858" t="s">
        <v>2242</v>
      </c>
    </row>
    <row r="859" spans="1:4">
      <c r="A859" t="s">
        <v>2245</v>
      </c>
      <c r="B859">
        <v>622</v>
      </c>
      <c r="C859" t="s">
        <v>2246</v>
      </c>
      <c r="D859" s="1" t="s">
        <v>7437</v>
      </c>
    </row>
    <row r="860" spans="1:4">
      <c r="A860" t="s">
        <v>2249</v>
      </c>
      <c r="B860">
        <v>453</v>
      </c>
      <c r="C860" t="s">
        <v>2250</v>
      </c>
    </row>
    <row r="861" spans="1:4">
      <c r="A861" t="s">
        <v>2252</v>
      </c>
      <c r="B861">
        <v>152</v>
      </c>
      <c r="C861" t="s">
        <v>2253</v>
      </c>
    </row>
    <row r="862" spans="1:4">
      <c r="A862" t="s">
        <v>2254</v>
      </c>
      <c r="B862">
        <v>207</v>
      </c>
      <c r="C862" t="s">
        <v>2255</v>
      </c>
    </row>
    <row r="863" spans="1:4">
      <c r="A863" t="s">
        <v>2256</v>
      </c>
      <c r="B863">
        <v>146</v>
      </c>
      <c r="C863" t="s">
        <v>2257</v>
      </c>
    </row>
    <row r="864" spans="1:4">
      <c r="A864" t="s">
        <v>2258</v>
      </c>
      <c r="B864">
        <v>363</v>
      </c>
      <c r="C864" t="s">
        <v>2259</v>
      </c>
    </row>
    <row r="865" spans="1:9">
      <c r="A865" t="s">
        <v>2261</v>
      </c>
      <c r="B865">
        <v>94</v>
      </c>
      <c r="C865" t="s">
        <v>2262</v>
      </c>
    </row>
    <row r="866" spans="1:9">
      <c r="C866" t="s">
        <v>2264</v>
      </c>
    </row>
    <row r="867" spans="1:9">
      <c r="A867" t="s">
        <v>2265</v>
      </c>
      <c r="B867">
        <v>86</v>
      </c>
      <c r="C867" t="s">
        <v>2266</v>
      </c>
    </row>
    <row r="868" spans="1:9">
      <c r="A868" t="s">
        <v>2269</v>
      </c>
      <c r="B868">
        <v>260</v>
      </c>
      <c r="C868" t="s">
        <v>2270</v>
      </c>
      <c r="D868" s="1" t="s">
        <v>7438</v>
      </c>
      <c r="F868" s="1" t="s">
        <v>8236</v>
      </c>
      <c r="G868" s="1" t="s">
        <v>8237</v>
      </c>
      <c r="H868" t="s">
        <v>8238</v>
      </c>
      <c r="I868" t="s">
        <v>8239</v>
      </c>
    </row>
    <row r="869" spans="1:9">
      <c r="A869" t="s">
        <v>2273</v>
      </c>
      <c r="B869">
        <v>278</v>
      </c>
      <c r="C869" t="s">
        <v>2274</v>
      </c>
      <c r="D869" s="9" t="s">
        <v>7439</v>
      </c>
      <c r="F869" s="1" t="s">
        <v>8240</v>
      </c>
      <c r="G869" s="1" t="s">
        <v>8241</v>
      </c>
      <c r="H869" s="4" t="s">
        <v>10307</v>
      </c>
      <c r="I869" s="4" t="s">
        <v>10308</v>
      </c>
    </row>
    <row r="870" spans="1:9">
      <c r="A870" t="s">
        <v>2273</v>
      </c>
      <c r="B870">
        <v>278</v>
      </c>
      <c r="C870" t="s">
        <v>2274</v>
      </c>
      <c r="D870" s="9" t="s">
        <v>7439</v>
      </c>
      <c r="F870" s="1" t="s">
        <v>8240</v>
      </c>
      <c r="G870" s="1" t="s">
        <v>8241</v>
      </c>
      <c r="H870" s="4" t="s">
        <v>10309</v>
      </c>
      <c r="I870" s="4" t="s">
        <v>10308</v>
      </c>
    </row>
    <row r="871" spans="1:9">
      <c r="A871" t="s">
        <v>2273</v>
      </c>
      <c r="B871">
        <v>278</v>
      </c>
      <c r="C871" t="s">
        <v>2274</v>
      </c>
      <c r="D871" s="9" t="s">
        <v>7439</v>
      </c>
      <c r="F871" s="1" t="s">
        <v>8240</v>
      </c>
      <c r="G871" s="1" t="s">
        <v>8241</v>
      </c>
      <c r="H871" s="4" t="s">
        <v>10310</v>
      </c>
      <c r="I871" s="4" t="s">
        <v>10308</v>
      </c>
    </row>
    <row r="872" spans="1:9">
      <c r="A872" t="s">
        <v>2273</v>
      </c>
      <c r="B872">
        <v>278</v>
      </c>
      <c r="C872" t="s">
        <v>2274</v>
      </c>
      <c r="D872" s="9" t="s">
        <v>7439</v>
      </c>
      <c r="F872" s="1" t="s">
        <v>8240</v>
      </c>
      <c r="G872" s="1" t="s">
        <v>8241</v>
      </c>
      <c r="H872" s="4" t="s">
        <v>10311</v>
      </c>
      <c r="I872" s="4" t="s">
        <v>10311</v>
      </c>
    </row>
    <row r="873" spans="1:9">
      <c r="A873" t="s">
        <v>2277</v>
      </c>
      <c r="B873">
        <v>367</v>
      </c>
      <c r="C873" t="s">
        <v>2278</v>
      </c>
    </row>
    <row r="874" spans="1:9">
      <c r="A874" t="s">
        <v>2281</v>
      </c>
      <c r="B874">
        <v>542</v>
      </c>
      <c r="C874" t="s">
        <v>2282</v>
      </c>
    </row>
    <row r="875" spans="1:9">
      <c r="A875" t="s">
        <v>2285</v>
      </c>
      <c r="B875">
        <v>232</v>
      </c>
      <c r="C875" t="s">
        <v>2286</v>
      </c>
    </row>
    <row r="876" spans="1:9">
      <c r="A876" t="s">
        <v>2289</v>
      </c>
      <c r="B876">
        <v>300</v>
      </c>
      <c r="C876" t="s">
        <v>2290</v>
      </c>
    </row>
    <row r="877" spans="1:9">
      <c r="A877" t="s">
        <v>2293</v>
      </c>
      <c r="B877">
        <v>167</v>
      </c>
      <c r="C877" t="s">
        <v>2294</v>
      </c>
    </row>
    <row r="878" spans="1:9">
      <c r="A878" t="s">
        <v>2295</v>
      </c>
      <c r="B878">
        <v>121</v>
      </c>
      <c r="C878" t="s">
        <v>2296</v>
      </c>
    </row>
    <row r="879" spans="1:9">
      <c r="A879" t="s">
        <v>2299</v>
      </c>
      <c r="B879">
        <v>330</v>
      </c>
      <c r="C879" t="s">
        <v>2300</v>
      </c>
    </row>
    <row r="880" spans="1:9">
      <c r="A880" t="s">
        <v>2303</v>
      </c>
      <c r="B880">
        <v>321</v>
      </c>
      <c r="C880" t="s">
        <v>2304</v>
      </c>
    </row>
    <row r="881" spans="1:6">
      <c r="A881" t="s">
        <v>2307</v>
      </c>
      <c r="B881">
        <v>329</v>
      </c>
      <c r="C881" t="s">
        <v>2308</v>
      </c>
    </row>
    <row r="882" spans="1:6">
      <c r="A882" t="s">
        <v>2311</v>
      </c>
      <c r="B882">
        <v>251</v>
      </c>
      <c r="C882" t="s">
        <v>2312</v>
      </c>
      <c r="D882" s="1" t="s">
        <v>7440</v>
      </c>
      <c r="F882" s="1" t="s">
        <v>8242</v>
      </c>
    </row>
    <row r="883" spans="1:6">
      <c r="C883" t="s">
        <v>2315</v>
      </c>
    </row>
    <row r="884" spans="1:6">
      <c r="C884" t="s">
        <v>2317</v>
      </c>
    </row>
    <row r="885" spans="1:6">
      <c r="C885" t="s">
        <v>2319</v>
      </c>
    </row>
    <row r="886" spans="1:6">
      <c r="A886" t="s">
        <v>2320</v>
      </c>
      <c r="B886">
        <v>393</v>
      </c>
      <c r="C886" t="s">
        <v>2321</v>
      </c>
    </row>
    <row r="887" spans="1:6">
      <c r="A887" t="s">
        <v>2322</v>
      </c>
      <c r="B887">
        <v>78</v>
      </c>
      <c r="C887" t="s">
        <v>2323</v>
      </c>
    </row>
    <row r="888" spans="1:6">
      <c r="A888" t="s">
        <v>2326</v>
      </c>
      <c r="B888">
        <v>87</v>
      </c>
      <c r="C888" t="s">
        <v>2327</v>
      </c>
      <c r="D888" s="1" t="s">
        <v>7299</v>
      </c>
    </row>
    <row r="889" spans="1:6">
      <c r="A889" t="s">
        <v>2328</v>
      </c>
      <c r="B889">
        <v>210</v>
      </c>
      <c r="C889" t="s">
        <v>2329</v>
      </c>
    </row>
    <row r="890" spans="1:6">
      <c r="A890" t="s">
        <v>2331</v>
      </c>
      <c r="B890">
        <v>541</v>
      </c>
      <c r="C890" t="s">
        <v>2332</v>
      </c>
    </row>
    <row r="891" spans="1:6">
      <c r="A891" t="s">
        <v>2333</v>
      </c>
      <c r="B891">
        <v>675</v>
      </c>
      <c r="C891" t="s">
        <v>2334</v>
      </c>
    </row>
    <row r="892" spans="1:6">
      <c r="A892" t="s">
        <v>2335</v>
      </c>
      <c r="B892">
        <v>61</v>
      </c>
      <c r="C892" t="s">
        <v>2336</v>
      </c>
    </row>
    <row r="893" spans="1:6">
      <c r="A893" t="s">
        <v>2339</v>
      </c>
      <c r="B893">
        <v>206</v>
      </c>
      <c r="C893" t="s">
        <v>2340</v>
      </c>
      <c r="D893" s="1" t="s">
        <v>7332</v>
      </c>
    </row>
    <row r="894" spans="1:6">
      <c r="A894" t="s">
        <v>2343</v>
      </c>
      <c r="B894">
        <v>126</v>
      </c>
      <c r="C894" t="s">
        <v>2344</v>
      </c>
    </row>
    <row r="895" spans="1:6">
      <c r="A895" t="s">
        <v>2345</v>
      </c>
      <c r="B895">
        <v>177</v>
      </c>
      <c r="C895" t="s">
        <v>2346</v>
      </c>
    </row>
    <row r="896" spans="1:6">
      <c r="A896" t="s">
        <v>2348</v>
      </c>
      <c r="B896">
        <v>268</v>
      </c>
      <c r="C896" t="s">
        <v>2349</v>
      </c>
    </row>
    <row r="897" spans="1:9">
      <c r="A897" t="s">
        <v>2350</v>
      </c>
      <c r="B897">
        <v>222</v>
      </c>
      <c r="C897" t="s">
        <v>2351</v>
      </c>
    </row>
    <row r="898" spans="1:9">
      <c r="A898" t="s">
        <v>2354</v>
      </c>
      <c r="B898">
        <v>467</v>
      </c>
      <c r="C898" t="s">
        <v>2355</v>
      </c>
    </row>
    <row r="899" spans="1:9">
      <c r="A899" t="s">
        <v>2358</v>
      </c>
      <c r="B899">
        <v>268</v>
      </c>
      <c r="C899" t="s">
        <v>2359</v>
      </c>
      <c r="D899" s="1" t="s">
        <v>7441</v>
      </c>
      <c r="F899" s="1" t="s">
        <v>8243</v>
      </c>
    </row>
    <row r="900" spans="1:9">
      <c r="A900" t="s">
        <v>2360</v>
      </c>
      <c r="B900">
        <v>276</v>
      </c>
      <c r="C900" t="s">
        <v>2361</v>
      </c>
    </row>
    <row r="901" spans="1:9">
      <c r="A901" t="s">
        <v>2362</v>
      </c>
      <c r="B901">
        <v>282</v>
      </c>
      <c r="C901" t="s">
        <v>2363</v>
      </c>
    </row>
    <row r="902" spans="1:9">
      <c r="A902" t="s">
        <v>2366</v>
      </c>
      <c r="B902">
        <v>372</v>
      </c>
      <c r="C902" t="s">
        <v>2367</v>
      </c>
      <c r="D902" s="9" t="s">
        <v>7442</v>
      </c>
      <c r="F902" s="1" t="s">
        <v>8244</v>
      </c>
      <c r="G902" s="1" t="s">
        <v>8245</v>
      </c>
      <c r="H902" t="s">
        <v>8246</v>
      </c>
      <c r="I902" t="s">
        <v>8247</v>
      </c>
    </row>
    <row r="903" spans="1:9">
      <c r="A903" t="s">
        <v>2366</v>
      </c>
      <c r="B903">
        <v>372</v>
      </c>
      <c r="C903" t="s">
        <v>2367</v>
      </c>
      <c r="D903" s="9" t="s">
        <v>7442</v>
      </c>
      <c r="F903" s="1" t="s">
        <v>8244</v>
      </c>
      <c r="G903" s="1" t="s">
        <v>8245</v>
      </c>
      <c r="H903" t="s">
        <v>10312</v>
      </c>
      <c r="I903" t="s">
        <v>10313</v>
      </c>
    </row>
    <row r="904" spans="1:9">
      <c r="A904" t="s">
        <v>2370</v>
      </c>
      <c r="B904">
        <v>430</v>
      </c>
      <c r="C904" t="s">
        <v>2371</v>
      </c>
      <c r="D904" s="1" t="s">
        <v>7443</v>
      </c>
      <c r="F904" s="1" t="s">
        <v>8248</v>
      </c>
      <c r="G904" s="1" t="s">
        <v>8249</v>
      </c>
      <c r="H904" t="s">
        <v>8250</v>
      </c>
      <c r="I904" t="s">
        <v>8251</v>
      </c>
    </row>
    <row r="905" spans="1:9">
      <c r="A905" t="s">
        <v>2374</v>
      </c>
      <c r="B905">
        <v>119</v>
      </c>
      <c r="C905" t="s">
        <v>2375</v>
      </c>
      <c r="D905" s="1" t="s">
        <v>7287</v>
      </c>
      <c r="F905" s="1" t="s">
        <v>7843</v>
      </c>
      <c r="G905" s="1" t="s">
        <v>7844</v>
      </c>
      <c r="H905" t="s">
        <v>7845</v>
      </c>
      <c r="I905" t="s">
        <v>7846</v>
      </c>
    </row>
    <row r="906" spans="1:9">
      <c r="A906" t="s">
        <v>2376</v>
      </c>
      <c r="B906">
        <v>287</v>
      </c>
      <c r="C906" t="s">
        <v>2377</v>
      </c>
      <c r="D906" s="1" t="s">
        <v>7314</v>
      </c>
    </row>
    <row r="907" spans="1:9">
      <c r="A907" t="s">
        <v>2378</v>
      </c>
      <c r="B907">
        <v>115</v>
      </c>
      <c r="C907" t="s">
        <v>2379</v>
      </c>
    </row>
    <row r="908" spans="1:9">
      <c r="A908" t="s">
        <v>2382</v>
      </c>
      <c r="B908">
        <v>547</v>
      </c>
      <c r="C908" t="s">
        <v>2383</v>
      </c>
    </row>
    <row r="909" spans="1:9">
      <c r="A909" t="s">
        <v>2384</v>
      </c>
      <c r="B909">
        <v>309</v>
      </c>
      <c r="C909" t="s">
        <v>2385</v>
      </c>
    </row>
    <row r="910" spans="1:9">
      <c r="A910" t="s">
        <v>2386</v>
      </c>
      <c r="B910">
        <v>301</v>
      </c>
      <c r="C910" t="s">
        <v>2387</v>
      </c>
    </row>
    <row r="911" spans="1:9">
      <c r="A911" t="s">
        <v>2388</v>
      </c>
      <c r="B911">
        <v>142</v>
      </c>
      <c r="C911" t="s">
        <v>2389</v>
      </c>
    </row>
    <row r="912" spans="1:9">
      <c r="A912" t="s">
        <v>2390</v>
      </c>
      <c r="B912">
        <v>666</v>
      </c>
      <c r="C912" t="s">
        <v>2391</v>
      </c>
    </row>
    <row r="913" spans="1:4">
      <c r="A913" t="s">
        <v>2394</v>
      </c>
      <c r="B913">
        <v>440</v>
      </c>
      <c r="C913" t="s">
        <v>2395</v>
      </c>
    </row>
    <row r="914" spans="1:4">
      <c r="A914" t="s">
        <v>2398</v>
      </c>
      <c r="B914">
        <v>112</v>
      </c>
      <c r="C914" t="s">
        <v>2399</v>
      </c>
    </row>
    <row r="915" spans="1:4">
      <c r="A915" t="s">
        <v>2400</v>
      </c>
      <c r="B915">
        <v>275</v>
      </c>
      <c r="C915" t="s">
        <v>2401</v>
      </c>
    </row>
    <row r="916" spans="1:4">
      <c r="A916" t="s">
        <v>2402</v>
      </c>
      <c r="B916">
        <v>104</v>
      </c>
      <c r="C916" t="s">
        <v>2403</v>
      </c>
    </row>
    <row r="917" spans="1:4">
      <c r="A917" t="s">
        <v>2404</v>
      </c>
      <c r="B917">
        <v>259</v>
      </c>
      <c r="C917" t="s">
        <v>2405</v>
      </c>
    </row>
    <row r="918" spans="1:4">
      <c r="A918" t="s">
        <v>2406</v>
      </c>
      <c r="B918">
        <v>392</v>
      </c>
      <c r="C918" t="s">
        <v>2407</v>
      </c>
    </row>
    <row r="919" spans="1:4">
      <c r="A919" t="s">
        <v>2408</v>
      </c>
      <c r="B919">
        <v>81</v>
      </c>
      <c r="C919" t="s">
        <v>2409</v>
      </c>
    </row>
    <row r="920" spans="1:4">
      <c r="A920" t="s">
        <v>2410</v>
      </c>
      <c r="B920">
        <v>148</v>
      </c>
      <c r="C920" t="s">
        <v>2411</v>
      </c>
    </row>
    <row r="921" spans="1:4">
      <c r="A921" t="s">
        <v>2412</v>
      </c>
      <c r="B921">
        <v>80</v>
      </c>
      <c r="C921" t="s">
        <v>2413</v>
      </c>
    </row>
    <row r="922" spans="1:4">
      <c r="A922" t="s">
        <v>2415</v>
      </c>
      <c r="B922">
        <v>177</v>
      </c>
      <c r="C922" t="s">
        <v>2416</v>
      </c>
    </row>
    <row r="923" spans="1:4">
      <c r="A923" t="s">
        <v>2419</v>
      </c>
      <c r="B923">
        <v>590</v>
      </c>
      <c r="C923" t="s">
        <v>2420</v>
      </c>
      <c r="D923" s="1" t="s">
        <v>7324</v>
      </c>
    </row>
    <row r="924" spans="1:4">
      <c r="A924" t="s">
        <v>2423</v>
      </c>
      <c r="B924">
        <v>582</v>
      </c>
      <c r="C924" t="s">
        <v>2424</v>
      </c>
      <c r="D924" s="1" t="s">
        <v>7324</v>
      </c>
    </row>
    <row r="925" spans="1:4">
      <c r="A925" t="s">
        <v>2426</v>
      </c>
      <c r="B925">
        <v>489</v>
      </c>
      <c r="C925" t="s">
        <v>2427</v>
      </c>
      <c r="D925" s="1" t="s">
        <v>7324</v>
      </c>
    </row>
    <row r="926" spans="1:4">
      <c r="A926" t="s">
        <v>2429</v>
      </c>
      <c r="B926">
        <v>241</v>
      </c>
      <c r="C926" t="s">
        <v>2430</v>
      </c>
    </row>
    <row r="927" spans="1:4">
      <c r="A927" t="s">
        <v>2431</v>
      </c>
      <c r="B927">
        <v>157</v>
      </c>
      <c r="C927" t="s">
        <v>2432</v>
      </c>
    </row>
    <row r="928" spans="1:4">
      <c r="A928" t="s">
        <v>2433</v>
      </c>
      <c r="B928">
        <v>37</v>
      </c>
      <c r="C928" t="s">
        <v>2434</v>
      </c>
    </row>
    <row r="929" spans="1:9">
      <c r="C929" t="s">
        <v>2435</v>
      </c>
    </row>
    <row r="930" spans="1:9">
      <c r="A930" t="s">
        <v>2438</v>
      </c>
      <c r="B930">
        <v>93</v>
      </c>
      <c r="C930" t="s">
        <v>2439</v>
      </c>
      <c r="D930" s="1" t="s">
        <v>7444</v>
      </c>
    </row>
    <row r="931" spans="1:9">
      <c r="A931" t="s">
        <v>2442</v>
      </c>
      <c r="B931">
        <v>176</v>
      </c>
      <c r="C931" t="s">
        <v>2443</v>
      </c>
      <c r="D931" s="9" t="s">
        <v>7445</v>
      </c>
      <c r="F931" s="1" t="s">
        <v>8252</v>
      </c>
      <c r="G931" s="1" t="s">
        <v>8253</v>
      </c>
      <c r="H931" t="s">
        <v>8254</v>
      </c>
      <c r="I931" t="s">
        <v>8255</v>
      </c>
    </row>
    <row r="932" spans="1:9">
      <c r="A932" t="s">
        <v>2442</v>
      </c>
      <c r="B932">
        <v>176</v>
      </c>
      <c r="C932" t="s">
        <v>2443</v>
      </c>
      <c r="D932" s="9" t="s">
        <v>7445</v>
      </c>
      <c r="F932" s="1" t="s">
        <v>8252</v>
      </c>
      <c r="G932" s="1" t="s">
        <v>8253</v>
      </c>
      <c r="H932" t="s">
        <v>10314</v>
      </c>
      <c r="I932" t="s">
        <v>10315</v>
      </c>
    </row>
    <row r="933" spans="1:9">
      <c r="A933" t="s">
        <v>2442</v>
      </c>
      <c r="B933">
        <v>176</v>
      </c>
      <c r="C933" t="s">
        <v>2443</v>
      </c>
      <c r="D933" s="9" t="s">
        <v>7445</v>
      </c>
      <c r="F933" s="1" t="s">
        <v>8252</v>
      </c>
      <c r="G933" s="1" t="s">
        <v>8253</v>
      </c>
      <c r="H933" t="s">
        <v>10316</v>
      </c>
      <c r="I933" t="s">
        <v>10317</v>
      </c>
    </row>
    <row r="934" spans="1:9">
      <c r="A934" t="s">
        <v>2442</v>
      </c>
      <c r="B934">
        <v>176</v>
      </c>
      <c r="C934" t="s">
        <v>2443</v>
      </c>
      <c r="D934" s="9" t="s">
        <v>7445</v>
      </c>
      <c r="F934" s="1" t="s">
        <v>8252</v>
      </c>
      <c r="G934" s="1" t="s">
        <v>8253</v>
      </c>
      <c r="H934" t="s">
        <v>10318</v>
      </c>
      <c r="I934" t="s">
        <v>10319</v>
      </c>
    </row>
    <row r="935" spans="1:9">
      <c r="A935" t="s">
        <v>2442</v>
      </c>
      <c r="B935">
        <v>176</v>
      </c>
      <c r="C935" t="s">
        <v>2443</v>
      </c>
      <c r="D935" s="9" t="s">
        <v>7445</v>
      </c>
      <c r="F935" s="1" t="s">
        <v>8252</v>
      </c>
      <c r="G935" s="1" t="s">
        <v>8253</v>
      </c>
      <c r="H935" t="s">
        <v>10320</v>
      </c>
      <c r="I935" t="s">
        <v>10321</v>
      </c>
    </row>
    <row r="936" spans="1:9">
      <c r="A936" t="s">
        <v>2442</v>
      </c>
      <c r="B936">
        <v>176</v>
      </c>
      <c r="C936" t="s">
        <v>2443</v>
      </c>
      <c r="D936" s="9" t="s">
        <v>7445</v>
      </c>
      <c r="F936" s="1" t="s">
        <v>8252</v>
      </c>
      <c r="G936" s="1" t="s">
        <v>8253</v>
      </c>
      <c r="H936" t="s">
        <v>10322</v>
      </c>
      <c r="I936" t="s">
        <v>10323</v>
      </c>
    </row>
    <row r="937" spans="1:9">
      <c r="A937" t="s">
        <v>2442</v>
      </c>
      <c r="B937">
        <v>176</v>
      </c>
      <c r="C937" t="s">
        <v>2443</v>
      </c>
      <c r="D937" s="9" t="s">
        <v>7445</v>
      </c>
      <c r="F937" s="1" t="s">
        <v>8252</v>
      </c>
      <c r="G937" s="1" t="s">
        <v>8253</v>
      </c>
      <c r="H937" t="s">
        <v>10324</v>
      </c>
      <c r="I937" t="s">
        <v>10325</v>
      </c>
    </row>
    <row r="938" spans="1:9">
      <c r="A938" t="s">
        <v>2446</v>
      </c>
      <c r="B938">
        <v>275</v>
      </c>
      <c r="C938" t="s">
        <v>2447</v>
      </c>
      <c r="D938" s="1" t="s">
        <v>7446</v>
      </c>
      <c r="F938" s="1" t="s">
        <v>8256</v>
      </c>
      <c r="G938" s="1" t="s">
        <v>8257</v>
      </c>
      <c r="H938" t="s">
        <v>8258</v>
      </c>
      <c r="I938" t="s">
        <v>8259</v>
      </c>
    </row>
    <row r="939" spans="1:9">
      <c r="A939" t="s">
        <v>2448</v>
      </c>
      <c r="B939">
        <v>297</v>
      </c>
      <c r="C939" t="s">
        <v>2449</v>
      </c>
    </row>
    <row r="940" spans="1:9">
      <c r="A940" t="s">
        <v>2451</v>
      </c>
      <c r="B940">
        <v>222</v>
      </c>
      <c r="C940" t="s">
        <v>2452</v>
      </c>
    </row>
    <row r="941" spans="1:9">
      <c r="A941" t="s">
        <v>2455</v>
      </c>
      <c r="B941">
        <v>252</v>
      </c>
      <c r="C941" t="s">
        <v>2456</v>
      </c>
      <c r="D941" s="9" t="s">
        <v>7447</v>
      </c>
      <c r="F941" s="1" t="s">
        <v>8260</v>
      </c>
      <c r="G941" s="1" t="s">
        <v>8261</v>
      </c>
      <c r="H941" t="s">
        <v>10326</v>
      </c>
      <c r="I941" t="s">
        <v>10327</v>
      </c>
    </row>
    <row r="942" spans="1:9">
      <c r="A942" t="s">
        <v>2455</v>
      </c>
      <c r="B942">
        <v>252</v>
      </c>
      <c r="C942" t="s">
        <v>2456</v>
      </c>
      <c r="D942" s="9" t="s">
        <v>7447</v>
      </c>
      <c r="F942" s="1" t="s">
        <v>8260</v>
      </c>
      <c r="G942" s="1" t="s">
        <v>8261</v>
      </c>
      <c r="H942" t="s">
        <v>10328</v>
      </c>
      <c r="I942" t="s">
        <v>10329</v>
      </c>
    </row>
    <row r="943" spans="1:9">
      <c r="A943" t="s">
        <v>2457</v>
      </c>
      <c r="B943">
        <v>1652</v>
      </c>
      <c r="C943" t="s">
        <v>2458</v>
      </c>
    </row>
    <row r="944" spans="1:9">
      <c r="A944" t="s">
        <v>2461</v>
      </c>
      <c r="B944">
        <v>268</v>
      </c>
      <c r="C944" t="s">
        <v>2462</v>
      </c>
      <c r="D944" s="1" t="s">
        <v>7448</v>
      </c>
    </row>
    <row r="945" spans="1:9">
      <c r="A945" t="s">
        <v>2465</v>
      </c>
      <c r="B945">
        <v>141</v>
      </c>
      <c r="C945" t="s">
        <v>2466</v>
      </c>
    </row>
    <row r="946" spans="1:9">
      <c r="A946" t="s">
        <v>2469</v>
      </c>
      <c r="B946">
        <v>555</v>
      </c>
      <c r="C946" t="s">
        <v>2470</v>
      </c>
      <c r="D946" s="9" t="s">
        <v>7449</v>
      </c>
      <c r="F946" s="1" t="s">
        <v>8262</v>
      </c>
      <c r="G946" s="1" t="s">
        <v>8263</v>
      </c>
      <c r="H946" t="s">
        <v>8264</v>
      </c>
      <c r="I946" t="s">
        <v>8265</v>
      </c>
    </row>
    <row r="947" spans="1:9">
      <c r="A947" t="s">
        <v>2469</v>
      </c>
      <c r="B947">
        <v>555</v>
      </c>
      <c r="C947" t="s">
        <v>2470</v>
      </c>
      <c r="D947" s="9" t="s">
        <v>7449</v>
      </c>
      <c r="F947" s="1" t="s">
        <v>8262</v>
      </c>
      <c r="G947" s="1" t="s">
        <v>8263</v>
      </c>
      <c r="H947" t="s">
        <v>9563</v>
      </c>
      <c r="I947" t="s">
        <v>10330</v>
      </c>
    </row>
    <row r="948" spans="1:9">
      <c r="A948" t="s">
        <v>2469</v>
      </c>
      <c r="B948">
        <v>555</v>
      </c>
      <c r="C948" t="s">
        <v>2470</v>
      </c>
      <c r="D948" s="9" t="s">
        <v>7449</v>
      </c>
      <c r="F948" s="1" t="s">
        <v>8262</v>
      </c>
      <c r="G948" s="1" t="s">
        <v>8263</v>
      </c>
      <c r="H948" t="s">
        <v>8264</v>
      </c>
      <c r="I948" t="s">
        <v>10331</v>
      </c>
    </row>
    <row r="949" spans="1:9">
      <c r="A949" t="s">
        <v>2469</v>
      </c>
      <c r="B949">
        <v>555</v>
      </c>
      <c r="C949" t="s">
        <v>2470</v>
      </c>
      <c r="D949" s="9" t="s">
        <v>7449</v>
      </c>
      <c r="F949" s="1" t="s">
        <v>8262</v>
      </c>
      <c r="G949" s="1" t="s">
        <v>8263</v>
      </c>
      <c r="H949" t="s">
        <v>10331</v>
      </c>
      <c r="I949" t="s">
        <v>8265</v>
      </c>
    </row>
    <row r="950" spans="1:9">
      <c r="A950" t="s">
        <v>2469</v>
      </c>
      <c r="B950">
        <v>555</v>
      </c>
      <c r="C950" t="s">
        <v>2470</v>
      </c>
      <c r="D950" s="9" t="s">
        <v>7449</v>
      </c>
      <c r="F950" s="1" t="s">
        <v>8262</v>
      </c>
      <c r="G950" s="1" t="s">
        <v>8263</v>
      </c>
      <c r="H950" t="s">
        <v>8264</v>
      </c>
      <c r="I950" t="s">
        <v>10330</v>
      </c>
    </row>
    <row r="951" spans="1:9">
      <c r="A951" t="s">
        <v>2472</v>
      </c>
      <c r="B951">
        <v>448</v>
      </c>
      <c r="C951" t="s">
        <v>2473</v>
      </c>
    </row>
    <row r="952" spans="1:9">
      <c r="A952" t="s">
        <v>2475</v>
      </c>
      <c r="B952">
        <v>107</v>
      </c>
      <c r="C952" t="s">
        <v>2476</v>
      </c>
      <c r="D952" s="1" t="s">
        <v>7450</v>
      </c>
      <c r="F952" s="1" t="s">
        <v>8266</v>
      </c>
      <c r="G952" s="1" t="s">
        <v>8267</v>
      </c>
      <c r="H952" t="s">
        <v>8268</v>
      </c>
      <c r="I952" t="s">
        <v>8269</v>
      </c>
    </row>
    <row r="953" spans="1:9">
      <c r="A953" t="s">
        <v>2479</v>
      </c>
      <c r="B953">
        <v>858</v>
      </c>
      <c r="C953" t="s">
        <v>2480</v>
      </c>
      <c r="D953" s="1" t="s">
        <v>7435</v>
      </c>
      <c r="F953" s="1" t="s">
        <v>8231</v>
      </c>
    </row>
    <row r="954" spans="1:9">
      <c r="A954" t="s">
        <v>2483</v>
      </c>
      <c r="B954">
        <v>252</v>
      </c>
      <c r="C954" t="s">
        <v>2484</v>
      </c>
      <c r="D954" s="1" t="s">
        <v>7451</v>
      </c>
      <c r="F954" s="1" t="s">
        <v>8270</v>
      </c>
    </row>
    <row r="955" spans="1:9">
      <c r="A955" t="s">
        <v>2487</v>
      </c>
      <c r="B955">
        <v>251</v>
      </c>
      <c r="C955" t="s">
        <v>2488</v>
      </c>
    </row>
    <row r="956" spans="1:9">
      <c r="A956" t="s">
        <v>2489</v>
      </c>
      <c r="B956">
        <v>604</v>
      </c>
      <c r="C956" t="s">
        <v>2490</v>
      </c>
    </row>
    <row r="957" spans="1:9">
      <c r="A957" t="s">
        <v>2493</v>
      </c>
      <c r="B957">
        <v>187</v>
      </c>
      <c r="C957" t="s">
        <v>2494</v>
      </c>
      <c r="D957" s="9" t="s">
        <v>7452</v>
      </c>
      <c r="F957" s="1" t="s">
        <v>8271</v>
      </c>
      <c r="G957" s="1" t="s">
        <v>8272</v>
      </c>
      <c r="H957" t="s">
        <v>8273</v>
      </c>
      <c r="I957" t="s">
        <v>8274</v>
      </c>
    </row>
    <row r="958" spans="1:9">
      <c r="A958" t="s">
        <v>2493</v>
      </c>
      <c r="B958">
        <v>187</v>
      </c>
      <c r="C958" t="s">
        <v>2494</v>
      </c>
      <c r="D958" s="9" t="s">
        <v>7452</v>
      </c>
      <c r="F958" s="1" t="s">
        <v>8271</v>
      </c>
      <c r="G958" s="1" t="s">
        <v>8272</v>
      </c>
      <c r="H958" t="s">
        <v>10332</v>
      </c>
      <c r="I958" t="s">
        <v>10333</v>
      </c>
    </row>
    <row r="959" spans="1:9">
      <c r="A959" t="s">
        <v>2497</v>
      </c>
      <c r="B959">
        <v>510</v>
      </c>
      <c r="C959" t="s">
        <v>2498</v>
      </c>
    </row>
    <row r="960" spans="1:9">
      <c r="A960" t="s">
        <v>2499</v>
      </c>
      <c r="B960">
        <v>326</v>
      </c>
      <c r="C960" t="s">
        <v>2500</v>
      </c>
    </row>
    <row r="961" spans="1:6">
      <c r="A961" t="s">
        <v>2501</v>
      </c>
      <c r="B961">
        <v>204</v>
      </c>
      <c r="C961" t="s">
        <v>2502</v>
      </c>
    </row>
    <row r="962" spans="1:6">
      <c r="A962" t="s">
        <v>2505</v>
      </c>
      <c r="B962">
        <v>239</v>
      </c>
      <c r="C962" t="s">
        <v>2506</v>
      </c>
    </row>
    <row r="963" spans="1:6">
      <c r="A963" t="s">
        <v>2508</v>
      </c>
      <c r="B963">
        <v>260</v>
      </c>
      <c r="C963" t="s">
        <v>2509</v>
      </c>
    </row>
    <row r="964" spans="1:6">
      <c r="A964" t="s">
        <v>2512</v>
      </c>
      <c r="B964">
        <v>84</v>
      </c>
      <c r="C964" t="s">
        <v>2513</v>
      </c>
      <c r="D964" s="1" t="s">
        <v>7453</v>
      </c>
      <c r="F964" s="1" t="s">
        <v>8275</v>
      </c>
    </row>
    <row r="965" spans="1:6">
      <c r="A965" t="s">
        <v>2516</v>
      </c>
      <c r="B965">
        <v>101</v>
      </c>
      <c r="C965" t="s">
        <v>2517</v>
      </c>
    </row>
    <row r="966" spans="1:6">
      <c r="A966" t="s">
        <v>2520</v>
      </c>
      <c r="B966">
        <v>54</v>
      </c>
      <c r="C966" t="s">
        <v>2521</v>
      </c>
    </row>
    <row r="967" spans="1:6">
      <c r="A967" t="s">
        <v>2524</v>
      </c>
      <c r="B967">
        <v>78</v>
      </c>
      <c r="C967" t="s">
        <v>2525</v>
      </c>
    </row>
    <row r="968" spans="1:6">
      <c r="A968" t="s">
        <v>2528</v>
      </c>
      <c r="B968">
        <v>89</v>
      </c>
      <c r="C968" t="s">
        <v>2529</v>
      </c>
    </row>
    <row r="969" spans="1:6">
      <c r="A969" t="s">
        <v>2531</v>
      </c>
      <c r="B969">
        <v>57</v>
      </c>
      <c r="C969" t="s">
        <v>2532</v>
      </c>
    </row>
    <row r="970" spans="1:6">
      <c r="A970" t="s">
        <v>2535</v>
      </c>
      <c r="B970">
        <v>195</v>
      </c>
      <c r="C970" t="s">
        <v>2536</v>
      </c>
    </row>
    <row r="971" spans="1:6">
      <c r="A971" t="s">
        <v>2538</v>
      </c>
      <c r="B971">
        <v>225</v>
      </c>
      <c r="C971" t="s">
        <v>2539</v>
      </c>
    </row>
    <row r="972" spans="1:6">
      <c r="A972" t="s">
        <v>2542</v>
      </c>
      <c r="B972">
        <v>500</v>
      </c>
      <c r="C972" t="s">
        <v>2543</v>
      </c>
    </row>
    <row r="973" spans="1:6">
      <c r="A973" t="s">
        <v>2545</v>
      </c>
      <c r="B973">
        <v>202</v>
      </c>
      <c r="C973" t="s">
        <v>2546</v>
      </c>
    </row>
    <row r="974" spans="1:6">
      <c r="A974" t="s">
        <v>2547</v>
      </c>
      <c r="B974">
        <v>77</v>
      </c>
      <c r="C974" t="s">
        <v>2548</v>
      </c>
    </row>
    <row r="975" spans="1:6">
      <c r="A975" t="s">
        <v>2551</v>
      </c>
      <c r="B975">
        <v>165</v>
      </c>
      <c r="C975" t="s">
        <v>2552</v>
      </c>
    </row>
    <row r="976" spans="1:6">
      <c r="A976" t="s">
        <v>2555</v>
      </c>
      <c r="B976">
        <v>455</v>
      </c>
      <c r="C976" t="s">
        <v>2556</v>
      </c>
    </row>
    <row r="977" spans="1:9">
      <c r="A977" t="s">
        <v>2559</v>
      </c>
      <c r="B977">
        <v>443</v>
      </c>
      <c r="C977" t="s">
        <v>2560</v>
      </c>
      <c r="D977" s="1" t="s">
        <v>7454</v>
      </c>
      <c r="F977" s="1" t="s">
        <v>8276</v>
      </c>
      <c r="G977" s="1" t="s">
        <v>8277</v>
      </c>
      <c r="H977" s="5" t="s">
        <v>8278</v>
      </c>
      <c r="I977" t="s">
        <v>8279</v>
      </c>
    </row>
    <row r="978" spans="1:9">
      <c r="A978" t="s">
        <v>2562</v>
      </c>
      <c r="B978">
        <v>241</v>
      </c>
      <c r="C978" t="s">
        <v>2563</v>
      </c>
    </row>
    <row r="979" spans="1:9">
      <c r="A979" t="s">
        <v>2565</v>
      </c>
      <c r="B979">
        <v>193</v>
      </c>
      <c r="C979" t="s">
        <v>2566</v>
      </c>
    </row>
    <row r="980" spans="1:9">
      <c r="A980" t="s">
        <v>2569</v>
      </c>
      <c r="B980">
        <v>316</v>
      </c>
      <c r="C980" t="s">
        <v>2570</v>
      </c>
      <c r="D980" s="1" t="s">
        <v>7455</v>
      </c>
      <c r="F980" s="1" t="s">
        <v>8280</v>
      </c>
      <c r="G980" s="1" t="s">
        <v>8281</v>
      </c>
      <c r="H980" t="s">
        <v>8282</v>
      </c>
      <c r="I980" s="3" t="s">
        <v>8283</v>
      </c>
    </row>
    <row r="981" spans="1:9">
      <c r="A981" t="s">
        <v>2572</v>
      </c>
      <c r="B981">
        <v>444</v>
      </c>
      <c r="C981" t="s">
        <v>2573</v>
      </c>
      <c r="D981" s="1" t="s">
        <v>7320</v>
      </c>
      <c r="F981" s="1" t="s">
        <v>7922</v>
      </c>
      <c r="G981" s="1" t="s">
        <v>7923</v>
      </c>
      <c r="H981" t="s">
        <v>7926</v>
      </c>
      <c r="I981" t="s">
        <v>7925</v>
      </c>
    </row>
    <row r="982" spans="1:9">
      <c r="A982" t="s">
        <v>2576</v>
      </c>
      <c r="B982">
        <v>236</v>
      </c>
      <c r="C982" t="s">
        <v>2577</v>
      </c>
      <c r="D982" s="1" t="s">
        <v>7283</v>
      </c>
    </row>
    <row r="983" spans="1:9">
      <c r="A983" t="s">
        <v>2578</v>
      </c>
      <c r="B983">
        <v>458</v>
      </c>
      <c r="C983" t="s">
        <v>2579</v>
      </c>
    </row>
    <row r="984" spans="1:9">
      <c r="A984" t="s">
        <v>2582</v>
      </c>
      <c r="B984">
        <v>220</v>
      </c>
      <c r="C984" t="s">
        <v>2583</v>
      </c>
      <c r="D984" s="1" t="s">
        <v>7456</v>
      </c>
      <c r="F984" s="1" t="s">
        <v>8284</v>
      </c>
    </row>
    <row r="985" spans="1:9">
      <c r="A985" t="s">
        <v>2586</v>
      </c>
      <c r="B985">
        <v>137</v>
      </c>
      <c r="C985" t="s">
        <v>2587</v>
      </c>
      <c r="D985" s="1" t="s">
        <v>7314</v>
      </c>
    </row>
    <row r="986" spans="1:9">
      <c r="A986" t="s">
        <v>2588</v>
      </c>
      <c r="B986">
        <v>233</v>
      </c>
      <c r="C986" t="s">
        <v>2589</v>
      </c>
    </row>
    <row r="987" spans="1:9" ht="17" customHeight="1">
      <c r="A987" t="s">
        <v>2592</v>
      </c>
      <c r="B987">
        <v>541</v>
      </c>
      <c r="C987" t="s">
        <v>2593</v>
      </c>
      <c r="D987" s="9" t="s">
        <v>7457</v>
      </c>
      <c r="F987" s="1" t="s">
        <v>8285</v>
      </c>
      <c r="G987" s="1" t="s">
        <v>8286</v>
      </c>
      <c r="H987" t="s">
        <v>8287</v>
      </c>
      <c r="I987" t="s">
        <v>8288</v>
      </c>
    </row>
    <row r="988" spans="1:9" ht="17" customHeight="1">
      <c r="A988" t="s">
        <v>2592</v>
      </c>
      <c r="B988">
        <v>541</v>
      </c>
      <c r="C988" t="s">
        <v>2593</v>
      </c>
      <c r="D988" s="9" t="s">
        <v>7457</v>
      </c>
      <c r="F988" s="1" t="s">
        <v>8285</v>
      </c>
      <c r="G988" s="1" t="s">
        <v>8286</v>
      </c>
      <c r="H988" t="s">
        <v>10334</v>
      </c>
      <c r="I988" t="s">
        <v>10335</v>
      </c>
    </row>
    <row r="989" spans="1:9" ht="17" customHeight="1">
      <c r="A989" t="s">
        <v>2592</v>
      </c>
      <c r="B989">
        <v>541</v>
      </c>
      <c r="C989" t="s">
        <v>2593</v>
      </c>
      <c r="D989" s="9" t="s">
        <v>7457</v>
      </c>
      <c r="F989" s="1" t="s">
        <v>8285</v>
      </c>
      <c r="G989" s="1" t="s">
        <v>8286</v>
      </c>
      <c r="H989" t="s">
        <v>10336</v>
      </c>
      <c r="I989" t="s">
        <v>10337</v>
      </c>
    </row>
    <row r="990" spans="1:9">
      <c r="A990" t="s">
        <v>2596</v>
      </c>
      <c r="B990">
        <v>282</v>
      </c>
      <c r="C990" t="s">
        <v>2597</v>
      </c>
      <c r="D990" s="1" t="s">
        <v>7458</v>
      </c>
      <c r="F990" s="1" t="s">
        <v>8289</v>
      </c>
    </row>
    <row r="991" spans="1:9">
      <c r="A991" t="s">
        <v>2599</v>
      </c>
      <c r="B991">
        <v>618</v>
      </c>
      <c r="C991" t="s">
        <v>2600</v>
      </c>
    </row>
    <row r="992" spans="1:9">
      <c r="A992" t="s">
        <v>2603</v>
      </c>
      <c r="B992">
        <v>610</v>
      </c>
      <c r="C992" t="s">
        <v>2604</v>
      </c>
      <c r="D992" s="9" t="s">
        <v>7459</v>
      </c>
      <c r="F992" s="1" t="s">
        <v>8290</v>
      </c>
      <c r="G992" s="1" t="s">
        <v>8291</v>
      </c>
      <c r="H992" t="s">
        <v>8292</v>
      </c>
      <c r="I992" s="3" t="s">
        <v>8293</v>
      </c>
    </row>
    <row r="993" spans="1:9">
      <c r="A993" t="s">
        <v>2603</v>
      </c>
      <c r="B993">
        <v>610</v>
      </c>
      <c r="C993" t="s">
        <v>2604</v>
      </c>
      <c r="D993" s="9" t="s">
        <v>7459</v>
      </c>
      <c r="F993" s="1" t="s">
        <v>8290</v>
      </c>
      <c r="G993" s="1" t="s">
        <v>8291</v>
      </c>
      <c r="H993" t="s">
        <v>10338</v>
      </c>
      <c r="I993" s="3" t="s">
        <v>10339</v>
      </c>
    </row>
    <row r="994" spans="1:9">
      <c r="A994" t="s">
        <v>2607</v>
      </c>
      <c r="B994">
        <v>166</v>
      </c>
      <c r="C994" t="s">
        <v>2608</v>
      </c>
      <c r="D994" s="1" t="s">
        <v>7283</v>
      </c>
    </row>
    <row r="995" spans="1:9">
      <c r="A995" t="s">
        <v>2610</v>
      </c>
      <c r="B995">
        <v>164</v>
      </c>
      <c r="C995" t="s">
        <v>2611</v>
      </c>
      <c r="D995" s="1" t="s">
        <v>7283</v>
      </c>
    </row>
    <row r="996" spans="1:9">
      <c r="A996" t="s">
        <v>2614</v>
      </c>
      <c r="B996">
        <v>278</v>
      </c>
      <c r="C996" t="s">
        <v>2615</v>
      </c>
      <c r="D996" s="1" t="s">
        <v>7423</v>
      </c>
    </row>
    <row r="997" spans="1:9">
      <c r="A997" t="s">
        <v>2617</v>
      </c>
      <c r="B997">
        <v>391</v>
      </c>
      <c r="C997" t="s">
        <v>2618</v>
      </c>
      <c r="D997" s="1" t="s">
        <v>7332</v>
      </c>
    </row>
    <row r="998" spans="1:9">
      <c r="A998" t="s">
        <v>2621</v>
      </c>
      <c r="B998">
        <v>287</v>
      </c>
      <c r="C998" t="s">
        <v>2622</v>
      </c>
      <c r="D998" s="1" t="s">
        <v>7460</v>
      </c>
      <c r="F998" s="1" t="s">
        <v>8294</v>
      </c>
      <c r="G998" s="1" t="s">
        <v>8295</v>
      </c>
      <c r="H998" t="s">
        <v>8296</v>
      </c>
      <c r="I998" t="s">
        <v>8297</v>
      </c>
    </row>
    <row r="999" spans="1:9">
      <c r="A999" t="s">
        <v>2625</v>
      </c>
      <c r="B999">
        <v>326</v>
      </c>
      <c r="C999" t="s">
        <v>2626</v>
      </c>
      <c r="D999" s="1" t="s">
        <v>7461</v>
      </c>
      <c r="F999" s="1" t="s">
        <v>8298</v>
      </c>
      <c r="G999" s="1" t="s">
        <v>8299</v>
      </c>
      <c r="H999" t="s">
        <v>8300</v>
      </c>
      <c r="I999" t="s">
        <v>8301</v>
      </c>
    </row>
    <row r="1000" spans="1:9">
      <c r="A1000" t="s">
        <v>2627</v>
      </c>
      <c r="B1000">
        <v>439</v>
      </c>
      <c r="C1000" t="s">
        <v>2628</v>
      </c>
    </row>
    <row r="1001" spans="1:9">
      <c r="A1001" t="s">
        <v>2630</v>
      </c>
      <c r="B1001">
        <v>602</v>
      </c>
      <c r="C1001" t="s">
        <v>2631</v>
      </c>
    </row>
    <row r="1002" spans="1:9">
      <c r="A1002" t="s">
        <v>2632</v>
      </c>
      <c r="B1002">
        <v>577</v>
      </c>
      <c r="C1002" t="s">
        <v>2633</v>
      </c>
    </row>
    <row r="1003" spans="1:9">
      <c r="A1003" t="s">
        <v>2634</v>
      </c>
      <c r="B1003">
        <v>192</v>
      </c>
      <c r="C1003" t="s">
        <v>2635</v>
      </c>
    </row>
    <row r="1004" spans="1:9">
      <c r="A1004" t="s">
        <v>2637</v>
      </c>
      <c r="B1004">
        <v>107</v>
      </c>
      <c r="C1004" t="s">
        <v>2638</v>
      </c>
    </row>
    <row r="1005" spans="1:9">
      <c r="A1005" t="s">
        <v>2641</v>
      </c>
      <c r="B1005">
        <v>1052</v>
      </c>
      <c r="C1005" t="s">
        <v>2642</v>
      </c>
      <c r="D1005" s="1" t="s">
        <v>7283</v>
      </c>
    </row>
    <row r="1006" spans="1:9">
      <c r="A1006" t="s">
        <v>2645</v>
      </c>
      <c r="B1006">
        <v>265</v>
      </c>
      <c r="C1006" t="s">
        <v>2646</v>
      </c>
      <c r="D1006" s="1" t="s">
        <v>7462</v>
      </c>
    </row>
    <row r="1007" spans="1:9">
      <c r="A1007" t="s">
        <v>2649</v>
      </c>
      <c r="B1007">
        <v>354</v>
      </c>
      <c r="C1007" t="s">
        <v>2650</v>
      </c>
      <c r="D1007" s="9" t="s">
        <v>7463</v>
      </c>
      <c r="F1007" s="1" t="s">
        <v>8302</v>
      </c>
      <c r="G1007" s="1" t="s">
        <v>8303</v>
      </c>
      <c r="H1007" t="s">
        <v>8304</v>
      </c>
      <c r="I1007" t="s">
        <v>8305</v>
      </c>
    </row>
    <row r="1008" spans="1:9">
      <c r="A1008" t="s">
        <v>2649</v>
      </c>
      <c r="B1008">
        <v>354</v>
      </c>
      <c r="C1008" t="s">
        <v>2650</v>
      </c>
      <c r="D1008" s="9" t="s">
        <v>7463</v>
      </c>
      <c r="F1008" s="1" t="s">
        <v>8302</v>
      </c>
      <c r="G1008" s="1" t="s">
        <v>8303</v>
      </c>
      <c r="H1008" t="s">
        <v>10340</v>
      </c>
      <c r="I1008" t="s">
        <v>10341</v>
      </c>
    </row>
    <row r="1009" spans="1:9">
      <c r="A1009" t="s">
        <v>2649</v>
      </c>
      <c r="B1009">
        <v>354</v>
      </c>
      <c r="C1009" t="s">
        <v>2650</v>
      </c>
      <c r="D1009" s="9" t="s">
        <v>7463</v>
      </c>
      <c r="F1009" s="1" t="s">
        <v>8302</v>
      </c>
      <c r="G1009" s="1" t="s">
        <v>8303</v>
      </c>
      <c r="H1009" t="s">
        <v>10342</v>
      </c>
      <c r="I1009" t="s">
        <v>10343</v>
      </c>
    </row>
    <row r="1010" spans="1:9">
      <c r="A1010" t="s">
        <v>2649</v>
      </c>
      <c r="B1010">
        <v>354</v>
      </c>
      <c r="C1010" t="s">
        <v>2650</v>
      </c>
      <c r="D1010" s="9" t="s">
        <v>7463</v>
      </c>
      <c r="F1010" s="1" t="s">
        <v>8302</v>
      </c>
      <c r="G1010" s="1" t="s">
        <v>8303</v>
      </c>
      <c r="H1010" t="s">
        <v>10344</v>
      </c>
      <c r="I1010" t="s">
        <v>10345</v>
      </c>
    </row>
    <row r="1011" spans="1:9">
      <c r="A1011" t="s">
        <v>2649</v>
      </c>
      <c r="B1011">
        <v>354</v>
      </c>
      <c r="C1011" t="s">
        <v>2650</v>
      </c>
      <c r="D1011" s="9" t="s">
        <v>7463</v>
      </c>
      <c r="F1011" s="1" t="s">
        <v>8302</v>
      </c>
      <c r="G1011" s="1" t="s">
        <v>8303</v>
      </c>
      <c r="H1011" t="s">
        <v>10346</v>
      </c>
      <c r="I1011" t="s">
        <v>10347</v>
      </c>
    </row>
    <row r="1012" spans="1:9">
      <c r="A1012" t="s">
        <v>2649</v>
      </c>
      <c r="B1012">
        <v>354</v>
      </c>
      <c r="C1012" t="s">
        <v>2650</v>
      </c>
      <c r="D1012" s="9" t="s">
        <v>7463</v>
      </c>
      <c r="F1012" s="1" t="s">
        <v>8302</v>
      </c>
      <c r="G1012" s="1" t="s">
        <v>8303</v>
      </c>
      <c r="H1012" t="s">
        <v>10348</v>
      </c>
      <c r="I1012" t="s">
        <v>10349</v>
      </c>
    </row>
    <row r="1013" spans="1:9">
      <c r="A1013" t="s">
        <v>2649</v>
      </c>
      <c r="B1013">
        <v>354</v>
      </c>
      <c r="C1013" t="s">
        <v>2650</v>
      </c>
      <c r="D1013" s="9" t="s">
        <v>7463</v>
      </c>
      <c r="F1013" s="1" t="s">
        <v>8302</v>
      </c>
      <c r="G1013" s="1" t="s">
        <v>8303</v>
      </c>
      <c r="H1013" t="s">
        <v>10350</v>
      </c>
      <c r="I1013" t="s">
        <v>10351</v>
      </c>
    </row>
    <row r="1014" spans="1:9">
      <c r="A1014" t="s">
        <v>2649</v>
      </c>
      <c r="B1014">
        <v>354</v>
      </c>
      <c r="C1014" t="s">
        <v>2650</v>
      </c>
      <c r="D1014" s="9" t="s">
        <v>7463</v>
      </c>
      <c r="F1014" s="1" t="s">
        <v>8302</v>
      </c>
      <c r="G1014" s="1" t="s">
        <v>8303</v>
      </c>
      <c r="H1014" t="s">
        <v>10352</v>
      </c>
      <c r="I1014" t="s">
        <v>10353</v>
      </c>
    </row>
    <row r="1015" spans="1:9">
      <c r="A1015" t="s">
        <v>2649</v>
      </c>
      <c r="B1015">
        <v>354</v>
      </c>
      <c r="C1015" t="s">
        <v>2650</v>
      </c>
      <c r="D1015" s="9" t="s">
        <v>7463</v>
      </c>
      <c r="F1015" s="1" t="s">
        <v>8302</v>
      </c>
      <c r="G1015" s="1" t="s">
        <v>8303</v>
      </c>
      <c r="H1015" t="s">
        <v>10354</v>
      </c>
      <c r="I1015" t="s">
        <v>10355</v>
      </c>
    </row>
    <row r="1016" spans="1:9">
      <c r="A1016" t="s">
        <v>2649</v>
      </c>
      <c r="B1016">
        <v>354</v>
      </c>
      <c r="C1016" t="s">
        <v>2650</v>
      </c>
      <c r="D1016" s="9" t="s">
        <v>7463</v>
      </c>
      <c r="F1016" s="1" t="s">
        <v>8302</v>
      </c>
      <c r="G1016" s="1" t="s">
        <v>8303</v>
      </c>
      <c r="H1016" t="s">
        <v>10356</v>
      </c>
      <c r="I1016" t="s">
        <v>10357</v>
      </c>
    </row>
    <row r="1017" spans="1:9">
      <c r="A1017" t="s">
        <v>2649</v>
      </c>
      <c r="B1017">
        <v>354</v>
      </c>
      <c r="C1017" t="s">
        <v>2650</v>
      </c>
      <c r="D1017" s="9" t="s">
        <v>7463</v>
      </c>
      <c r="F1017" s="1" t="s">
        <v>8302</v>
      </c>
      <c r="G1017" s="1" t="s">
        <v>8303</v>
      </c>
      <c r="H1017" t="s">
        <v>10358</v>
      </c>
      <c r="I1017" t="s">
        <v>10359</v>
      </c>
    </row>
    <row r="1018" spans="1:9">
      <c r="A1018" t="s">
        <v>2649</v>
      </c>
      <c r="B1018">
        <v>354</v>
      </c>
      <c r="C1018" t="s">
        <v>2650</v>
      </c>
      <c r="D1018" s="9" t="s">
        <v>7463</v>
      </c>
      <c r="F1018" s="1" t="s">
        <v>8302</v>
      </c>
      <c r="G1018" s="1" t="s">
        <v>8303</v>
      </c>
      <c r="H1018" t="s">
        <v>10360</v>
      </c>
      <c r="I1018" t="s">
        <v>10361</v>
      </c>
    </row>
    <row r="1019" spans="1:9">
      <c r="A1019" t="s">
        <v>2649</v>
      </c>
      <c r="B1019">
        <v>354</v>
      </c>
      <c r="C1019" t="s">
        <v>2650</v>
      </c>
      <c r="D1019" s="9" t="s">
        <v>7463</v>
      </c>
      <c r="F1019" s="1" t="s">
        <v>8302</v>
      </c>
      <c r="G1019" s="1" t="s">
        <v>8303</v>
      </c>
      <c r="H1019" t="s">
        <v>10362</v>
      </c>
      <c r="I1019" t="s">
        <v>10363</v>
      </c>
    </row>
    <row r="1020" spans="1:9">
      <c r="A1020" t="s">
        <v>2649</v>
      </c>
      <c r="B1020">
        <v>354</v>
      </c>
      <c r="C1020" t="s">
        <v>2650</v>
      </c>
      <c r="D1020" s="9" t="s">
        <v>7463</v>
      </c>
      <c r="F1020" s="1" t="s">
        <v>8302</v>
      </c>
      <c r="G1020" s="1" t="s">
        <v>8303</v>
      </c>
      <c r="H1020" t="s">
        <v>10364</v>
      </c>
      <c r="I1020" t="s">
        <v>10365</v>
      </c>
    </row>
    <row r="1021" spans="1:9">
      <c r="A1021" t="s">
        <v>2649</v>
      </c>
      <c r="B1021">
        <v>354</v>
      </c>
      <c r="C1021" t="s">
        <v>2650</v>
      </c>
      <c r="D1021" s="9" t="s">
        <v>7463</v>
      </c>
      <c r="F1021" s="1" t="s">
        <v>8302</v>
      </c>
      <c r="G1021" s="1" t="s">
        <v>8303</v>
      </c>
      <c r="H1021" t="s">
        <v>8304</v>
      </c>
      <c r="I1021" t="s">
        <v>10366</v>
      </c>
    </row>
    <row r="1022" spans="1:9">
      <c r="A1022" t="s">
        <v>2649</v>
      </c>
      <c r="B1022">
        <v>354</v>
      </c>
      <c r="C1022" t="s">
        <v>2650</v>
      </c>
      <c r="D1022" s="9" t="s">
        <v>7463</v>
      </c>
      <c r="F1022" s="1" t="s">
        <v>8302</v>
      </c>
      <c r="G1022" s="1" t="s">
        <v>8303</v>
      </c>
      <c r="H1022" t="s">
        <v>10367</v>
      </c>
      <c r="I1022" t="s">
        <v>10368</v>
      </c>
    </row>
    <row r="1023" spans="1:9">
      <c r="A1023" t="s">
        <v>2649</v>
      </c>
      <c r="B1023">
        <v>354</v>
      </c>
      <c r="C1023" t="s">
        <v>2650</v>
      </c>
      <c r="D1023" s="9" t="s">
        <v>7463</v>
      </c>
      <c r="F1023" s="1" t="s">
        <v>8302</v>
      </c>
      <c r="G1023" s="1" t="s">
        <v>8303</v>
      </c>
      <c r="H1023" t="s">
        <v>10369</v>
      </c>
      <c r="I1023" t="s">
        <v>10370</v>
      </c>
    </row>
    <row r="1024" spans="1:9">
      <c r="A1024" t="s">
        <v>2649</v>
      </c>
      <c r="B1024">
        <v>354</v>
      </c>
      <c r="C1024" t="s">
        <v>2650</v>
      </c>
      <c r="D1024" s="9" t="s">
        <v>7463</v>
      </c>
      <c r="F1024" s="1" t="s">
        <v>8302</v>
      </c>
      <c r="G1024" s="1" t="s">
        <v>8303</v>
      </c>
      <c r="H1024" t="s">
        <v>10341</v>
      </c>
      <c r="I1024" t="s">
        <v>10371</v>
      </c>
    </row>
    <row r="1025" spans="1:9">
      <c r="A1025" t="s">
        <v>2649</v>
      </c>
      <c r="B1025">
        <v>354</v>
      </c>
      <c r="C1025" t="s">
        <v>2650</v>
      </c>
      <c r="D1025" s="9" t="s">
        <v>7463</v>
      </c>
      <c r="F1025" s="1" t="s">
        <v>8302</v>
      </c>
      <c r="G1025" s="1" t="s">
        <v>8303</v>
      </c>
      <c r="H1025" t="s">
        <v>10372</v>
      </c>
      <c r="I1025" t="s">
        <v>10373</v>
      </c>
    </row>
    <row r="1026" spans="1:9">
      <c r="A1026" t="s">
        <v>2649</v>
      </c>
      <c r="B1026">
        <v>354</v>
      </c>
      <c r="C1026" t="s">
        <v>2650</v>
      </c>
      <c r="D1026" s="9" t="s">
        <v>7463</v>
      </c>
      <c r="F1026" s="1" t="s">
        <v>8302</v>
      </c>
      <c r="G1026" s="1" t="s">
        <v>8303</v>
      </c>
      <c r="H1026" t="s">
        <v>10374</v>
      </c>
      <c r="I1026" t="s">
        <v>10373</v>
      </c>
    </row>
    <row r="1027" spans="1:9">
      <c r="A1027" t="s">
        <v>2649</v>
      </c>
      <c r="B1027">
        <v>354</v>
      </c>
      <c r="C1027" t="s">
        <v>2650</v>
      </c>
      <c r="D1027" s="9" t="s">
        <v>7463</v>
      </c>
      <c r="F1027" s="1" t="s">
        <v>8302</v>
      </c>
      <c r="G1027" s="1" t="s">
        <v>8303</v>
      </c>
      <c r="H1027" t="s">
        <v>10375</v>
      </c>
      <c r="I1027" t="s">
        <v>10376</v>
      </c>
    </row>
    <row r="1028" spans="1:9">
      <c r="A1028" t="s">
        <v>2649</v>
      </c>
      <c r="B1028">
        <v>354</v>
      </c>
      <c r="C1028" t="s">
        <v>2650</v>
      </c>
      <c r="D1028" s="9" t="s">
        <v>7463</v>
      </c>
      <c r="F1028" s="1" t="s">
        <v>8302</v>
      </c>
      <c r="G1028" s="1" t="s">
        <v>8303</v>
      </c>
      <c r="H1028" t="s">
        <v>10377</v>
      </c>
      <c r="I1028" t="s">
        <v>10378</v>
      </c>
    </row>
    <row r="1029" spans="1:9">
      <c r="A1029" t="s">
        <v>2651</v>
      </c>
      <c r="B1029">
        <v>393</v>
      </c>
      <c r="C1029" t="s">
        <v>2652</v>
      </c>
    </row>
    <row r="1030" spans="1:9">
      <c r="A1030" t="s">
        <v>2654</v>
      </c>
      <c r="B1030">
        <v>199</v>
      </c>
      <c r="C1030" t="s">
        <v>2655</v>
      </c>
    </row>
    <row r="1031" spans="1:9">
      <c r="A1031" t="s">
        <v>2657</v>
      </c>
      <c r="B1031">
        <v>792</v>
      </c>
      <c r="C1031" t="s">
        <v>2658</v>
      </c>
    </row>
    <row r="1032" spans="1:9">
      <c r="A1032" t="s">
        <v>2659</v>
      </c>
      <c r="B1032">
        <v>217</v>
      </c>
      <c r="C1032" t="s">
        <v>2660</v>
      </c>
    </row>
    <row r="1033" spans="1:9">
      <c r="A1033" t="s">
        <v>2662</v>
      </c>
      <c r="B1033">
        <v>179</v>
      </c>
      <c r="C1033" t="s">
        <v>2663</v>
      </c>
    </row>
    <row r="1034" spans="1:9">
      <c r="A1034" t="s">
        <v>2664</v>
      </c>
      <c r="B1034">
        <v>151</v>
      </c>
      <c r="C1034" t="s">
        <v>2665</v>
      </c>
    </row>
    <row r="1035" spans="1:9">
      <c r="A1035" t="s">
        <v>2667</v>
      </c>
      <c r="B1035">
        <v>289</v>
      </c>
      <c r="C1035" t="s">
        <v>2668</v>
      </c>
    </row>
    <row r="1036" spans="1:9">
      <c r="A1036" t="s">
        <v>2669</v>
      </c>
      <c r="B1036">
        <v>520</v>
      </c>
      <c r="C1036" t="s">
        <v>2670</v>
      </c>
    </row>
    <row r="1037" spans="1:9">
      <c r="A1037" t="s">
        <v>2673</v>
      </c>
      <c r="B1037">
        <v>544</v>
      </c>
      <c r="C1037" t="s">
        <v>2674</v>
      </c>
    </row>
    <row r="1038" spans="1:9">
      <c r="A1038" t="s">
        <v>2677</v>
      </c>
      <c r="B1038">
        <v>267</v>
      </c>
      <c r="C1038" t="s">
        <v>2678</v>
      </c>
      <c r="D1038" s="1" t="s">
        <v>7464</v>
      </c>
      <c r="F1038" s="1" t="s">
        <v>8306</v>
      </c>
      <c r="G1038" s="1" t="s">
        <v>8307</v>
      </c>
      <c r="H1038" s="3" t="s">
        <v>9741</v>
      </c>
      <c r="I1038" t="s">
        <v>9742</v>
      </c>
    </row>
    <row r="1039" spans="1:9">
      <c r="A1039" t="s">
        <v>2677</v>
      </c>
      <c r="B1039">
        <v>267</v>
      </c>
      <c r="C1039" t="s">
        <v>2678</v>
      </c>
      <c r="D1039" s="1" t="s">
        <v>7464</v>
      </c>
      <c r="F1039" s="1" t="s">
        <v>8306</v>
      </c>
      <c r="G1039" s="1" t="s">
        <v>8307</v>
      </c>
      <c r="H1039" s="3" t="s">
        <v>9743</v>
      </c>
      <c r="I1039" t="s">
        <v>9744</v>
      </c>
    </row>
    <row r="1040" spans="1:9">
      <c r="A1040" t="s">
        <v>2677</v>
      </c>
      <c r="B1040">
        <v>267</v>
      </c>
      <c r="C1040" t="s">
        <v>2678</v>
      </c>
      <c r="D1040" s="1" t="s">
        <v>7464</v>
      </c>
      <c r="F1040" s="1" t="s">
        <v>8306</v>
      </c>
      <c r="G1040" s="1" t="s">
        <v>8307</v>
      </c>
      <c r="H1040" s="3" t="s">
        <v>9745</v>
      </c>
      <c r="I1040" t="s">
        <v>9746</v>
      </c>
    </row>
    <row r="1041" spans="1:9">
      <c r="A1041" t="s">
        <v>2677</v>
      </c>
      <c r="B1041">
        <v>267</v>
      </c>
      <c r="C1041" t="s">
        <v>2678</v>
      </c>
      <c r="D1041" s="1" t="s">
        <v>7464</v>
      </c>
      <c r="F1041" s="1" t="s">
        <v>8306</v>
      </c>
      <c r="G1041" s="1" t="s">
        <v>8307</v>
      </c>
      <c r="H1041" s="3" t="s">
        <v>9747</v>
      </c>
      <c r="I1041" t="s">
        <v>9748</v>
      </c>
    </row>
    <row r="1042" spans="1:9">
      <c r="A1042" t="s">
        <v>2677</v>
      </c>
      <c r="B1042">
        <v>267</v>
      </c>
      <c r="C1042" t="s">
        <v>2678</v>
      </c>
      <c r="D1042" s="1" t="s">
        <v>7464</v>
      </c>
      <c r="F1042" s="1" t="s">
        <v>8306</v>
      </c>
      <c r="G1042" s="1" t="s">
        <v>8307</v>
      </c>
      <c r="H1042" s="3" t="s">
        <v>9749</v>
      </c>
      <c r="I1042" t="s">
        <v>9750</v>
      </c>
    </row>
    <row r="1043" spans="1:9">
      <c r="A1043" t="s">
        <v>2677</v>
      </c>
      <c r="B1043">
        <v>267</v>
      </c>
      <c r="C1043" t="s">
        <v>2678</v>
      </c>
      <c r="D1043" s="1" t="s">
        <v>7464</v>
      </c>
      <c r="F1043" s="1" t="s">
        <v>8306</v>
      </c>
      <c r="G1043" s="1" t="s">
        <v>8307</v>
      </c>
      <c r="H1043" s="3" t="s">
        <v>9751</v>
      </c>
      <c r="I1043" t="s">
        <v>9752</v>
      </c>
    </row>
    <row r="1044" spans="1:9">
      <c r="A1044" t="s">
        <v>2677</v>
      </c>
      <c r="B1044">
        <v>267</v>
      </c>
      <c r="C1044" t="s">
        <v>2678</v>
      </c>
      <c r="D1044" s="1" t="s">
        <v>7464</v>
      </c>
      <c r="F1044" s="1" t="s">
        <v>8306</v>
      </c>
      <c r="G1044" s="1" t="s">
        <v>8307</v>
      </c>
      <c r="H1044" s="3" t="s">
        <v>9753</v>
      </c>
      <c r="I1044" t="s">
        <v>9754</v>
      </c>
    </row>
    <row r="1045" spans="1:9">
      <c r="A1045" t="s">
        <v>2677</v>
      </c>
      <c r="B1045">
        <v>267</v>
      </c>
      <c r="C1045" t="s">
        <v>2678</v>
      </c>
      <c r="D1045" s="1" t="s">
        <v>7464</v>
      </c>
      <c r="F1045" s="1" t="s">
        <v>8306</v>
      </c>
      <c r="G1045" s="1" t="s">
        <v>8307</v>
      </c>
      <c r="H1045" s="3" t="s">
        <v>9755</v>
      </c>
      <c r="I1045" t="s">
        <v>9756</v>
      </c>
    </row>
    <row r="1046" spans="1:9">
      <c r="A1046" t="s">
        <v>2677</v>
      </c>
      <c r="B1046">
        <v>267</v>
      </c>
      <c r="C1046" t="s">
        <v>2678</v>
      </c>
      <c r="D1046" s="1" t="s">
        <v>7464</v>
      </c>
      <c r="F1046" s="1" t="s">
        <v>8306</v>
      </c>
      <c r="G1046" s="1" t="s">
        <v>8307</v>
      </c>
      <c r="H1046" s="3" t="s">
        <v>9757</v>
      </c>
      <c r="I1046" t="s">
        <v>9758</v>
      </c>
    </row>
    <row r="1047" spans="1:9">
      <c r="A1047" t="s">
        <v>2677</v>
      </c>
      <c r="B1047">
        <v>267</v>
      </c>
      <c r="C1047" t="s">
        <v>2678</v>
      </c>
      <c r="D1047" s="1" t="s">
        <v>7464</v>
      </c>
      <c r="F1047" s="1" t="s">
        <v>8306</v>
      </c>
      <c r="G1047" s="1" t="s">
        <v>8307</v>
      </c>
      <c r="H1047" s="3" t="s">
        <v>9759</v>
      </c>
      <c r="I1047" t="s">
        <v>9760</v>
      </c>
    </row>
    <row r="1048" spans="1:9">
      <c r="A1048" t="s">
        <v>2677</v>
      </c>
      <c r="B1048">
        <v>267</v>
      </c>
      <c r="C1048" t="s">
        <v>2678</v>
      </c>
      <c r="D1048" s="1" t="s">
        <v>7464</v>
      </c>
      <c r="F1048" s="1" t="s">
        <v>8306</v>
      </c>
      <c r="G1048" s="1" t="s">
        <v>8307</v>
      </c>
      <c r="H1048" s="3" t="s">
        <v>9761</v>
      </c>
      <c r="I1048" t="s">
        <v>9762</v>
      </c>
    </row>
    <row r="1049" spans="1:9">
      <c r="A1049" t="s">
        <v>2681</v>
      </c>
      <c r="B1049">
        <v>450</v>
      </c>
      <c r="C1049" t="s">
        <v>2682</v>
      </c>
    </row>
    <row r="1050" spans="1:9">
      <c r="A1050" t="s">
        <v>2685</v>
      </c>
      <c r="B1050">
        <v>230</v>
      </c>
      <c r="C1050" t="s">
        <v>2686</v>
      </c>
    </row>
    <row r="1051" spans="1:9">
      <c r="A1051" t="s">
        <v>2689</v>
      </c>
      <c r="B1051">
        <v>215</v>
      </c>
      <c r="C1051" t="s">
        <v>2690</v>
      </c>
      <c r="D1051" s="1" t="s">
        <v>7465</v>
      </c>
      <c r="F1051" s="1" t="s">
        <v>8308</v>
      </c>
      <c r="G1051" s="1" t="s">
        <v>8309</v>
      </c>
      <c r="H1051" t="s">
        <v>8310</v>
      </c>
      <c r="I1051" t="s">
        <v>8311</v>
      </c>
    </row>
    <row r="1052" spans="1:9">
      <c r="A1052" t="s">
        <v>2692</v>
      </c>
      <c r="B1052">
        <v>315</v>
      </c>
      <c r="C1052" t="s">
        <v>2693</v>
      </c>
    </row>
    <row r="1053" spans="1:9">
      <c r="A1053" t="s">
        <v>2696</v>
      </c>
      <c r="B1053">
        <v>484</v>
      </c>
      <c r="C1053" t="s">
        <v>2697</v>
      </c>
      <c r="D1053" s="1" t="s">
        <v>7466</v>
      </c>
      <c r="F1053" s="1" t="s">
        <v>8669</v>
      </c>
      <c r="G1053" s="1" t="s">
        <v>8670</v>
      </c>
      <c r="H1053" t="s">
        <v>8671</v>
      </c>
      <c r="I1053" t="s">
        <v>8672</v>
      </c>
    </row>
    <row r="1054" spans="1:9">
      <c r="A1054" t="s">
        <v>2698</v>
      </c>
      <c r="B1054">
        <v>122</v>
      </c>
      <c r="C1054" t="s">
        <v>2699</v>
      </c>
    </row>
    <row r="1055" spans="1:9">
      <c r="A1055" t="s">
        <v>2700</v>
      </c>
      <c r="B1055">
        <v>204</v>
      </c>
      <c r="C1055" t="s">
        <v>2701</v>
      </c>
    </row>
    <row r="1056" spans="1:9">
      <c r="A1056" t="s">
        <v>2702</v>
      </c>
      <c r="B1056">
        <v>114</v>
      </c>
      <c r="C1056" t="s">
        <v>2703</v>
      </c>
    </row>
    <row r="1057" spans="1:9">
      <c r="A1057" t="s">
        <v>2706</v>
      </c>
      <c r="B1057">
        <v>237</v>
      </c>
      <c r="C1057" t="s">
        <v>2707</v>
      </c>
      <c r="D1057" s="1" t="s">
        <v>7324</v>
      </c>
    </row>
    <row r="1058" spans="1:9">
      <c r="A1058" t="s">
        <v>2710</v>
      </c>
      <c r="B1058">
        <v>219</v>
      </c>
      <c r="C1058" t="s">
        <v>2711</v>
      </c>
    </row>
    <row r="1059" spans="1:9">
      <c r="A1059" t="s">
        <v>2714</v>
      </c>
      <c r="B1059">
        <v>392</v>
      </c>
      <c r="C1059" t="s">
        <v>2715</v>
      </c>
      <c r="D1059" s="1" t="s">
        <v>7293</v>
      </c>
      <c r="F1059" s="1" t="s">
        <v>7863</v>
      </c>
    </row>
    <row r="1060" spans="1:9">
      <c r="A1060" t="s">
        <v>2717</v>
      </c>
      <c r="B1060">
        <v>291</v>
      </c>
      <c r="C1060" t="s">
        <v>2718</v>
      </c>
    </row>
    <row r="1061" spans="1:9">
      <c r="A1061" t="s">
        <v>2720</v>
      </c>
      <c r="B1061">
        <v>279</v>
      </c>
      <c r="C1061" t="s">
        <v>2721</v>
      </c>
      <c r="D1061" s="1" t="s">
        <v>7467</v>
      </c>
      <c r="F1061" s="1" t="s">
        <v>8313</v>
      </c>
      <c r="G1061" s="1" t="s">
        <v>8314</v>
      </c>
      <c r="H1061" t="s">
        <v>8315</v>
      </c>
      <c r="I1061" t="s">
        <v>8316</v>
      </c>
    </row>
    <row r="1062" spans="1:9">
      <c r="A1062" t="s">
        <v>2723</v>
      </c>
      <c r="B1062">
        <v>177</v>
      </c>
      <c r="C1062" t="s">
        <v>2724</v>
      </c>
      <c r="D1062" s="1" t="s">
        <v>7465</v>
      </c>
      <c r="F1062" s="1" t="s">
        <v>8308</v>
      </c>
      <c r="G1062" s="1" t="s">
        <v>8309</v>
      </c>
      <c r="H1062" t="s">
        <v>8310</v>
      </c>
      <c r="I1062" s="3" t="s">
        <v>8312</v>
      </c>
    </row>
    <row r="1063" spans="1:9">
      <c r="A1063" t="s">
        <v>2725</v>
      </c>
      <c r="B1063">
        <v>51</v>
      </c>
      <c r="C1063" t="s">
        <v>2726</v>
      </c>
    </row>
    <row r="1064" spans="1:9">
      <c r="A1064" t="s">
        <v>2729</v>
      </c>
      <c r="B1064">
        <v>221</v>
      </c>
      <c r="C1064" t="s">
        <v>2730</v>
      </c>
    </row>
    <row r="1065" spans="1:9">
      <c r="A1065" t="s">
        <v>2733</v>
      </c>
      <c r="B1065">
        <v>324</v>
      </c>
      <c r="C1065" t="s">
        <v>2734</v>
      </c>
      <c r="D1065" s="1" t="s">
        <v>7468</v>
      </c>
      <c r="F1065" s="1" t="s">
        <v>8317</v>
      </c>
      <c r="G1065" s="1" t="s">
        <v>8318</v>
      </c>
      <c r="H1065" t="s">
        <v>8319</v>
      </c>
      <c r="I1065" t="s">
        <v>8320</v>
      </c>
    </row>
    <row r="1066" spans="1:9">
      <c r="A1066" t="s">
        <v>2737</v>
      </c>
      <c r="B1066">
        <v>481</v>
      </c>
      <c r="C1066" t="s">
        <v>2738</v>
      </c>
    </row>
    <row r="1067" spans="1:9">
      <c r="A1067" t="s">
        <v>2739</v>
      </c>
      <c r="B1067">
        <v>398</v>
      </c>
      <c r="C1067" t="s">
        <v>2740</v>
      </c>
    </row>
    <row r="1068" spans="1:9">
      <c r="A1068" t="s">
        <v>2741</v>
      </c>
      <c r="B1068">
        <v>238</v>
      </c>
      <c r="C1068" t="s">
        <v>2742</v>
      </c>
    </row>
    <row r="1069" spans="1:9">
      <c r="A1069" t="s">
        <v>2743</v>
      </c>
      <c r="B1069">
        <v>48</v>
      </c>
      <c r="C1069" t="s">
        <v>2744</v>
      </c>
    </row>
    <row r="1070" spans="1:9">
      <c r="A1070" t="s">
        <v>2746</v>
      </c>
      <c r="B1070">
        <v>206</v>
      </c>
      <c r="C1070" t="s">
        <v>2747</v>
      </c>
    </row>
    <row r="1071" spans="1:9">
      <c r="A1071" t="s">
        <v>2748</v>
      </c>
      <c r="B1071">
        <v>87</v>
      </c>
      <c r="C1071" t="s">
        <v>2749</v>
      </c>
    </row>
    <row r="1072" spans="1:9">
      <c r="A1072" t="s">
        <v>2752</v>
      </c>
      <c r="B1072">
        <v>302</v>
      </c>
      <c r="C1072" t="s">
        <v>2753</v>
      </c>
      <c r="D1072" s="1" t="s">
        <v>7469</v>
      </c>
    </row>
    <row r="1073" spans="1:9">
      <c r="A1073" t="s">
        <v>2754</v>
      </c>
      <c r="B1073">
        <v>332</v>
      </c>
      <c r="C1073" t="s">
        <v>2755</v>
      </c>
    </row>
    <row r="1074" spans="1:9">
      <c r="A1074" t="s">
        <v>2756</v>
      </c>
      <c r="B1074">
        <v>157</v>
      </c>
      <c r="C1074" t="s">
        <v>2757</v>
      </c>
    </row>
    <row r="1075" spans="1:9">
      <c r="A1075" t="s">
        <v>2758</v>
      </c>
      <c r="B1075">
        <v>254</v>
      </c>
      <c r="C1075" t="s">
        <v>2759</v>
      </c>
    </row>
    <row r="1076" spans="1:9">
      <c r="C1076" t="s">
        <v>2761</v>
      </c>
    </row>
    <row r="1077" spans="1:9">
      <c r="A1077" t="s">
        <v>2764</v>
      </c>
      <c r="B1077">
        <v>205</v>
      </c>
      <c r="C1077" t="s">
        <v>2765</v>
      </c>
    </row>
    <row r="1078" spans="1:9">
      <c r="A1078" t="s">
        <v>2768</v>
      </c>
      <c r="B1078">
        <v>1213</v>
      </c>
      <c r="C1078" t="s">
        <v>2769</v>
      </c>
      <c r="D1078" s="1" t="s">
        <v>7470</v>
      </c>
    </row>
    <row r="1079" spans="1:9">
      <c r="A1079" t="s">
        <v>2772</v>
      </c>
      <c r="B1079">
        <v>309</v>
      </c>
      <c r="C1079" t="s">
        <v>2773</v>
      </c>
      <c r="D1079" s="1" t="s">
        <v>7471</v>
      </c>
      <c r="F1079" s="1" t="s">
        <v>8321</v>
      </c>
      <c r="G1079" s="1" t="s">
        <v>8322</v>
      </c>
      <c r="H1079" t="s">
        <v>8324</v>
      </c>
      <c r="I1079" t="s">
        <v>8323</v>
      </c>
    </row>
    <row r="1080" spans="1:9">
      <c r="A1080" t="s">
        <v>2776</v>
      </c>
      <c r="B1080">
        <v>340</v>
      </c>
      <c r="C1080" t="s">
        <v>2777</v>
      </c>
      <c r="D1080" s="1" t="s">
        <v>7472</v>
      </c>
      <c r="F1080" s="1" t="s">
        <v>8325</v>
      </c>
      <c r="G1080" s="1" t="s">
        <v>8326</v>
      </c>
      <c r="H1080" t="s">
        <v>8327</v>
      </c>
      <c r="I1080" t="s">
        <v>8328</v>
      </c>
    </row>
    <row r="1081" spans="1:9">
      <c r="A1081" t="s">
        <v>2780</v>
      </c>
      <c r="B1081">
        <v>491</v>
      </c>
      <c r="C1081" t="s">
        <v>2781</v>
      </c>
    </row>
    <row r="1082" spans="1:9">
      <c r="A1082" t="s">
        <v>2784</v>
      </c>
      <c r="B1082">
        <v>196</v>
      </c>
      <c r="C1082" t="s">
        <v>2785</v>
      </c>
      <c r="D1082" s="9" t="s">
        <v>7473</v>
      </c>
      <c r="F1082" s="1" t="s">
        <v>8329</v>
      </c>
      <c r="G1082" s="1" t="s">
        <v>8330</v>
      </c>
      <c r="H1082" t="s">
        <v>8331</v>
      </c>
      <c r="I1082" t="s">
        <v>8332</v>
      </c>
    </row>
    <row r="1083" spans="1:9">
      <c r="A1083" t="s">
        <v>2784</v>
      </c>
      <c r="B1083">
        <v>196</v>
      </c>
      <c r="C1083" t="s">
        <v>2785</v>
      </c>
      <c r="D1083" s="9" t="s">
        <v>7473</v>
      </c>
      <c r="F1083" s="1" t="s">
        <v>8329</v>
      </c>
      <c r="G1083" s="1" t="s">
        <v>8330</v>
      </c>
      <c r="H1083" t="s">
        <v>10379</v>
      </c>
      <c r="I1083" t="s">
        <v>10380</v>
      </c>
    </row>
    <row r="1084" spans="1:9">
      <c r="A1084" t="s">
        <v>2786</v>
      </c>
      <c r="B1084">
        <v>253</v>
      </c>
      <c r="C1084" t="s">
        <v>2787</v>
      </c>
    </row>
    <row r="1085" spans="1:9">
      <c r="A1085" t="s">
        <v>2790</v>
      </c>
      <c r="B1085">
        <v>425</v>
      </c>
      <c r="C1085" t="s">
        <v>2791</v>
      </c>
      <c r="D1085" s="9" t="s">
        <v>7474</v>
      </c>
      <c r="F1085" s="1" t="s">
        <v>8333</v>
      </c>
      <c r="G1085" s="1" t="s">
        <v>8334</v>
      </c>
      <c r="H1085" t="s">
        <v>8335</v>
      </c>
      <c r="I1085" t="s">
        <v>8336</v>
      </c>
    </row>
    <row r="1086" spans="1:9">
      <c r="A1086" t="s">
        <v>2790</v>
      </c>
      <c r="B1086">
        <v>425</v>
      </c>
      <c r="C1086" t="s">
        <v>2791</v>
      </c>
      <c r="D1086" s="9" t="s">
        <v>7474</v>
      </c>
      <c r="F1086" s="1" t="s">
        <v>8333</v>
      </c>
      <c r="G1086" s="1" t="s">
        <v>8334</v>
      </c>
      <c r="H1086" t="s">
        <v>10381</v>
      </c>
      <c r="I1086" t="s">
        <v>10382</v>
      </c>
    </row>
    <row r="1087" spans="1:9">
      <c r="A1087" t="s">
        <v>2794</v>
      </c>
      <c r="B1087">
        <v>186</v>
      </c>
      <c r="C1087" t="s">
        <v>2795</v>
      </c>
    </row>
    <row r="1088" spans="1:9">
      <c r="A1088" t="s">
        <v>2796</v>
      </c>
      <c r="B1088">
        <v>182</v>
      </c>
      <c r="C1088" t="s">
        <v>2797</v>
      </c>
    </row>
    <row r="1089" spans="1:9">
      <c r="A1089" t="s">
        <v>2800</v>
      </c>
      <c r="B1089">
        <v>321</v>
      </c>
      <c r="C1089" t="s">
        <v>2801</v>
      </c>
      <c r="D1089" s="1" t="s">
        <v>7475</v>
      </c>
      <c r="F1089" s="1" t="s">
        <v>8337</v>
      </c>
      <c r="G1089" s="1" t="s">
        <v>8338</v>
      </c>
      <c r="H1089" t="s">
        <v>8339</v>
      </c>
      <c r="I1089" t="s">
        <v>8340</v>
      </c>
    </row>
    <row r="1090" spans="1:9">
      <c r="C1090" t="s">
        <v>2803</v>
      </c>
    </row>
    <row r="1091" spans="1:9">
      <c r="A1091" t="s">
        <v>2805</v>
      </c>
      <c r="B1091">
        <v>257</v>
      </c>
      <c r="C1091" t="s">
        <v>2806</v>
      </c>
    </row>
    <row r="1092" spans="1:9">
      <c r="A1092" t="s">
        <v>2807</v>
      </c>
      <c r="B1092">
        <v>241</v>
      </c>
      <c r="C1092" t="s">
        <v>2808</v>
      </c>
    </row>
    <row r="1093" spans="1:9">
      <c r="A1093" t="s">
        <v>2809</v>
      </c>
      <c r="B1093">
        <v>650</v>
      </c>
      <c r="C1093" t="s">
        <v>2810</v>
      </c>
    </row>
    <row r="1094" spans="1:9">
      <c r="A1094" t="s">
        <v>2811</v>
      </c>
      <c r="B1094">
        <v>90</v>
      </c>
      <c r="C1094" t="s">
        <v>2812</v>
      </c>
    </row>
    <row r="1095" spans="1:9">
      <c r="A1095" t="s">
        <v>2815</v>
      </c>
      <c r="B1095">
        <v>173</v>
      </c>
      <c r="C1095" t="s">
        <v>2816</v>
      </c>
    </row>
    <row r="1096" spans="1:9">
      <c r="A1096" t="s">
        <v>2817</v>
      </c>
      <c r="B1096">
        <v>156</v>
      </c>
      <c r="C1096" t="s">
        <v>2818</v>
      </c>
    </row>
    <row r="1097" spans="1:9">
      <c r="A1097" t="s">
        <v>2821</v>
      </c>
      <c r="B1097">
        <v>296</v>
      </c>
      <c r="C1097" t="s">
        <v>2822</v>
      </c>
      <c r="D1097" s="1" t="s">
        <v>7476</v>
      </c>
      <c r="F1097" s="1" t="s">
        <v>8341</v>
      </c>
      <c r="G1097" s="1" t="s">
        <v>8342</v>
      </c>
      <c r="H1097" t="s">
        <v>8343</v>
      </c>
      <c r="I1097" t="s">
        <v>8344</v>
      </c>
    </row>
    <row r="1098" spans="1:9">
      <c r="A1098" t="s">
        <v>2823</v>
      </c>
      <c r="B1098">
        <v>103</v>
      </c>
      <c r="C1098" t="s">
        <v>2824</v>
      </c>
    </row>
    <row r="1099" spans="1:9">
      <c r="A1099" t="s">
        <v>2826</v>
      </c>
      <c r="B1099">
        <v>256</v>
      </c>
      <c r="C1099" t="s">
        <v>2827</v>
      </c>
      <c r="D1099" s="1" t="s">
        <v>7480</v>
      </c>
      <c r="F1099" s="1" t="s">
        <v>8345</v>
      </c>
      <c r="G1099" s="1" t="s">
        <v>8346</v>
      </c>
      <c r="H1099" t="s">
        <v>8347</v>
      </c>
      <c r="I1099" t="s">
        <v>8348</v>
      </c>
    </row>
    <row r="1100" spans="1:9">
      <c r="A1100" t="s">
        <v>2830</v>
      </c>
      <c r="B1100">
        <v>308</v>
      </c>
      <c r="C1100" t="s">
        <v>2831</v>
      </c>
      <c r="D1100" s="9" t="s">
        <v>7481</v>
      </c>
      <c r="F1100" s="1" t="s">
        <v>8349</v>
      </c>
      <c r="G1100" s="1" t="s">
        <v>8350</v>
      </c>
      <c r="H1100" t="s">
        <v>8351</v>
      </c>
      <c r="I1100" t="s">
        <v>8352</v>
      </c>
    </row>
    <row r="1101" spans="1:9">
      <c r="A1101" t="s">
        <v>2830</v>
      </c>
      <c r="B1101">
        <v>308</v>
      </c>
      <c r="C1101" t="s">
        <v>2831</v>
      </c>
      <c r="D1101" s="9" t="s">
        <v>7481</v>
      </c>
      <c r="F1101" s="1" t="s">
        <v>8349</v>
      </c>
      <c r="G1101" s="1" t="s">
        <v>8350</v>
      </c>
      <c r="H1101" t="s">
        <v>10383</v>
      </c>
      <c r="I1101" t="s">
        <v>10384</v>
      </c>
    </row>
    <row r="1102" spans="1:9">
      <c r="A1102" t="s">
        <v>2830</v>
      </c>
      <c r="B1102">
        <v>308</v>
      </c>
      <c r="C1102" t="s">
        <v>2831</v>
      </c>
      <c r="D1102" s="9" t="s">
        <v>7481</v>
      </c>
      <c r="F1102" s="1" t="s">
        <v>8349</v>
      </c>
      <c r="G1102" s="1" t="s">
        <v>8350</v>
      </c>
      <c r="H1102" t="s">
        <v>10385</v>
      </c>
      <c r="I1102" t="s">
        <v>10386</v>
      </c>
    </row>
    <row r="1103" spans="1:9">
      <c r="A1103" t="s">
        <v>2834</v>
      </c>
      <c r="B1103">
        <v>427</v>
      </c>
      <c r="C1103" t="s">
        <v>2835</v>
      </c>
      <c r="D1103" s="9" t="s">
        <v>7482</v>
      </c>
      <c r="F1103" s="1" t="s">
        <v>8353</v>
      </c>
      <c r="G1103" s="1" t="s">
        <v>8354</v>
      </c>
      <c r="H1103" t="s">
        <v>8355</v>
      </c>
      <c r="I1103" t="s">
        <v>8356</v>
      </c>
    </row>
    <row r="1104" spans="1:9">
      <c r="A1104" t="s">
        <v>2834</v>
      </c>
      <c r="B1104">
        <v>427</v>
      </c>
      <c r="C1104" t="s">
        <v>2835</v>
      </c>
      <c r="D1104" s="9" t="s">
        <v>7482</v>
      </c>
      <c r="F1104" s="1" t="s">
        <v>8353</v>
      </c>
      <c r="G1104" s="1" t="s">
        <v>8354</v>
      </c>
      <c r="H1104" t="s">
        <v>10387</v>
      </c>
      <c r="I1104" t="s">
        <v>10388</v>
      </c>
    </row>
    <row r="1105" spans="1:9">
      <c r="A1105" t="s">
        <v>2836</v>
      </c>
      <c r="B1105">
        <v>120</v>
      </c>
      <c r="C1105" t="s">
        <v>2837</v>
      </c>
    </row>
    <row r="1106" spans="1:9">
      <c r="A1106" t="s">
        <v>2839</v>
      </c>
      <c r="B1106">
        <v>224</v>
      </c>
      <c r="C1106" t="s">
        <v>2840</v>
      </c>
    </row>
    <row r="1107" spans="1:9">
      <c r="A1107" t="s">
        <v>2841</v>
      </c>
      <c r="B1107">
        <v>202</v>
      </c>
      <c r="C1107" t="s">
        <v>2842</v>
      </c>
    </row>
    <row r="1108" spans="1:9">
      <c r="A1108" t="s">
        <v>2845</v>
      </c>
      <c r="B1108">
        <v>454</v>
      </c>
      <c r="C1108" t="s">
        <v>2846</v>
      </c>
    </row>
    <row r="1109" spans="1:9">
      <c r="A1109" t="s">
        <v>2848</v>
      </c>
      <c r="B1109">
        <v>192</v>
      </c>
      <c r="C1109" t="s">
        <v>2849</v>
      </c>
      <c r="D1109" s="1" t="s">
        <v>7283</v>
      </c>
    </row>
    <row r="1110" spans="1:9">
      <c r="A1110" t="s">
        <v>2850</v>
      </c>
      <c r="B1110">
        <v>47</v>
      </c>
      <c r="C1110" t="s">
        <v>2851</v>
      </c>
    </row>
    <row r="1111" spans="1:9">
      <c r="A1111" t="s">
        <v>2854</v>
      </c>
      <c r="B1111">
        <v>522</v>
      </c>
      <c r="C1111" t="s">
        <v>2855</v>
      </c>
    </row>
    <row r="1112" spans="1:9">
      <c r="A1112" t="s">
        <v>2856</v>
      </c>
      <c r="B1112">
        <v>207</v>
      </c>
      <c r="C1112" t="s">
        <v>2857</v>
      </c>
    </row>
    <row r="1113" spans="1:9">
      <c r="A1113" t="s">
        <v>2860</v>
      </c>
      <c r="B1113">
        <v>466</v>
      </c>
      <c r="C1113" t="s">
        <v>2861</v>
      </c>
      <c r="D1113" s="1" t="s">
        <v>7483</v>
      </c>
      <c r="F1113" s="1" t="s">
        <v>8357</v>
      </c>
      <c r="G1113" s="1" t="s">
        <v>8358</v>
      </c>
      <c r="H1113" t="s">
        <v>8359</v>
      </c>
      <c r="I1113" t="s">
        <v>8360</v>
      </c>
    </row>
    <row r="1114" spans="1:9">
      <c r="A1114" t="s">
        <v>2864</v>
      </c>
      <c r="B1114">
        <v>337</v>
      </c>
      <c r="C1114" t="s">
        <v>2865</v>
      </c>
      <c r="D1114" s="9" t="s">
        <v>7484</v>
      </c>
      <c r="F1114" s="1" t="s">
        <v>8361</v>
      </c>
      <c r="G1114" s="1" t="s">
        <v>8362</v>
      </c>
      <c r="H1114" t="s">
        <v>8363</v>
      </c>
      <c r="I1114" t="s">
        <v>8364</v>
      </c>
    </row>
    <row r="1115" spans="1:9">
      <c r="A1115" t="s">
        <v>2864</v>
      </c>
      <c r="B1115">
        <v>337</v>
      </c>
      <c r="C1115" t="s">
        <v>2865</v>
      </c>
      <c r="D1115" s="9" t="s">
        <v>7484</v>
      </c>
      <c r="F1115" s="1" t="s">
        <v>8361</v>
      </c>
      <c r="G1115" s="1" t="s">
        <v>8362</v>
      </c>
      <c r="H1115" t="s">
        <v>10389</v>
      </c>
      <c r="I1115" t="s">
        <v>10390</v>
      </c>
    </row>
    <row r="1116" spans="1:9">
      <c r="A1116" t="s">
        <v>2864</v>
      </c>
      <c r="B1116">
        <v>337</v>
      </c>
      <c r="C1116" t="s">
        <v>2865</v>
      </c>
      <c r="D1116" s="9" t="s">
        <v>7484</v>
      </c>
      <c r="F1116" s="1" t="s">
        <v>8361</v>
      </c>
      <c r="G1116" s="1" t="s">
        <v>8362</v>
      </c>
      <c r="H1116" t="s">
        <v>10391</v>
      </c>
      <c r="I1116" t="s">
        <v>10392</v>
      </c>
    </row>
    <row r="1117" spans="1:9">
      <c r="A1117" t="s">
        <v>2866</v>
      </c>
      <c r="B1117">
        <v>222</v>
      </c>
      <c r="C1117" t="s">
        <v>2867</v>
      </c>
    </row>
    <row r="1118" spans="1:9">
      <c r="A1118" t="s">
        <v>2868</v>
      </c>
      <c r="B1118">
        <v>126</v>
      </c>
      <c r="C1118" t="s">
        <v>2869</v>
      </c>
    </row>
    <row r="1119" spans="1:9">
      <c r="A1119" t="s">
        <v>2871</v>
      </c>
      <c r="B1119">
        <v>92</v>
      </c>
      <c r="C1119" t="s">
        <v>2872</v>
      </c>
    </row>
    <row r="1120" spans="1:9">
      <c r="A1120" t="s">
        <v>2875</v>
      </c>
      <c r="B1120">
        <v>413</v>
      </c>
      <c r="C1120" t="s">
        <v>2876</v>
      </c>
      <c r="D1120" s="1" t="s">
        <v>7485</v>
      </c>
      <c r="F1120" s="1" t="s">
        <v>8365</v>
      </c>
    </row>
    <row r="1121" spans="1:9">
      <c r="A1121" t="s">
        <v>2879</v>
      </c>
      <c r="B1121">
        <v>316</v>
      </c>
      <c r="C1121" t="s">
        <v>2880</v>
      </c>
      <c r="D1121" s="9" t="s">
        <v>7486</v>
      </c>
      <c r="F1121" s="1" t="s">
        <v>8366</v>
      </c>
      <c r="G1121" s="1" t="s">
        <v>8367</v>
      </c>
      <c r="H1121" t="s">
        <v>8368</v>
      </c>
      <c r="I1121" t="s">
        <v>8369</v>
      </c>
    </row>
    <row r="1122" spans="1:9">
      <c r="A1122" t="s">
        <v>2879</v>
      </c>
      <c r="B1122">
        <v>316</v>
      </c>
      <c r="C1122" t="s">
        <v>2880</v>
      </c>
      <c r="D1122" s="9" t="s">
        <v>7486</v>
      </c>
      <c r="F1122" s="1" t="s">
        <v>8366</v>
      </c>
      <c r="G1122" s="1" t="s">
        <v>8367</v>
      </c>
      <c r="H1122" t="s">
        <v>10393</v>
      </c>
      <c r="I1122" t="s">
        <v>10394</v>
      </c>
    </row>
    <row r="1123" spans="1:9">
      <c r="A1123" t="s">
        <v>2881</v>
      </c>
      <c r="B1123">
        <v>285</v>
      </c>
      <c r="C1123" t="s">
        <v>2882</v>
      </c>
    </row>
    <row r="1124" spans="1:9">
      <c r="A1124" t="s">
        <v>2885</v>
      </c>
      <c r="B1124">
        <v>356</v>
      </c>
      <c r="C1124" t="s">
        <v>2886</v>
      </c>
    </row>
    <row r="1125" spans="1:9">
      <c r="A1125" t="s">
        <v>2889</v>
      </c>
      <c r="B1125">
        <v>489</v>
      </c>
      <c r="C1125" t="s">
        <v>2890</v>
      </c>
    </row>
    <row r="1126" spans="1:9">
      <c r="A1126" t="s">
        <v>2893</v>
      </c>
      <c r="B1126">
        <v>361</v>
      </c>
      <c r="C1126" t="s">
        <v>2894</v>
      </c>
    </row>
    <row r="1127" spans="1:9">
      <c r="A1127" t="s">
        <v>2897</v>
      </c>
      <c r="B1127">
        <v>177</v>
      </c>
      <c r="C1127" t="s">
        <v>2898</v>
      </c>
      <c r="D1127" s="1" t="s">
        <v>7487</v>
      </c>
    </row>
    <row r="1128" spans="1:9">
      <c r="A1128" t="s">
        <v>2901</v>
      </c>
      <c r="B1128">
        <v>290</v>
      </c>
      <c r="C1128" t="s">
        <v>2902</v>
      </c>
    </row>
    <row r="1129" spans="1:9">
      <c r="A1129" t="s">
        <v>2905</v>
      </c>
      <c r="B1129">
        <v>453</v>
      </c>
      <c r="C1129" t="s">
        <v>2906</v>
      </c>
    </row>
    <row r="1130" spans="1:9">
      <c r="A1130" t="s">
        <v>2909</v>
      </c>
      <c r="B1130">
        <v>371</v>
      </c>
      <c r="C1130" t="s">
        <v>2910</v>
      </c>
      <c r="D1130" s="1" t="s">
        <v>7488</v>
      </c>
    </row>
    <row r="1131" spans="1:9">
      <c r="A1131" t="s">
        <v>2913</v>
      </c>
      <c r="B1131">
        <v>213</v>
      </c>
      <c r="C1131" t="s">
        <v>2914</v>
      </c>
      <c r="D1131" s="1" t="s">
        <v>7489</v>
      </c>
      <c r="F1131" s="1" t="s">
        <v>8370</v>
      </c>
    </row>
    <row r="1132" spans="1:9">
      <c r="A1132" t="s">
        <v>2917</v>
      </c>
      <c r="B1132">
        <v>188</v>
      </c>
      <c r="C1132" t="s">
        <v>2918</v>
      </c>
      <c r="D1132" s="1" t="s">
        <v>7490</v>
      </c>
      <c r="F1132" s="1" t="s">
        <v>8371</v>
      </c>
      <c r="G1132" s="1" t="s">
        <v>8372</v>
      </c>
      <c r="H1132" t="s">
        <v>8373</v>
      </c>
      <c r="I1132" t="s">
        <v>8374</v>
      </c>
    </row>
    <row r="1133" spans="1:9">
      <c r="A1133" t="s">
        <v>2921</v>
      </c>
      <c r="B1133">
        <v>879</v>
      </c>
      <c r="C1133" t="s">
        <v>2922</v>
      </c>
      <c r="D1133" s="1" t="s">
        <v>7491</v>
      </c>
      <c r="F1133" s="1" t="s">
        <v>8375</v>
      </c>
      <c r="G1133" s="1" t="s">
        <v>8376</v>
      </c>
      <c r="H1133" t="s">
        <v>8377</v>
      </c>
      <c r="I1133" t="s">
        <v>8378</v>
      </c>
    </row>
    <row r="1134" spans="1:9">
      <c r="A1134" t="s">
        <v>2925</v>
      </c>
      <c r="B1134">
        <v>352</v>
      </c>
      <c r="C1134" t="s">
        <v>2926</v>
      </c>
    </row>
    <row r="1135" spans="1:9">
      <c r="A1135" t="s">
        <v>2928</v>
      </c>
      <c r="B1135">
        <v>371</v>
      </c>
      <c r="C1135" t="s">
        <v>2929</v>
      </c>
    </row>
    <row r="1136" spans="1:9">
      <c r="A1136" t="s">
        <v>2930</v>
      </c>
      <c r="B1136">
        <v>193</v>
      </c>
      <c r="C1136" t="s">
        <v>2931</v>
      </c>
    </row>
    <row r="1137" spans="1:9">
      <c r="A1137" t="s">
        <v>2934</v>
      </c>
      <c r="B1137">
        <v>329</v>
      </c>
      <c r="C1137" t="s">
        <v>2935</v>
      </c>
      <c r="D1137" s="1" t="s">
        <v>7492</v>
      </c>
      <c r="F1137" s="1" t="s">
        <v>8379</v>
      </c>
      <c r="G1137" s="1" t="s">
        <v>8380</v>
      </c>
      <c r="H1137" t="s">
        <v>8381</v>
      </c>
      <c r="I1137" s="3" t="s">
        <v>8382</v>
      </c>
    </row>
    <row r="1138" spans="1:9">
      <c r="C1138" t="s">
        <v>2937</v>
      </c>
    </row>
    <row r="1139" spans="1:9">
      <c r="A1139" t="s">
        <v>2940</v>
      </c>
      <c r="B1139">
        <v>442</v>
      </c>
      <c r="C1139" t="s">
        <v>2941</v>
      </c>
      <c r="D1139" s="1" t="s">
        <v>7493</v>
      </c>
      <c r="F1139" s="1" t="s">
        <v>8383</v>
      </c>
      <c r="G1139" s="1" t="s">
        <v>8384</v>
      </c>
      <c r="H1139" t="s">
        <v>8385</v>
      </c>
      <c r="I1139" t="s">
        <v>8386</v>
      </c>
    </row>
    <row r="1140" spans="1:9">
      <c r="A1140" t="s">
        <v>2944</v>
      </c>
      <c r="B1140">
        <v>594</v>
      </c>
      <c r="C1140" t="s">
        <v>2945</v>
      </c>
    </row>
    <row r="1141" spans="1:9">
      <c r="A1141" t="s">
        <v>2946</v>
      </c>
      <c r="B1141">
        <v>379</v>
      </c>
      <c r="C1141" t="s">
        <v>2947</v>
      </c>
    </row>
    <row r="1142" spans="1:9">
      <c r="A1142" t="s">
        <v>2949</v>
      </c>
      <c r="B1142">
        <v>667</v>
      </c>
      <c r="C1142" t="s">
        <v>2950</v>
      </c>
    </row>
    <row r="1143" spans="1:9">
      <c r="A1143" t="s">
        <v>2953</v>
      </c>
      <c r="B1143">
        <v>265</v>
      </c>
      <c r="C1143" t="s">
        <v>2954</v>
      </c>
    </row>
    <row r="1144" spans="1:9">
      <c r="A1144" t="s">
        <v>2957</v>
      </c>
      <c r="B1144">
        <v>313</v>
      </c>
      <c r="C1144" t="s">
        <v>2958</v>
      </c>
    </row>
    <row r="1145" spans="1:9">
      <c r="A1145" t="s">
        <v>2959</v>
      </c>
      <c r="B1145">
        <v>178</v>
      </c>
      <c r="C1145" t="s">
        <v>2960</v>
      </c>
    </row>
    <row r="1146" spans="1:9">
      <c r="A1146" t="s">
        <v>2961</v>
      </c>
      <c r="B1146">
        <v>242</v>
      </c>
      <c r="C1146" t="s">
        <v>2962</v>
      </c>
    </row>
    <row r="1147" spans="1:9">
      <c r="A1147" t="s">
        <v>2965</v>
      </c>
      <c r="B1147">
        <v>636</v>
      </c>
      <c r="C1147" t="s">
        <v>2966</v>
      </c>
    </row>
    <row r="1148" spans="1:9">
      <c r="A1148" t="s">
        <v>2967</v>
      </c>
      <c r="B1148">
        <v>218</v>
      </c>
      <c r="C1148" t="s">
        <v>2968</v>
      </c>
    </row>
    <row r="1149" spans="1:9">
      <c r="A1149" t="s">
        <v>2969</v>
      </c>
      <c r="B1149">
        <v>539</v>
      </c>
      <c r="C1149" t="s">
        <v>2970</v>
      </c>
    </row>
    <row r="1150" spans="1:9">
      <c r="A1150" t="s">
        <v>2973</v>
      </c>
      <c r="B1150">
        <v>289</v>
      </c>
      <c r="C1150" t="s">
        <v>2974</v>
      </c>
      <c r="D1150" s="1" t="s">
        <v>7494</v>
      </c>
      <c r="F1150" s="1" t="s">
        <v>8387</v>
      </c>
      <c r="G1150" s="1" t="s">
        <v>8388</v>
      </c>
      <c r="H1150" t="s">
        <v>8389</v>
      </c>
      <c r="I1150" t="s">
        <v>8390</v>
      </c>
    </row>
    <row r="1151" spans="1:9">
      <c r="A1151" t="s">
        <v>2975</v>
      </c>
      <c r="B1151">
        <v>125</v>
      </c>
      <c r="C1151" t="s">
        <v>2976</v>
      </c>
    </row>
    <row r="1152" spans="1:9">
      <c r="A1152" t="s">
        <v>2979</v>
      </c>
      <c r="B1152">
        <v>107</v>
      </c>
      <c r="C1152" t="s">
        <v>2980</v>
      </c>
    </row>
    <row r="1153" spans="1:9">
      <c r="A1153" t="s">
        <v>2983</v>
      </c>
      <c r="B1153">
        <v>362</v>
      </c>
      <c r="C1153" t="s">
        <v>2984</v>
      </c>
      <c r="D1153" s="1" t="s">
        <v>7495</v>
      </c>
      <c r="F1153" s="1" t="s">
        <v>8391</v>
      </c>
      <c r="G1153" s="1" t="s">
        <v>8392</v>
      </c>
      <c r="H1153" t="s">
        <v>8393</v>
      </c>
      <c r="I1153" t="s">
        <v>8394</v>
      </c>
    </row>
    <row r="1154" spans="1:9">
      <c r="A1154" t="s">
        <v>2987</v>
      </c>
      <c r="B1154">
        <v>262</v>
      </c>
      <c r="C1154" t="s">
        <v>2988</v>
      </c>
      <c r="D1154" s="1" t="s">
        <v>7496</v>
      </c>
      <c r="F1154" s="1" t="s">
        <v>8395</v>
      </c>
    </row>
    <row r="1155" spans="1:9">
      <c r="A1155" t="s">
        <v>2989</v>
      </c>
      <c r="B1155">
        <v>186</v>
      </c>
      <c r="C1155" t="s">
        <v>2990</v>
      </c>
    </row>
    <row r="1156" spans="1:9">
      <c r="A1156" t="s">
        <v>2991</v>
      </c>
      <c r="B1156">
        <v>158</v>
      </c>
      <c r="C1156" t="s">
        <v>2992</v>
      </c>
    </row>
    <row r="1157" spans="1:9">
      <c r="A1157" t="s">
        <v>2993</v>
      </c>
      <c r="B1157">
        <v>63</v>
      </c>
      <c r="C1157" t="s">
        <v>2994</v>
      </c>
    </row>
    <row r="1158" spans="1:9">
      <c r="A1158" t="s">
        <v>2995</v>
      </c>
      <c r="B1158">
        <v>281</v>
      </c>
      <c r="C1158" t="s">
        <v>2996</v>
      </c>
    </row>
    <row r="1159" spans="1:9">
      <c r="A1159" t="s">
        <v>2999</v>
      </c>
      <c r="B1159">
        <v>461</v>
      </c>
      <c r="C1159" t="s">
        <v>3000</v>
      </c>
    </row>
    <row r="1160" spans="1:9">
      <c r="A1160" t="s">
        <v>3003</v>
      </c>
      <c r="B1160">
        <v>323</v>
      </c>
      <c r="C1160" t="s">
        <v>3004</v>
      </c>
      <c r="D1160" s="1" t="s">
        <v>7497</v>
      </c>
      <c r="F1160" s="1" t="s">
        <v>8396</v>
      </c>
      <c r="G1160" s="1" t="s">
        <v>8397</v>
      </c>
      <c r="H1160" t="s">
        <v>8398</v>
      </c>
      <c r="I1160" t="s">
        <v>8398</v>
      </c>
    </row>
    <row r="1161" spans="1:9">
      <c r="A1161" t="s">
        <v>3006</v>
      </c>
      <c r="B1161">
        <v>452</v>
      </c>
      <c r="C1161" t="s">
        <v>3007</v>
      </c>
    </row>
    <row r="1162" spans="1:9">
      <c r="A1162" t="s">
        <v>3010</v>
      </c>
      <c r="B1162">
        <v>362</v>
      </c>
      <c r="C1162" t="s">
        <v>3011</v>
      </c>
      <c r="D1162" s="1" t="s">
        <v>7294</v>
      </c>
      <c r="F1162" s="1" t="s">
        <v>7864</v>
      </c>
      <c r="G1162" s="1" t="s">
        <v>7865</v>
      </c>
      <c r="H1162" t="s">
        <v>7866</v>
      </c>
      <c r="I1162" t="s">
        <v>7867</v>
      </c>
    </row>
    <row r="1163" spans="1:9">
      <c r="A1163" t="s">
        <v>3014</v>
      </c>
      <c r="B1163">
        <v>254</v>
      </c>
      <c r="C1163" t="s">
        <v>3015</v>
      </c>
    </row>
    <row r="1164" spans="1:9">
      <c r="A1164" t="s">
        <v>3018</v>
      </c>
      <c r="B1164">
        <v>276</v>
      </c>
      <c r="C1164" t="s">
        <v>3019</v>
      </c>
    </row>
    <row r="1165" spans="1:9">
      <c r="A1165" t="s">
        <v>3022</v>
      </c>
      <c r="B1165">
        <v>240</v>
      </c>
      <c r="C1165" t="s">
        <v>3023</v>
      </c>
      <c r="D1165" s="1" t="s">
        <v>7498</v>
      </c>
    </row>
    <row r="1166" spans="1:9">
      <c r="A1166" t="s">
        <v>3024</v>
      </c>
      <c r="B1166">
        <v>101</v>
      </c>
      <c r="C1166" t="s">
        <v>3025</v>
      </c>
    </row>
    <row r="1167" spans="1:9">
      <c r="A1167" t="s">
        <v>3026</v>
      </c>
      <c r="B1167">
        <v>55</v>
      </c>
      <c r="C1167" t="s">
        <v>3027</v>
      </c>
    </row>
    <row r="1168" spans="1:9">
      <c r="A1168" t="s">
        <v>3030</v>
      </c>
      <c r="B1168">
        <v>289</v>
      </c>
      <c r="C1168" t="s">
        <v>3031</v>
      </c>
      <c r="D1168" s="1" t="s">
        <v>7499</v>
      </c>
      <c r="F1168" s="1" t="s">
        <v>8399</v>
      </c>
      <c r="G1168" s="1" t="s">
        <v>8400</v>
      </c>
      <c r="H1168" t="s">
        <v>8401</v>
      </c>
      <c r="I1168" t="s">
        <v>8402</v>
      </c>
    </row>
    <row r="1169" spans="1:9">
      <c r="A1169" t="s">
        <v>3034</v>
      </c>
      <c r="B1169">
        <v>480</v>
      </c>
      <c r="C1169" t="s">
        <v>3035</v>
      </c>
      <c r="D1169" s="9" t="s">
        <v>7500</v>
      </c>
      <c r="F1169" s="1" t="s">
        <v>8403</v>
      </c>
      <c r="G1169" s="1" t="s">
        <v>8404</v>
      </c>
      <c r="H1169" t="s">
        <v>8405</v>
      </c>
      <c r="I1169" t="s">
        <v>8406</v>
      </c>
    </row>
    <row r="1170" spans="1:9">
      <c r="A1170" t="s">
        <v>3034</v>
      </c>
      <c r="B1170">
        <v>480</v>
      </c>
      <c r="C1170" t="s">
        <v>3035</v>
      </c>
      <c r="D1170" s="9" t="s">
        <v>7500</v>
      </c>
      <c r="F1170" s="1" t="s">
        <v>8403</v>
      </c>
      <c r="G1170" s="1" t="s">
        <v>8404</v>
      </c>
      <c r="H1170" t="s">
        <v>10395</v>
      </c>
      <c r="I1170" t="s">
        <v>10396</v>
      </c>
    </row>
    <row r="1171" spans="1:9">
      <c r="A1171" t="s">
        <v>3034</v>
      </c>
      <c r="B1171">
        <v>480</v>
      </c>
      <c r="C1171" t="s">
        <v>3035</v>
      </c>
      <c r="D1171" s="9" t="s">
        <v>7500</v>
      </c>
      <c r="F1171" s="1" t="s">
        <v>8403</v>
      </c>
      <c r="G1171" s="1" t="s">
        <v>8404</v>
      </c>
      <c r="H1171" t="s">
        <v>10397</v>
      </c>
      <c r="I1171" t="s">
        <v>10398</v>
      </c>
    </row>
    <row r="1172" spans="1:9">
      <c r="A1172" t="s">
        <v>3034</v>
      </c>
      <c r="B1172">
        <v>480</v>
      </c>
      <c r="C1172" t="s">
        <v>3035</v>
      </c>
      <c r="D1172" s="9" t="s">
        <v>7500</v>
      </c>
      <c r="F1172" s="1" t="s">
        <v>8403</v>
      </c>
      <c r="G1172" s="1" t="s">
        <v>8404</v>
      </c>
      <c r="H1172" t="s">
        <v>10399</v>
      </c>
      <c r="I1172" t="s">
        <v>10400</v>
      </c>
    </row>
    <row r="1173" spans="1:9">
      <c r="A1173" t="s">
        <v>3034</v>
      </c>
      <c r="B1173">
        <v>480</v>
      </c>
      <c r="C1173" t="s">
        <v>3035</v>
      </c>
      <c r="D1173" s="9" t="s">
        <v>7500</v>
      </c>
      <c r="F1173" s="1" t="s">
        <v>8403</v>
      </c>
      <c r="G1173" s="1" t="s">
        <v>8404</v>
      </c>
      <c r="H1173" t="s">
        <v>10401</v>
      </c>
      <c r="I1173" t="s">
        <v>10402</v>
      </c>
    </row>
    <row r="1174" spans="1:9">
      <c r="A1174" t="s">
        <v>3034</v>
      </c>
      <c r="B1174">
        <v>480</v>
      </c>
      <c r="C1174" t="s">
        <v>3035</v>
      </c>
      <c r="D1174" s="9" t="s">
        <v>7500</v>
      </c>
      <c r="F1174" s="1" t="s">
        <v>8403</v>
      </c>
      <c r="G1174" s="1" t="s">
        <v>8404</v>
      </c>
      <c r="H1174" t="s">
        <v>10403</v>
      </c>
      <c r="I1174" t="s">
        <v>10404</v>
      </c>
    </row>
    <row r="1175" spans="1:9">
      <c r="A1175" t="s">
        <v>3034</v>
      </c>
      <c r="B1175">
        <v>480</v>
      </c>
      <c r="C1175" t="s">
        <v>3035</v>
      </c>
      <c r="D1175" s="9" t="s">
        <v>7500</v>
      </c>
      <c r="F1175" s="1" t="s">
        <v>8403</v>
      </c>
      <c r="G1175" s="1" t="s">
        <v>8404</v>
      </c>
      <c r="H1175" t="s">
        <v>10405</v>
      </c>
      <c r="I1175" t="s">
        <v>10396</v>
      </c>
    </row>
    <row r="1176" spans="1:9">
      <c r="A1176" t="s">
        <v>3034</v>
      </c>
      <c r="B1176">
        <v>480</v>
      </c>
      <c r="C1176" t="s">
        <v>3035</v>
      </c>
      <c r="D1176" s="9" t="s">
        <v>7500</v>
      </c>
      <c r="F1176" s="1" t="s">
        <v>8403</v>
      </c>
      <c r="G1176" s="1" t="s">
        <v>8404</v>
      </c>
      <c r="H1176" t="s">
        <v>10406</v>
      </c>
      <c r="I1176" t="s">
        <v>10407</v>
      </c>
    </row>
    <row r="1177" spans="1:9">
      <c r="A1177" t="s">
        <v>3034</v>
      </c>
      <c r="B1177">
        <v>480</v>
      </c>
      <c r="C1177" t="s">
        <v>3035</v>
      </c>
      <c r="D1177" s="9" t="s">
        <v>7500</v>
      </c>
      <c r="F1177" s="1" t="s">
        <v>8403</v>
      </c>
      <c r="G1177" s="1" t="s">
        <v>8404</v>
      </c>
      <c r="H1177" t="s">
        <v>10408</v>
      </c>
      <c r="I1177" t="s">
        <v>10409</v>
      </c>
    </row>
    <row r="1178" spans="1:9">
      <c r="A1178" t="s">
        <v>3034</v>
      </c>
      <c r="B1178">
        <v>480</v>
      </c>
      <c r="C1178" t="s">
        <v>3035</v>
      </c>
      <c r="D1178" s="9" t="s">
        <v>7500</v>
      </c>
      <c r="F1178" s="1" t="s">
        <v>8403</v>
      </c>
      <c r="G1178" s="1" t="s">
        <v>8404</v>
      </c>
      <c r="H1178" t="s">
        <v>10410</v>
      </c>
      <c r="I1178" t="s">
        <v>10411</v>
      </c>
    </row>
    <row r="1179" spans="1:9">
      <c r="A1179" t="s">
        <v>3037</v>
      </c>
      <c r="B1179">
        <v>215</v>
      </c>
      <c r="C1179" t="s">
        <v>3038</v>
      </c>
      <c r="D1179" s="1" t="s">
        <v>7501</v>
      </c>
    </row>
    <row r="1180" spans="1:9">
      <c r="A1180" t="s">
        <v>3041</v>
      </c>
      <c r="B1180">
        <v>212</v>
      </c>
      <c r="C1180" t="s">
        <v>3042</v>
      </c>
    </row>
    <row r="1181" spans="1:9">
      <c r="A1181" t="s">
        <v>3045</v>
      </c>
      <c r="B1181">
        <v>151</v>
      </c>
      <c r="C1181" t="s">
        <v>3046</v>
      </c>
    </row>
    <row r="1182" spans="1:9">
      <c r="A1182" t="s">
        <v>3049</v>
      </c>
      <c r="B1182">
        <v>174</v>
      </c>
      <c r="C1182" t="s">
        <v>3050</v>
      </c>
    </row>
    <row r="1183" spans="1:9">
      <c r="A1183" t="s">
        <v>3053</v>
      </c>
      <c r="B1183">
        <v>383</v>
      </c>
      <c r="C1183" t="s">
        <v>3054</v>
      </c>
    </row>
    <row r="1184" spans="1:9">
      <c r="A1184" t="s">
        <v>3055</v>
      </c>
      <c r="B1184">
        <v>246</v>
      </c>
      <c r="C1184" t="s">
        <v>3056</v>
      </c>
    </row>
    <row r="1185" spans="1:9">
      <c r="A1185" t="s">
        <v>3059</v>
      </c>
      <c r="B1185">
        <v>1257</v>
      </c>
      <c r="C1185" t="s">
        <v>3060</v>
      </c>
    </row>
    <row r="1186" spans="1:9">
      <c r="A1186" t="s">
        <v>3061</v>
      </c>
      <c r="B1186">
        <v>249</v>
      </c>
      <c r="C1186" t="s">
        <v>3062</v>
      </c>
    </row>
    <row r="1187" spans="1:9">
      <c r="A1187" t="s">
        <v>3065</v>
      </c>
      <c r="B1187">
        <v>567</v>
      </c>
      <c r="C1187" t="s">
        <v>3066</v>
      </c>
      <c r="D1187" s="1" t="s">
        <v>7502</v>
      </c>
    </row>
    <row r="1188" spans="1:9">
      <c r="A1188" t="s">
        <v>3067</v>
      </c>
      <c r="B1188">
        <v>284</v>
      </c>
      <c r="C1188" t="s">
        <v>3068</v>
      </c>
    </row>
    <row r="1189" spans="1:9">
      <c r="A1189" t="s">
        <v>3069</v>
      </c>
      <c r="B1189">
        <v>170</v>
      </c>
      <c r="C1189" t="s">
        <v>3070</v>
      </c>
    </row>
    <row r="1190" spans="1:9">
      <c r="A1190" t="s">
        <v>3073</v>
      </c>
      <c r="B1190">
        <v>411</v>
      </c>
      <c r="C1190" t="s">
        <v>3074</v>
      </c>
    </row>
    <row r="1191" spans="1:9">
      <c r="A1191" t="s">
        <v>3075</v>
      </c>
      <c r="B1191">
        <v>75</v>
      </c>
      <c r="C1191" t="s">
        <v>3076</v>
      </c>
    </row>
    <row r="1192" spans="1:9">
      <c r="A1192" t="s">
        <v>3079</v>
      </c>
      <c r="B1192">
        <v>430</v>
      </c>
      <c r="C1192" t="s">
        <v>3080</v>
      </c>
    </row>
    <row r="1193" spans="1:9">
      <c r="C1193" t="s">
        <v>3081</v>
      </c>
    </row>
    <row r="1194" spans="1:9">
      <c r="A1194" t="s">
        <v>3084</v>
      </c>
      <c r="B1194">
        <v>128</v>
      </c>
      <c r="C1194" t="s">
        <v>3085</v>
      </c>
      <c r="D1194" s="9" t="s">
        <v>7503</v>
      </c>
      <c r="F1194" s="1" t="s">
        <v>8407</v>
      </c>
      <c r="G1194" s="1" t="s">
        <v>8408</v>
      </c>
      <c r="H1194" t="s">
        <v>8409</v>
      </c>
      <c r="I1194" t="s">
        <v>8410</v>
      </c>
    </row>
    <row r="1195" spans="1:9">
      <c r="A1195" t="s">
        <v>3084</v>
      </c>
      <c r="B1195">
        <v>128</v>
      </c>
      <c r="C1195" t="s">
        <v>3085</v>
      </c>
      <c r="D1195" s="9" t="s">
        <v>7503</v>
      </c>
      <c r="F1195" s="1" t="s">
        <v>8407</v>
      </c>
      <c r="G1195" s="1" t="s">
        <v>8408</v>
      </c>
      <c r="H1195" t="s">
        <v>10412</v>
      </c>
      <c r="I1195" t="s">
        <v>10413</v>
      </c>
    </row>
    <row r="1196" spans="1:9">
      <c r="A1196" t="s">
        <v>3087</v>
      </c>
      <c r="B1196">
        <v>448</v>
      </c>
      <c r="C1196" t="s">
        <v>3088</v>
      </c>
    </row>
    <row r="1197" spans="1:9">
      <c r="A1197" t="s">
        <v>3091</v>
      </c>
      <c r="B1197">
        <v>312</v>
      </c>
      <c r="C1197" t="s">
        <v>3092</v>
      </c>
      <c r="D1197" s="1" t="s">
        <v>7504</v>
      </c>
      <c r="F1197" s="1" t="s">
        <v>8411</v>
      </c>
      <c r="G1197" s="1" t="s">
        <v>8412</v>
      </c>
      <c r="H1197" t="s">
        <v>8413</v>
      </c>
      <c r="I1197" t="s">
        <v>8414</v>
      </c>
    </row>
    <row r="1198" spans="1:9">
      <c r="A1198" t="s">
        <v>3095</v>
      </c>
      <c r="B1198">
        <v>247</v>
      </c>
      <c r="C1198" t="s">
        <v>3096</v>
      </c>
    </row>
    <row r="1199" spans="1:9">
      <c r="A1199" t="s">
        <v>3099</v>
      </c>
      <c r="B1199">
        <v>516</v>
      </c>
      <c r="C1199" t="s">
        <v>3100</v>
      </c>
      <c r="D1199" s="9" t="s">
        <v>7505</v>
      </c>
      <c r="F1199" s="1" t="s">
        <v>8415</v>
      </c>
      <c r="G1199" s="1" t="s">
        <v>8416</v>
      </c>
      <c r="H1199" t="s">
        <v>8417</v>
      </c>
      <c r="I1199" t="s">
        <v>8418</v>
      </c>
    </row>
    <row r="1200" spans="1:9">
      <c r="A1200" t="s">
        <v>3099</v>
      </c>
      <c r="B1200">
        <v>516</v>
      </c>
      <c r="C1200" t="s">
        <v>3100</v>
      </c>
      <c r="D1200" s="9" t="s">
        <v>7505</v>
      </c>
      <c r="F1200" s="1" t="s">
        <v>8415</v>
      </c>
      <c r="G1200" s="1" t="s">
        <v>8416</v>
      </c>
      <c r="H1200" t="s">
        <v>8794</v>
      </c>
      <c r="I1200" t="s">
        <v>10414</v>
      </c>
    </row>
    <row r="1201" spans="1:9">
      <c r="A1201" t="s">
        <v>3102</v>
      </c>
      <c r="B1201">
        <v>269</v>
      </c>
      <c r="C1201" t="s">
        <v>3103</v>
      </c>
      <c r="D1201" s="1" t="s">
        <v>7296</v>
      </c>
      <c r="F1201" s="1" t="s">
        <v>7871</v>
      </c>
    </row>
    <row r="1202" spans="1:9">
      <c r="A1202" t="s">
        <v>3106</v>
      </c>
      <c r="B1202">
        <v>558</v>
      </c>
      <c r="C1202" t="s">
        <v>3107</v>
      </c>
      <c r="D1202" s="1" t="s">
        <v>7506</v>
      </c>
      <c r="F1202" s="1" t="s">
        <v>8419</v>
      </c>
      <c r="G1202" s="1" t="s">
        <v>8420</v>
      </c>
      <c r="H1202" t="s">
        <v>8421</v>
      </c>
      <c r="I1202" t="s">
        <v>8422</v>
      </c>
    </row>
    <row r="1203" spans="1:9">
      <c r="A1203" t="s">
        <v>3110</v>
      </c>
      <c r="B1203">
        <v>389</v>
      </c>
      <c r="C1203" t="s">
        <v>3111</v>
      </c>
      <c r="D1203" s="1" t="s">
        <v>7507</v>
      </c>
      <c r="F1203" s="1" t="s">
        <v>8423</v>
      </c>
      <c r="G1203" s="1" t="s">
        <v>8424</v>
      </c>
      <c r="H1203" t="s">
        <v>8425</v>
      </c>
      <c r="I1203" t="s">
        <v>8426</v>
      </c>
    </row>
    <row r="1204" spans="1:9">
      <c r="A1204" t="s">
        <v>3114</v>
      </c>
      <c r="B1204">
        <v>623</v>
      </c>
      <c r="C1204" t="s">
        <v>3115</v>
      </c>
      <c r="D1204" s="1" t="s">
        <v>7300</v>
      </c>
      <c r="E1204" s="4" t="s">
        <v>8846</v>
      </c>
      <c r="F1204" s="1" t="s">
        <v>8847</v>
      </c>
      <c r="G1204" s="1"/>
    </row>
    <row r="1205" spans="1:9">
      <c r="A1205" t="s">
        <v>3114</v>
      </c>
      <c r="B1205">
        <v>623</v>
      </c>
      <c r="C1205" t="s">
        <v>3115</v>
      </c>
      <c r="D1205" s="1" t="s">
        <v>7300</v>
      </c>
      <c r="E1205" s="4" t="s">
        <v>8827</v>
      </c>
      <c r="F1205" s="1" t="s">
        <v>8828</v>
      </c>
      <c r="G1205" s="1"/>
    </row>
    <row r="1206" spans="1:9">
      <c r="A1206" t="s">
        <v>3114</v>
      </c>
      <c r="B1206">
        <v>623</v>
      </c>
      <c r="C1206" t="s">
        <v>3115</v>
      </c>
      <c r="D1206" s="1" t="s">
        <v>7300</v>
      </c>
      <c r="E1206" s="4" t="s">
        <v>8829</v>
      </c>
      <c r="F1206" s="1" t="s">
        <v>8830</v>
      </c>
    </row>
    <row r="1207" spans="1:9">
      <c r="A1207" t="s">
        <v>3116</v>
      </c>
      <c r="B1207">
        <v>412</v>
      </c>
      <c r="C1207" t="s">
        <v>3117</v>
      </c>
    </row>
    <row r="1208" spans="1:9">
      <c r="A1208" t="s">
        <v>3118</v>
      </c>
      <c r="B1208">
        <v>147</v>
      </c>
      <c r="C1208" t="s">
        <v>3119</v>
      </c>
    </row>
    <row r="1209" spans="1:9">
      <c r="A1209" t="s">
        <v>3120</v>
      </c>
      <c r="B1209">
        <v>188</v>
      </c>
      <c r="C1209" t="s">
        <v>3121</v>
      </c>
    </row>
    <row r="1210" spans="1:9">
      <c r="A1210" t="s">
        <v>3124</v>
      </c>
      <c r="B1210">
        <v>523</v>
      </c>
      <c r="C1210" t="s">
        <v>3125</v>
      </c>
    </row>
    <row r="1211" spans="1:9">
      <c r="A1211" t="s">
        <v>3127</v>
      </c>
      <c r="B1211">
        <v>1009</v>
      </c>
      <c r="C1211" t="s">
        <v>3128</v>
      </c>
    </row>
    <row r="1212" spans="1:9">
      <c r="A1212" t="s">
        <v>3129</v>
      </c>
      <c r="B1212">
        <v>273</v>
      </c>
      <c r="C1212" t="s">
        <v>3130</v>
      </c>
    </row>
    <row r="1213" spans="1:9">
      <c r="A1213" t="s">
        <v>3133</v>
      </c>
      <c r="B1213">
        <v>371</v>
      </c>
      <c r="C1213" t="s">
        <v>3134</v>
      </c>
    </row>
    <row r="1214" spans="1:9">
      <c r="A1214" t="s">
        <v>3136</v>
      </c>
      <c r="B1214">
        <v>862</v>
      </c>
      <c r="C1214" t="s">
        <v>3137</v>
      </c>
    </row>
    <row r="1215" spans="1:9">
      <c r="A1215" t="s">
        <v>3138</v>
      </c>
      <c r="B1215">
        <v>168</v>
      </c>
      <c r="C1215" t="s">
        <v>3139</v>
      </c>
    </row>
    <row r="1216" spans="1:9">
      <c r="A1216" t="s">
        <v>3140</v>
      </c>
      <c r="B1216">
        <v>106</v>
      </c>
      <c r="C1216" t="s">
        <v>3141</v>
      </c>
    </row>
    <row r="1217" spans="1:9">
      <c r="A1217" t="s">
        <v>3142</v>
      </c>
      <c r="B1217">
        <v>67</v>
      </c>
      <c r="C1217" t="s">
        <v>3143</v>
      </c>
    </row>
    <row r="1218" spans="1:9">
      <c r="A1218" t="s">
        <v>3145</v>
      </c>
      <c r="B1218">
        <v>389</v>
      </c>
      <c r="C1218" t="s">
        <v>3146</v>
      </c>
    </row>
    <row r="1219" spans="1:9">
      <c r="A1219" t="s">
        <v>3149</v>
      </c>
      <c r="B1219">
        <v>279</v>
      </c>
      <c r="C1219" t="s">
        <v>3150</v>
      </c>
    </row>
    <row r="1220" spans="1:9">
      <c r="A1220" t="s">
        <v>3151</v>
      </c>
      <c r="B1220">
        <v>149</v>
      </c>
      <c r="C1220" t="s">
        <v>3152</v>
      </c>
    </row>
    <row r="1221" spans="1:9">
      <c r="A1221" t="s">
        <v>3153</v>
      </c>
      <c r="B1221">
        <v>52</v>
      </c>
      <c r="C1221" t="s">
        <v>3154</v>
      </c>
    </row>
    <row r="1222" spans="1:9">
      <c r="C1222" t="s">
        <v>3155</v>
      </c>
    </row>
    <row r="1223" spans="1:9">
      <c r="A1223" t="s">
        <v>3158</v>
      </c>
      <c r="B1223">
        <v>518</v>
      </c>
      <c r="C1223" t="s">
        <v>3159</v>
      </c>
      <c r="D1223" s="1" t="s">
        <v>7508</v>
      </c>
    </row>
    <row r="1224" spans="1:9">
      <c r="A1224" t="s">
        <v>3162</v>
      </c>
      <c r="B1224">
        <v>206</v>
      </c>
      <c r="C1224" t="s">
        <v>3163</v>
      </c>
    </row>
    <row r="1225" spans="1:9">
      <c r="A1225" t="s">
        <v>3166</v>
      </c>
      <c r="B1225">
        <v>501</v>
      </c>
      <c r="C1225" t="s">
        <v>3167</v>
      </c>
    </row>
    <row r="1226" spans="1:9">
      <c r="A1226" t="s">
        <v>3170</v>
      </c>
      <c r="B1226">
        <v>261</v>
      </c>
      <c r="C1226" t="s">
        <v>3171</v>
      </c>
    </row>
    <row r="1227" spans="1:9">
      <c r="A1227" t="s">
        <v>3174</v>
      </c>
      <c r="B1227">
        <v>550</v>
      </c>
      <c r="C1227" t="s">
        <v>3175</v>
      </c>
      <c r="D1227" s="1" t="s">
        <v>7509</v>
      </c>
      <c r="F1227" s="1" t="s">
        <v>8427</v>
      </c>
      <c r="G1227" s="1" t="s">
        <v>8428</v>
      </c>
      <c r="H1227" t="s">
        <v>8429</v>
      </c>
      <c r="I1227" t="s">
        <v>8430</v>
      </c>
    </row>
    <row r="1228" spans="1:9">
      <c r="A1228" t="s">
        <v>3178</v>
      </c>
      <c r="B1228">
        <v>445</v>
      </c>
      <c r="C1228" t="s">
        <v>3179</v>
      </c>
      <c r="D1228" s="1" t="s">
        <v>7510</v>
      </c>
      <c r="F1228" s="1" t="s">
        <v>8431</v>
      </c>
      <c r="G1228" s="1" t="s">
        <v>8432</v>
      </c>
      <c r="H1228" t="s">
        <v>8433</v>
      </c>
      <c r="I1228" t="s">
        <v>8434</v>
      </c>
    </row>
    <row r="1229" spans="1:9">
      <c r="A1229" t="s">
        <v>3182</v>
      </c>
      <c r="B1229">
        <v>447</v>
      </c>
      <c r="C1229" t="s">
        <v>3183</v>
      </c>
      <c r="D1229" s="9" t="s">
        <v>7511</v>
      </c>
      <c r="F1229" s="1" t="s">
        <v>8435</v>
      </c>
      <c r="G1229" s="1" t="s">
        <v>8436</v>
      </c>
      <c r="H1229" t="s">
        <v>8437</v>
      </c>
      <c r="I1229" t="s">
        <v>8438</v>
      </c>
    </row>
    <row r="1230" spans="1:9">
      <c r="A1230" t="s">
        <v>3182</v>
      </c>
      <c r="B1230">
        <v>447</v>
      </c>
      <c r="C1230" t="s">
        <v>3183</v>
      </c>
      <c r="D1230" s="9" t="s">
        <v>7511</v>
      </c>
      <c r="F1230" s="1" t="s">
        <v>8435</v>
      </c>
      <c r="G1230" s="1" t="s">
        <v>8436</v>
      </c>
      <c r="H1230" t="s">
        <v>10415</v>
      </c>
      <c r="I1230" t="s">
        <v>10416</v>
      </c>
    </row>
    <row r="1231" spans="1:9">
      <c r="A1231" t="s">
        <v>3186</v>
      </c>
      <c r="B1231">
        <v>309</v>
      </c>
      <c r="C1231" t="s">
        <v>3187</v>
      </c>
      <c r="D1231" s="1" t="s">
        <v>7512</v>
      </c>
      <c r="F1231" s="1" t="s">
        <v>8439</v>
      </c>
      <c r="G1231" s="1" t="s">
        <v>8440</v>
      </c>
      <c r="H1231" t="s">
        <v>8441</v>
      </c>
      <c r="I1231" t="s">
        <v>8442</v>
      </c>
    </row>
    <row r="1232" spans="1:9">
      <c r="A1232" t="s">
        <v>3188</v>
      </c>
      <c r="B1232">
        <v>219</v>
      </c>
      <c r="C1232" t="s">
        <v>3189</v>
      </c>
    </row>
    <row r="1233" spans="1:9">
      <c r="A1233" t="s">
        <v>3192</v>
      </c>
      <c r="B1233">
        <v>618</v>
      </c>
      <c r="C1233" t="s">
        <v>3193</v>
      </c>
    </row>
    <row r="1234" spans="1:9">
      <c r="A1234" t="s">
        <v>3196</v>
      </c>
      <c r="B1234">
        <v>253</v>
      </c>
      <c r="C1234" t="s">
        <v>3197</v>
      </c>
    </row>
    <row r="1235" spans="1:9">
      <c r="A1235" t="s">
        <v>3198</v>
      </c>
      <c r="B1235">
        <v>86</v>
      </c>
      <c r="C1235" t="s">
        <v>3199</v>
      </c>
    </row>
    <row r="1236" spans="1:9">
      <c r="A1236" t="s">
        <v>3200</v>
      </c>
      <c r="B1236">
        <v>358</v>
      </c>
      <c r="C1236" t="s">
        <v>3201</v>
      </c>
    </row>
    <row r="1237" spans="1:9">
      <c r="A1237" t="s">
        <v>3202</v>
      </c>
      <c r="B1237">
        <v>399</v>
      </c>
      <c r="C1237" t="s">
        <v>3203</v>
      </c>
    </row>
    <row r="1238" spans="1:9">
      <c r="A1238" t="s">
        <v>3206</v>
      </c>
      <c r="B1238">
        <v>461</v>
      </c>
      <c r="C1238" t="s">
        <v>3207</v>
      </c>
      <c r="D1238" s="9" t="s">
        <v>7513</v>
      </c>
      <c r="F1238" s="1" t="s">
        <v>8443</v>
      </c>
      <c r="G1238" s="1" t="s">
        <v>8444</v>
      </c>
      <c r="H1238" t="s">
        <v>8445</v>
      </c>
      <c r="I1238" t="s">
        <v>8446</v>
      </c>
    </row>
    <row r="1239" spans="1:9">
      <c r="A1239" t="s">
        <v>3206</v>
      </c>
      <c r="B1239">
        <v>461</v>
      </c>
      <c r="C1239" t="s">
        <v>3207</v>
      </c>
      <c r="D1239" s="9" t="s">
        <v>7513</v>
      </c>
      <c r="F1239" s="1" t="s">
        <v>8443</v>
      </c>
      <c r="G1239" s="1" t="s">
        <v>8444</v>
      </c>
      <c r="H1239" t="s">
        <v>10417</v>
      </c>
      <c r="I1239" t="s">
        <v>10418</v>
      </c>
    </row>
    <row r="1240" spans="1:9">
      <c r="A1240" t="s">
        <v>3206</v>
      </c>
      <c r="B1240">
        <v>461</v>
      </c>
      <c r="C1240" t="s">
        <v>3207</v>
      </c>
      <c r="D1240" s="9" t="s">
        <v>7513</v>
      </c>
      <c r="F1240" s="1" t="s">
        <v>8443</v>
      </c>
      <c r="G1240" s="1" t="s">
        <v>8444</v>
      </c>
      <c r="H1240" t="s">
        <v>10419</v>
      </c>
      <c r="I1240" t="s">
        <v>10420</v>
      </c>
    </row>
    <row r="1241" spans="1:9">
      <c r="A1241" t="s">
        <v>3206</v>
      </c>
      <c r="B1241">
        <v>461</v>
      </c>
      <c r="C1241" t="s">
        <v>3207</v>
      </c>
      <c r="D1241" s="9" t="s">
        <v>7513</v>
      </c>
      <c r="F1241" s="1" t="s">
        <v>8443</v>
      </c>
      <c r="G1241" s="1" t="s">
        <v>8444</v>
      </c>
      <c r="H1241" t="s">
        <v>10421</v>
      </c>
      <c r="I1241" t="s">
        <v>10422</v>
      </c>
    </row>
    <row r="1242" spans="1:9">
      <c r="A1242" t="s">
        <v>3210</v>
      </c>
      <c r="B1242">
        <v>259</v>
      </c>
      <c r="C1242" t="s">
        <v>3211</v>
      </c>
      <c r="D1242" s="1" t="s">
        <v>7514</v>
      </c>
      <c r="F1242" s="1" t="s">
        <v>8447</v>
      </c>
    </row>
    <row r="1243" spans="1:9">
      <c r="A1243" t="s">
        <v>3213</v>
      </c>
      <c r="B1243">
        <v>275</v>
      </c>
      <c r="C1243" t="s">
        <v>3214</v>
      </c>
      <c r="D1243" s="1" t="s">
        <v>7514</v>
      </c>
      <c r="F1243" s="1" t="s">
        <v>8447</v>
      </c>
    </row>
    <row r="1244" spans="1:9">
      <c r="A1244" t="s">
        <v>3217</v>
      </c>
      <c r="B1244">
        <v>530</v>
      </c>
      <c r="C1244" t="s">
        <v>3218</v>
      </c>
      <c r="D1244" s="1" t="s">
        <v>7514</v>
      </c>
      <c r="F1244" s="1" t="s">
        <v>8447</v>
      </c>
    </row>
    <row r="1245" spans="1:9">
      <c r="A1245" t="s">
        <v>3221</v>
      </c>
      <c r="B1245">
        <v>1245</v>
      </c>
      <c r="C1245" t="s">
        <v>3222</v>
      </c>
      <c r="D1245" s="1" t="s">
        <v>7514</v>
      </c>
      <c r="F1245" s="1" t="s">
        <v>8447</v>
      </c>
    </row>
    <row r="1246" spans="1:9">
      <c r="A1246" t="s">
        <v>3225</v>
      </c>
      <c r="B1246">
        <v>441</v>
      </c>
      <c r="C1246" t="s">
        <v>3226</v>
      </c>
    </row>
    <row r="1247" spans="1:9">
      <c r="A1247" t="s">
        <v>3228</v>
      </c>
      <c r="B1247">
        <v>159</v>
      </c>
      <c r="C1247" t="s">
        <v>3229</v>
      </c>
    </row>
    <row r="1248" spans="1:9">
      <c r="A1248" t="s">
        <v>3231</v>
      </c>
      <c r="B1248">
        <v>235</v>
      </c>
      <c r="C1248" t="s">
        <v>3232</v>
      </c>
    </row>
    <row r="1249" spans="1:9">
      <c r="A1249" t="s">
        <v>3235</v>
      </c>
      <c r="B1249">
        <v>159</v>
      </c>
      <c r="C1249" t="s">
        <v>3236</v>
      </c>
    </row>
    <row r="1250" spans="1:9">
      <c r="A1250" t="s">
        <v>3238</v>
      </c>
      <c r="B1250">
        <v>399</v>
      </c>
      <c r="C1250" t="s">
        <v>3239</v>
      </c>
      <c r="D1250" s="1" t="s">
        <v>7320</v>
      </c>
      <c r="F1250" s="1" t="s">
        <v>7922</v>
      </c>
      <c r="G1250" s="1" t="s">
        <v>7923</v>
      </c>
      <c r="H1250" t="s">
        <v>7926</v>
      </c>
      <c r="I1250" t="s">
        <v>7925</v>
      </c>
    </row>
    <row r="1251" spans="1:9">
      <c r="A1251" t="s">
        <v>3242</v>
      </c>
      <c r="B1251">
        <v>371</v>
      </c>
      <c r="C1251" t="s">
        <v>3243</v>
      </c>
    </row>
    <row r="1252" spans="1:9">
      <c r="A1252" t="s">
        <v>3244</v>
      </c>
      <c r="B1252">
        <v>591</v>
      </c>
      <c r="C1252" t="s">
        <v>3245</v>
      </c>
      <c r="D1252" s="1" t="s">
        <v>7336</v>
      </c>
      <c r="F1252" s="1" t="s">
        <v>7963</v>
      </c>
      <c r="G1252" s="1" t="s">
        <v>7964</v>
      </c>
      <c r="H1252" t="s">
        <v>7965</v>
      </c>
      <c r="I1252" t="s">
        <v>8448</v>
      </c>
    </row>
    <row r="1253" spans="1:9">
      <c r="A1253" t="s">
        <v>3244</v>
      </c>
      <c r="B1253">
        <v>591</v>
      </c>
      <c r="C1253" t="s">
        <v>3245</v>
      </c>
      <c r="D1253" s="1" t="s">
        <v>7336</v>
      </c>
      <c r="F1253" s="1" t="s">
        <v>7963</v>
      </c>
      <c r="G1253" s="1" t="s">
        <v>7964</v>
      </c>
      <c r="H1253" t="s">
        <v>10156</v>
      </c>
      <c r="I1253" t="s">
        <v>10157</v>
      </c>
    </row>
    <row r="1254" spans="1:9">
      <c r="A1254" t="s">
        <v>3246</v>
      </c>
      <c r="B1254">
        <v>679</v>
      </c>
      <c r="C1254" t="s">
        <v>3247</v>
      </c>
    </row>
    <row r="1255" spans="1:9">
      <c r="A1255" t="s">
        <v>3250</v>
      </c>
      <c r="B1255">
        <v>358</v>
      </c>
      <c r="C1255" t="s">
        <v>3251</v>
      </c>
    </row>
    <row r="1256" spans="1:9">
      <c r="A1256" t="s">
        <v>3254</v>
      </c>
      <c r="B1256">
        <v>277</v>
      </c>
      <c r="C1256" t="s">
        <v>3255</v>
      </c>
      <c r="D1256" s="1" t="s">
        <v>7501</v>
      </c>
    </row>
    <row r="1257" spans="1:9">
      <c r="A1257" t="s">
        <v>3258</v>
      </c>
      <c r="B1257">
        <v>222</v>
      </c>
      <c r="C1257" t="s">
        <v>3259</v>
      </c>
      <c r="D1257" s="1" t="s">
        <v>7515</v>
      </c>
      <c r="F1257" s="1" t="s">
        <v>8449</v>
      </c>
      <c r="G1257" s="1" t="s">
        <v>8450</v>
      </c>
      <c r="H1257" t="s">
        <v>8451</v>
      </c>
      <c r="I1257" t="s">
        <v>8452</v>
      </c>
    </row>
    <row r="1258" spans="1:9">
      <c r="A1258" t="s">
        <v>3262</v>
      </c>
      <c r="B1258">
        <v>391</v>
      </c>
      <c r="C1258" t="s">
        <v>3263</v>
      </c>
      <c r="D1258" s="1" t="s">
        <v>7516</v>
      </c>
    </row>
    <row r="1259" spans="1:9">
      <c r="A1259" t="s">
        <v>3264</v>
      </c>
      <c r="B1259">
        <v>143</v>
      </c>
      <c r="C1259" t="s">
        <v>3265</v>
      </c>
    </row>
    <row r="1260" spans="1:9">
      <c r="A1260" t="s">
        <v>3268</v>
      </c>
      <c r="B1260">
        <v>266</v>
      </c>
      <c r="C1260" t="s">
        <v>3269</v>
      </c>
    </row>
    <row r="1261" spans="1:9">
      <c r="A1261" t="s">
        <v>3272</v>
      </c>
      <c r="B1261">
        <v>79</v>
      </c>
      <c r="C1261" t="s">
        <v>3273</v>
      </c>
    </row>
    <row r="1262" spans="1:9">
      <c r="A1262" t="s">
        <v>3276</v>
      </c>
      <c r="B1262">
        <v>189</v>
      </c>
      <c r="C1262" t="s">
        <v>3277</v>
      </c>
    </row>
    <row r="1263" spans="1:9">
      <c r="A1263" t="s">
        <v>3280</v>
      </c>
      <c r="B1263">
        <v>271</v>
      </c>
      <c r="C1263" t="s">
        <v>3281</v>
      </c>
    </row>
    <row r="1264" spans="1:9">
      <c r="A1264" t="s">
        <v>3284</v>
      </c>
      <c r="B1264">
        <v>546</v>
      </c>
      <c r="C1264" t="s">
        <v>3285</v>
      </c>
      <c r="D1264" s="1" t="s">
        <v>7517</v>
      </c>
      <c r="F1264" s="1" t="s">
        <v>8453</v>
      </c>
      <c r="G1264" s="1" t="s">
        <v>8454</v>
      </c>
      <c r="H1264" t="s">
        <v>8331</v>
      </c>
      <c r="I1264" t="s">
        <v>8455</v>
      </c>
    </row>
    <row r="1265" spans="1:9">
      <c r="A1265" t="s">
        <v>3288</v>
      </c>
      <c r="B1265">
        <v>329</v>
      </c>
      <c r="C1265" t="s">
        <v>3289</v>
      </c>
    </row>
    <row r="1266" spans="1:9">
      <c r="A1266" t="s">
        <v>3292</v>
      </c>
      <c r="B1266">
        <v>481</v>
      </c>
      <c r="C1266" t="s">
        <v>3293</v>
      </c>
      <c r="D1266" s="1" t="s">
        <v>7517</v>
      </c>
      <c r="F1266" s="1" t="s">
        <v>8453</v>
      </c>
      <c r="G1266" s="1" t="s">
        <v>8454</v>
      </c>
      <c r="H1266" t="s">
        <v>8331</v>
      </c>
      <c r="I1266" t="s">
        <v>8455</v>
      </c>
    </row>
    <row r="1267" spans="1:9">
      <c r="A1267" t="s">
        <v>3296</v>
      </c>
      <c r="B1267">
        <v>124</v>
      </c>
      <c r="C1267" t="s">
        <v>3297</v>
      </c>
    </row>
    <row r="1268" spans="1:9">
      <c r="A1268" t="s">
        <v>3298</v>
      </c>
      <c r="B1268">
        <v>162</v>
      </c>
      <c r="C1268" t="s">
        <v>3299</v>
      </c>
    </row>
    <row r="1269" spans="1:9">
      <c r="A1269" t="s">
        <v>3300</v>
      </c>
      <c r="B1269">
        <v>230</v>
      </c>
      <c r="C1269" t="s">
        <v>3301</v>
      </c>
    </row>
    <row r="1270" spans="1:9">
      <c r="A1270" t="s">
        <v>3302</v>
      </c>
      <c r="B1270">
        <v>120</v>
      </c>
      <c r="C1270" t="s">
        <v>3303</v>
      </c>
    </row>
    <row r="1271" spans="1:9">
      <c r="A1271" t="s">
        <v>3306</v>
      </c>
      <c r="B1271">
        <v>305</v>
      </c>
      <c r="C1271" t="s">
        <v>3307</v>
      </c>
    </row>
    <row r="1272" spans="1:9">
      <c r="A1272" t="s">
        <v>3310</v>
      </c>
      <c r="B1272">
        <v>272</v>
      </c>
      <c r="C1272" t="s">
        <v>3311</v>
      </c>
      <c r="D1272" s="1" t="s">
        <v>7324</v>
      </c>
    </row>
    <row r="1273" spans="1:9">
      <c r="A1273" t="s">
        <v>3313</v>
      </c>
      <c r="B1273">
        <v>275</v>
      </c>
      <c r="C1273" t="s">
        <v>3314</v>
      </c>
    </row>
    <row r="1274" spans="1:9">
      <c r="A1274" t="s">
        <v>3315</v>
      </c>
      <c r="B1274">
        <v>377</v>
      </c>
      <c r="C1274" t="s">
        <v>3316</v>
      </c>
    </row>
    <row r="1275" spans="1:9">
      <c r="A1275" t="s">
        <v>3319</v>
      </c>
      <c r="B1275">
        <v>260</v>
      </c>
      <c r="C1275" t="s">
        <v>3320</v>
      </c>
    </row>
    <row r="1276" spans="1:9">
      <c r="A1276" t="s">
        <v>3323</v>
      </c>
      <c r="B1276">
        <v>313</v>
      </c>
      <c r="C1276" t="s">
        <v>3324</v>
      </c>
    </row>
    <row r="1277" spans="1:9" ht="17" customHeight="1">
      <c r="A1277" t="s">
        <v>3327</v>
      </c>
      <c r="B1277">
        <v>371</v>
      </c>
      <c r="C1277" t="s">
        <v>3328</v>
      </c>
      <c r="D1277" s="9" t="s">
        <v>7518</v>
      </c>
      <c r="F1277" s="1" t="s">
        <v>8456</v>
      </c>
      <c r="G1277" s="1" t="s">
        <v>8457</v>
      </c>
      <c r="H1277" t="s">
        <v>8458</v>
      </c>
      <c r="I1277" t="s">
        <v>8459</v>
      </c>
    </row>
    <row r="1278" spans="1:9" ht="17" customHeight="1">
      <c r="A1278" t="s">
        <v>3327</v>
      </c>
      <c r="B1278">
        <v>371</v>
      </c>
      <c r="C1278" t="s">
        <v>3328</v>
      </c>
      <c r="D1278" s="9" t="s">
        <v>7518</v>
      </c>
      <c r="F1278" s="1" t="s">
        <v>8456</v>
      </c>
      <c r="G1278" s="1" t="s">
        <v>8457</v>
      </c>
      <c r="H1278" t="s">
        <v>10423</v>
      </c>
      <c r="I1278" t="s">
        <v>10424</v>
      </c>
    </row>
    <row r="1279" spans="1:9" ht="17" customHeight="1">
      <c r="A1279" t="s">
        <v>3327</v>
      </c>
      <c r="B1279">
        <v>371</v>
      </c>
      <c r="C1279" t="s">
        <v>3328</v>
      </c>
      <c r="D1279" s="9" t="s">
        <v>7518</v>
      </c>
      <c r="F1279" s="1" t="s">
        <v>8456</v>
      </c>
      <c r="G1279" s="1" t="s">
        <v>8457</v>
      </c>
      <c r="H1279" t="s">
        <v>10425</v>
      </c>
      <c r="I1279" t="s">
        <v>10426</v>
      </c>
    </row>
    <row r="1280" spans="1:9">
      <c r="C1280" t="s">
        <v>3329</v>
      </c>
    </row>
    <row r="1281" spans="1:9">
      <c r="A1281" t="s">
        <v>3332</v>
      </c>
      <c r="B1281">
        <v>394</v>
      </c>
      <c r="C1281" t="s">
        <v>3333</v>
      </c>
      <c r="D1281" s="1" t="s">
        <v>7519</v>
      </c>
      <c r="F1281" s="1" t="s">
        <v>8460</v>
      </c>
    </row>
    <row r="1282" spans="1:9">
      <c r="A1282" t="s">
        <v>3335</v>
      </c>
      <c r="B1282">
        <v>278</v>
      </c>
      <c r="C1282" t="s">
        <v>3336</v>
      </c>
    </row>
    <row r="1283" spans="1:9">
      <c r="A1283" t="s">
        <v>3339</v>
      </c>
      <c r="B1283">
        <v>361</v>
      </c>
      <c r="C1283" t="s">
        <v>3340</v>
      </c>
      <c r="D1283" s="1" t="s">
        <v>7520</v>
      </c>
    </row>
    <row r="1284" spans="1:9">
      <c r="A1284" t="s">
        <v>3341</v>
      </c>
      <c r="B1284">
        <v>306</v>
      </c>
      <c r="C1284" t="s">
        <v>3342</v>
      </c>
    </row>
    <row r="1285" spans="1:9">
      <c r="A1285" t="s">
        <v>3343</v>
      </c>
      <c r="B1285">
        <v>379</v>
      </c>
      <c r="C1285" t="s">
        <v>3344</v>
      </c>
    </row>
    <row r="1286" spans="1:9">
      <c r="A1286" t="s">
        <v>3345</v>
      </c>
      <c r="B1286">
        <v>86</v>
      </c>
      <c r="C1286" t="s">
        <v>3346</v>
      </c>
    </row>
    <row r="1287" spans="1:9">
      <c r="A1287" t="s">
        <v>3349</v>
      </c>
      <c r="B1287">
        <v>329</v>
      </c>
      <c r="C1287" t="s">
        <v>3350</v>
      </c>
    </row>
    <row r="1288" spans="1:9">
      <c r="A1288" t="s">
        <v>3351</v>
      </c>
      <c r="B1288">
        <v>165</v>
      </c>
      <c r="C1288" t="s">
        <v>3352</v>
      </c>
    </row>
    <row r="1289" spans="1:9">
      <c r="A1289" t="s">
        <v>3355</v>
      </c>
      <c r="B1289">
        <v>223</v>
      </c>
      <c r="C1289" t="s">
        <v>3356</v>
      </c>
      <c r="D1289" s="1" t="s">
        <v>7279</v>
      </c>
      <c r="F1289" s="1" t="s">
        <v>7828</v>
      </c>
      <c r="G1289" s="1" t="s">
        <v>7829</v>
      </c>
      <c r="H1289" t="s">
        <v>7830</v>
      </c>
      <c r="I1289" s="3" t="s">
        <v>7831</v>
      </c>
    </row>
    <row r="1290" spans="1:9">
      <c r="A1290" t="s">
        <v>3355</v>
      </c>
      <c r="B1290">
        <v>223</v>
      </c>
      <c r="C1290" t="s">
        <v>3356</v>
      </c>
      <c r="D1290" s="1" t="s">
        <v>7279</v>
      </c>
      <c r="F1290" s="1" t="s">
        <v>7828</v>
      </c>
      <c r="G1290" s="1" t="s">
        <v>7829</v>
      </c>
      <c r="H1290" t="s">
        <v>10162</v>
      </c>
      <c r="I1290" s="3" t="s">
        <v>10163</v>
      </c>
    </row>
    <row r="1291" spans="1:9">
      <c r="A1291" t="s">
        <v>3355</v>
      </c>
      <c r="B1291">
        <v>223</v>
      </c>
      <c r="C1291" t="s">
        <v>3356</v>
      </c>
      <c r="D1291" s="1" t="s">
        <v>7279</v>
      </c>
      <c r="F1291" s="1" t="s">
        <v>7828</v>
      </c>
      <c r="G1291" s="1" t="s">
        <v>7829</v>
      </c>
      <c r="H1291" t="s">
        <v>10164</v>
      </c>
      <c r="I1291" s="3" t="s">
        <v>10163</v>
      </c>
    </row>
    <row r="1292" spans="1:9">
      <c r="A1292" t="s">
        <v>3355</v>
      </c>
      <c r="B1292">
        <v>223</v>
      </c>
      <c r="C1292" t="s">
        <v>3356</v>
      </c>
      <c r="D1292" s="1" t="s">
        <v>7279</v>
      </c>
      <c r="F1292" s="1" t="s">
        <v>7828</v>
      </c>
      <c r="G1292" s="1" t="s">
        <v>7829</v>
      </c>
      <c r="H1292" t="s">
        <v>10165</v>
      </c>
      <c r="I1292" s="3" t="s">
        <v>10163</v>
      </c>
    </row>
    <row r="1293" spans="1:9">
      <c r="A1293" t="s">
        <v>3355</v>
      </c>
      <c r="B1293">
        <v>223</v>
      </c>
      <c r="C1293" t="s">
        <v>3356</v>
      </c>
      <c r="D1293" s="1" t="s">
        <v>7279</v>
      </c>
      <c r="F1293" s="1" t="s">
        <v>7828</v>
      </c>
      <c r="G1293" s="1" t="s">
        <v>7829</v>
      </c>
      <c r="H1293" t="s">
        <v>10166</v>
      </c>
      <c r="I1293" s="3" t="s">
        <v>10163</v>
      </c>
    </row>
    <row r="1294" spans="1:9">
      <c r="A1294" t="s">
        <v>3355</v>
      </c>
      <c r="B1294">
        <v>223</v>
      </c>
      <c r="C1294" t="s">
        <v>3356</v>
      </c>
      <c r="D1294" s="1" t="s">
        <v>7279</v>
      </c>
      <c r="F1294" s="1" t="s">
        <v>7828</v>
      </c>
      <c r="G1294" s="1" t="s">
        <v>7829</v>
      </c>
      <c r="H1294" t="s">
        <v>10167</v>
      </c>
      <c r="I1294" s="3" t="s">
        <v>10168</v>
      </c>
    </row>
    <row r="1295" spans="1:9">
      <c r="A1295" t="s">
        <v>3359</v>
      </c>
      <c r="B1295">
        <v>686</v>
      </c>
      <c r="C1295" t="s">
        <v>3360</v>
      </c>
      <c r="D1295" s="1" t="s">
        <v>7521</v>
      </c>
      <c r="F1295" s="1" t="s">
        <v>8461</v>
      </c>
      <c r="G1295" s="1" t="s">
        <v>8462</v>
      </c>
      <c r="H1295" t="s">
        <v>8463</v>
      </c>
      <c r="I1295" t="s">
        <v>8464</v>
      </c>
    </row>
    <row r="1296" spans="1:9">
      <c r="A1296" t="s">
        <v>3361</v>
      </c>
      <c r="B1296">
        <v>220</v>
      </c>
      <c r="C1296" t="s">
        <v>3362</v>
      </c>
    </row>
    <row r="1297" spans="1:9">
      <c r="A1297" t="s">
        <v>3365</v>
      </c>
      <c r="B1297">
        <v>98</v>
      </c>
      <c r="C1297" t="s">
        <v>3366</v>
      </c>
      <c r="D1297" s="1" t="s">
        <v>7421</v>
      </c>
    </row>
    <row r="1298" spans="1:9">
      <c r="A1298" t="s">
        <v>3368</v>
      </c>
      <c r="B1298">
        <v>495</v>
      </c>
      <c r="C1298" t="s">
        <v>3369</v>
      </c>
      <c r="D1298" s="1" t="s">
        <v>7421</v>
      </c>
    </row>
    <row r="1299" spans="1:9">
      <c r="A1299" t="s">
        <v>3371</v>
      </c>
      <c r="B1299">
        <v>177</v>
      </c>
      <c r="C1299" t="s">
        <v>3372</v>
      </c>
    </row>
    <row r="1300" spans="1:9">
      <c r="A1300" t="s">
        <v>3373</v>
      </c>
      <c r="B1300">
        <v>107</v>
      </c>
      <c r="C1300" t="s">
        <v>3374</v>
      </c>
    </row>
    <row r="1301" spans="1:9">
      <c r="A1301" t="s">
        <v>3377</v>
      </c>
      <c r="B1301">
        <v>466</v>
      </c>
      <c r="C1301" t="s">
        <v>3378</v>
      </c>
    </row>
    <row r="1302" spans="1:9">
      <c r="A1302" t="s">
        <v>3381</v>
      </c>
      <c r="B1302">
        <v>343</v>
      </c>
      <c r="C1302" t="s">
        <v>3382</v>
      </c>
      <c r="D1302" s="9" t="s">
        <v>7522</v>
      </c>
      <c r="F1302" s="1" t="s">
        <v>8465</v>
      </c>
      <c r="G1302" s="1" t="s">
        <v>8466</v>
      </c>
      <c r="H1302" t="s">
        <v>8468</v>
      </c>
      <c r="I1302" t="s">
        <v>8467</v>
      </c>
    </row>
    <row r="1303" spans="1:9">
      <c r="A1303" t="s">
        <v>3381</v>
      </c>
      <c r="B1303">
        <v>343</v>
      </c>
      <c r="C1303" t="s">
        <v>3382</v>
      </c>
      <c r="D1303" s="9" t="s">
        <v>7522</v>
      </c>
      <c r="F1303" s="1" t="s">
        <v>8465</v>
      </c>
      <c r="G1303" s="1" t="s">
        <v>8466</v>
      </c>
      <c r="H1303" t="s">
        <v>10427</v>
      </c>
      <c r="I1303" t="s">
        <v>10428</v>
      </c>
    </row>
    <row r="1304" spans="1:9">
      <c r="A1304" t="s">
        <v>3381</v>
      </c>
      <c r="B1304">
        <v>343</v>
      </c>
      <c r="C1304" t="s">
        <v>3382</v>
      </c>
      <c r="D1304" s="9" t="s">
        <v>7522</v>
      </c>
      <c r="F1304" s="1" t="s">
        <v>8465</v>
      </c>
      <c r="G1304" s="1" t="s">
        <v>8466</v>
      </c>
      <c r="H1304" t="s">
        <v>10429</v>
      </c>
      <c r="I1304" t="s">
        <v>10430</v>
      </c>
    </row>
    <row r="1305" spans="1:9">
      <c r="A1305" t="s">
        <v>3381</v>
      </c>
      <c r="B1305">
        <v>343</v>
      </c>
      <c r="C1305" t="s">
        <v>3382</v>
      </c>
      <c r="D1305" s="9" t="s">
        <v>7522</v>
      </c>
      <c r="F1305" s="1" t="s">
        <v>8465</v>
      </c>
      <c r="G1305" s="1" t="s">
        <v>8466</v>
      </c>
      <c r="H1305" t="s">
        <v>10431</v>
      </c>
      <c r="I1305" t="s">
        <v>10432</v>
      </c>
    </row>
    <row r="1306" spans="1:9">
      <c r="A1306" t="s">
        <v>3381</v>
      </c>
      <c r="B1306">
        <v>343</v>
      </c>
      <c r="C1306" t="s">
        <v>3382</v>
      </c>
      <c r="D1306" s="9" t="s">
        <v>7522</v>
      </c>
      <c r="F1306" s="1" t="s">
        <v>8465</v>
      </c>
      <c r="G1306" s="1" t="s">
        <v>8466</v>
      </c>
      <c r="H1306" t="s">
        <v>10433</v>
      </c>
      <c r="I1306" t="s">
        <v>10434</v>
      </c>
    </row>
    <row r="1307" spans="1:9">
      <c r="A1307" t="s">
        <v>3381</v>
      </c>
      <c r="B1307">
        <v>343</v>
      </c>
      <c r="C1307" t="s">
        <v>3382</v>
      </c>
      <c r="D1307" s="9" t="s">
        <v>7522</v>
      </c>
      <c r="F1307" s="1" t="s">
        <v>8465</v>
      </c>
      <c r="G1307" s="1" t="s">
        <v>8466</v>
      </c>
      <c r="H1307" t="s">
        <v>10435</v>
      </c>
      <c r="I1307" t="s">
        <v>10436</v>
      </c>
    </row>
    <row r="1308" spans="1:9">
      <c r="A1308" t="s">
        <v>3381</v>
      </c>
      <c r="B1308">
        <v>343</v>
      </c>
      <c r="C1308" t="s">
        <v>3382</v>
      </c>
      <c r="D1308" s="9" t="s">
        <v>7522</v>
      </c>
      <c r="F1308" s="1" t="s">
        <v>8465</v>
      </c>
      <c r="G1308" s="1" t="s">
        <v>8466</v>
      </c>
      <c r="H1308" t="s">
        <v>10437</v>
      </c>
      <c r="I1308" t="s">
        <v>10438</v>
      </c>
    </row>
    <row r="1309" spans="1:9">
      <c r="A1309" t="s">
        <v>3381</v>
      </c>
      <c r="B1309">
        <v>343</v>
      </c>
      <c r="C1309" t="s">
        <v>3382</v>
      </c>
      <c r="D1309" s="9" t="s">
        <v>7522</v>
      </c>
      <c r="F1309" s="1" t="s">
        <v>8465</v>
      </c>
      <c r="G1309" s="1" t="s">
        <v>8466</v>
      </c>
      <c r="H1309" t="s">
        <v>10439</v>
      </c>
      <c r="I1309" t="s">
        <v>10440</v>
      </c>
    </row>
    <row r="1310" spans="1:9">
      <c r="A1310" t="s">
        <v>3381</v>
      </c>
      <c r="B1310">
        <v>343</v>
      </c>
      <c r="C1310" t="s">
        <v>3382</v>
      </c>
      <c r="D1310" s="9" t="s">
        <v>7522</v>
      </c>
      <c r="F1310" s="1" t="s">
        <v>8465</v>
      </c>
      <c r="G1310" s="1" t="s">
        <v>8466</v>
      </c>
      <c r="H1310" t="s">
        <v>10441</v>
      </c>
      <c r="I1310" t="s">
        <v>10442</v>
      </c>
    </row>
    <row r="1311" spans="1:9">
      <c r="A1311" t="s">
        <v>3381</v>
      </c>
      <c r="B1311">
        <v>343</v>
      </c>
      <c r="C1311" t="s">
        <v>3382</v>
      </c>
      <c r="D1311" s="9" t="s">
        <v>7522</v>
      </c>
      <c r="F1311" s="1" t="s">
        <v>8465</v>
      </c>
      <c r="G1311" s="1" t="s">
        <v>8466</v>
      </c>
      <c r="H1311" t="s">
        <v>10443</v>
      </c>
      <c r="I1311" t="s">
        <v>10444</v>
      </c>
    </row>
    <row r="1312" spans="1:9">
      <c r="A1312" t="s">
        <v>3384</v>
      </c>
      <c r="B1312">
        <v>321</v>
      </c>
      <c r="C1312" t="s">
        <v>3385</v>
      </c>
    </row>
    <row r="1313" spans="1:9">
      <c r="A1313" t="s">
        <v>3386</v>
      </c>
      <c r="B1313">
        <v>261</v>
      </c>
      <c r="C1313" t="s">
        <v>3387</v>
      </c>
    </row>
    <row r="1314" spans="1:9">
      <c r="A1314" t="s">
        <v>3390</v>
      </c>
      <c r="B1314">
        <v>504</v>
      </c>
      <c r="C1314" t="s">
        <v>3391</v>
      </c>
      <c r="D1314" s="1" t="s">
        <v>7421</v>
      </c>
    </row>
    <row r="1315" spans="1:9">
      <c r="A1315" t="s">
        <v>3394</v>
      </c>
      <c r="B1315">
        <v>350</v>
      </c>
      <c r="C1315" t="s">
        <v>3395</v>
      </c>
      <c r="D1315" s="1" t="s">
        <v>7303</v>
      </c>
    </row>
    <row r="1316" spans="1:9">
      <c r="A1316" t="s">
        <v>3396</v>
      </c>
      <c r="B1316">
        <v>476</v>
      </c>
      <c r="C1316" t="s">
        <v>3397</v>
      </c>
    </row>
    <row r="1317" spans="1:9">
      <c r="A1317" t="s">
        <v>3400</v>
      </c>
      <c r="B1317">
        <v>241</v>
      </c>
      <c r="C1317" t="s">
        <v>3401</v>
      </c>
    </row>
    <row r="1318" spans="1:9">
      <c r="A1318" t="s">
        <v>3402</v>
      </c>
      <c r="B1318">
        <v>290</v>
      </c>
      <c r="C1318" t="s">
        <v>3403</v>
      </c>
    </row>
    <row r="1319" spans="1:9">
      <c r="A1319" t="s">
        <v>3406</v>
      </c>
      <c r="B1319">
        <v>365</v>
      </c>
      <c r="C1319" t="s">
        <v>3407</v>
      </c>
      <c r="D1319" s="1" t="s">
        <v>7389</v>
      </c>
    </row>
    <row r="1320" spans="1:9">
      <c r="A1320" t="s">
        <v>3409</v>
      </c>
      <c r="B1320">
        <v>296</v>
      </c>
      <c r="C1320" t="s">
        <v>3410</v>
      </c>
    </row>
    <row r="1321" spans="1:9">
      <c r="A1321" t="s">
        <v>3411</v>
      </c>
      <c r="B1321">
        <v>120</v>
      </c>
      <c r="C1321" t="s">
        <v>3412</v>
      </c>
    </row>
    <row r="1322" spans="1:9">
      <c r="A1322" t="s">
        <v>3413</v>
      </c>
      <c r="B1322">
        <v>105</v>
      </c>
      <c r="C1322" t="s">
        <v>3414</v>
      </c>
    </row>
    <row r="1323" spans="1:9">
      <c r="A1323" t="s">
        <v>3416</v>
      </c>
      <c r="B1323">
        <v>423</v>
      </c>
      <c r="C1323" t="s">
        <v>3417</v>
      </c>
      <c r="D1323" s="1" t="s">
        <v>7367</v>
      </c>
    </row>
    <row r="1324" spans="1:9">
      <c r="A1324" t="s">
        <v>3420</v>
      </c>
      <c r="B1324">
        <v>617</v>
      </c>
      <c r="C1324" t="s">
        <v>3421</v>
      </c>
      <c r="D1324" s="9" t="s">
        <v>7523</v>
      </c>
      <c r="F1324" s="1" t="s">
        <v>8469</v>
      </c>
      <c r="G1324" s="1" t="s">
        <v>8470</v>
      </c>
      <c r="H1324" t="s">
        <v>8471</v>
      </c>
      <c r="I1324" t="s">
        <v>8472</v>
      </c>
    </row>
    <row r="1325" spans="1:9">
      <c r="A1325" t="s">
        <v>3420</v>
      </c>
      <c r="B1325">
        <v>617</v>
      </c>
      <c r="C1325" t="s">
        <v>3421</v>
      </c>
      <c r="D1325" s="9" t="s">
        <v>7523</v>
      </c>
      <c r="F1325" s="1" t="s">
        <v>8469</v>
      </c>
      <c r="G1325" s="1" t="s">
        <v>8470</v>
      </c>
      <c r="H1325" t="s">
        <v>10445</v>
      </c>
      <c r="I1325" t="s">
        <v>10446</v>
      </c>
    </row>
    <row r="1326" spans="1:9">
      <c r="A1326" t="s">
        <v>3420</v>
      </c>
      <c r="B1326">
        <v>617</v>
      </c>
      <c r="C1326" t="s">
        <v>3421</v>
      </c>
      <c r="D1326" s="9" t="s">
        <v>7523</v>
      </c>
      <c r="F1326" s="1" t="s">
        <v>8469</v>
      </c>
      <c r="G1326" s="1" t="s">
        <v>8470</v>
      </c>
      <c r="H1326" t="s">
        <v>10447</v>
      </c>
      <c r="I1326" t="s">
        <v>10448</v>
      </c>
    </row>
    <row r="1327" spans="1:9">
      <c r="A1327" t="s">
        <v>3424</v>
      </c>
      <c r="B1327">
        <v>180</v>
      </c>
      <c r="C1327" t="s">
        <v>3425</v>
      </c>
    </row>
    <row r="1328" spans="1:9">
      <c r="A1328" t="s">
        <v>3428</v>
      </c>
      <c r="B1328">
        <v>616</v>
      </c>
      <c r="C1328" t="s">
        <v>3429</v>
      </c>
      <c r="D1328" s="1" t="s">
        <v>7310</v>
      </c>
      <c r="F1328" s="1" t="s">
        <v>7902</v>
      </c>
      <c r="G1328" s="1" t="s">
        <v>7903</v>
      </c>
      <c r="H1328" s="3" t="s">
        <v>7904</v>
      </c>
      <c r="I1328" t="s">
        <v>7905</v>
      </c>
    </row>
    <row r="1329" spans="1:9">
      <c r="A1329" t="s">
        <v>3428</v>
      </c>
      <c r="B1329">
        <v>616</v>
      </c>
      <c r="C1329" t="s">
        <v>3429</v>
      </c>
      <c r="D1329" s="1" t="s">
        <v>7310</v>
      </c>
      <c r="F1329" s="1" t="s">
        <v>7902</v>
      </c>
      <c r="G1329" s="1" t="s">
        <v>7903</v>
      </c>
      <c r="H1329" s="3" t="s">
        <v>10175</v>
      </c>
      <c r="I1329" t="s">
        <v>7905</v>
      </c>
    </row>
    <row r="1330" spans="1:9">
      <c r="A1330" t="s">
        <v>3428</v>
      </c>
      <c r="B1330">
        <v>616</v>
      </c>
      <c r="C1330" t="s">
        <v>3429</v>
      </c>
      <c r="D1330" s="1" t="s">
        <v>7310</v>
      </c>
      <c r="F1330" s="1" t="s">
        <v>7902</v>
      </c>
      <c r="G1330" s="1" t="s">
        <v>7903</v>
      </c>
      <c r="H1330" s="3" t="s">
        <v>10176</v>
      </c>
      <c r="I1330" t="s">
        <v>10177</v>
      </c>
    </row>
    <row r="1331" spans="1:9">
      <c r="A1331" t="s">
        <v>3428</v>
      </c>
      <c r="B1331">
        <v>616</v>
      </c>
      <c r="C1331" t="s">
        <v>3429</v>
      </c>
      <c r="D1331" s="1" t="s">
        <v>7310</v>
      </c>
      <c r="F1331" s="1" t="s">
        <v>7902</v>
      </c>
      <c r="G1331" s="1" t="s">
        <v>7903</v>
      </c>
      <c r="H1331" s="3" t="s">
        <v>10178</v>
      </c>
      <c r="I1331" t="s">
        <v>10179</v>
      </c>
    </row>
    <row r="1332" spans="1:9">
      <c r="A1332" t="s">
        <v>3428</v>
      </c>
      <c r="B1332">
        <v>616</v>
      </c>
      <c r="C1332" t="s">
        <v>3429</v>
      </c>
      <c r="D1332" s="1" t="s">
        <v>7310</v>
      </c>
      <c r="F1332" s="1" t="s">
        <v>7902</v>
      </c>
      <c r="G1332" s="1" t="s">
        <v>7903</v>
      </c>
      <c r="H1332" s="3" t="s">
        <v>10180</v>
      </c>
      <c r="I1332" t="s">
        <v>10179</v>
      </c>
    </row>
    <row r="1333" spans="1:9">
      <c r="A1333" t="s">
        <v>3428</v>
      </c>
      <c r="B1333">
        <v>616</v>
      </c>
      <c r="C1333" t="s">
        <v>3429</v>
      </c>
      <c r="D1333" s="1" t="s">
        <v>7310</v>
      </c>
      <c r="F1333" s="1" t="s">
        <v>7902</v>
      </c>
      <c r="G1333" s="1" t="s">
        <v>7903</v>
      </c>
      <c r="H1333" s="3" t="s">
        <v>10181</v>
      </c>
      <c r="I1333" t="s">
        <v>10182</v>
      </c>
    </row>
    <row r="1334" spans="1:9">
      <c r="A1334" t="s">
        <v>3428</v>
      </c>
      <c r="B1334">
        <v>616</v>
      </c>
      <c r="C1334" t="s">
        <v>3429</v>
      </c>
      <c r="D1334" s="1" t="s">
        <v>7310</v>
      </c>
      <c r="F1334" s="1" t="s">
        <v>7902</v>
      </c>
      <c r="G1334" s="1" t="s">
        <v>7903</v>
      </c>
      <c r="H1334" s="3" t="s">
        <v>10183</v>
      </c>
      <c r="I1334" t="s">
        <v>10184</v>
      </c>
    </row>
    <row r="1335" spans="1:9">
      <c r="A1335" t="s">
        <v>3432</v>
      </c>
      <c r="B1335">
        <v>171</v>
      </c>
      <c r="C1335" t="s">
        <v>3433</v>
      </c>
      <c r="D1335" s="1" t="s">
        <v>7310</v>
      </c>
      <c r="F1335" s="1" t="s">
        <v>7902</v>
      </c>
      <c r="G1335" s="1" t="s">
        <v>7903</v>
      </c>
      <c r="H1335" s="3" t="s">
        <v>7904</v>
      </c>
      <c r="I1335" t="s">
        <v>7905</v>
      </c>
    </row>
    <row r="1336" spans="1:9">
      <c r="A1336" t="s">
        <v>3432</v>
      </c>
      <c r="B1336">
        <v>171</v>
      </c>
      <c r="C1336" t="s">
        <v>3433</v>
      </c>
      <c r="D1336" s="1" t="s">
        <v>7310</v>
      </c>
      <c r="F1336" s="1" t="s">
        <v>7902</v>
      </c>
      <c r="G1336" s="1" t="s">
        <v>7903</v>
      </c>
      <c r="H1336" s="3" t="s">
        <v>10175</v>
      </c>
      <c r="I1336" t="s">
        <v>7905</v>
      </c>
    </row>
    <row r="1337" spans="1:9">
      <c r="A1337" t="s">
        <v>3432</v>
      </c>
      <c r="B1337">
        <v>171</v>
      </c>
      <c r="C1337" t="s">
        <v>3433</v>
      </c>
      <c r="D1337" s="1" t="s">
        <v>7310</v>
      </c>
      <c r="F1337" s="1" t="s">
        <v>7902</v>
      </c>
      <c r="G1337" s="1" t="s">
        <v>7903</v>
      </c>
      <c r="H1337" s="3" t="s">
        <v>10176</v>
      </c>
      <c r="I1337" t="s">
        <v>10177</v>
      </c>
    </row>
    <row r="1338" spans="1:9">
      <c r="A1338" t="s">
        <v>3432</v>
      </c>
      <c r="B1338">
        <v>171</v>
      </c>
      <c r="C1338" t="s">
        <v>3433</v>
      </c>
      <c r="D1338" s="1" t="s">
        <v>7310</v>
      </c>
      <c r="F1338" s="1" t="s">
        <v>7902</v>
      </c>
      <c r="G1338" s="1" t="s">
        <v>7903</v>
      </c>
      <c r="H1338" s="3" t="s">
        <v>10178</v>
      </c>
      <c r="I1338" t="s">
        <v>10179</v>
      </c>
    </row>
    <row r="1339" spans="1:9">
      <c r="A1339" t="s">
        <v>3432</v>
      </c>
      <c r="B1339">
        <v>171</v>
      </c>
      <c r="C1339" t="s">
        <v>3433</v>
      </c>
      <c r="D1339" s="1" t="s">
        <v>7310</v>
      </c>
      <c r="F1339" s="1" t="s">
        <v>7902</v>
      </c>
      <c r="G1339" s="1" t="s">
        <v>7903</v>
      </c>
      <c r="H1339" s="3" t="s">
        <v>10180</v>
      </c>
      <c r="I1339" t="s">
        <v>10179</v>
      </c>
    </row>
    <row r="1340" spans="1:9">
      <c r="A1340" t="s">
        <v>3432</v>
      </c>
      <c r="B1340">
        <v>171</v>
      </c>
      <c r="C1340" t="s">
        <v>3433</v>
      </c>
      <c r="D1340" s="1" t="s">
        <v>7310</v>
      </c>
      <c r="F1340" s="1" t="s">
        <v>7902</v>
      </c>
      <c r="G1340" s="1" t="s">
        <v>7903</v>
      </c>
      <c r="H1340" s="3" t="s">
        <v>10181</v>
      </c>
      <c r="I1340" t="s">
        <v>10182</v>
      </c>
    </row>
    <row r="1341" spans="1:9">
      <c r="A1341" t="s">
        <v>3432</v>
      </c>
      <c r="B1341">
        <v>171</v>
      </c>
      <c r="C1341" t="s">
        <v>3433</v>
      </c>
      <c r="D1341" s="1" t="s">
        <v>7310</v>
      </c>
      <c r="F1341" s="1" t="s">
        <v>7902</v>
      </c>
      <c r="G1341" s="1" t="s">
        <v>7903</v>
      </c>
      <c r="H1341" s="3" t="s">
        <v>10183</v>
      </c>
      <c r="I1341" t="s">
        <v>10184</v>
      </c>
    </row>
    <row r="1342" spans="1:9">
      <c r="A1342" t="s">
        <v>3436</v>
      </c>
      <c r="B1342">
        <v>337</v>
      </c>
      <c r="C1342" t="s">
        <v>3437</v>
      </c>
      <c r="D1342" s="9" t="s">
        <v>7524</v>
      </c>
      <c r="F1342" s="1" t="s">
        <v>8473</v>
      </c>
      <c r="G1342" s="1" t="s">
        <v>8474</v>
      </c>
      <c r="H1342" t="s">
        <v>8475</v>
      </c>
      <c r="I1342" s="5" t="s">
        <v>8476</v>
      </c>
    </row>
    <row r="1343" spans="1:9">
      <c r="A1343" t="s">
        <v>3436</v>
      </c>
      <c r="B1343">
        <v>337</v>
      </c>
      <c r="C1343" t="s">
        <v>3437</v>
      </c>
      <c r="D1343" s="9" t="s">
        <v>7524</v>
      </c>
      <c r="F1343" s="1" t="s">
        <v>8473</v>
      </c>
      <c r="G1343" s="1" t="s">
        <v>8474</v>
      </c>
      <c r="H1343" t="s">
        <v>10449</v>
      </c>
      <c r="I1343" s="5" t="s">
        <v>10450</v>
      </c>
    </row>
    <row r="1344" spans="1:9">
      <c r="A1344" t="s">
        <v>3436</v>
      </c>
      <c r="B1344">
        <v>337</v>
      </c>
      <c r="C1344" t="s">
        <v>3437</v>
      </c>
      <c r="D1344" s="9" t="s">
        <v>7524</v>
      </c>
      <c r="F1344" s="1" t="s">
        <v>8473</v>
      </c>
      <c r="G1344" s="1" t="s">
        <v>8474</v>
      </c>
      <c r="H1344" t="s">
        <v>10451</v>
      </c>
      <c r="I1344" s="5" t="s">
        <v>10452</v>
      </c>
    </row>
    <row r="1345" spans="1:9">
      <c r="A1345" t="s">
        <v>3436</v>
      </c>
      <c r="B1345">
        <v>337</v>
      </c>
      <c r="C1345" t="s">
        <v>3437</v>
      </c>
      <c r="D1345" s="9" t="s">
        <v>7524</v>
      </c>
      <c r="F1345" s="1" t="s">
        <v>8473</v>
      </c>
      <c r="G1345" s="1" t="s">
        <v>8474</v>
      </c>
      <c r="H1345" t="s">
        <v>10453</v>
      </c>
      <c r="I1345" s="5" t="s">
        <v>10454</v>
      </c>
    </row>
    <row r="1346" spans="1:9">
      <c r="A1346" t="s">
        <v>3436</v>
      </c>
      <c r="B1346">
        <v>337</v>
      </c>
      <c r="C1346" t="s">
        <v>3437</v>
      </c>
      <c r="D1346" s="9" t="s">
        <v>7524</v>
      </c>
      <c r="F1346" s="1" t="s">
        <v>8473</v>
      </c>
      <c r="G1346" s="1" t="s">
        <v>8474</v>
      </c>
      <c r="H1346" t="s">
        <v>10455</v>
      </c>
      <c r="I1346" s="5" t="s">
        <v>10456</v>
      </c>
    </row>
    <row r="1347" spans="1:9">
      <c r="A1347" t="s">
        <v>3436</v>
      </c>
      <c r="B1347">
        <v>337</v>
      </c>
      <c r="C1347" t="s">
        <v>3437</v>
      </c>
      <c r="D1347" s="9" t="s">
        <v>7524</v>
      </c>
      <c r="F1347" s="1" t="s">
        <v>8473</v>
      </c>
      <c r="G1347" s="1" t="s">
        <v>8474</v>
      </c>
      <c r="H1347" t="s">
        <v>8200</v>
      </c>
      <c r="I1347" s="5" t="s">
        <v>10457</v>
      </c>
    </row>
    <row r="1348" spans="1:9">
      <c r="A1348" t="s">
        <v>3438</v>
      </c>
      <c r="B1348">
        <v>596</v>
      </c>
      <c r="C1348" t="s">
        <v>3439</v>
      </c>
      <c r="I1348" s="1"/>
    </row>
    <row r="1349" spans="1:9">
      <c r="A1349" t="s">
        <v>3440</v>
      </c>
      <c r="B1349">
        <v>315</v>
      </c>
      <c r="C1349" t="s">
        <v>3441</v>
      </c>
    </row>
    <row r="1350" spans="1:9">
      <c r="A1350" t="s">
        <v>3444</v>
      </c>
      <c r="B1350">
        <v>528</v>
      </c>
      <c r="C1350" t="s">
        <v>3445</v>
      </c>
      <c r="D1350" s="9" t="s">
        <v>7525</v>
      </c>
      <c r="F1350" s="1" t="s">
        <v>8477</v>
      </c>
      <c r="G1350" s="1" t="s">
        <v>8478</v>
      </c>
      <c r="H1350" t="s">
        <v>8479</v>
      </c>
      <c r="I1350" t="s">
        <v>8480</v>
      </c>
    </row>
    <row r="1351" spans="1:9">
      <c r="A1351" t="s">
        <v>3444</v>
      </c>
      <c r="B1351">
        <v>528</v>
      </c>
      <c r="C1351" t="s">
        <v>3445</v>
      </c>
      <c r="D1351" s="9" t="s">
        <v>7525</v>
      </c>
      <c r="F1351" s="1" t="s">
        <v>8477</v>
      </c>
      <c r="G1351" s="1" t="s">
        <v>8478</v>
      </c>
      <c r="H1351" t="s">
        <v>10458</v>
      </c>
      <c r="I1351" t="s">
        <v>10459</v>
      </c>
    </row>
    <row r="1352" spans="1:9">
      <c r="A1352" t="s">
        <v>3448</v>
      </c>
      <c r="B1352">
        <v>339</v>
      </c>
      <c r="C1352" t="s">
        <v>3449</v>
      </c>
      <c r="D1352" s="9" t="s">
        <v>7526</v>
      </c>
      <c r="F1352" s="1" t="s">
        <v>8481</v>
      </c>
      <c r="G1352" s="1" t="s">
        <v>8482</v>
      </c>
      <c r="H1352" t="s">
        <v>8483</v>
      </c>
      <c r="I1352" t="s">
        <v>8484</v>
      </c>
    </row>
    <row r="1353" spans="1:9">
      <c r="A1353" t="s">
        <v>3448</v>
      </c>
      <c r="B1353">
        <v>339</v>
      </c>
      <c r="C1353" t="s">
        <v>3449</v>
      </c>
      <c r="D1353" s="9" t="s">
        <v>7526</v>
      </c>
      <c r="F1353" s="1" t="s">
        <v>8481</v>
      </c>
      <c r="G1353" s="1" t="s">
        <v>8482</v>
      </c>
      <c r="H1353" t="s">
        <v>10460</v>
      </c>
      <c r="I1353" t="s">
        <v>10461</v>
      </c>
    </row>
    <row r="1354" spans="1:9">
      <c r="A1354" t="s">
        <v>3448</v>
      </c>
      <c r="B1354">
        <v>339</v>
      </c>
      <c r="C1354" t="s">
        <v>3449</v>
      </c>
      <c r="D1354" s="9" t="s">
        <v>7526</v>
      </c>
      <c r="F1354" s="1" t="s">
        <v>8481</v>
      </c>
      <c r="G1354" s="1" t="s">
        <v>8482</v>
      </c>
      <c r="H1354" t="s">
        <v>10460</v>
      </c>
      <c r="I1354" t="s">
        <v>10462</v>
      </c>
    </row>
    <row r="1355" spans="1:9">
      <c r="A1355" t="s">
        <v>3448</v>
      </c>
      <c r="B1355">
        <v>339</v>
      </c>
      <c r="C1355" t="s">
        <v>3449</v>
      </c>
      <c r="D1355" s="9" t="s">
        <v>7526</v>
      </c>
      <c r="F1355" s="1" t="s">
        <v>8481</v>
      </c>
      <c r="G1355" s="1" t="s">
        <v>8482</v>
      </c>
      <c r="H1355" t="s">
        <v>10463</v>
      </c>
      <c r="I1355" t="s">
        <v>10464</v>
      </c>
    </row>
    <row r="1356" spans="1:9">
      <c r="A1356" t="s">
        <v>3450</v>
      </c>
      <c r="B1356">
        <v>270</v>
      </c>
      <c r="C1356" t="s">
        <v>3451</v>
      </c>
      <c r="D1356" s="1" t="s">
        <v>7467</v>
      </c>
      <c r="F1356" s="1" t="s">
        <v>8313</v>
      </c>
      <c r="G1356" s="1" t="s">
        <v>8314</v>
      </c>
      <c r="H1356" t="s">
        <v>8315</v>
      </c>
      <c r="I1356" t="s">
        <v>8316</v>
      </c>
    </row>
    <row r="1357" spans="1:9">
      <c r="A1357" t="s">
        <v>3453</v>
      </c>
      <c r="B1357">
        <v>190</v>
      </c>
      <c r="C1357" t="s">
        <v>3454</v>
      </c>
    </row>
    <row r="1358" spans="1:9">
      <c r="A1358" t="s">
        <v>3457</v>
      </c>
      <c r="B1358">
        <v>367</v>
      </c>
      <c r="C1358" t="s">
        <v>3458</v>
      </c>
      <c r="D1358" s="1" t="s">
        <v>7527</v>
      </c>
      <c r="F1358" s="1" t="s">
        <v>8485</v>
      </c>
      <c r="G1358" s="1" t="s">
        <v>8486</v>
      </c>
      <c r="H1358" t="s">
        <v>8268</v>
      </c>
      <c r="I1358" t="s">
        <v>8487</v>
      </c>
    </row>
    <row r="1359" spans="1:9">
      <c r="A1359" t="s">
        <v>3460</v>
      </c>
      <c r="B1359">
        <v>368</v>
      </c>
      <c r="C1359" t="s">
        <v>3461</v>
      </c>
    </row>
    <row r="1360" spans="1:9">
      <c r="A1360" t="s">
        <v>3462</v>
      </c>
      <c r="B1360">
        <v>512</v>
      </c>
      <c r="C1360" t="s">
        <v>3463</v>
      </c>
    </row>
    <row r="1361" spans="1:9">
      <c r="A1361" t="s">
        <v>3466</v>
      </c>
      <c r="B1361">
        <v>306</v>
      </c>
      <c r="C1361" t="s">
        <v>3467</v>
      </c>
    </row>
    <row r="1362" spans="1:9">
      <c r="A1362" t="s">
        <v>3470</v>
      </c>
      <c r="B1362">
        <v>242</v>
      </c>
      <c r="C1362" t="s">
        <v>3471</v>
      </c>
      <c r="D1362" s="1" t="s">
        <v>7324</v>
      </c>
    </row>
    <row r="1363" spans="1:9">
      <c r="A1363" t="s">
        <v>3472</v>
      </c>
      <c r="B1363">
        <v>296</v>
      </c>
      <c r="C1363" t="s">
        <v>3473</v>
      </c>
    </row>
    <row r="1364" spans="1:9">
      <c r="A1364" t="s">
        <v>3476</v>
      </c>
      <c r="B1364">
        <v>501</v>
      </c>
      <c r="C1364" t="s">
        <v>3477</v>
      </c>
    </row>
    <row r="1365" spans="1:9">
      <c r="A1365" t="s">
        <v>3478</v>
      </c>
      <c r="B1365">
        <v>530</v>
      </c>
      <c r="C1365" t="s">
        <v>3479</v>
      </c>
    </row>
    <row r="1366" spans="1:9">
      <c r="A1366" t="s">
        <v>3480</v>
      </c>
      <c r="B1366">
        <v>814</v>
      </c>
      <c r="C1366" t="s">
        <v>3481</v>
      </c>
    </row>
    <row r="1367" spans="1:9">
      <c r="A1367" t="s">
        <v>3484</v>
      </c>
      <c r="B1367">
        <v>514</v>
      </c>
      <c r="C1367" t="s">
        <v>3485</v>
      </c>
      <c r="D1367" s="1" t="s">
        <v>7528</v>
      </c>
      <c r="F1367" s="1" t="s">
        <v>8488</v>
      </c>
      <c r="G1367" s="1" t="s">
        <v>8489</v>
      </c>
      <c r="H1367" t="s">
        <v>8490</v>
      </c>
      <c r="I1367" t="s">
        <v>8491</v>
      </c>
    </row>
    <row r="1368" spans="1:9">
      <c r="C1368" t="s">
        <v>3486</v>
      </c>
    </row>
    <row r="1369" spans="1:9">
      <c r="C1369" t="s">
        <v>3488</v>
      </c>
    </row>
    <row r="1370" spans="1:9">
      <c r="C1370" t="s">
        <v>3489</v>
      </c>
    </row>
    <row r="1371" spans="1:9">
      <c r="A1371" t="s">
        <v>3490</v>
      </c>
      <c r="B1371">
        <v>148</v>
      </c>
      <c r="C1371" t="s">
        <v>3491</v>
      </c>
    </row>
    <row r="1372" spans="1:9">
      <c r="A1372" t="s">
        <v>3493</v>
      </c>
      <c r="B1372">
        <v>607</v>
      </c>
      <c r="C1372" t="s">
        <v>3494</v>
      </c>
    </row>
    <row r="1373" spans="1:9">
      <c r="A1373" t="s">
        <v>3497</v>
      </c>
      <c r="B1373">
        <v>435</v>
      </c>
      <c r="C1373" t="s">
        <v>3498</v>
      </c>
      <c r="D1373" s="1" t="s">
        <v>7435</v>
      </c>
      <c r="F1373" s="1" t="s">
        <v>8231</v>
      </c>
    </row>
    <row r="1374" spans="1:9">
      <c r="A1374" t="s">
        <v>3501</v>
      </c>
      <c r="B1374">
        <v>729</v>
      </c>
      <c r="C1374" t="s">
        <v>3502</v>
      </c>
    </row>
    <row r="1375" spans="1:9">
      <c r="A1375" t="s">
        <v>3504</v>
      </c>
      <c r="B1375">
        <v>890</v>
      </c>
      <c r="C1375" t="s">
        <v>3505</v>
      </c>
    </row>
    <row r="1376" spans="1:9">
      <c r="A1376" t="s">
        <v>3506</v>
      </c>
      <c r="B1376">
        <v>97</v>
      </c>
      <c r="C1376" t="s">
        <v>3507</v>
      </c>
    </row>
    <row r="1377" spans="1:9">
      <c r="A1377" t="s">
        <v>3510</v>
      </c>
      <c r="B1377">
        <v>227</v>
      </c>
      <c r="C1377" t="s">
        <v>3511</v>
      </c>
    </row>
    <row r="1378" spans="1:9">
      <c r="A1378" t="s">
        <v>3514</v>
      </c>
      <c r="B1378">
        <v>473</v>
      </c>
      <c r="C1378" t="s">
        <v>3515</v>
      </c>
      <c r="D1378" s="9" t="s">
        <v>7529</v>
      </c>
      <c r="F1378" s="1" t="s">
        <v>8492</v>
      </c>
      <c r="G1378" s="1" t="s">
        <v>8493</v>
      </c>
      <c r="H1378" t="s">
        <v>8494</v>
      </c>
      <c r="I1378" t="s">
        <v>8495</v>
      </c>
    </row>
    <row r="1379" spans="1:9">
      <c r="A1379" t="s">
        <v>3514</v>
      </c>
      <c r="B1379">
        <v>473</v>
      </c>
      <c r="C1379" t="s">
        <v>3515</v>
      </c>
      <c r="D1379" s="9" t="s">
        <v>7529</v>
      </c>
      <c r="F1379" s="1" t="s">
        <v>8492</v>
      </c>
      <c r="G1379" s="1" t="s">
        <v>8493</v>
      </c>
      <c r="H1379" t="s">
        <v>10465</v>
      </c>
      <c r="I1379" t="s">
        <v>10466</v>
      </c>
    </row>
    <row r="1380" spans="1:9">
      <c r="A1380" t="s">
        <v>3514</v>
      </c>
      <c r="B1380">
        <v>473</v>
      </c>
      <c r="C1380" t="s">
        <v>3515</v>
      </c>
      <c r="D1380" s="9" t="s">
        <v>7529</v>
      </c>
      <c r="F1380" s="1" t="s">
        <v>8492</v>
      </c>
      <c r="G1380" s="1" t="s">
        <v>8493</v>
      </c>
      <c r="H1380" t="s">
        <v>10465</v>
      </c>
      <c r="I1380" t="s">
        <v>8494</v>
      </c>
    </row>
    <row r="1381" spans="1:9">
      <c r="A1381" t="s">
        <v>3518</v>
      </c>
      <c r="B1381">
        <v>197</v>
      </c>
      <c r="C1381" t="s">
        <v>3519</v>
      </c>
      <c r="D1381" s="9" t="s">
        <v>7529</v>
      </c>
      <c r="F1381" s="1" t="s">
        <v>8492</v>
      </c>
      <c r="G1381" s="1" t="s">
        <v>8493</v>
      </c>
      <c r="H1381" t="s">
        <v>8494</v>
      </c>
      <c r="I1381" t="s">
        <v>8495</v>
      </c>
    </row>
    <row r="1382" spans="1:9">
      <c r="A1382" t="s">
        <v>3518</v>
      </c>
      <c r="B1382">
        <v>197</v>
      </c>
      <c r="C1382" t="s">
        <v>3519</v>
      </c>
      <c r="D1382" s="9" t="s">
        <v>7529</v>
      </c>
      <c r="F1382" s="1" t="s">
        <v>8492</v>
      </c>
      <c r="G1382" s="1" t="s">
        <v>8493</v>
      </c>
      <c r="H1382" t="s">
        <v>10465</v>
      </c>
      <c r="I1382" t="s">
        <v>10466</v>
      </c>
    </row>
    <row r="1383" spans="1:9">
      <c r="A1383" t="s">
        <v>3518</v>
      </c>
      <c r="B1383">
        <v>197</v>
      </c>
      <c r="C1383" t="s">
        <v>3519</v>
      </c>
      <c r="D1383" s="9" t="s">
        <v>7529</v>
      </c>
      <c r="F1383" s="1" t="s">
        <v>8492</v>
      </c>
      <c r="G1383" s="1" t="s">
        <v>8493</v>
      </c>
      <c r="H1383" t="s">
        <v>10465</v>
      </c>
      <c r="I1383" t="s">
        <v>8494</v>
      </c>
    </row>
    <row r="1384" spans="1:9">
      <c r="A1384" t="s">
        <v>3520</v>
      </c>
      <c r="B1384">
        <v>261</v>
      </c>
      <c r="C1384" t="s">
        <v>3521</v>
      </c>
    </row>
    <row r="1385" spans="1:9">
      <c r="A1385" t="s">
        <v>3524</v>
      </c>
      <c r="B1385">
        <v>332</v>
      </c>
      <c r="C1385" t="s">
        <v>3525</v>
      </c>
      <c r="D1385" s="1" t="s">
        <v>7432</v>
      </c>
    </row>
    <row r="1386" spans="1:9">
      <c r="A1386" t="s">
        <v>3528</v>
      </c>
      <c r="B1386">
        <v>332</v>
      </c>
      <c r="C1386" t="s">
        <v>3529</v>
      </c>
      <c r="D1386" s="9" t="s">
        <v>7530</v>
      </c>
      <c r="F1386" s="1" t="s">
        <v>8496</v>
      </c>
      <c r="G1386" s="1" t="s">
        <v>8497</v>
      </c>
      <c r="H1386" t="s">
        <v>8498</v>
      </c>
      <c r="I1386" t="s">
        <v>8499</v>
      </c>
    </row>
    <row r="1387" spans="1:9">
      <c r="A1387" t="s">
        <v>3528</v>
      </c>
      <c r="B1387">
        <v>332</v>
      </c>
      <c r="C1387" t="s">
        <v>3529</v>
      </c>
      <c r="D1387" s="9" t="s">
        <v>7530</v>
      </c>
      <c r="F1387" s="1" t="s">
        <v>8496</v>
      </c>
      <c r="G1387" s="1" t="s">
        <v>8497</v>
      </c>
      <c r="H1387" t="s">
        <v>10467</v>
      </c>
      <c r="I1387" t="s">
        <v>10468</v>
      </c>
    </row>
    <row r="1388" spans="1:9">
      <c r="A1388" t="s">
        <v>3532</v>
      </c>
      <c r="B1388">
        <v>355</v>
      </c>
      <c r="C1388" t="s">
        <v>3533</v>
      </c>
      <c r="D1388" s="1" t="s">
        <v>7531</v>
      </c>
      <c r="F1388" s="1" t="s">
        <v>8500</v>
      </c>
      <c r="G1388" s="1" t="s">
        <v>8501</v>
      </c>
      <c r="H1388" t="s">
        <v>8502</v>
      </c>
      <c r="I1388" t="s">
        <v>8503</v>
      </c>
    </row>
    <row r="1389" spans="1:9">
      <c r="A1389" t="s">
        <v>3534</v>
      </c>
      <c r="B1389">
        <v>299</v>
      </c>
      <c r="C1389" t="s">
        <v>3535</v>
      </c>
      <c r="F1389" s="1"/>
    </row>
    <row r="1390" spans="1:9">
      <c r="A1390" t="s">
        <v>3538</v>
      </c>
      <c r="B1390">
        <v>318</v>
      </c>
      <c r="C1390" t="s">
        <v>3539</v>
      </c>
      <c r="D1390" s="1" t="s">
        <v>7532</v>
      </c>
      <c r="F1390" s="1" t="s">
        <v>8504</v>
      </c>
      <c r="G1390" s="1" t="s">
        <v>8505</v>
      </c>
      <c r="H1390" t="s">
        <v>8506</v>
      </c>
      <c r="I1390" t="s">
        <v>8507</v>
      </c>
    </row>
    <row r="1391" spans="1:9">
      <c r="A1391" t="s">
        <v>3542</v>
      </c>
      <c r="B1391">
        <v>212</v>
      </c>
      <c r="C1391" t="s">
        <v>3543</v>
      </c>
      <c r="D1391" s="1" t="s">
        <v>7533</v>
      </c>
      <c r="F1391" s="1" t="s">
        <v>8508</v>
      </c>
    </row>
    <row r="1392" spans="1:9">
      <c r="A1392" t="s">
        <v>3545</v>
      </c>
      <c r="B1392">
        <v>439</v>
      </c>
      <c r="C1392" t="s">
        <v>3546</v>
      </c>
    </row>
    <row r="1393" spans="1:9">
      <c r="A1393" t="s">
        <v>3549</v>
      </c>
      <c r="B1393">
        <v>708</v>
      </c>
      <c r="C1393" t="s">
        <v>3550</v>
      </c>
      <c r="D1393" s="1" t="s">
        <v>7435</v>
      </c>
      <c r="F1393" s="1" t="s">
        <v>8231</v>
      </c>
    </row>
    <row r="1394" spans="1:9">
      <c r="A1394" t="s">
        <v>3553</v>
      </c>
      <c r="B1394">
        <v>70</v>
      </c>
      <c r="C1394" t="s">
        <v>3554</v>
      </c>
    </row>
    <row r="1395" spans="1:9">
      <c r="A1395" t="s">
        <v>3557</v>
      </c>
      <c r="B1395">
        <v>197</v>
      </c>
      <c r="C1395" t="s">
        <v>3558</v>
      </c>
      <c r="D1395" s="1" t="s">
        <v>7534</v>
      </c>
      <c r="F1395" s="1" t="s">
        <v>8509</v>
      </c>
      <c r="G1395" s="1" t="s">
        <v>8510</v>
      </c>
      <c r="H1395" t="s">
        <v>8401</v>
      </c>
      <c r="I1395" t="s">
        <v>8511</v>
      </c>
    </row>
    <row r="1396" spans="1:9">
      <c r="A1396" t="s">
        <v>3561</v>
      </c>
      <c r="B1396">
        <v>157</v>
      </c>
      <c r="C1396" t="s">
        <v>3562</v>
      </c>
      <c r="D1396" s="1" t="s">
        <v>7535</v>
      </c>
      <c r="F1396" s="1" t="s">
        <v>8512</v>
      </c>
      <c r="G1396" s="1" t="s">
        <v>8513</v>
      </c>
      <c r="H1396" t="s">
        <v>8514</v>
      </c>
      <c r="I1396" t="s">
        <v>8515</v>
      </c>
    </row>
    <row r="1397" spans="1:9">
      <c r="A1397" t="s">
        <v>3563</v>
      </c>
      <c r="B1397">
        <v>248</v>
      </c>
      <c r="C1397" t="s">
        <v>3564</v>
      </c>
    </row>
    <row r="1398" spans="1:9">
      <c r="A1398" t="s">
        <v>3567</v>
      </c>
      <c r="B1398">
        <v>254</v>
      </c>
      <c r="C1398" t="s">
        <v>3568</v>
      </c>
    </row>
    <row r="1399" spans="1:9">
      <c r="A1399" t="s">
        <v>3571</v>
      </c>
      <c r="B1399">
        <v>317</v>
      </c>
      <c r="C1399" t="s">
        <v>3572</v>
      </c>
    </row>
    <row r="1400" spans="1:9">
      <c r="A1400" t="s">
        <v>3575</v>
      </c>
      <c r="B1400">
        <v>295</v>
      </c>
      <c r="C1400" t="s">
        <v>3576</v>
      </c>
    </row>
    <row r="1401" spans="1:9">
      <c r="A1401" t="s">
        <v>3577</v>
      </c>
      <c r="B1401">
        <v>278</v>
      </c>
      <c r="C1401" t="s">
        <v>3578</v>
      </c>
    </row>
    <row r="1402" spans="1:9">
      <c r="C1402" t="s">
        <v>3579</v>
      </c>
    </row>
    <row r="1403" spans="1:9">
      <c r="A1403" t="s">
        <v>3582</v>
      </c>
      <c r="B1403">
        <v>889</v>
      </c>
      <c r="C1403" t="s">
        <v>3583</v>
      </c>
      <c r="D1403" s="1" t="s">
        <v>7279</v>
      </c>
      <c r="F1403" s="1" t="s">
        <v>7828</v>
      </c>
      <c r="G1403" s="1" t="s">
        <v>7829</v>
      </c>
      <c r="H1403" t="s">
        <v>7830</v>
      </c>
      <c r="I1403" s="3" t="s">
        <v>7831</v>
      </c>
    </row>
    <row r="1404" spans="1:9">
      <c r="A1404" t="s">
        <v>3582</v>
      </c>
      <c r="B1404">
        <v>889</v>
      </c>
      <c r="C1404" t="s">
        <v>3583</v>
      </c>
      <c r="D1404" s="1" t="s">
        <v>7279</v>
      </c>
      <c r="F1404" s="1" t="s">
        <v>7828</v>
      </c>
      <c r="G1404" s="1" t="s">
        <v>7829</v>
      </c>
      <c r="H1404" t="s">
        <v>10162</v>
      </c>
      <c r="I1404" s="3" t="s">
        <v>10163</v>
      </c>
    </row>
    <row r="1405" spans="1:9">
      <c r="A1405" t="s">
        <v>3582</v>
      </c>
      <c r="B1405">
        <v>889</v>
      </c>
      <c r="C1405" t="s">
        <v>3583</v>
      </c>
      <c r="D1405" s="1" t="s">
        <v>7279</v>
      </c>
      <c r="F1405" s="1" t="s">
        <v>7828</v>
      </c>
      <c r="G1405" s="1" t="s">
        <v>7829</v>
      </c>
      <c r="H1405" t="s">
        <v>10164</v>
      </c>
      <c r="I1405" s="3" t="s">
        <v>10163</v>
      </c>
    </row>
    <row r="1406" spans="1:9">
      <c r="A1406" t="s">
        <v>3582</v>
      </c>
      <c r="B1406">
        <v>889</v>
      </c>
      <c r="C1406" t="s">
        <v>3583</v>
      </c>
      <c r="D1406" s="1" t="s">
        <v>7279</v>
      </c>
      <c r="F1406" s="1" t="s">
        <v>7828</v>
      </c>
      <c r="G1406" s="1" t="s">
        <v>7829</v>
      </c>
      <c r="H1406" t="s">
        <v>10165</v>
      </c>
      <c r="I1406" s="3" t="s">
        <v>10163</v>
      </c>
    </row>
    <row r="1407" spans="1:9">
      <c r="A1407" t="s">
        <v>3582</v>
      </c>
      <c r="B1407">
        <v>889</v>
      </c>
      <c r="C1407" t="s">
        <v>3583</v>
      </c>
      <c r="D1407" s="1" t="s">
        <v>7279</v>
      </c>
      <c r="F1407" s="1" t="s">
        <v>7828</v>
      </c>
      <c r="G1407" s="1" t="s">
        <v>7829</v>
      </c>
      <c r="H1407" t="s">
        <v>10166</v>
      </c>
      <c r="I1407" s="3" t="s">
        <v>10163</v>
      </c>
    </row>
    <row r="1408" spans="1:9">
      <c r="A1408" t="s">
        <v>3582</v>
      </c>
      <c r="B1408">
        <v>889</v>
      </c>
      <c r="C1408" t="s">
        <v>3583</v>
      </c>
      <c r="D1408" s="1" t="s">
        <v>7279</v>
      </c>
      <c r="F1408" s="1" t="s">
        <v>7828</v>
      </c>
      <c r="G1408" s="1" t="s">
        <v>7829</v>
      </c>
      <c r="H1408" t="s">
        <v>10167</v>
      </c>
      <c r="I1408" s="3" t="s">
        <v>10168</v>
      </c>
    </row>
    <row r="1409" spans="1:9">
      <c r="A1409" t="s">
        <v>3584</v>
      </c>
      <c r="B1409">
        <v>312</v>
      </c>
      <c r="C1409" t="s">
        <v>3585</v>
      </c>
    </row>
    <row r="1410" spans="1:9">
      <c r="A1410" t="s">
        <v>3586</v>
      </c>
      <c r="B1410">
        <v>123</v>
      </c>
      <c r="C1410" t="s">
        <v>3587</v>
      </c>
    </row>
    <row r="1411" spans="1:9">
      <c r="A1411" t="s">
        <v>3588</v>
      </c>
      <c r="B1411">
        <v>155</v>
      </c>
      <c r="C1411" t="s">
        <v>3589</v>
      </c>
    </row>
    <row r="1412" spans="1:9">
      <c r="A1412" t="s">
        <v>3591</v>
      </c>
      <c r="B1412">
        <v>243</v>
      </c>
      <c r="C1412" t="s">
        <v>3592</v>
      </c>
    </row>
    <row r="1413" spans="1:9">
      <c r="A1413" t="s">
        <v>3595</v>
      </c>
      <c r="B1413">
        <v>487</v>
      </c>
      <c r="C1413" t="s">
        <v>3596</v>
      </c>
    </row>
    <row r="1414" spans="1:9">
      <c r="A1414" t="s">
        <v>3599</v>
      </c>
      <c r="B1414">
        <v>682</v>
      </c>
      <c r="C1414" t="s">
        <v>3600</v>
      </c>
    </row>
    <row r="1415" spans="1:9">
      <c r="A1415" t="s">
        <v>3603</v>
      </c>
      <c r="B1415">
        <v>200</v>
      </c>
      <c r="C1415" t="s">
        <v>3604</v>
      </c>
      <c r="D1415" s="1" t="s">
        <v>7536</v>
      </c>
      <c r="F1415" s="1" t="s">
        <v>8516</v>
      </c>
      <c r="G1415" s="1" t="s">
        <v>8517</v>
      </c>
      <c r="H1415" t="s">
        <v>8518</v>
      </c>
      <c r="I1415" t="s">
        <v>8519</v>
      </c>
    </row>
    <row r="1416" spans="1:9">
      <c r="A1416" t="s">
        <v>3605</v>
      </c>
      <c r="B1416">
        <v>82</v>
      </c>
      <c r="C1416" t="s">
        <v>3606</v>
      </c>
    </row>
    <row r="1417" spans="1:9">
      <c r="A1417" t="s">
        <v>3609</v>
      </c>
      <c r="B1417">
        <v>697</v>
      </c>
      <c r="C1417" t="s">
        <v>3610</v>
      </c>
    </row>
    <row r="1418" spans="1:9">
      <c r="A1418" t="s">
        <v>3612</v>
      </c>
      <c r="B1418">
        <v>150</v>
      </c>
      <c r="C1418" t="s">
        <v>3613</v>
      </c>
    </row>
    <row r="1419" spans="1:9">
      <c r="A1419" t="s">
        <v>3614</v>
      </c>
      <c r="B1419">
        <v>146</v>
      </c>
      <c r="C1419" t="s">
        <v>3615</v>
      </c>
    </row>
    <row r="1420" spans="1:9">
      <c r="A1420" t="s">
        <v>3618</v>
      </c>
      <c r="B1420">
        <v>752</v>
      </c>
      <c r="C1420" t="s">
        <v>3619</v>
      </c>
      <c r="D1420" s="1" t="s">
        <v>7435</v>
      </c>
      <c r="F1420" s="1" t="s">
        <v>8231</v>
      </c>
    </row>
    <row r="1421" spans="1:9">
      <c r="A1421" t="s">
        <v>3620</v>
      </c>
      <c r="B1421">
        <v>338</v>
      </c>
      <c r="C1421" t="s">
        <v>3621</v>
      </c>
    </row>
    <row r="1422" spans="1:9">
      <c r="A1422" t="s">
        <v>3623</v>
      </c>
      <c r="B1422">
        <v>200</v>
      </c>
      <c r="C1422" t="s">
        <v>3624</v>
      </c>
      <c r="D1422" s="1" t="s">
        <v>7332</v>
      </c>
    </row>
    <row r="1423" spans="1:9">
      <c r="A1423" t="s">
        <v>3626</v>
      </c>
      <c r="B1423">
        <v>946</v>
      </c>
      <c r="C1423" t="s">
        <v>3627</v>
      </c>
    </row>
    <row r="1424" spans="1:9">
      <c r="A1424" t="s">
        <v>3628</v>
      </c>
      <c r="B1424">
        <v>284</v>
      </c>
      <c r="C1424" t="s">
        <v>3629</v>
      </c>
    </row>
    <row r="1425" spans="1:9">
      <c r="A1425" t="s">
        <v>3632</v>
      </c>
      <c r="B1425">
        <v>148</v>
      </c>
      <c r="C1425" t="s">
        <v>3633</v>
      </c>
    </row>
    <row r="1426" spans="1:9">
      <c r="A1426" t="s">
        <v>3636</v>
      </c>
      <c r="B1426">
        <v>64</v>
      </c>
      <c r="C1426" t="s">
        <v>3637</v>
      </c>
    </row>
    <row r="1427" spans="1:9">
      <c r="A1427" t="s">
        <v>3640</v>
      </c>
      <c r="B1427">
        <v>127</v>
      </c>
      <c r="C1427" t="s">
        <v>3641</v>
      </c>
    </row>
    <row r="1428" spans="1:9">
      <c r="A1428" t="s">
        <v>3643</v>
      </c>
      <c r="B1428">
        <v>141</v>
      </c>
      <c r="C1428" t="s">
        <v>3644</v>
      </c>
    </row>
    <row r="1429" spans="1:9">
      <c r="A1429" t="s">
        <v>3646</v>
      </c>
      <c r="B1429">
        <v>268</v>
      </c>
      <c r="C1429" t="s">
        <v>3647</v>
      </c>
      <c r="D1429" s="1" t="s">
        <v>7501</v>
      </c>
    </row>
    <row r="1430" spans="1:9">
      <c r="A1430" t="s">
        <v>3650</v>
      </c>
      <c r="B1430">
        <v>348</v>
      </c>
      <c r="C1430" t="s">
        <v>3651</v>
      </c>
      <c r="D1430" s="1" t="s">
        <v>7537</v>
      </c>
      <c r="F1430" s="1" t="s">
        <v>8520</v>
      </c>
      <c r="G1430" s="1" t="s">
        <v>8521</v>
      </c>
      <c r="H1430" t="s">
        <v>8522</v>
      </c>
      <c r="I1430" t="s">
        <v>8523</v>
      </c>
    </row>
    <row r="1431" spans="1:9">
      <c r="A1431" t="s">
        <v>3654</v>
      </c>
      <c r="B1431">
        <v>838</v>
      </c>
      <c r="C1431" t="s">
        <v>3655</v>
      </c>
      <c r="D1431" s="1" t="s">
        <v>7537</v>
      </c>
      <c r="F1431" s="1" t="s">
        <v>8520</v>
      </c>
      <c r="G1431" s="1" t="s">
        <v>8521</v>
      </c>
      <c r="H1431" t="s">
        <v>8522</v>
      </c>
      <c r="I1431" s="3" t="s">
        <v>8523</v>
      </c>
    </row>
    <row r="1432" spans="1:9">
      <c r="A1432" t="s">
        <v>3658</v>
      </c>
      <c r="B1432">
        <v>347</v>
      </c>
      <c r="C1432" t="s">
        <v>3659</v>
      </c>
      <c r="D1432" s="1" t="s">
        <v>7538</v>
      </c>
      <c r="F1432" s="1" t="s">
        <v>8524</v>
      </c>
      <c r="G1432" s="1" t="s">
        <v>8525</v>
      </c>
      <c r="H1432" t="s">
        <v>8526</v>
      </c>
      <c r="I1432" t="s">
        <v>8527</v>
      </c>
    </row>
    <row r="1433" spans="1:9">
      <c r="A1433" t="s">
        <v>3662</v>
      </c>
      <c r="B1433">
        <v>389</v>
      </c>
      <c r="C1433" t="s">
        <v>3663</v>
      </c>
    </row>
    <row r="1434" spans="1:9">
      <c r="A1434" t="s">
        <v>3666</v>
      </c>
      <c r="B1434">
        <v>311</v>
      </c>
      <c r="C1434" t="s">
        <v>3667</v>
      </c>
      <c r="D1434" s="1" t="s">
        <v>7539</v>
      </c>
      <c r="F1434" s="1" t="s">
        <v>8528</v>
      </c>
      <c r="G1434" s="1" t="s">
        <v>8529</v>
      </c>
      <c r="H1434" t="s">
        <v>8530</v>
      </c>
      <c r="I1434" t="s">
        <v>8531</v>
      </c>
    </row>
    <row r="1435" spans="1:9">
      <c r="A1435" t="s">
        <v>3670</v>
      </c>
      <c r="B1435">
        <v>392</v>
      </c>
      <c r="C1435" t="s">
        <v>3671</v>
      </c>
      <c r="D1435" s="1" t="s">
        <v>7540</v>
      </c>
      <c r="F1435" s="1" t="s">
        <v>8532</v>
      </c>
      <c r="G1435" s="1" t="s">
        <v>8533</v>
      </c>
      <c r="H1435" t="s">
        <v>8534</v>
      </c>
      <c r="I1435" t="s">
        <v>8535</v>
      </c>
    </row>
    <row r="1436" spans="1:9">
      <c r="A1436" t="s">
        <v>3674</v>
      </c>
      <c r="B1436">
        <v>306</v>
      </c>
      <c r="C1436" t="s">
        <v>3675</v>
      </c>
      <c r="D1436" s="1" t="s">
        <v>7541</v>
      </c>
      <c r="F1436" s="1" t="s">
        <v>8536</v>
      </c>
      <c r="G1436" s="1" t="s">
        <v>8537</v>
      </c>
      <c r="H1436" t="s">
        <v>8538</v>
      </c>
      <c r="I1436" t="s">
        <v>8551</v>
      </c>
    </row>
    <row r="1437" spans="1:9">
      <c r="A1437" t="s">
        <v>3678</v>
      </c>
      <c r="B1437">
        <v>160</v>
      </c>
      <c r="C1437" t="s">
        <v>3679</v>
      </c>
    </row>
    <row r="1438" spans="1:9">
      <c r="A1438" t="s">
        <v>3682</v>
      </c>
      <c r="B1438">
        <v>406</v>
      </c>
      <c r="C1438" t="s">
        <v>3683</v>
      </c>
      <c r="D1438" s="1" t="s">
        <v>7542</v>
      </c>
      <c r="F1438" s="1" t="s">
        <v>8539</v>
      </c>
      <c r="G1438" s="1" t="s">
        <v>8540</v>
      </c>
      <c r="H1438" t="s">
        <v>8541</v>
      </c>
      <c r="I1438" t="s">
        <v>8542</v>
      </c>
    </row>
    <row r="1439" spans="1:9">
      <c r="A1439" t="s">
        <v>3686</v>
      </c>
      <c r="B1439">
        <v>476</v>
      </c>
      <c r="C1439" t="s">
        <v>3687</v>
      </c>
      <c r="D1439" s="1" t="s">
        <v>7543</v>
      </c>
      <c r="F1439" s="1" t="s">
        <v>8543</v>
      </c>
      <c r="G1439" s="1" t="s">
        <v>8544</v>
      </c>
      <c r="H1439" t="s">
        <v>8545</v>
      </c>
      <c r="I1439" t="s">
        <v>8546</v>
      </c>
    </row>
    <row r="1440" spans="1:9">
      <c r="A1440" t="s">
        <v>3690</v>
      </c>
      <c r="B1440">
        <v>505</v>
      </c>
      <c r="C1440" t="s">
        <v>3691</v>
      </c>
    </row>
    <row r="1441" spans="1:9">
      <c r="A1441" t="s">
        <v>3694</v>
      </c>
      <c r="B1441">
        <v>345</v>
      </c>
      <c r="C1441" t="s">
        <v>3695</v>
      </c>
      <c r="D1441" s="1" t="s">
        <v>7544</v>
      </c>
      <c r="F1441" s="1" t="s">
        <v>8547</v>
      </c>
      <c r="G1441" s="1" t="s">
        <v>8548</v>
      </c>
      <c r="H1441" t="s">
        <v>8549</v>
      </c>
      <c r="I1441" t="s">
        <v>8550</v>
      </c>
    </row>
    <row r="1442" spans="1:9">
      <c r="A1442" t="s">
        <v>3697</v>
      </c>
      <c r="B1442">
        <v>386</v>
      </c>
      <c r="C1442" t="s">
        <v>3698</v>
      </c>
    </row>
    <row r="1443" spans="1:9">
      <c r="A1443" t="s">
        <v>3701</v>
      </c>
      <c r="B1443">
        <v>260</v>
      </c>
      <c r="C1443" t="s">
        <v>3702</v>
      </c>
      <c r="D1443" s="1" t="s">
        <v>7545</v>
      </c>
      <c r="F1443" s="1" t="s">
        <v>8552</v>
      </c>
      <c r="G1443" s="1" t="s">
        <v>8553</v>
      </c>
      <c r="H1443" t="s">
        <v>8554</v>
      </c>
      <c r="I1443" t="s">
        <v>8555</v>
      </c>
    </row>
    <row r="1444" spans="1:9">
      <c r="A1444" t="s">
        <v>3704</v>
      </c>
      <c r="B1444">
        <v>67</v>
      </c>
      <c r="C1444" t="s">
        <v>3705</v>
      </c>
    </row>
    <row r="1445" spans="1:9">
      <c r="A1445" t="s">
        <v>3708</v>
      </c>
      <c r="B1445">
        <v>379</v>
      </c>
      <c r="C1445" t="s">
        <v>3709</v>
      </c>
      <c r="D1445" s="9" t="s">
        <v>7546</v>
      </c>
      <c r="F1445" s="1" t="s">
        <v>8556</v>
      </c>
      <c r="G1445" s="1" t="s">
        <v>8557</v>
      </c>
      <c r="H1445" t="s">
        <v>8558</v>
      </c>
      <c r="I1445" t="s">
        <v>8559</v>
      </c>
    </row>
    <row r="1446" spans="1:9">
      <c r="A1446" t="s">
        <v>3708</v>
      </c>
      <c r="B1446">
        <v>379</v>
      </c>
      <c r="C1446" t="s">
        <v>3709</v>
      </c>
      <c r="D1446" s="9" t="s">
        <v>7546</v>
      </c>
      <c r="F1446" s="1" t="s">
        <v>8556</v>
      </c>
      <c r="G1446" s="1" t="s">
        <v>8557</v>
      </c>
      <c r="H1446" t="s">
        <v>10469</v>
      </c>
      <c r="I1446" t="s">
        <v>10470</v>
      </c>
    </row>
    <row r="1447" spans="1:9">
      <c r="A1447" t="s">
        <v>3712</v>
      </c>
      <c r="B1447">
        <v>205</v>
      </c>
      <c r="C1447" t="s">
        <v>3713</v>
      </c>
      <c r="D1447" s="1" t="s">
        <v>7547</v>
      </c>
    </row>
    <row r="1448" spans="1:9">
      <c r="A1448" t="s">
        <v>3716</v>
      </c>
      <c r="B1448">
        <v>643</v>
      </c>
      <c r="C1448" t="s">
        <v>3717</v>
      </c>
      <c r="D1448" s="1" t="s">
        <v>7548</v>
      </c>
      <c r="F1448" s="1" t="s">
        <v>8560</v>
      </c>
      <c r="G1448" s="1" t="s">
        <v>8561</v>
      </c>
      <c r="H1448" t="s">
        <v>8562</v>
      </c>
      <c r="I1448" t="s">
        <v>8563</v>
      </c>
    </row>
    <row r="1449" spans="1:9">
      <c r="A1449" t="s">
        <v>3718</v>
      </c>
      <c r="B1449">
        <v>55</v>
      </c>
      <c r="C1449" t="s">
        <v>3719</v>
      </c>
    </row>
    <row r="1450" spans="1:9">
      <c r="A1450" t="s">
        <v>3722</v>
      </c>
      <c r="B1450">
        <v>428</v>
      </c>
      <c r="C1450" t="s">
        <v>3723</v>
      </c>
      <c r="D1450" s="1" t="s">
        <v>7549</v>
      </c>
      <c r="F1450" s="1" t="s">
        <v>8564</v>
      </c>
      <c r="G1450" s="1" t="s">
        <v>8565</v>
      </c>
      <c r="H1450" t="s">
        <v>8566</v>
      </c>
      <c r="I1450" t="s">
        <v>8567</v>
      </c>
    </row>
    <row r="1451" spans="1:9">
      <c r="C1451" t="s">
        <v>3724</v>
      </c>
    </row>
    <row r="1452" spans="1:9">
      <c r="C1452" t="s">
        <v>3725</v>
      </c>
    </row>
    <row r="1453" spans="1:9">
      <c r="C1453" t="s">
        <v>3726</v>
      </c>
    </row>
    <row r="1454" spans="1:9">
      <c r="A1454" t="s">
        <v>3727</v>
      </c>
      <c r="B1454">
        <v>162</v>
      </c>
      <c r="C1454" t="s">
        <v>3728</v>
      </c>
    </row>
    <row r="1455" spans="1:9">
      <c r="C1455" t="s">
        <v>3729</v>
      </c>
    </row>
    <row r="1456" spans="1:9">
      <c r="A1456" t="s">
        <v>3730</v>
      </c>
      <c r="B1456">
        <v>178</v>
      </c>
      <c r="C1456" t="s">
        <v>3731</v>
      </c>
    </row>
    <row r="1457" spans="1:9">
      <c r="A1457" t="s">
        <v>3732</v>
      </c>
      <c r="B1457">
        <v>298</v>
      </c>
      <c r="C1457" t="s">
        <v>3733</v>
      </c>
    </row>
    <row r="1458" spans="1:9">
      <c r="A1458" t="s">
        <v>3734</v>
      </c>
      <c r="B1458">
        <v>99</v>
      </c>
      <c r="C1458" t="s">
        <v>3735</v>
      </c>
    </row>
    <row r="1459" spans="1:9">
      <c r="A1459" t="s">
        <v>3736</v>
      </c>
      <c r="B1459">
        <v>447</v>
      </c>
      <c r="C1459" t="s">
        <v>3737</v>
      </c>
    </row>
    <row r="1460" spans="1:9">
      <c r="A1460" t="s">
        <v>3739</v>
      </c>
      <c r="B1460">
        <v>96</v>
      </c>
      <c r="C1460" t="s">
        <v>3740</v>
      </c>
    </row>
    <row r="1461" spans="1:9">
      <c r="A1461" t="s">
        <v>3742</v>
      </c>
      <c r="B1461">
        <v>273</v>
      </c>
      <c r="C1461" t="s">
        <v>3743</v>
      </c>
    </row>
    <row r="1462" spans="1:9">
      <c r="A1462" t="s">
        <v>3746</v>
      </c>
      <c r="B1462">
        <v>327</v>
      </c>
      <c r="C1462" t="s">
        <v>3747</v>
      </c>
      <c r="D1462" s="1" t="s">
        <v>7332</v>
      </c>
    </row>
    <row r="1463" spans="1:9">
      <c r="A1463" t="s">
        <v>3748</v>
      </c>
      <c r="B1463">
        <v>53</v>
      </c>
      <c r="C1463" t="s">
        <v>3749</v>
      </c>
    </row>
    <row r="1464" spans="1:9">
      <c r="A1464" t="s">
        <v>3752</v>
      </c>
      <c r="B1464">
        <v>268</v>
      </c>
      <c r="C1464" t="s">
        <v>3753</v>
      </c>
      <c r="D1464" s="1" t="s">
        <v>7550</v>
      </c>
      <c r="F1464" s="1" t="s">
        <v>8568</v>
      </c>
    </row>
    <row r="1465" spans="1:9">
      <c r="A1465" t="s">
        <v>3756</v>
      </c>
      <c r="B1465">
        <v>293</v>
      </c>
      <c r="C1465" t="s">
        <v>3757</v>
      </c>
      <c r="D1465" s="1" t="s">
        <v>7551</v>
      </c>
      <c r="F1465" s="1" t="s">
        <v>8569</v>
      </c>
      <c r="G1465" s="1" t="s">
        <v>8570</v>
      </c>
      <c r="H1465" t="s">
        <v>8571</v>
      </c>
      <c r="I1465" t="s">
        <v>8572</v>
      </c>
    </row>
    <row r="1466" spans="1:9">
      <c r="A1466" t="s">
        <v>3760</v>
      </c>
      <c r="B1466">
        <v>556</v>
      </c>
      <c r="C1466" t="s">
        <v>3761</v>
      </c>
    </row>
    <row r="1467" spans="1:9">
      <c r="A1467" t="s">
        <v>3762</v>
      </c>
      <c r="B1467">
        <v>383</v>
      </c>
      <c r="C1467" t="s">
        <v>3763</v>
      </c>
    </row>
    <row r="1468" spans="1:9">
      <c r="A1468" t="s">
        <v>3766</v>
      </c>
      <c r="B1468">
        <v>303</v>
      </c>
      <c r="C1468" t="s">
        <v>3767</v>
      </c>
    </row>
    <row r="1469" spans="1:9">
      <c r="A1469" t="s">
        <v>3770</v>
      </c>
      <c r="B1469">
        <v>212</v>
      </c>
      <c r="C1469" t="s">
        <v>3771</v>
      </c>
      <c r="D1469" s="1" t="s">
        <v>7552</v>
      </c>
      <c r="F1469" s="1" t="s">
        <v>8573</v>
      </c>
      <c r="G1469" s="1" t="s">
        <v>8574</v>
      </c>
      <c r="H1469" t="s">
        <v>8575</v>
      </c>
      <c r="I1469" t="s">
        <v>8576</v>
      </c>
    </row>
    <row r="1470" spans="1:9">
      <c r="A1470" t="s">
        <v>3774</v>
      </c>
      <c r="B1470">
        <v>296</v>
      </c>
      <c r="C1470" t="s">
        <v>3775</v>
      </c>
    </row>
    <row r="1471" spans="1:9">
      <c r="A1471" t="s">
        <v>3778</v>
      </c>
      <c r="B1471">
        <v>290</v>
      </c>
      <c r="C1471" t="s">
        <v>3779</v>
      </c>
      <c r="D1471" s="1" t="s">
        <v>7553</v>
      </c>
    </row>
    <row r="1472" spans="1:9">
      <c r="A1472" t="s">
        <v>3782</v>
      </c>
      <c r="B1472">
        <v>265</v>
      </c>
      <c r="C1472" t="s">
        <v>3783</v>
      </c>
    </row>
    <row r="1473" spans="1:9">
      <c r="A1473" t="s">
        <v>3786</v>
      </c>
      <c r="B1473">
        <v>184</v>
      </c>
      <c r="C1473" t="s">
        <v>3787</v>
      </c>
    </row>
    <row r="1474" spans="1:9">
      <c r="A1474" t="s">
        <v>3790</v>
      </c>
      <c r="B1474">
        <v>303</v>
      </c>
      <c r="C1474" t="s">
        <v>3791</v>
      </c>
      <c r="D1474" s="1" t="s">
        <v>7554</v>
      </c>
      <c r="F1474" s="1"/>
      <c r="G1474" s="1"/>
    </row>
    <row r="1475" spans="1:9">
      <c r="A1475" t="s">
        <v>3794</v>
      </c>
      <c r="B1475">
        <v>230</v>
      </c>
      <c r="C1475" t="s">
        <v>3795</v>
      </c>
      <c r="D1475" s="9" t="s">
        <v>7555</v>
      </c>
      <c r="F1475" s="1" t="s">
        <v>8577</v>
      </c>
      <c r="G1475" s="1" t="s">
        <v>8578</v>
      </c>
      <c r="H1475" t="s">
        <v>8579</v>
      </c>
      <c r="I1475" t="s">
        <v>8580</v>
      </c>
    </row>
    <row r="1476" spans="1:9">
      <c r="A1476" t="s">
        <v>3794</v>
      </c>
      <c r="B1476">
        <v>230</v>
      </c>
      <c r="C1476" t="s">
        <v>3795</v>
      </c>
      <c r="D1476" s="9" t="s">
        <v>7555</v>
      </c>
      <c r="F1476" s="1" t="s">
        <v>8577</v>
      </c>
      <c r="G1476" s="1" t="s">
        <v>8578</v>
      </c>
      <c r="H1476" t="s">
        <v>10471</v>
      </c>
      <c r="I1476" t="s">
        <v>10472</v>
      </c>
    </row>
    <row r="1477" spans="1:9">
      <c r="A1477" t="s">
        <v>3798</v>
      </c>
      <c r="B1477">
        <v>527</v>
      </c>
      <c r="C1477" t="s">
        <v>3799</v>
      </c>
    </row>
    <row r="1478" spans="1:9">
      <c r="A1478" t="s">
        <v>3801</v>
      </c>
      <c r="B1478">
        <v>198</v>
      </c>
      <c r="C1478" t="s">
        <v>3802</v>
      </c>
      <c r="D1478" s="1" t="s">
        <v>7283</v>
      </c>
    </row>
    <row r="1479" spans="1:9">
      <c r="A1479" t="s">
        <v>3805</v>
      </c>
      <c r="B1479">
        <v>461</v>
      </c>
      <c r="C1479" t="s">
        <v>3806</v>
      </c>
    </row>
    <row r="1480" spans="1:9">
      <c r="A1480" t="s">
        <v>3807</v>
      </c>
      <c r="B1480">
        <v>271</v>
      </c>
      <c r="C1480" t="s">
        <v>3808</v>
      </c>
    </row>
    <row r="1481" spans="1:9">
      <c r="A1481" t="s">
        <v>3811</v>
      </c>
      <c r="B1481">
        <v>455</v>
      </c>
      <c r="C1481" t="s">
        <v>3812</v>
      </c>
      <c r="D1481" s="1" t="s">
        <v>7324</v>
      </c>
    </row>
    <row r="1482" spans="1:9">
      <c r="A1482" t="s">
        <v>3815</v>
      </c>
      <c r="B1482">
        <v>580</v>
      </c>
      <c r="C1482" t="s">
        <v>3816</v>
      </c>
      <c r="D1482" s="1" t="s">
        <v>7556</v>
      </c>
      <c r="F1482" s="1" t="s">
        <v>8581</v>
      </c>
    </row>
    <row r="1483" spans="1:9">
      <c r="A1483" t="s">
        <v>3818</v>
      </c>
      <c r="B1483">
        <v>326</v>
      </c>
      <c r="C1483" t="s">
        <v>3819</v>
      </c>
    </row>
    <row r="1484" spans="1:9">
      <c r="A1484" t="s">
        <v>3821</v>
      </c>
      <c r="B1484">
        <v>416</v>
      </c>
      <c r="C1484" t="s">
        <v>3822</v>
      </c>
    </row>
    <row r="1485" spans="1:9">
      <c r="A1485" t="s">
        <v>3823</v>
      </c>
      <c r="B1485">
        <v>65</v>
      </c>
      <c r="C1485" t="s">
        <v>3824</v>
      </c>
    </row>
    <row r="1486" spans="1:9">
      <c r="A1486" t="s">
        <v>3827</v>
      </c>
      <c r="B1486">
        <v>205</v>
      </c>
      <c r="C1486" t="s">
        <v>3828</v>
      </c>
    </row>
    <row r="1487" spans="1:9">
      <c r="A1487" t="s">
        <v>3830</v>
      </c>
      <c r="B1487">
        <v>378</v>
      </c>
      <c r="C1487" t="s">
        <v>3831</v>
      </c>
      <c r="D1487" s="1" t="s">
        <v>7293</v>
      </c>
      <c r="F1487" s="1" t="s">
        <v>7863</v>
      </c>
    </row>
    <row r="1488" spans="1:9">
      <c r="A1488" t="s">
        <v>3832</v>
      </c>
      <c r="B1488">
        <v>251</v>
      </c>
      <c r="C1488" t="s">
        <v>3833</v>
      </c>
    </row>
    <row r="1489" spans="1:7">
      <c r="A1489" t="s">
        <v>3835</v>
      </c>
      <c r="B1489">
        <v>308</v>
      </c>
      <c r="C1489" t="s">
        <v>3836</v>
      </c>
    </row>
    <row r="1490" spans="1:7">
      <c r="A1490" t="s">
        <v>3838</v>
      </c>
      <c r="B1490">
        <v>189</v>
      </c>
      <c r="C1490" t="s">
        <v>3839</v>
      </c>
    </row>
    <row r="1491" spans="1:7">
      <c r="C1491" t="s">
        <v>3840</v>
      </c>
    </row>
    <row r="1492" spans="1:7">
      <c r="A1492" t="s">
        <v>3841</v>
      </c>
      <c r="B1492">
        <v>132</v>
      </c>
      <c r="C1492" t="s">
        <v>3842</v>
      </c>
    </row>
    <row r="1493" spans="1:7">
      <c r="A1493" t="s">
        <v>3843</v>
      </c>
      <c r="B1493">
        <v>386</v>
      </c>
      <c r="C1493" t="s">
        <v>3844</v>
      </c>
    </row>
    <row r="1494" spans="1:7">
      <c r="A1494" t="s">
        <v>3845</v>
      </c>
      <c r="B1494">
        <v>763</v>
      </c>
      <c r="C1494" t="s">
        <v>3846</v>
      </c>
    </row>
    <row r="1495" spans="1:7">
      <c r="A1495" t="s">
        <v>3849</v>
      </c>
      <c r="B1495">
        <v>144</v>
      </c>
      <c r="C1495" t="s">
        <v>3850</v>
      </c>
    </row>
    <row r="1496" spans="1:7">
      <c r="A1496" t="s">
        <v>3852</v>
      </c>
      <c r="B1496">
        <v>225</v>
      </c>
      <c r="C1496" t="s">
        <v>3853</v>
      </c>
    </row>
    <row r="1497" spans="1:7">
      <c r="A1497" t="s">
        <v>3854</v>
      </c>
      <c r="B1497">
        <v>197</v>
      </c>
      <c r="C1497" t="s">
        <v>3855</v>
      </c>
    </row>
    <row r="1498" spans="1:7">
      <c r="A1498" t="s">
        <v>3856</v>
      </c>
      <c r="B1498">
        <v>187</v>
      </c>
      <c r="C1498" t="s">
        <v>3857</v>
      </c>
    </row>
    <row r="1499" spans="1:7">
      <c r="A1499" t="s">
        <v>3858</v>
      </c>
      <c r="B1499">
        <v>279</v>
      </c>
      <c r="C1499" t="s">
        <v>3859</v>
      </c>
    </row>
    <row r="1500" spans="1:7">
      <c r="A1500" t="s">
        <v>3860</v>
      </c>
      <c r="B1500">
        <v>282</v>
      </c>
      <c r="C1500" t="s">
        <v>3861</v>
      </c>
    </row>
    <row r="1501" spans="1:7">
      <c r="A1501" t="s">
        <v>3864</v>
      </c>
      <c r="B1501">
        <v>435</v>
      </c>
      <c r="C1501" t="s">
        <v>3865</v>
      </c>
      <c r="D1501" s="1" t="s">
        <v>7300</v>
      </c>
      <c r="E1501" s="4" t="s">
        <v>8846</v>
      </c>
      <c r="F1501" s="1" t="s">
        <v>8847</v>
      </c>
      <c r="G1501" s="7"/>
    </row>
    <row r="1502" spans="1:7">
      <c r="A1502" t="s">
        <v>3864</v>
      </c>
      <c r="B1502">
        <v>435</v>
      </c>
      <c r="C1502" t="s">
        <v>3865</v>
      </c>
      <c r="D1502" s="1" t="s">
        <v>7300</v>
      </c>
      <c r="E1502" s="4" t="s">
        <v>8827</v>
      </c>
      <c r="F1502" s="1" t="s">
        <v>8828</v>
      </c>
      <c r="G1502" s="7"/>
    </row>
    <row r="1503" spans="1:7">
      <c r="A1503" t="s">
        <v>3864</v>
      </c>
      <c r="B1503">
        <v>435</v>
      </c>
      <c r="C1503" t="s">
        <v>3865</v>
      </c>
      <c r="D1503" s="1" t="s">
        <v>7300</v>
      </c>
      <c r="E1503" s="4" t="s">
        <v>8829</v>
      </c>
      <c r="F1503" s="1" t="s">
        <v>8830</v>
      </c>
      <c r="G1503" s="7"/>
    </row>
    <row r="1504" spans="1:7">
      <c r="A1504" t="s">
        <v>3868</v>
      </c>
      <c r="B1504">
        <v>509</v>
      </c>
      <c r="C1504" t="s">
        <v>3869</v>
      </c>
    </row>
    <row r="1505" spans="1:9">
      <c r="A1505" t="s">
        <v>3872</v>
      </c>
      <c r="B1505">
        <v>483</v>
      </c>
      <c r="C1505" t="s">
        <v>3873</v>
      </c>
      <c r="D1505" s="1" t="s">
        <v>7557</v>
      </c>
      <c r="F1505" s="1" t="s">
        <v>8582</v>
      </c>
      <c r="G1505" s="1" t="s">
        <v>8583</v>
      </c>
      <c r="H1505" t="s">
        <v>8584</v>
      </c>
      <c r="I1505" t="s">
        <v>8585</v>
      </c>
    </row>
    <row r="1506" spans="1:9">
      <c r="A1506" t="s">
        <v>3874</v>
      </c>
      <c r="B1506">
        <v>151</v>
      </c>
      <c r="C1506" t="s">
        <v>3875</v>
      </c>
      <c r="D1506" s="1" t="s">
        <v>7558</v>
      </c>
    </row>
    <row r="1507" spans="1:9">
      <c r="A1507" t="s">
        <v>3878</v>
      </c>
      <c r="B1507">
        <v>357</v>
      </c>
      <c r="C1507" t="s">
        <v>3879</v>
      </c>
    </row>
    <row r="1508" spans="1:9">
      <c r="A1508" t="s">
        <v>3882</v>
      </c>
      <c r="B1508">
        <v>200</v>
      </c>
      <c r="C1508" t="s">
        <v>3883</v>
      </c>
      <c r="D1508" s="1" t="s">
        <v>7559</v>
      </c>
      <c r="F1508" s="1" t="s">
        <v>8586</v>
      </c>
      <c r="G1508" s="1" t="s">
        <v>8587</v>
      </c>
      <c r="H1508" t="s">
        <v>8589</v>
      </c>
      <c r="I1508" t="s">
        <v>8588</v>
      </c>
    </row>
    <row r="1509" spans="1:9">
      <c r="A1509" t="s">
        <v>3886</v>
      </c>
      <c r="B1509">
        <v>511</v>
      </c>
      <c r="C1509" t="s">
        <v>3887</v>
      </c>
      <c r="D1509" s="1" t="s">
        <v>7560</v>
      </c>
      <c r="F1509" s="1" t="s">
        <v>8590</v>
      </c>
      <c r="G1509" s="1" t="s">
        <v>8591</v>
      </c>
      <c r="H1509" t="s">
        <v>8593</v>
      </c>
      <c r="I1509" t="s">
        <v>8592</v>
      </c>
    </row>
    <row r="1510" spans="1:9">
      <c r="A1510" t="s">
        <v>3889</v>
      </c>
      <c r="B1510">
        <v>209</v>
      </c>
      <c r="C1510" t="s">
        <v>3890</v>
      </c>
      <c r="D1510" s="1" t="s">
        <v>7547</v>
      </c>
    </row>
    <row r="1511" spans="1:9">
      <c r="A1511" t="s">
        <v>3893</v>
      </c>
      <c r="B1511">
        <v>297</v>
      </c>
      <c r="C1511" t="s">
        <v>3894</v>
      </c>
      <c r="D1511" s="1" t="s">
        <v>7561</v>
      </c>
      <c r="F1511" s="1" t="s">
        <v>8594</v>
      </c>
      <c r="G1511" s="1" t="s">
        <v>8595</v>
      </c>
      <c r="H1511" t="s">
        <v>8596</v>
      </c>
      <c r="I1511" t="s">
        <v>8597</v>
      </c>
    </row>
    <row r="1512" spans="1:9">
      <c r="A1512" t="s">
        <v>3896</v>
      </c>
      <c r="B1512">
        <v>449</v>
      </c>
      <c r="C1512" t="s">
        <v>3897</v>
      </c>
      <c r="D1512" s="1" t="s">
        <v>7562</v>
      </c>
    </row>
    <row r="1513" spans="1:9">
      <c r="A1513" t="s">
        <v>3899</v>
      </c>
      <c r="B1513">
        <v>437</v>
      </c>
      <c r="C1513" t="s">
        <v>3900</v>
      </c>
    </row>
    <row r="1514" spans="1:9">
      <c r="A1514" t="s">
        <v>3903</v>
      </c>
      <c r="B1514">
        <v>305</v>
      </c>
      <c r="C1514" t="s">
        <v>3904</v>
      </c>
      <c r="D1514" s="1" t="s">
        <v>7563</v>
      </c>
    </row>
    <row r="1515" spans="1:9">
      <c r="A1515" t="s">
        <v>3905</v>
      </c>
      <c r="B1515">
        <v>54</v>
      </c>
      <c r="C1515" t="s">
        <v>3906</v>
      </c>
    </row>
    <row r="1516" spans="1:9">
      <c r="A1516" t="s">
        <v>3908</v>
      </c>
      <c r="B1516">
        <v>233</v>
      </c>
      <c r="C1516" t="s">
        <v>3909</v>
      </c>
    </row>
    <row r="1517" spans="1:9">
      <c r="A1517" t="s">
        <v>3912</v>
      </c>
      <c r="B1517">
        <v>125</v>
      </c>
      <c r="C1517" t="s">
        <v>3913</v>
      </c>
    </row>
    <row r="1518" spans="1:9">
      <c r="A1518" t="s">
        <v>3915</v>
      </c>
      <c r="B1518">
        <v>299</v>
      </c>
      <c r="C1518" t="s">
        <v>3916</v>
      </c>
      <c r="D1518" s="1" t="s">
        <v>7564</v>
      </c>
      <c r="F1518" s="1" t="s">
        <v>8598</v>
      </c>
      <c r="G1518" s="1" t="s">
        <v>8599</v>
      </c>
      <c r="H1518" t="s">
        <v>8600</v>
      </c>
      <c r="I1518" t="s">
        <v>8601</v>
      </c>
    </row>
    <row r="1519" spans="1:9">
      <c r="A1519" t="s">
        <v>3919</v>
      </c>
      <c r="B1519">
        <v>505</v>
      </c>
      <c r="C1519" t="s">
        <v>3920</v>
      </c>
      <c r="D1519" s="1" t="s">
        <v>7283</v>
      </c>
    </row>
    <row r="1520" spans="1:9">
      <c r="A1520" t="s">
        <v>3922</v>
      </c>
      <c r="B1520">
        <v>207</v>
      </c>
      <c r="C1520" t="s">
        <v>3923</v>
      </c>
    </row>
    <row r="1521" spans="1:9">
      <c r="A1521" t="s">
        <v>3924</v>
      </c>
      <c r="B1521">
        <v>278</v>
      </c>
      <c r="C1521" t="s">
        <v>3925</v>
      </c>
    </row>
    <row r="1522" spans="1:9">
      <c r="A1522" t="s">
        <v>3926</v>
      </c>
      <c r="B1522">
        <v>248</v>
      </c>
      <c r="C1522" t="s">
        <v>3927</v>
      </c>
      <c r="D1522" s="1" t="s">
        <v>7314</v>
      </c>
    </row>
    <row r="1523" spans="1:9">
      <c r="A1523" t="s">
        <v>3930</v>
      </c>
      <c r="B1523">
        <v>373</v>
      </c>
      <c r="C1523" t="s">
        <v>3931</v>
      </c>
      <c r="D1523" s="1" t="s">
        <v>7565</v>
      </c>
      <c r="F1523" s="1" t="s">
        <v>8602</v>
      </c>
    </row>
    <row r="1524" spans="1:9">
      <c r="A1524" t="s">
        <v>3933</v>
      </c>
      <c r="B1524">
        <v>938</v>
      </c>
      <c r="C1524" t="s">
        <v>3934</v>
      </c>
    </row>
    <row r="1525" spans="1:9">
      <c r="A1525" t="s">
        <v>3937</v>
      </c>
      <c r="B1525">
        <v>355</v>
      </c>
      <c r="C1525" t="s">
        <v>3938</v>
      </c>
    </row>
    <row r="1526" spans="1:9">
      <c r="A1526" t="s">
        <v>3941</v>
      </c>
      <c r="B1526">
        <v>89</v>
      </c>
      <c r="C1526" t="s">
        <v>3942</v>
      </c>
    </row>
    <row r="1527" spans="1:9">
      <c r="A1527" t="s">
        <v>3943</v>
      </c>
      <c r="B1527">
        <v>317</v>
      </c>
      <c r="C1527" t="s">
        <v>3944</v>
      </c>
    </row>
    <row r="1528" spans="1:9">
      <c r="A1528" t="s">
        <v>3945</v>
      </c>
      <c r="B1528">
        <v>328</v>
      </c>
      <c r="C1528" t="s">
        <v>3946</v>
      </c>
    </row>
    <row r="1529" spans="1:9">
      <c r="A1529" t="s">
        <v>3949</v>
      </c>
      <c r="B1529">
        <v>471</v>
      </c>
      <c r="C1529" t="s">
        <v>3950</v>
      </c>
      <c r="D1529" s="1" t="s">
        <v>7566</v>
      </c>
    </row>
    <row r="1530" spans="1:9">
      <c r="A1530" t="s">
        <v>3953</v>
      </c>
      <c r="B1530">
        <v>63</v>
      </c>
      <c r="C1530" t="s">
        <v>3954</v>
      </c>
    </row>
    <row r="1531" spans="1:9">
      <c r="A1531" t="s">
        <v>3957</v>
      </c>
      <c r="B1531">
        <v>514</v>
      </c>
      <c r="C1531" t="s">
        <v>3958</v>
      </c>
      <c r="D1531" s="1" t="s">
        <v>7399</v>
      </c>
    </row>
    <row r="1532" spans="1:9">
      <c r="A1532" t="s">
        <v>3961</v>
      </c>
      <c r="B1532">
        <v>526</v>
      </c>
      <c r="C1532" t="s">
        <v>3962</v>
      </c>
    </row>
    <row r="1533" spans="1:9">
      <c r="A1533" t="s">
        <v>3965</v>
      </c>
      <c r="B1533">
        <v>278</v>
      </c>
      <c r="C1533" t="s">
        <v>3966</v>
      </c>
      <c r="D1533" s="1" t="s">
        <v>7567</v>
      </c>
      <c r="F1533" s="1" t="s">
        <v>8603</v>
      </c>
    </row>
    <row r="1534" spans="1:9">
      <c r="A1534" t="s">
        <v>3969</v>
      </c>
      <c r="B1534">
        <v>417</v>
      </c>
      <c r="C1534" t="s">
        <v>3970</v>
      </c>
      <c r="D1534" s="1" t="s">
        <v>7568</v>
      </c>
    </row>
    <row r="1535" spans="1:9">
      <c r="A1535" t="s">
        <v>3972</v>
      </c>
      <c r="B1535">
        <v>273</v>
      </c>
      <c r="C1535" t="s">
        <v>3973</v>
      </c>
    </row>
    <row r="1536" spans="1:9">
      <c r="A1536" t="s">
        <v>3976</v>
      </c>
      <c r="B1536">
        <v>555</v>
      </c>
      <c r="C1536" t="s">
        <v>3977</v>
      </c>
      <c r="D1536" s="1" t="s">
        <v>7569</v>
      </c>
      <c r="F1536" s="1" t="s">
        <v>8604</v>
      </c>
      <c r="G1536" s="1" t="s">
        <v>8605</v>
      </c>
      <c r="H1536" t="s">
        <v>8606</v>
      </c>
      <c r="I1536" t="s">
        <v>8607</v>
      </c>
    </row>
    <row r="1537" spans="1:9">
      <c r="A1537" t="s">
        <v>3980</v>
      </c>
      <c r="B1537">
        <v>435</v>
      </c>
      <c r="C1537" t="s">
        <v>3981</v>
      </c>
    </row>
    <row r="1538" spans="1:9">
      <c r="A1538" t="s">
        <v>3984</v>
      </c>
      <c r="B1538">
        <v>519</v>
      </c>
      <c r="C1538" t="s">
        <v>3985</v>
      </c>
      <c r="D1538" s="1" t="s">
        <v>7570</v>
      </c>
      <c r="F1538" s="1" t="s">
        <v>8608</v>
      </c>
      <c r="G1538" s="1" t="s">
        <v>8609</v>
      </c>
      <c r="H1538" t="s">
        <v>8610</v>
      </c>
      <c r="I1538" t="s">
        <v>8611</v>
      </c>
    </row>
    <row r="1539" spans="1:9">
      <c r="A1539" t="s">
        <v>3988</v>
      </c>
      <c r="B1539">
        <v>281</v>
      </c>
      <c r="C1539" t="s">
        <v>3989</v>
      </c>
      <c r="D1539" s="1" t="s">
        <v>7571</v>
      </c>
      <c r="F1539" s="1" t="s">
        <v>8612</v>
      </c>
      <c r="G1539" s="1" t="s">
        <v>8613</v>
      </c>
      <c r="H1539" t="s">
        <v>8614</v>
      </c>
      <c r="I1539" t="s">
        <v>8615</v>
      </c>
    </row>
    <row r="1540" spans="1:9">
      <c r="A1540" t="s">
        <v>3992</v>
      </c>
      <c r="B1540">
        <v>87</v>
      </c>
      <c r="C1540" t="s">
        <v>3993</v>
      </c>
      <c r="D1540" s="1" t="s">
        <v>7572</v>
      </c>
    </row>
    <row r="1541" spans="1:9">
      <c r="A1541" t="s">
        <v>3995</v>
      </c>
      <c r="B1541">
        <v>240</v>
      </c>
      <c r="C1541" t="s">
        <v>3996</v>
      </c>
      <c r="D1541" s="1" t="s">
        <v>7462</v>
      </c>
    </row>
    <row r="1542" spans="1:9">
      <c r="A1542" t="s">
        <v>3997</v>
      </c>
      <c r="B1542">
        <v>127</v>
      </c>
      <c r="C1542" t="s">
        <v>3998</v>
      </c>
    </row>
    <row r="1543" spans="1:9">
      <c r="A1543" t="s">
        <v>4001</v>
      </c>
      <c r="B1543">
        <v>412</v>
      </c>
      <c r="C1543" t="s">
        <v>4002</v>
      </c>
      <c r="D1543" s="1" t="s">
        <v>7573</v>
      </c>
      <c r="F1543" s="1" t="s">
        <v>8616</v>
      </c>
      <c r="G1543" s="1" t="s">
        <v>8617</v>
      </c>
      <c r="H1543" t="s">
        <v>8618</v>
      </c>
      <c r="I1543" t="s">
        <v>8619</v>
      </c>
    </row>
    <row r="1544" spans="1:9">
      <c r="A1544" t="s">
        <v>4005</v>
      </c>
      <c r="B1544">
        <v>292</v>
      </c>
      <c r="C1544" t="s">
        <v>4006</v>
      </c>
      <c r="D1544" s="1" t="s">
        <v>7574</v>
      </c>
      <c r="F1544" s="1" t="s">
        <v>8620</v>
      </c>
      <c r="G1544" s="1" t="s">
        <v>8621</v>
      </c>
      <c r="H1544" t="s">
        <v>8622</v>
      </c>
      <c r="I1544" t="s">
        <v>8623</v>
      </c>
    </row>
    <row r="1545" spans="1:9">
      <c r="A1545" t="s">
        <v>4007</v>
      </c>
      <c r="B1545">
        <v>350</v>
      </c>
      <c r="C1545" t="s">
        <v>4008</v>
      </c>
    </row>
    <row r="1546" spans="1:9">
      <c r="A1546" t="s">
        <v>4011</v>
      </c>
      <c r="B1546">
        <v>371</v>
      </c>
      <c r="C1546" t="s">
        <v>4012</v>
      </c>
      <c r="D1546" s="1" t="s">
        <v>7575</v>
      </c>
      <c r="F1546" s="1" t="s">
        <v>8624</v>
      </c>
      <c r="G1546" s="1" t="s">
        <v>8625</v>
      </c>
      <c r="H1546" t="s">
        <v>8626</v>
      </c>
      <c r="I1546" t="s">
        <v>8627</v>
      </c>
    </row>
    <row r="1547" spans="1:9">
      <c r="A1547" t="s">
        <v>4013</v>
      </c>
      <c r="B1547">
        <v>130</v>
      </c>
      <c r="C1547" t="s">
        <v>4014</v>
      </c>
    </row>
    <row r="1548" spans="1:9">
      <c r="A1548" t="s">
        <v>4016</v>
      </c>
      <c r="B1548">
        <v>179</v>
      </c>
      <c r="C1548" t="s">
        <v>4017</v>
      </c>
    </row>
    <row r="1549" spans="1:9">
      <c r="C1549" t="s">
        <v>4018</v>
      </c>
    </row>
    <row r="1550" spans="1:9">
      <c r="A1550" t="s">
        <v>4021</v>
      </c>
      <c r="B1550">
        <v>246</v>
      </c>
      <c r="C1550" t="s">
        <v>4022</v>
      </c>
    </row>
    <row r="1551" spans="1:9">
      <c r="A1551" t="s">
        <v>4023</v>
      </c>
      <c r="B1551">
        <v>190</v>
      </c>
      <c r="C1551" t="s">
        <v>4024</v>
      </c>
    </row>
    <row r="1552" spans="1:9">
      <c r="A1552" t="s">
        <v>4025</v>
      </c>
      <c r="B1552">
        <v>279</v>
      </c>
      <c r="C1552" t="s">
        <v>4026</v>
      </c>
    </row>
    <row r="1553" spans="1:9">
      <c r="A1553" t="s">
        <v>4027</v>
      </c>
      <c r="B1553">
        <v>257</v>
      </c>
      <c r="C1553" t="s">
        <v>4028</v>
      </c>
    </row>
    <row r="1554" spans="1:9">
      <c r="A1554" t="s">
        <v>4031</v>
      </c>
      <c r="B1554">
        <v>357</v>
      </c>
      <c r="C1554" t="s">
        <v>4032</v>
      </c>
      <c r="D1554" s="1" t="s">
        <v>7576</v>
      </c>
      <c r="F1554" s="1" t="s">
        <v>8628</v>
      </c>
    </row>
    <row r="1555" spans="1:9">
      <c r="A1555" t="s">
        <v>4035</v>
      </c>
      <c r="B1555">
        <v>451</v>
      </c>
      <c r="C1555" t="s">
        <v>4036</v>
      </c>
      <c r="D1555" s="1" t="s">
        <v>7399</v>
      </c>
    </row>
    <row r="1556" spans="1:9">
      <c r="A1556" t="s">
        <v>4037</v>
      </c>
      <c r="B1556">
        <v>60</v>
      </c>
      <c r="C1556" t="s">
        <v>4038</v>
      </c>
    </row>
    <row r="1557" spans="1:9">
      <c r="A1557" t="s">
        <v>4039</v>
      </c>
      <c r="B1557">
        <v>157</v>
      </c>
      <c r="C1557" t="s">
        <v>4040</v>
      </c>
    </row>
    <row r="1558" spans="1:9">
      <c r="A1558" t="s">
        <v>4043</v>
      </c>
      <c r="B1558">
        <v>938</v>
      </c>
      <c r="C1558" t="s">
        <v>4044</v>
      </c>
      <c r="D1558" s="1" t="s">
        <v>7577</v>
      </c>
      <c r="F1558" s="1" t="s">
        <v>8629</v>
      </c>
      <c r="G1558" s="1" t="s">
        <v>8630</v>
      </c>
      <c r="H1558" t="s">
        <v>8631</v>
      </c>
      <c r="I1558" t="s">
        <v>8632</v>
      </c>
    </row>
    <row r="1559" spans="1:9">
      <c r="A1559" t="s">
        <v>4043</v>
      </c>
      <c r="B1559">
        <v>938</v>
      </c>
      <c r="C1559" t="s">
        <v>4044</v>
      </c>
      <c r="D1559" s="1" t="s">
        <v>7577</v>
      </c>
      <c r="F1559" s="1" t="s">
        <v>8629</v>
      </c>
      <c r="G1559" s="1" t="s">
        <v>8630</v>
      </c>
      <c r="H1559" t="s">
        <v>8631</v>
      </c>
      <c r="I1559" t="s">
        <v>8633</v>
      </c>
    </row>
    <row r="1560" spans="1:9">
      <c r="A1560" t="s">
        <v>4043</v>
      </c>
      <c r="B1560">
        <v>938</v>
      </c>
      <c r="C1560" t="s">
        <v>4044</v>
      </c>
      <c r="D1560" s="1" t="s">
        <v>7577</v>
      </c>
      <c r="F1560" s="1" t="s">
        <v>8629</v>
      </c>
      <c r="G1560" s="1" t="s">
        <v>8630</v>
      </c>
      <c r="H1560" t="s">
        <v>8632</v>
      </c>
      <c r="I1560" t="s">
        <v>8633</v>
      </c>
    </row>
    <row r="1561" spans="1:9">
      <c r="A1561" t="s">
        <v>4050</v>
      </c>
      <c r="B1561">
        <v>384</v>
      </c>
      <c r="C1561" t="s">
        <v>4051</v>
      </c>
      <c r="D1561" s="1" t="s">
        <v>7324</v>
      </c>
      <c r="H1561" s="1"/>
    </row>
    <row r="1562" spans="1:9">
      <c r="A1562" t="s">
        <v>4052</v>
      </c>
      <c r="B1562">
        <v>230</v>
      </c>
      <c r="C1562" t="s">
        <v>4053</v>
      </c>
    </row>
    <row r="1563" spans="1:9">
      <c r="A1563" t="s">
        <v>4054</v>
      </c>
      <c r="B1563">
        <v>248</v>
      </c>
      <c r="C1563" t="s">
        <v>4055</v>
      </c>
    </row>
    <row r="1564" spans="1:9">
      <c r="A1564" t="s">
        <v>4058</v>
      </c>
      <c r="B1564">
        <v>325</v>
      </c>
      <c r="C1564" t="s">
        <v>4059</v>
      </c>
      <c r="D1564" s="1" t="s">
        <v>7487</v>
      </c>
    </row>
    <row r="1565" spans="1:9">
      <c r="A1565" t="s">
        <v>4062</v>
      </c>
      <c r="B1565">
        <v>222</v>
      </c>
      <c r="C1565" t="s">
        <v>4063</v>
      </c>
      <c r="D1565" s="1" t="s">
        <v>7391</v>
      </c>
    </row>
    <row r="1566" spans="1:9">
      <c r="A1566" t="s">
        <v>4064</v>
      </c>
      <c r="B1566">
        <v>118</v>
      </c>
      <c r="C1566" t="s">
        <v>4065</v>
      </c>
    </row>
    <row r="1567" spans="1:9">
      <c r="A1567" t="s">
        <v>4066</v>
      </c>
      <c r="B1567">
        <v>454</v>
      </c>
      <c r="C1567" t="s">
        <v>4067</v>
      </c>
    </row>
    <row r="1568" spans="1:9">
      <c r="A1568" t="s">
        <v>4068</v>
      </c>
      <c r="B1568">
        <v>442</v>
      </c>
      <c r="C1568" t="s">
        <v>4069</v>
      </c>
    </row>
    <row r="1569" spans="1:9">
      <c r="A1569" t="s">
        <v>4071</v>
      </c>
      <c r="B1569">
        <v>543</v>
      </c>
      <c r="C1569" t="s">
        <v>4072</v>
      </c>
    </row>
    <row r="1570" spans="1:9">
      <c r="A1570" t="s">
        <v>4073</v>
      </c>
      <c r="B1570">
        <v>135</v>
      </c>
      <c r="C1570" t="s">
        <v>4074</v>
      </c>
    </row>
    <row r="1571" spans="1:9">
      <c r="A1571" t="s">
        <v>4077</v>
      </c>
      <c r="B1571">
        <v>150</v>
      </c>
      <c r="C1571" t="s">
        <v>4078</v>
      </c>
    </row>
    <row r="1572" spans="1:9">
      <c r="A1572" t="s">
        <v>4081</v>
      </c>
      <c r="B1572">
        <v>414</v>
      </c>
      <c r="C1572" t="s">
        <v>4082</v>
      </c>
      <c r="D1572" s="9" t="s">
        <v>7518</v>
      </c>
      <c r="F1572" s="1" t="s">
        <v>8456</v>
      </c>
      <c r="G1572" s="1" t="s">
        <v>8457</v>
      </c>
      <c r="H1572" t="s">
        <v>8458</v>
      </c>
      <c r="I1572" t="s">
        <v>8459</v>
      </c>
    </row>
    <row r="1573" spans="1:9">
      <c r="A1573" t="s">
        <v>4081</v>
      </c>
      <c r="B1573">
        <v>414</v>
      </c>
      <c r="C1573" t="s">
        <v>4082</v>
      </c>
      <c r="D1573" s="9" t="s">
        <v>7518</v>
      </c>
      <c r="F1573" s="1" t="s">
        <v>8456</v>
      </c>
      <c r="G1573" s="1" t="s">
        <v>8457</v>
      </c>
      <c r="H1573" t="s">
        <v>10423</v>
      </c>
      <c r="I1573" t="s">
        <v>10424</v>
      </c>
    </row>
    <row r="1574" spans="1:9">
      <c r="A1574" t="s">
        <v>4081</v>
      </c>
      <c r="B1574">
        <v>414</v>
      </c>
      <c r="C1574" t="s">
        <v>4082</v>
      </c>
      <c r="D1574" s="9" t="s">
        <v>7518</v>
      </c>
      <c r="F1574" s="1" t="s">
        <v>8456</v>
      </c>
      <c r="G1574" s="1" t="s">
        <v>8457</v>
      </c>
      <c r="H1574" t="s">
        <v>10425</v>
      </c>
      <c r="I1574" t="s">
        <v>10426</v>
      </c>
    </row>
    <row r="1575" spans="1:9">
      <c r="A1575" t="s">
        <v>4083</v>
      </c>
      <c r="B1575">
        <v>252</v>
      </c>
      <c r="C1575" t="s">
        <v>4084</v>
      </c>
    </row>
    <row r="1576" spans="1:9">
      <c r="A1576" t="s">
        <v>4087</v>
      </c>
      <c r="B1576">
        <v>384</v>
      </c>
      <c r="C1576" t="s">
        <v>4088</v>
      </c>
    </row>
    <row r="1577" spans="1:9">
      <c r="A1577" t="s">
        <v>4091</v>
      </c>
      <c r="B1577">
        <v>479</v>
      </c>
      <c r="C1577" t="s">
        <v>4092</v>
      </c>
    </row>
    <row r="1578" spans="1:9">
      <c r="A1578" t="s">
        <v>4093</v>
      </c>
      <c r="B1578">
        <v>245</v>
      </c>
      <c r="C1578" t="s">
        <v>4094</v>
      </c>
    </row>
    <row r="1579" spans="1:9">
      <c r="A1579" t="s">
        <v>4095</v>
      </c>
      <c r="B1579">
        <v>574</v>
      </c>
      <c r="C1579" t="s">
        <v>4096</v>
      </c>
    </row>
    <row r="1580" spans="1:9">
      <c r="A1580" t="s">
        <v>4099</v>
      </c>
      <c r="B1580">
        <v>309</v>
      </c>
      <c r="C1580" t="s">
        <v>4100</v>
      </c>
      <c r="D1580" s="1" t="s">
        <v>7324</v>
      </c>
    </row>
    <row r="1581" spans="1:9">
      <c r="A1581" t="s">
        <v>4101</v>
      </c>
      <c r="B1581">
        <v>254</v>
      </c>
      <c r="C1581" t="s">
        <v>4102</v>
      </c>
    </row>
    <row r="1582" spans="1:9">
      <c r="A1582" t="s">
        <v>4105</v>
      </c>
      <c r="B1582">
        <v>342</v>
      </c>
      <c r="C1582" t="s">
        <v>4106</v>
      </c>
    </row>
    <row r="1583" spans="1:9">
      <c r="A1583" t="s">
        <v>4108</v>
      </c>
      <c r="B1583">
        <v>322</v>
      </c>
      <c r="C1583" t="s">
        <v>4109</v>
      </c>
      <c r="D1583" s="1" t="s">
        <v>7318</v>
      </c>
      <c r="F1583" s="1" t="s">
        <v>7914</v>
      </c>
      <c r="G1583" s="1" t="s">
        <v>7915</v>
      </c>
      <c r="H1583" t="s">
        <v>7916</v>
      </c>
      <c r="I1583" t="s">
        <v>7917</v>
      </c>
    </row>
    <row r="1584" spans="1:9">
      <c r="A1584" t="s">
        <v>4112</v>
      </c>
      <c r="B1584">
        <v>314</v>
      </c>
      <c r="C1584" t="s">
        <v>4113</v>
      </c>
      <c r="D1584" s="1" t="s">
        <v>7388</v>
      </c>
    </row>
    <row r="1585" spans="1:9">
      <c r="A1585" t="s">
        <v>4116</v>
      </c>
      <c r="B1585">
        <v>702</v>
      </c>
      <c r="C1585" t="s">
        <v>4117</v>
      </c>
      <c r="D1585" s="1" t="s">
        <v>7578</v>
      </c>
      <c r="F1585" s="1" t="s">
        <v>8634</v>
      </c>
      <c r="G1585" s="1" t="s">
        <v>8635</v>
      </c>
      <c r="H1585" t="s">
        <v>8644</v>
      </c>
      <c r="I1585" t="s">
        <v>8636</v>
      </c>
    </row>
    <row r="1586" spans="1:9">
      <c r="A1586" t="s">
        <v>4116</v>
      </c>
      <c r="B1586">
        <v>702</v>
      </c>
      <c r="C1586" t="s">
        <v>4117</v>
      </c>
      <c r="D1586" s="1" t="s">
        <v>7578</v>
      </c>
      <c r="F1586" s="1" t="s">
        <v>8634</v>
      </c>
      <c r="G1586" s="1" t="s">
        <v>8635</v>
      </c>
      <c r="H1586" t="s">
        <v>8637</v>
      </c>
      <c r="I1586" t="s">
        <v>8638</v>
      </c>
    </row>
    <row r="1587" spans="1:9">
      <c r="A1587" t="s">
        <v>4116</v>
      </c>
      <c r="B1587">
        <v>702</v>
      </c>
      <c r="C1587" t="s">
        <v>4117</v>
      </c>
      <c r="D1587" s="1" t="s">
        <v>7578</v>
      </c>
      <c r="F1587" s="1" t="s">
        <v>8634</v>
      </c>
      <c r="G1587" s="1" t="s">
        <v>8635</v>
      </c>
      <c r="H1587" t="s">
        <v>8645</v>
      </c>
      <c r="I1587" t="s">
        <v>8638</v>
      </c>
    </row>
    <row r="1588" spans="1:9">
      <c r="A1588" t="s">
        <v>4116</v>
      </c>
      <c r="B1588">
        <v>702</v>
      </c>
      <c r="C1588" t="s">
        <v>4117</v>
      </c>
      <c r="D1588" s="1" t="s">
        <v>7578</v>
      </c>
      <c r="F1588" s="1" t="s">
        <v>8634</v>
      </c>
      <c r="G1588" s="1" t="s">
        <v>8635</v>
      </c>
      <c r="H1588" s="3" t="s">
        <v>8639</v>
      </c>
      <c r="I1588" t="s">
        <v>8640</v>
      </c>
    </row>
    <row r="1589" spans="1:9">
      <c r="A1589" t="s">
        <v>4116</v>
      </c>
      <c r="B1589">
        <v>702</v>
      </c>
      <c r="C1589" t="s">
        <v>4117</v>
      </c>
      <c r="D1589" s="1" t="s">
        <v>7578</v>
      </c>
      <c r="F1589" s="1" t="s">
        <v>8634</v>
      </c>
      <c r="G1589" s="1" t="s">
        <v>8635</v>
      </c>
      <c r="H1589" s="3" t="s">
        <v>8641</v>
      </c>
      <c r="I1589" t="s">
        <v>8642</v>
      </c>
    </row>
    <row r="1590" spans="1:9">
      <c r="A1590" t="s">
        <v>4116</v>
      </c>
      <c r="B1590">
        <v>702</v>
      </c>
      <c r="C1590" t="s">
        <v>4117</v>
      </c>
      <c r="D1590" s="1" t="s">
        <v>7578</v>
      </c>
      <c r="F1590" s="1" t="s">
        <v>8634</v>
      </c>
      <c r="G1590" s="1" t="s">
        <v>8635</v>
      </c>
      <c r="H1590" s="3" t="s">
        <v>8646</v>
      </c>
      <c r="I1590" t="s">
        <v>8643</v>
      </c>
    </row>
    <row r="1591" spans="1:9">
      <c r="A1591" t="s">
        <v>4120</v>
      </c>
      <c r="B1591">
        <v>361</v>
      </c>
      <c r="C1591" t="s">
        <v>4121</v>
      </c>
      <c r="D1591" s="1" t="s">
        <v>7579</v>
      </c>
      <c r="F1591" s="1" t="s">
        <v>8647</v>
      </c>
      <c r="G1591" s="1" t="s">
        <v>8648</v>
      </c>
      <c r="H1591" s="3" t="s">
        <v>8644</v>
      </c>
      <c r="I1591" t="s">
        <v>8649</v>
      </c>
    </row>
    <row r="1592" spans="1:9">
      <c r="A1592" t="s">
        <v>4120</v>
      </c>
      <c r="B1592">
        <v>361</v>
      </c>
      <c r="C1592" t="s">
        <v>4121</v>
      </c>
      <c r="D1592" s="1" t="s">
        <v>7579</v>
      </c>
      <c r="F1592" s="1" t="s">
        <v>8647</v>
      </c>
      <c r="G1592" s="1" t="s">
        <v>8648</v>
      </c>
      <c r="H1592" s="3" t="s">
        <v>8644</v>
      </c>
      <c r="I1592" t="s">
        <v>8650</v>
      </c>
    </row>
    <row r="1593" spans="1:9">
      <c r="A1593" t="s">
        <v>4124</v>
      </c>
      <c r="B1593">
        <v>510</v>
      </c>
      <c r="C1593" t="s">
        <v>4125</v>
      </c>
      <c r="D1593" s="1" t="s">
        <v>7580</v>
      </c>
      <c r="F1593" s="1" t="s">
        <v>8655</v>
      </c>
      <c r="G1593" s="1" t="s">
        <v>8656</v>
      </c>
      <c r="H1593" s="3" t="s">
        <v>8657</v>
      </c>
      <c r="I1593" t="s">
        <v>8658</v>
      </c>
    </row>
    <row r="1594" spans="1:9">
      <c r="A1594" t="s">
        <v>4124</v>
      </c>
      <c r="B1594">
        <v>510</v>
      </c>
      <c r="C1594" t="s">
        <v>4125</v>
      </c>
      <c r="D1594" s="1" t="s">
        <v>7580</v>
      </c>
      <c r="F1594" s="1" t="s">
        <v>8655</v>
      </c>
      <c r="G1594" s="1" t="s">
        <v>8656</v>
      </c>
      <c r="H1594" s="3" t="s">
        <v>8659</v>
      </c>
      <c r="I1594" t="s">
        <v>8660</v>
      </c>
    </row>
    <row r="1595" spans="1:9">
      <c r="A1595" t="s">
        <v>4127</v>
      </c>
      <c r="B1595">
        <v>311</v>
      </c>
      <c r="C1595" t="s">
        <v>4128</v>
      </c>
    </row>
    <row r="1596" spans="1:9">
      <c r="A1596" t="s">
        <v>4131</v>
      </c>
      <c r="B1596">
        <v>253</v>
      </c>
      <c r="C1596" t="s">
        <v>4132</v>
      </c>
      <c r="D1596" s="1" t="s">
        <v>7581</v>
      </c>
      <c r="F1596" s="1" t="s">
        <v>8651</v>
      </c>
      <c r="G1596" s="1" t="s">
        <v>8652</v>
      </c>
      <c r="H1596" t="s">
        <v>8653</v>
      </c>
      <c r="I1596" t="s">
        <v>8654</v>
      </c>
    </row>
    <row r="1597" spans="1:9">
      <c r="A1597" t="s">
        <v>4134</v>
      </c>
      <c r="B1597">
        <v>78</v>
      </c>
      <c r="C1597" t="s">
        <v>4135</v>
      </c>
    </row>
    <row r="1598" spans="1:9">
      <c r="A1598" t="s">
        <v>4138</v>
      </c>
      <c r="B1598">
        <v>260</v>
      </c>
      <c r="C1598" t="s">
        <v>4139</v>
      </c>
      <c r="D1598" s="1" t="s">
        <v>7582</v>
      </c>
      <c r="F1598" s="1" t="s">
        <v>8661</v>
      </c>
      <c r="G1598" s="1" t="s">
        <v>8662</v>
      </c>
      <c r="H1598" t="s">
        <v>8663</v>
      </c>
      <c r="I1598" t="s">
        <v>8664</v>
      </c>
    </row>
    <row r="1599" spans="1:9">
      <c r="A1599" t="s">
        <v>4142</v>
      </c>
      <c r="B1599">
        <v>405</v>
      </c>
      <c r="C1599" t="s">
        <v>4143</v>
      </c>
      <c r="D1599" s="1" t="s">
        <v>7583</v>
      </c>
      <c r="F1599" s="1" t="s">
        <v>8665</v>
      </c>
      <c r="G1599" s="1" t="s">
        <v>8666</v>
      </c>
      <c r="H1599" t="s">
        <v>8667</v>
      </c>
      <c r="I1599" t="s">
        <v>8668</v>
      </c>
    </row>
    <row r="1600" spans="1:9">
      <c r="A1600" t="s">
        <v>4145</v>
      </c>
      <c r="B1600">
        <v>335</v>
      </c>
      <c r="C1600" t="s">
        <v>4146</v>
      </c>
      <c r="D1600" s="1" t="s">
        <v>7466</v>
      </c>
      <c r="F1600" s="1" t="s">
        <v>8669</v>
      </c>
      <c r="G1600" s="1" t="s">
        <v>8670</v>
      </c>
      <c r="H1600" t="s">
        <v>8671</v>
      </c>
      <c r="I1600" t="s">
        <v>8672</v>
      </c>
    </row>
    <row r="1601" spans="1:9">
      <c r="A1601" t="s">
        <v>4149</v>
      </c>
      <c r="B1601">
        <v>548</v>
      </c>
      <c r="C1601" t="s">
        <v>4150</v>
      </c>
    </row>
    <row r="1602" spans="1:9">
      <c r="A1602" t="s">
        <v>4153</v>
      </c>
      <c r="B1602">
        <v>329</v>
      </c>
      <c r="C1602" t="s">
        <v>4154</v>
      </c>
    </row>
    <row r="1603" spans="1:9">
      <c r="A1603" t="s">
        <v>4156</v>
      </c>
      <c r="B1603">
        <v>325</v>
      </c>
      <c r="C1603" t="s">
        <v>4157</v>
      </c>
    </row>
    <row r="1604" spans="1:9">
      <c r="A1604" t="s">
        <v>4159</v>
      </c>
      <c r="B1604">
        <v>290</v>
      </c>
      <c r="C1604" t="s">
        <v>4160</v>
      </c>
    </row>
    <row r="1605" spans="1:9">
      <c r="A1605" t="s">
        <v>4163</v>
      </c>
      <c r="B1605">
        <v>689</v>
      </c>
      <c r="C1605" t="s">
        <v>4164</v>
      </c>
    </row>
    <row r="1606" spans="1:9">
      <c r="A1606" t="s">
        <v>4165</v>
      </c>
      <c r="B1606">
        <v>182</v>
      </c>
      <c r="C1606" t="s">
        <v>4166</v>
      </c>
    </row>
    <row r="1607" spans="1:9">
      <c r="A1607" t="s">
        <v>4169</v>
      </c>
      <c r="B1607">
        <v>157</v>
      </c>
      <c r="C1607" t="s">
        <v>4170</v>
      </c>
      <c r="D1607" s="1" t="s">
        <v>7584</v>
      </c>
      <c r="F1607" s="1" t="s">
        <v>8688</v>
      </c>
      <c r="G1607" s="1" t="s">
        <v>8689</v>
      </c>
      <c r="H1607" t="s">
        <v>8690</v>
      </c>
      <c r="I1607" t="s">
        <v>8691</v>
      </c>
    </row>
    <row r="1608" spans="1:9">
      <c r="A1608" t="s">
        <v>4173</v>
      </c>
      <c r="B1608">
        <v>425</v>
      </c>
      <c r="C1608" t="s">
        <v>4174</v>
      </c>
    </row>
    <row r="1609" spans="1:9">
      <c r="A1609" t="s">
        <v>4177</v>
      </c>
      <c r="B1609">
        <v>200</v>
      </c>
      <c r="C1609" t="s">
        <v>4178</v>
      </c>
      <c r="D1609" s="1" t="s">
        <v>7585</v>
      </c>
      <c r="F1609" s="1" t="s">
        <v>8692</v>
      </c>
      <c r="G1609" s="1" t="s">
        <v>8693</v>
      </c>
      <c r="H1609" t="s">
        <v>8694</v>
      </c>
      <c r="I1609" t="s">
        <v>8695</v>
      </c>
    </row>
    <row r="1610" spans="1:9">
      <c r="A1610" t="s">
        <v>4181</v>
      </c>
      <c r="B1610">
        <v>344</v>
      </c>
      <c r="C1610" t="s">
        <v>4182</v>
      </c>
    </row>
    <row r="1611" spans="1:9">
      <c r="A1611" t="s">
        <v>4185</v>
      </c>
      <c r="B1611">
        <v>222</v>
      </c>
      <c r="C1611" t="s">
        <v>4186</v>
      </c>
      <c r="D1611" s="1" t="s">
        <v>7586</v>
      </c>
      <c r="F1611" s="1" t="s">
        <v>8696</v>
      </c>
      <c r="G1611" s="1" t="s">
        <v>8697</v>
      </c>
      <c r="H1611" t="s">
        <v>8698</v>
      </c>
      <c r="I1611" t="s">
        <v>8699</v>
      </c>
    </row>
    <row r="1612" spans="1:9">
      <c r="A1612" t="s">
        <v>4189</v>
      </c>
      <c r="B1612">
        <v>541</v>
      </c>
      <c r="C1612" t="s">
        <v>4190</v>
      </c>
      <c r="D1612" s="1" t="s">
        <v>7587</v>
      </c>
      <c r="F1612" s="1" t="s">
        <v>8700</v>
      </c>
    </row>
    <row r="1613" spans="1:9">
      <c r="A1613" t="s">
        <v>4193</v>
      </c>
      <c r="B1613">
        <v>313</v>
      </c>
      <c r="C1613" t="s">
        <v>4194</v>
      </c>
      <c r="D1613" s="1" t="s">
        <v>7588</v>
      </c>
      <c r="F1613" s="1" t="s">
        <v>8701</v>
      </c>
      <c r="G1613" s="1" t="s">
        <v>8702</v>
      </c>
      <c r="H1613" t="s">
        <v>8703</v>
      </c>
      <c r="I1613" t="s">
        <v>8704</v>
      </c>
    </row>
    <row r="1614" spans="1:9">
      <c r="A1614" t="s">
        <v>4197</v>
      </c>
      <c r="B1614">
        <v>171</v>
      </c>
      <c r="C1614" t="s">
        <v>4198</v>
      </c>
      <c r="D1614" s="1" t="s">
        <v>7589</v>
      </c>
      <c r="F1614" s="1" t="s">
        <v>8705</v>
      </c>
      <c r="G1614" s="1" t="s">
        <v>8706</v>
      </c>
      <c r="H1614" t="s">
        <v>8707</v>
      </c>
      <c r="I1614" t="s">
        <v>8708</v>
      </c>
    </row>
    <row r="1615" spans="1:9">
      <c r="A1615" t="s">
        <v>4197</v>
      </c>
      <c r="B1615">
        <v>171</v>
      </c>
      <c r="C1615" t="s">
        <v>4198</v>
      </c>
      <c r="D1615" s="1" t="s">
        <v>7589</v>
      </c>
      <c r="F1615" s="1" t="s">
        <v>8705</v>
      </c>
      <c r="G1615" s="1" t="s">
        <v>8706</v>
      </c>
      <c r="H1615" t="s">
        <v>8709</v>
      </c>
      <c r="I1615" t="s">
        <v>8710</v>
      </c>
    </row>
    <row r="1616" spans="1:9">
      <c r="A1616" t="s">
        <v>4201</v>
      </c>
      <c r="B1616">
        <v>676</v>
      </c>
      <c r="C1616" t="s">
        <v>4202</v>
      </c>
      <c r="D1616" s="1" t="s">
        <v>7470</v>
      </c>
    </row>
    <row r="1617" spans="1:9">
      <c r="A1617" t="s">
        <v>4205</v>
      </c>
      <c r="B1617">
        <v>410</v>
      </c>
      <c r="C1617" t="s">
        <v>4206</v>
      </c>
      <c r="D1617" s="1" t="s">
        <v>8711</v>
      </c>
      <c r="F1617" s="1" t="s">
        <v>8712</v>
      </c>
      <c r="G1617" s="1" t="s">
        <v>8713</v>
      </c>
      <c r="H1617" t="s">
        <v>8714</v>
      </c>
      <c r="I1617" t="s">
        <v>8715</v>
      </c>
    </row>
    <row r="1618" spans="1:9">
      <c r="A1618" t="s">
        <v>4205</v>
      </c>
      <c r="B1618">
        <v>410</v>
      </c>
      <c r="C1618" t="s">
        <v>4206</v>
      </c>
      <c r="D1618" s="1" t="s">
        <v>8711</v>
      </c>
      <c r="F1618" s="1" t="s">
        <v>8712</v>
      </c>
      <c r="G1618" s="1" t="s">
        <v>8713</v>
      </c>
      <c r="H1618" t="s">
        <v>8716</v>
      </c>
      <c r="I1618" t="s">
        <v>8717</v>
      </c>
    </row>
    <row r="1619" spans="1:9">
      <c r="A1619" t="s">
        <v>4209</v>
      </c>
      <c r="B1619">
        <v>407</v>
      </c>
      <c r="C1619" t="s">
        <v>4210</v>
      </c>
    </row>
    <row r="1620" spans="1:9">
      <c r="A1620" t="s">
        <v>4213</v>
      </c>
      <c r="B1620">
        <v>100</v>
      </c>
      <c r="C1620" t="s">
        <v>4214</v>
      </c>
      <c r="D1620" s="1" t="s">
        <v>7374</v>
      </c>
      <c r="F1620" s="1" t="s">
        <v>8094</v>
      </c>
      <c r="G1620" s="1" t="s">
        <v>8095</v>
      </c>
      <c r="H1620" t="s">
        <v>8096</v>
      </c>
      <c r="I1620" t="s">
        <v>8097</v>
      </c>
    </row>
    <row r="1621" spans="1:9">
      <c r="A1621" t="s">
        <v>4213</v>
      </c>
      <c r="B1621">
        <v>100</v>
      </c>
      <c r="C1621" t="s">
        <v>4214</v>
      </c>
      <c r="D1621" s="1" t="s">
        <v>7374</v>
      </c>
      <c r="F1621" s="1" t="s">
        <v>8094</v>
      </c>
      <c r="G1621" s="1" t="s">
        <v>8095</v>
      </c>
      <c r="H1621" s="4" t="s">
        <v>10251</v>
      </c>
      <c r="I1621" s="4" t="s">
        <v>10252</v>
      </c>
    </row>
    <row r="1622" spans="1:9">
      <c r="A1622" t="s">
        <v>4213</v>
      </c>
      <c r="B1622">
        <v>100</v>
      </c>
      <c r="C1622" t="s">
        <v>4214</v>
      </c>
      <c r="D1622" s="1" t="s">
        <v>7374</v>
      </c>
      <c r="F1622" s="1" t="s">
        <v>8094</v>
      </c>
      <c r="G1622" s="1" t="s">
        <v>8095</v>
      </c>
      <c r="H1622" s="4" t="s">
        <v>10253</v>
      </c>
      <c r="I1622" s="4" t="s">
        <v>10252</v>
      </c>
    </row>
    <row r="1623" spans="1:9">
      <c r="A1623" t="s">
        <v>4213</v>
      </c>
      <c r="B1623">
        <v>100</v>
      </c>
      <c r="C1623" t="s">
        <v>4214</v>
      </c>
      <c r="D1623" s="1" t="s">
        <v>7374</v>
      </c>
      <c r="F1623" s="1" t="s">
        <v>8094</v>
      </c>
      <c r="G1623" s="1" t="s">
        <v>8095</v>
      </c>
      <c r="H1623" s="4" t="s">
        <v>10254</v>
      </c>
      <c r="I1623" s="4" t="s">
        <v>10252</v>
      </c>
    </row>
    <row r="1624" spans="1:9">
      <c r="A1624" t="s">
        <v>4213</v>
      </c>
      <c r="B1624">
        <v>100</v>
      </c>
      <c r="C1624" t="s">
        <v>4214</v>
      </c>
      <c r="D1624" s="1" t="s">
        <v>7374</v>
      </c>
      <c r="F1624" s="1" t="s">
        <v>8094</v>
      </c>
      <c r="G1624" s="1" t="s">
        <v>8095</v>
      </c>
      <c r="H1624" s="4" t="s">
        <v>10255</v>
      </c>
      <c r="I1624" s="4" t="s">
        <v>10252</v>
      </c>
    </row>
    <row r="1625" spans="1:9">
      <c r="A1625" t="s">
        <v>4213</v>
      </c>
      <c r="B1625">
        <v>100</v>
      </c>
      <c r="C1625" t="s">
        <v>4214</v>
      </c>
      <c r="D1625" s="1" t="s">
        <v>7374</v>
      </c>
      <c r="F1625" s="1" t="s">
        <v>8094</v>
      </c>
      <c r="G1625" s="1" t="s">
        <v>8095</v>
      </c>
      <c r="H1625" s="4" t="s">
        <v>10256</v>
      </c>
      <c r="I1625" s="4" t="s">
        <v>10257</v>
      </c>
    </row>
    <row r="1626" spans="1:9">
      <c r="A1626" t="s">
        <v>4217</v>
      </c>
      <c r="B1626">
        <v>189</v>
      </c>
      <c r="C1626" t="s">
        <v>4218</v>
      </c>
      <c r="D1626" s="1" t="s">
        <v>7590</v>
      </c>
      <c r="F1626" s="1" t="s">
        <v>8718</v>
      </c>
      <c r="G1626" s="1" t="s">
        <v>8719</v>
      </c>
      <c r="H1626" t="s">
        <v>8720</v>
      </c>
      <c r="I1626" t="s">
        <v>8721</v>
      </c>
    </row>
    <row r="1627" spans="1:9">
      <c r="A1627" t="s">
        <v>4217</v>
      </c>
      <c r="B1627">
        <v>189</v>
      </c>
      <c r="C1627" t="s">
        <v>4218</v>
      </c>
      <c r="D1627" s="1" t="s">
        <v>7590</v>
      </c>
      <c r="F1627" s="1" t="s">
        <v>8718</v>
      </c>
      <c r="G1627" s="1" t="s">
        <v>8719</v>
      </c>
      <c r="H1627" t="s">
        <v>8722</v>
      </c>
      <c r="I1627" t="s">
        <v>8723</v>
      </c>
    </row>
    <row r="1628" spans="1:9">
      <c r="A1628" t="s">
        <v>4217</v>
      </c>
      <c r="B1628">
        <v>189</v>
      </c>
      <c r="C1628" t="s">
        <v>4218</v>
      </c>
      <c r="D1628" s="1" t="s">
        <v>7590</v>
      </c>
      <c r="F1628" s="1" t="s">
        <v>8718</v>
      </c>
      <c r="G1628" s="1" t="s">
        <v>8719</v>
      </c>
      <c r="H1628" t="s">
        <v>8724</v>
      </c>
      <c r="I1628" t="s">
        <v>8725</v>
      </c>
    </row>
    <row r="1629" spans="1:9">
      <c r="A1629" t="s">
        <v>4219</v>
      </c>
      <c r="B1629">
        <v>107</v>
      </c>
      <c r="C1629" t="s">
        <v>4220</v>
      </c>
    </row>
    <row r="1630" spans="1:9">
      <c r="A1630" t="s">
        <v>4222</v>
      </c>
      <c r="B1630">
        <v>279</v>
      </c>
      <c r="C1630" t="s">
        <v>4223</v>
      </c>
    </row>
    <row r="1631" spans="1:9">
      <c r="A1631" t="s">
        <v>4226</v>
      </c>
      <c r="B1631">
        <v>1113</v>
      </c>
      <c r="C1631" t="s">
        <v>4227</v>
      </c>
      <c r="D1631" s="1" t="s">
        <v>7591</v>
      </c>
      <c r="F1631" s="1" t="s">
        <v>8726</v>
      </c>
      <c r="G1631" s="1" t="s">
        <v>8727</v>
      </c>
      <c r="H1631" t="s">
        <v>8728</v>
      </c>
      <c r="I1631" t="s">
        <v>8729</v>
      </c>
    </row>
    <row r="1632" spans="1:9">
      <c r="A1632" t="s">
        <v>4226</v>
      </c>
      <c r="B1632">
        <v>1113</v>
      </c>
      <c r="C1632" t="s">
        <v>4227</v>
      </c>
      <c r="D1632" s="1" t="s">
        <v>7591</v>
      </c>
      <c r="F1632" s="1" t="s">
        <v>8726</v>
      </c>
      <c r="G1632" s="1" t="s">
        <v>8727</v>
      </c>
      <c r="H1632" t="s">
        <v>8730</v>
      </c>
      <c r="I1632" t="s">
        <v>8731</v>
      </c>
    </row>
    <row r="1633" spans="1:9">
      <c r="A1633" t="s">
        <v>4226</v>
      </c>
      <c r="B1633">
        <v>1113</v>
      </c>
      <c r="C1633" t="s">
        <v>4227</v>
      </c>
      <c r="D1633" s="1" t="s">
        <v>7591</v>
      </c>
      <c r="F1633" s="1" t="s">
        <v>8726</v>
      </c>
      <c r="G1633" s="1" t="s">
        <v>8727</v>
      </c>
      <c r="H1633" t="s">
        <v>8732</v>
      </c>
      <c r="I1633" t="s">
        <v>8733</v>
      </c>
    </row>
    <row r="1634" spans="1:9">
      <c r="A1634" t="s">
        <v>4226</v>
      </c>
      <c r="B1634">
        <v>1113</v>
      </c>
      <c r="C1634" t="s">
        <v>4227</v>
      </c>
      <c r="D1634" s="1" t="s">
        <v>7591</v>
      </c>
      <c r="F1634" s="1" t="s">
        <v>8726</v>
      </c>
      <c r="G1634" s="1" t="s">
        <v>8727</v>
      </c>
      <c r="H1634" t="s">
        <v>8734</v>
      </c>
      <c r="I1634" t="s">
        <v>8735</v>
      </c>
    </row>
    <row r="1635" spans="1:9">
      <c r="A1635" t="s">
        <v>4226</v>
      </c>
      <c r="B1635">
        <v>1113</v>
      </c>
      <c r="C1635" t="s">
        <v>4227</v>
      </c>
      <c r="D1635" s="1" t="s">
        <v>7591</v>
      </c>
      <c r="F1635" s="1" t="s">
        <v>8726</v>
      </c>
      <c r="G1635" s="1" t="s">
        <v>8727</v>
      </c>
      <c r="H1635" t="s">
        <v>8736</v>
      </c>
      <c r="I1635" t="s">
        <v>8737</v>
      </c>
    </row>
    <row r="1636" spans="1:9">
      <c r="A1636" t="s">
        <v>4226</v>
      </c>
      <c r="B1636">
        <v>1113</v>
      </c>
      <c r="C1636" t="s">
        <v>4227</v>
      </c>
      <c r="D1636" s="1" t="s">
        <v>7591</v>
      </c>
      <c r="F1636" s="1" t="s">
        <v>8726</v>
      </c>
      <c r="G1636" s="1" t="s">
        <v>8727</v>
      </c>
      <c r="H1636" t="s">
        <v>8738</v>
      </c>
      <c r="I1636" t="s">
        <v>8739</v>
      </c>
    </row>
    <row r="1637" spans="1:9">
      <c r="A1637" t="s">
        <v>4230</v>
      </c>
      <c r="B1637">
        <v>386</v>
      </c>
      <c r="C1637" t="s">
        <v>4231</v>
      </c>
      <c r="D1637" s="1" t="s">
        <v>7591</v>
      </c>
      <c r="F1637" s="1" t="s">
        <v>8726</v>
      </c>
      <c r="G1637" s="1" t="s">
        <v>8727</v>
      </c>
      <c r="H1637" t="s">
        <v>8728</v>
      </c>
      <c r="I1637" t="s">
        <v>8729</v>
      </c>
    </row>
    <row r="1638" spans="1:9">
      <c r="A1638" t="s">
        <v>4230</v>
      </c>
      <c r="B1638">
        <v>386</v>
      </c>
      <c r="C1638" t="s">
        <v>4231</v>
      </c>
      <c r="D1638" s="1" t="s">
        <v>7591</v>
      </c>
      <c r="F1638" s="1" t="s">
        <v>8726</v>
      </c>
      <c r="G1638" s="1" t="s">
        <v>8727</v>
      </c>
      <c r="H1638" t="s">
        <v>8730</v>
      </c>
      <c r="I1638" t="s">
        <v>8731</v>
      </c>
    </row>
    <row r="1639" spans="1:9">
      <c r="A1639" t="s">
        <v>4230</v>
      </c>
      <c r="B1639">
        <v>386</v>
      </c>
      <c r="C1639" t="s">
        <v>4231</v>
      </c>
      <c r="D1639" s="1" t="s">
        <v>7591</v>
      </c>
      <c r="F1639" s="1" t="s">
        <v>8726</v>
      </c>
      <c r="G1639" s="1" t="s">
        <v>8727</v>
      </c>
      <c r="H1639" t="s">
        <v>8732</v>
      </c>
      <c r="I1639" t="s">
        <v>8733</v>
      </c>
    </row>
    <row r="1640" spans="1:9">
      <c r="A1640" t="s">
        <v>4230</v>
      </c>
      <c r="B1640">
        <v>386</v>
      </c>
      <c r="C1640" t="s">
        <v>4231</v>
      </c>
      <c r="D1640" s="1" t="s">
        <v>7591</v>
      </c>
      <c r="F1640" s="1" t="s">
        <v>8726</v>
      </c>
      <c r="G1640" s="1" t="s">
        <v>8727</v>
      </c>
      <c r="H1640" t="s">
        <v>8734</v>
      </c>
      <c r="I1640" t="s">
        <v>8735</v>
      </c>
    </row>
    <row r="1641" spans="1:9">
      <c r="A1641" t="s">
        <v>4230</v>
      </c>
      <c r="B1641">
        <v>386</v>
      </c>
      <c r="C1641" t="s">
        <v>4231</v>
      </c>
      <c r="D1641" s="1" t="s">
        <v>7591</v>
      </c>
      <c r="F1641" s="1" t="s">
        <v>8726</v>
      </c>
      <c r="G1641" s="1" t="s">
        <v>8727</v>
      </c>
      <c r="H1641" t="s">
        <v>8736</v>
      </c>
      <c r="I1641" t="s">
        <v>8737</v>
      </c>
    </row>
    <row r="1642" spans="1:9">
      <c r="A1642" t="s">
        <v>4230</v>
      </c>
      <c r="B1642">
        <v>386</v>
      </c>
      <c r="C1642" t="s">
        <v>4231</v>
      </c>
      <c r="D1642" s="1" t="s">
        <v>7591</v>
      </c>
      <c r="F1642" s="1" t="s">
        <v>8726</v>
      </c>
      <c r="G1642" s="1" t="s">
        <v>8727</v>
      </c>
      <c r="H1642" t="s">
        <v>8738</v>
      </c>
      <c r="I1642" t="s">
        <v>8739</v>
      </c>
    </row>
    <row r="1643" spans="1:9">
      <c r="A1643" t="s">
        <v>4234</v>
      </c>
      <c r="B1643">
        <v>445</v>
      </c>
      <c r="C1643" t="s">
        <v>4235</v>
      </c>
      <c r="D1643" s="1" t="s">
        <v>7592</v>
      </c>
      <c r="F1643" s="1" t="s">
        <v>8740</v>
      </c>
      <c r="G1643" s="1" t="s">
        <v>8741</v>
      </c>
      <c r="H1643" t="s">
        <v>8742</v>
      </c>
      <c r="I1643" t="s">
        <v>8743</v>
      </c>
    </row>
    <row r="1644" spans="1:9">
      <c r="A1644" t="s">
        <v>4238</v>
      </c>
      <c r="B1644">
        <v>318</v>
      </c>
      <c r="C1644" t="s">
        <v>4239</v>
      </c>
      <c r="D1644" s="1" t="s">
        <v>7593</v>
      </c>
      <c r="F1644" s="1" t="s">
        <v>8744</v>
      </c>
      <c r="G1644" s="1" t="s">
        <v>8745</v>
      </c>
      <c r="H1644" t="s">
        <v>8746</v>
      </c>
      <c r="I1644" t="s">
        <v>8747</v>
      </c>
    </row>
    <row r="1645" spans="1:9">
      <c r="A1645" t="s">
        <v>4242</v>
      </c>
      <c r="B1645">
        <v>202</v>
      </c>
      <c r="C1645" t="s">
        <v>4243</v>
      </c>
    </row>
    <row r="1646" spans="1:9">
      <c r="A1646" t="s">
        <v>4245</v>
      </c>
      <c r="B1646">
        <v>462</v>
      </c>
      <c r="C1646" t="s">
        <v>4246</v>
      </c>
    </row>
    <row r="1647" spans="1:9">
      <c r="A1647" t="s">
        <v>4247</v>
      </c>
      <c r="B1647">
        <v>163</v>
      </c>
      <c r="C1647" t="s">
        <v>4248</v>
      </c>
    </row>
    <row r="1648" spans="1:9">
      <c r="A1648" t="s">
        <v>4249</v>
      </c>
      <c r="B1648">
        <v>173</v>
      </c>
      <c r="C1648" t="s">
        <v>4250</v>
      </c>
    </row>
    <row r="1649" spans="1:9">
      <c r="A1649" t="s">
        <v>4251</v>
      </c>
      <c r="B1649">
        <v>284</v>
      </c>
      <c r="C1649" t="s">
        <v>4252</v>
      </c>
    </row>
    <row r="1650" spans="1:9">
      <c r="A1650" t="s">
        <v>4253</v>
      </c>
      <c r="B1650">
        <v>211</v>
      </c>
      <c r="C1650" t="s">
        <v>4254</v>
      </c>
    </row>
    <row r="1651" spans="1:9">
      <c r="A1651" t="s">
        <v>4257</v>
      </c>
      <c r="B1651">
        <v>187</v>
      </c>
      <c r="C1651" t="s">
        <v>4258</v>
      </c>
    </row>
    <row r="1652" spans="1:9">
      <c r="A1652" t="s">
        <v>4260</v>
      </c>
      <c r="B1652">
        <v>368</v>
      </c>
      <c r="C1652" t="s">
        <v>4261</v>
      </c>
      <c r="D1652" s="1" t="s">
        <v>7565</v>
      </c>
      <c r="F1652" s="1" t="s">
        <v>8602</v>
      </c>
    </row>
    <row r="1653" spans="1:9">
      <c r="A1653" t="s">
        <v>4264</v>
      </c>
      <c r="B1653">
        <v>142</v>
      </c>
      <c r="C1653" t="s">
        <v>4265</v>
      </c>
      <c r="D1653" s="1" t="s">
        <v>7594</v>
      </c>
      <c r="F1653" s="1" t="s">
        <v>8748</v>
      </c>
      <c r="G1653" s="1" t="s">
        <v>8749</v>
      </c>
      <c r="H1653" t="s">
        <v>8750</v>
      </c>
      <c r="I1653" t="s">
        <v>8751</v>
      </c>
    </row>
    <row r="1654" spans="1:9">
      <c r="A1654" t="s">
        <v>4268</v>
      </c>
      <c r="B1654">
        <v>356</v>
      </c>
      <c r="C1654" t="s">
        <v>4269</v>
      </c>
      <c r="D1654" s="1" t="s">
        <v>7595</v>
      </c>
      <c r="F1654" s="1" t="s">
        <v>8752</v>
      </c>
      <c r="G1654" s="1" t="s">
        <v>8753</v>
      </c>
      <c r="H1654" t="s">
        <v>8754</v>
      </c>
      <c r="I1654" t="s">
        <v>8755</v>
      </c>
    </row>
    <row r="1655" spans="1:9">
      <c r="A1655" t="s">
        <v>4272</v>
      </c>
      <c r="B1655">
        <v>178</v>
      </c>
      <c r="C1655" t="s">
        <v>4273</v>
      </c>
      <c r="D1655" s="1" t="s">
        <v>7596</v>
      </c>
      <c r="F1655" s="1" t="s">
        <v>8756</v>
      </c>
      <c r="G1655" s="1" t="s">
        <v>8757</v>
      </c>
      <c r="H1655" t="s">
        <v>8758</v>
      </c>
      <c r="I1655" t="s">
        <v>8759</v>
      </c>
    </row>
    <row r="1656" spans="1:9">
      <c r="A1656" t="s">
        <v>4276</v>
      </c>
      <c r="B1656">
        <v>410</v>
      </c>
      <c r="C1656" t="s">
        <v>4277</v>
      </c>
      <c r="D1656" s="1" t="s">
        <v>7597</v>
      </c>
      <c r="F1656" s="1" t="s">
        <v>8760</v>
      </c>
      <c r="G1656" s="1" t="s">
        <v>8761</v>
      </c>
      <c r="H1656" t="s">
        <v>8762</v>
      </c>
      <c r="I1656" t="s">
        <v>8763</v>
      </c>
    </row>
    <row r="1657" spans="1:9">
      <c r="A1657" t="s">
        <v>4279</v>
      </c>
      <c r="B1657">
        <v>146</v>
      </c>
      <c r="C1657" t="s">
        <v>4280</v>
      </c>
      <c r="D1657" s="1" t="s">
        <v>7598</v>
      </c>
      <c r="F1657" s="1" t="s">
        <v>8764</v>
      </c>
      <c r="G1657" s="1" t="s">
        <v>8765</v>
      </c>
      <c r="H1657" t="s">
        <v>8766</v>
      </c>
      <c r="I1657" t="s">
        <v>8767</v>
      </c>
    </row>
    <row r="1658" spans="1:9">
      <c r="A1658" t="s">
        <v>4279</v>
      </c>
      <c r="B1658">
        <v>146</v>
      </c>
      <c r="C1658" t="s">
        <v>4280</v>
      </c>
      <c r="D1658" s="1" t="s">
        <v>7598</v>
      </c>
      <c r="F1658" s="1" t="s">
        <v>8764</v>
      </c>
      <c r="G1658" s="1" t="s">
        <v>8765</v>
      </c>
      <c r="H1658" t="s">
        <v>8768</v>
      </c>
      <c r="I1658" t="s">
        <v>8769</v>
      </c>
    </row>
    <row r="1659" spans="1:9">
      <c r="A1659" t="s">
        <v>4283</v>
      </c>
      <c r="B1659">
        <v>272</v>
      </c>
      <c r="C1659" t="s">
        <v>4284</v>
      </c>
    </row>
    <row r="1660" spans="1:9">
      <c r="A1660" t="s">
        <v>4286</v>
      </c>
      <c r="B1660">
        <v>408</v>
      </c>
      <c r="C1660" t="s">
        <v>4287</v>
      </c>
    </row>
    <row r="1661" spans="1:9">
      <c r="A1661" t="s">
        <v>4290</v>
      </c>
      <c r="B1661">
        <v>183</v>
      </c>
      <c r="C1661" t="s">
        <v>4291</v>
      </c>
      <c r="D1661" s="1" t="s">
        <v>7299</v>
      </c>
    </row>
    <row r="1662" spans="1:9">
      <c r="A1662" t="s">
        <v>4294</v>
      </c>
      <c r="B1662">
        <v>894</v>
      </c>
      <c r="C1662" t="s">
        <v>4295</v>
      </c>
      <c r="D1662" s="1" t="s">
        <v>7599</v>
      </c>
      <c r="F1662" s="1" t="s">
        <v>8770</v>
      </c>
      <c r="G1662" s="1" t="s">
        <v>8771</v>
      </c>
      <c r="H1662" t="s">
        <v>8772</v>
      </c>
      <c r="I1662" t="s">
        <v>8773</v>
      </c>
    </row>
    <row r="1663" spans="1:9">
      <c r="A1663" t="s">
        <v>4298</v>
      </c>
      <c r="B1663">
        <v>461</v>
      </c>
      <c r="C1663" t="s">
        <v>4299</v>
      </c>
    </row>
    <row r="1664" spans="1:9">
      <c r="A1664" t="s">
        <v>4301</v>
      </c>
      <c r="B1664">
        <v>404</v>
      </c>
      <c r="C1664" t="s">
        <v>4302</v>
      </c>
    </row>
    <row r="1665" spans="1:9">
      <c r="A1665" t="s">
        <v>4305</v>
      </c>
      <c r="B1665">
        <v>608</v>
      </c>
      <c r="C1665" t="s">
        <v>4306</v>
      </c>
      <c r="D1665" s="1" t="s">
        <v>7600</v>
      </c>
      <c r="F1665" s="1" t="s">
        <v>8774</v>
      </c>
      <c r="G1665" s="1" t="s">
        <v>8775</v>
      </c>
      <c r="H1665" t="s">
        <v>8776</v>
      </c>
      <c r="I1665" t="s">
        <v>8777</v>
      </c>
    </row>
    <row r="1666" spans="1:9">
      <c r="A1666" t="s">
        <v>4308</v>
      </c>
      <c r="B1666">
        <v>293</v>
      </c>
      <c r="C1666" t="s">
        <v>4309</v>
      </c>
    </row>
    <row r="1667" spans="1:9">
      <c r="A1667" t="s">
        <v>4312</v>
      </c>
      <c r="B1667">
        <v>370</v>
      </c>
      <c r="C1667" t="s">
        <v>4313</v>
      </c>
      <c r="D1667" s="1" t="s">
        <v>7601</v>
      </c>
      <c r="F1667" s="1" t="s">
        <v>8778</v>
      </c>
      <c r="G1667" s="1" t="s">
        <v>8779</v>
      </c>
      <c r="H1667" t="s">
        <v>8780</v>
      </c>
      <c r="I1667" t="s">
        <v>8781</v>
      </c>
    </row>
    <row r="1668" spans="1:9">
      <c r="A1668" t="s">
        <v>4316</v>
      </c>
      <c r="B1668">
        <v>222</v>
      </c>
      <c r="C1668" t="s">
        <v>4317</v>
      </c>
      <c r="D1668" s="1" t="s">
        <v>7602</v>
      </c>
      <c r="F1668" s="1" t="s">
        <v>8782</v>
      </c>
      <c r="G1668" s="1" t="s">
        <v>8783</v>
      </c>
      <c r="H1668" t="s">
        <v>8784</v>
      </c>
      <c r="I1668" t="s">
        <v>8785</v>
      </c>
    </row>
    <row r="1669" spans="1:9">
      <c r="A1669" t="s">
        <v>4320</v>
      </c>
      <c r="B1669">
        <v>469</v>
      </c>
      <c r="C1669" t="s">
        <v>4321</v>
      </c>
      <c r="D1669" s="1" t="s">
        <v>7603</v>
      </c>
      <c r="F1669" s="1" t="s">
        <v>8786</v>
      </c>
      <c r="G1669" s="1" t="s">
        <v>8787</v>
      </c>
      <c r="H1669" t="s">
        <v>8788</v>
      </c>
      <c r="I1669" t="s">
        <v>8789</v>
      </c>
    </row>
    <row r="1670" spans="1:9">
      <c r="A1670" t="s">
        <v>4320</v>
      </c>
      <c r="B1670">
        <v>469</v>
      </c>
      <c r="C1670" t="s">
        <v>4321</v>
      </c>
      <c r="D1670" s="1" t="s">
        <v>7603</v>
      </c>
      <c r="F1670" s="1" t="s">
        <v>8786</v>
      </c>
      <c r="G1670" s="1" t="s">
        <v>8787</v>
      </c>
      <c r="H1670" t="s">
        <v>8788</v>
      </c>
      <c r="I1670" t="s">
        <v>8790</v>
      </c>
    </row>
    <row r="1671" spans="1:9">
      <c r="A1671" t="s">
        <v>4320</v>
      </c>
      <c r="B1671">
        <v>469</v>
      </c>
      <c r="C1671" t="s">
        <v>4321</v>
      </c>
      <c r="D1671" s="1" t="s">
        <v>7603</v>
      </c>
      <c r="F1671" s="1" t="s">
        <v>8786</v>
      </c>
      <c r="G1671" s="1" t="s">
        <v>8787</v>
      </c>
      <c r="H1671" t="s">
        <v>8791</v>
      </c>
      <c r="I1671" t="s">
        <v>8789</v>
      </c>
    </row>
    <row r="1672" spans="1:9">
      <c r="A1672" t="s">
        <v>4320</v>
      </c>
      <c r="B1672">
        <v>469</v>
      </c>
      <c r="C1672" t="s">
        <v>4321</v>
      </c>
      <c r="D1672" s="1" t="s">
        <v>7603</v>
      </c>
      <c r="F1672" s="1" t="s">
        <v>8786</v>
      </c>
      <c r="G1672" s="1" t="s">
        <v>8787</v>
      </c>
      <c r="H1672" t="s">
        <v>8792</v>
      </c>
      <c r="I1672" t="s">
        <v>8793</v>
      </c>
    </row>
    <row r="1673" spans="1:9">
      <c r="A1673" t="s">
        <v>4320</v>
      </c>
      <c r="B1673">
        <v>469</v>
      </c>
      <c r="C1673" t="s">
        <v>4321</v>
      </c>
      <c r="D1673" s="1" t="s">
        <v>7603</v>
      </c>
      <c r="F1673" s="1" t="s">
        <v>8786</v>
      </c>
      <c r="G1673" s="1" t="s">
        <v>8787</v>
      </c>
      <c r="H1673" t="s">
        <v>8794</v>
      </c>
      <c r="I1673" t="s">
        <v>8795</v>
      </c>
    </row>
    <row r="1674" spans="1:9">
      <c r="A1674" t="s">
        <v>4324</v>
      </c>
      <c r="B1674">
        <v>427</v>
      </c>
      <c r="C1674" t="s">
        <v>4325</v>
      </c>
      <c r="D1674" s="1" t="s">
        <v>7604</v>
      </c>
      <c r="F1674" s="1" t="s">
        <v>8796</v>
      </c>
      <c r="G1674" s="1" t="s">
        <v>8797</v>
      </c>
      <c r="H1674" t="s">
        <v>8798</v>
      </c>
      <c r="I1674" t="s">
        <v>8799</v>
      </c>
    </row>
    <row r="1675" spans="1:9">
      <c r="A1675" t="s">
        <v>4327</v>
      </c>
      <c r="B1675">
        <v>211</v>
      </c>
      <c r="C1675" t="s">
        <v>4328</v>
      </c>
      <c r="D1675" s="1" t="s">
        <v>7332</v>
      </c>
    </row>
    <row r="1676" spans="1:9">
      <c r="A1676" t="s">
        <v>4331</v>
      </c>
      <c r="B1676">
        <v>165</v>
      </c>
      <c r="C1676" t="s">
        <v>4332</v>
      </c>
      <c r="D1676" s="1" t="s">
        <v>7563</v>
      </c>
    </row>
    <row r="1677" spans="1:9">
      <c r="A1677" t="s">
        <v>4335</v>
      </c>
      <c r="B1677">
        <v>293</v>
      </c>
      <c r="C1677" t="s">
        <v>4336</v>
      </c>
      <c r="D1677" s="1" t="s">
        <v>7287</v>
      </c>
      <c r="F1677" s="1" t="s">
        <v>7843</v>
      </c>
      <c r="G1677" s="1" t="s">
        <v>7844</v>
      </c>
      <c r="H1677" t="s">
        <v>7845</v>
      </c>
      <c r="I1677" t="s">
        <v>7846</v>
      </c>
    </row>
    <row r="1678" spans="1:9">
      <c r="A1678" t="s">
        <v>4339</v>
      </c>
      <c r="B1678">
        <v>167</v>
      </c>
      <c r="C1678" t="s">
        <v>4340</v>
      </c>
      <c r="D1678" s="1" t="s">
        <v>7605</v>
      </c>
      <c r="F1678" s="1" t="s">
        <v>8800</v>
      </c>
      <c r="G1678" s="1" t="s">
        <v>8801</v>
      </c>
      <c r="H1678" t="s">
        <v>8802</v>
      </c>
      <c r="I1678" t="s">
        <v>8803</v>
      </c>
    </row>
    <row r="1679" spans="1:9">
      <c r="A1679" t="s">
        <v>4341</v>
      </c>
      <c r="B1679">
        <v>71</v>
      </c>
      <c r="C1679" t="s">
        <v>4342</v>
      </c>
    </row>
    <row r="1680" spans="1:9">
      <c r="A1680" t="s">
        <v>4343</v>
      </c>
      <c r="B1680">
        <v>447</v>
      </c>
      <c r="C1680" t="s">
        <v>4344</v>
      </c>
    </row>
    <row r="1681" spans="1:9">
      <c r="A1681" t="s">
        <v>4345</v>
      </c>
      <c r="B1681">
        <v>117</v>
      </c>
      <c r="C1681" t="s">
        <v>4346</v>
      </c>
    </row>
    <row r="1682" spans="1:9">
      <c r="A1682" t="s">
        <v>4347</v>
      </c>
      <c r="B1682">
        <v>165</v>
      </c>
      <c r="C1682" t="s">
        <v>4348</v>
      </c>
    </row>
    <row r="1683" spans="1:9">
      <c r="A1683" t="s">
        <v>4351</v>
      </c>
      <c r="B1683">
        <v>684</v>
      </c>
      <c r="C1683" t="s">
        <v>4352</v>
      </c>
      <c r="D1683" s="1" t="s">
        <v>7606</v>
      </c>
    </row>
    <row r="1684" spans="1:9">
      <c r="A1684" t="s">
        <v>4355</v>
      </c>
      <c r="B1684">
        <v>747</v>
      </c>
      <c r="C1684" t="s">
        <v>4356</v>
      </c>
    </row>
    <row r="1685" spans="1:9">
      <c r="A1685" t="s">
        <v>4359</v>
      </c>
      <c r="B1685">
        <v>181</v>
      </c>
      <c r="C1685" t="s">
        <v>4360</v>
      </c>
      <c r="D1685" s="1" t="s">
        <v>7607</v>
      </c>
      <c r="F1685" s="1" t="s">
        <v>8805</v>
      </c>
      <c r="G1685" s="1" t="s">
        <v>8806</v>
      </c>
      <c r="H1685" t="s">
        <v>8332</v>
      </c>
      <c r="I1685" t="s">
        <v>8807</v>
      </c>
    </row>
    <row r="1686" spans="1:9">
      <c r="A1686" t="s">
        <v>4359</v>
      </c>
      <c r="B1686">
        <v>181</v>
      </c>
      <c r="C1686" t="s">
        <v>4360</v>
      </c>
      <c r="D1686" s="1" t="s">
        <v>7607</v>
      </c>
      <c r="F1686" s="1" t="s">
        <v>8805</v>
      </c>
      <c r="G1686" s="1" t="s">
        <v>8806</v>
      </c>
      <c r="H1686" t="s">
        <v>8808</v>
      </c>
      <c r="I1686" t="s">
        <v>8809</v>
      </c>
    </row>
    <row r="1687" spans="1:9">
      <c r="A1687" t="s">
        <v>4362</v>
      </c>
      <c r="B1687">
        <v>583</v>
      </c>
      <c r="C1687" t="s">
        <v>4363</v>
      </c>
    </row>
    <row r="1688" spans="1:9">
      <c r="A1688" t="s">
        <v>4365</v>
      </c>
      <c r="B1688">
        <v>390</v>
      </c>
      <c r="C1688" t="s">
        <v>4366</v>
      </c>
    </row>
    <row r="1689" spans="1:9">
      <c r="A1689" t="s">
        <v>4368</v>
      </c>
      <c r="B1689">
        <v>627</v>
      </c>
      <c r="C1689" t="s">
        <v>4369</v>
      </c>
    </row>
    <row r="1690" spans="1:9">
      <c r="A1690" t="s">
        <v>4371</v>
      </c>
      <c r="B1690">
        <v>116</v>
      </c>
      <c r="C1690" t="s">
        <v>4372</v>
      </c>
    </row>
    <row r="1691" spans="1:9">
      <c r="A1691" t="s">
        <v>4375</v>
      </c>
      <c r="B1691">
        <v>359</v>
      </c>
      <c r="C1691" t="s">
        <v>4376</v>
      </c>
      <c r="D1691" s="1" t="s">
        <v>7435</v>
      </c>
      <c r="F1691" s="1" t="s">
        <v>8231</v>
      </c>
    </row>
    <row r="1692" spans="1:9">
      <c r="A1692" t="s">
        <v>4379</v>
      </c>
      <c r="B1692">
        <v>202</v>
      </c>
      <c r="C1692" t="s">
        <v>4380</v>
      </c>
      <c r="D1692" s="1" t="s">
        <v>7435</v>
      </c>
      <c r="F1692" s="1" t="s">
        <v>8231</v>
      </c>
    </row>
    <row r="1693" spans="1:9">
      <c r="A1693" t="s">
        <v>4383</v>
      </c>
      <c r="B1693">
        <v>190</v>
      </c>
      <c r="C1693" t="s">
        <v>4384</v>
      </c>
      <c r="D1693" s="1" t="s">
        <v>7608</v>
      </c>
      <c r="F1693" s="1" t="s">
        <v>8810</v>
      </c>
    </row>
    <row r="1694" spans="1:9">
      <c r="A1694" t="s">
        <v>4386</v>
      </c>
      <c r="B1694">
        <v>251</v>
      </c>
      <c r="C1694" t="s">
        <v>4387</v>
      </c>
    </row>
    <row r="1695" spans="1:9">
      <c r="A1695" t="s">
        <v>4390</v>
      </c>
      <c r="B1695">
        <v>290</v>
      </c>
      <c r="C1695" t="s">
        <v>4391</v>
      </c>
      <c r="D1695" s="1" t="s">
        <v>7558</v>
      </c>
    </row>
    <row r="1696" spans="1:9">
      <c r="A1696" t="s">
        <v>4392</v>
      </c>
      <c r="B1696">
        <v>463</v>
      </c>
      <c r="C1696" t="s">
        <v>4393</v>
      </c>
    </row>
    <row r="1697" spans="1:9">
      <c r="A1697" t="s">
        <v>4394</v>
      </c>
      <c r="B1697">
        <v>154</v>
      </c>
      <c r="C1697" t="s">
        <v>4395</v>
      </c>
    </row>
    <row r="1698" spans="1:9">
      <c r="A1698" t="s">
        <v>4398</v>
      </c>
      <c r="B1698">
        <v>367</v>
      </c>
      <c r="C1698" t="s">
        <v>4399</v>
      </c>
      <c r="D1698" s="1" t="s">
        <v>7609</v>
      </c>
      <c r="F1698" s="1" t="s">
        <v>8811</v>
      </c>
      <c r="G1698" s="1" t="s">
        <v>8812</v>
      </c>
      <c r="H1698" t="s">
        <v>8813</v>
      </c>
      <c r="I1698" t="s">
        <v>8814</v>
      </c>
    </row>
    <row r="1699" spans="1:9">
      <c r="A1699" t="s">
        <v>4398</v>
      </c>
      <c r="B1699">
        <v>367</v>
      </c>
      <c r="C1699" t="s">
        <v>4399</v>
      </c>
      <c r="D1699" s="1" t="s">
        <v>7609</v>
      </c>
      <c r="F1699" s="1" t="s">
        <v>8811</v>
      </c>
      <c r="G1699" s="1" t="s">
        <v>8812</v>
      </c>
      <c r="H1699" t="s">
        <v>8815</v>
      </c>
      <c r="I1699" t="s">
        <v>8816</v>
      </c>
    </row>
    <row r="1700" spans="1:9">
      <c r="A1700" t="s">
        <v>4401</v>
      </c>
      <c r="B1700">
        <v>300</v>
      </c>
      <c r="C1700" t="s">
        <v>4402</v>
      </c>
      <c r="D1700" s="1" t="s">
        <v>7283</v>
      </c>
    </row>
    <row r="1701" spans="1:9">
      <c r="A1701" t="s">
        <v>4405</v>
      </c>
      <c r="B1701">
        <v>202</v>
      </c>
      <c r="C1701" t="s">
        <v>4406</v>
      </c>
      <c r="D1701" s="1" t="s">
        <v>7610</v>
      </c>
      <c r="F1701" s="1" t="s">
        <v>8831</v>
      </c>
      <c r="G1701" s="1" t="s">
        <v>8832</v>
      </c>
      <c r="H1701" t="s">
        <v>8833</v>
      </c>
      <c r="I1701" t="s">
        <v>8834</v>
      </c>
    </row>
    <row r="1702" spans="1:9">
      <c r="A1702" t="s">
        <v>4408</v>
      </c>
      <c r="B1702">
        <v>189</v>
      </c>
      <c r="C1702" t="s">
        <v>4409</v>
      </c>
      <c r="D1702" s="1" t="s">
        <v>7611</v>
      </c>
      <c r="F1702" s="1" t="s">
        <v>8835</v>
      </c>
      <c r="G1702" s="1" t="s">
        <v>8836</v>
      </c>
      <c r="H1702" t="s">
        <v>8837</v>
      </c>
      <c r="I1702" t="s">
        <v>8838</v>
      </c>
    </row>
    <row r="1703" spans="1:9">
      <c r="A1703" t="s">
        <v>4408</v>
      </c>
      <c r="B1703">
        <v>189</v>
      </c>
      <c r="C1703" t="s">
        <v>4409</v>
      </c>
      <c r="D1703" s="1" t="s">
        <v>7611</v>
      </c>
      <c r="F1703" s="1" t="s">
        <v>8835</v>
      </c>
      <c r="G1703" s="1" t="s">
        <v>8836</v>
      </c>
      <c r="H1703" t="s">
        <v>8839</v>
      </c>
      <c r="I1703" t="s">
        <v>8840</v>
      </c>
    </row>
    <row r="1704" spans="1:9">
      <c r="A1704" t="s">
        <v>4412</v>
      </c>
      <c r="B1704">
        <v>687</v>
      </c>
      <c r="C1704" t="s">
        <v>4413</v>
      </c>
      <c r="D1704" s="1" t="s">
        <v>7612</v>
      </c>
      <c r="F1704" s="1" t="s">
        <v>8841</v>
      </c>
      <c r="G1704" s="1" t="s">
        <v>8842</v>
      </c>
      <c r="H1704" t="s">
        <v>8843</v>
      </c>
      <c r="I1704" t="s">
        <v>8844</v>
      </c>
    </row>
    <row r="1705" spans="1:9">
      <c r="A1705" t="s">
        <v>4416</v>
      </c>
      <c r="B1705">
        <v>408</v>
      </c>
      <c r="C1705" t="s">
        <v>4417</v>
      </c>
      <c r="D1705" s="1" t="s">
        <v>7563</v>
      </c>
    </row>
    <row r="1706" spans="1:9">
      <c r="A1706" t="s">
        <v>4418</v>
      </c>
      <c r="B1706">
        <v>223</v>
      </c>
      <c r="C1706" t="s">
        <v>4419</v>
      </c>
    </row>
    <row r="1707" spans="1:9">
      <c r="A1707" t="s">
        <v>4420</v>
      </c>
      <c r="B1707">
        <v>202</v>
      </c>
      <c r="C1707" t="s">
        <v>4421</v>
      </c>
    </row>
    <row r="1708" spans="1:9">
      <c r="C1708" t="s">
        <v>4423</v>
      </c>
    </row>
    <row r="1709" spans="1:9">
      <c r="C1709" t="s">
        <v>4425</v>
      </c>
    </row>
    <row r="1710" spans="1:9">
      <c r="C1710" t="s">
        <v>4427</v>
      </c>
    </row>
    <row r="1711" spans="1:9">
      <c r="C1711" t="s">
        <v>4428</v>
      </c>
    </row>
    <row r="1712" spans="1:9">
      <c r="C1712" t="s">
        <v>4429</v>
      </c>
    </row>
    <row r="1713" spans="1:9">
      <c r="C1713" t="s">
        <v>4430</v>
      </c>
    </row>
    <row r="1714" spans="1:9">
      <c r="C1714" t="s">
        <v>4431</v>
      </c>
    </row>
    <row r="1715" spans="1:9">
      <c r="A1715" t="s">
        <v>4432</v>
      </c>
      <c r="B1715">
        <v>300</v>
      </c>
      <c r="C1715" t="s">
        <v>4433</v>
      </c>
    </row>
    <row r="1716" spans="1:9">
      <c r="A1716" t="s">
        <v>4435</v>
      </c>
      <c r="B1716">
        <v>232</v>
      </c>
      <c r="C1716" t="s">
        <v>4436</v>
      </c>
    </row>
    <row r="1717" spans="1:9">
      <c r="A1717" t="s">
        <v>4438</v>
      </c>
      <c r="B1717">
        <v>383</v>
      </c>
      <c r="C1717" t="s">
        <v>4439</v>
      </c>
      <c r="D1717" s="1" t="s">
        <v>7613</v>
      </c>
      <c r="F1717" s="1" t="s">
        <v>8845</v>
      </c>
    </row>
    <row r="1718" spans="1:9">
      <c r="A1718" t="s">
        <v>4442</v>
      </c>
      <c r="B1718">
        <v>138</v>
      </c>
      <c r="C1718" t="s">
        <v>4443</v>
      </c>
      <c r="D1718" s="1" t="s">
        <v>7614</v>
      </c>
      <c r="F1718" s="1" t="s">
        <v>8848</v>
      </c>
      <c r="G1718" s="1" t="s">
        <v>8849</v>
      </c>
      <c r="H1718" t="s">
        <v>8850</v>
      </c>
      <c r="I1718" t="s">
        <v>8851</v>
      </c>
    </row>
    <row r="1719" spans="1:9">
      <c r="A1719" t="s">
        <v>4446</v>
      </c>
      <c r="B1719">
        <v>233</v>
      </c>
      <c r="C1719" t="s">
        <v>4447</v>
      </c>
      <c r="D1719" s="1" t="s">
        <v>7615</v>
      </c>
      <c r="F1719" s="1" t="s">
        <v>8852</v>
      </c>
      <c r="G1719" s="1" t="s">
        <v>8853</v>
      </c>
      <c r="H1719" t="s">
        <v>8854</v>
      </c>
      <c r="I1719" t="s">
        <v>8855</v>
      </c>
    </row>
    <row r="1720" spans="1:9">
      <c r="A1720" t="s">
        <v>4448</v>
      </c>
      <c r="B1720">
        <v>224</v>
      </c>
      <c r="C1720" t="s">
        <v>4449</v>
      </c>
    </row>
    <row r="1721" spans="1:9">
      <c r="A1721" t="s">
        <v>4452</v>
      </c>
      <c r="B1721">
        <v>406</v>
      </c>
      <c r="C1721" t="s">
        <v>4453</v>
      </c>
      <c r="D1721" s="1" t="s">
        <v>7616</v>
      </c>
      <c r="F1721" s="1" t="s">
        <v>8856</v>
      </c>
    </row>
    <row r="1722" spans="1:9">
      <c r="A1722" t="s">
        <v>4456</v>
      </c>
      <c r="B1722">
        <v>632</v>
      </c>
      <c r="C1722" t="s">
        <v>4457</v>
      </c>
      <c r="D1722" s="1" t="s">
        <v>7617</v>
      </c>
      <c r="F1722" s="1" t="s">
        <v>8857</v>
      </c>
      <c r="G1722" s="1" t="s">
        <v>8858</v>
      </c>
      <c r="H1722" t="s">
        <v>8859</v>
      </c>
      <c r="I1722" t="s">
        <v>8860</v>
      </c>
    </row>
    <row r="1723" spans="1:9">
      <c r="A1723" t="s">
        <v>4459</v>
      </c>
      <c r="B1723">
        <v>418</v>
      </c>
      <c r="C1723" t="s">
        <v>4460</v>
      </c>
      <c r="D1723" s="1" t="s">
        <v>7501</v>
      </c>
    </row>
    <row r="1724" spans="1:9">
      <c r="A1724" t="s">
        <v>4461</v>
      </c>
      <c r="B1724">
        <v>239</v>
      </c>
      <c r="C1724" t="s">
        <v>4462</v>
      </c>
    </row>
    <row r="1725" spans="1:9">
      <c r="A1725" t="s">
        <v>4463</v>
      </c>
      <c r="B1725">
        <v>323</v>
      </c>
      <c r="C1725" t="s">
        <v>4464</v>
      </c>
    </row>
    <row r="1726" spans="1:9">
      <c r="A1726" t="s">
        <v>4467</v>
      </c>
      <c r="B1726">
        <v>157</v>
      </c>
      <c r="C1726" t="s">
        <v>4468</v>
      </c>
      <c r="D1726" s="1" t="s">
        <v>7618</v>
      </c>
      <c r="F1726" s="1" t="s">
        <v>8861</v>
      </c>
      <c r="G1726" s="1" t="s">
        <v>8862</v>
      </c>
      <c r="H1726" t="s">
        <v>8863</v>
      </c>
      <c r="I1726" t="s">
        <v>8864</v>
      </c>
    </row>
    <row r="1727" spans="1:9">
      <c r="A1727" t="s">
        <v>4467</v>
      </c>
      <c r="B1727">
        <v>157</v>
      </c>
      <c r="C1727" t="s">
        <v>4468</v>
      </c>
      <c r="D1727" s="1" t="s">
        <v>7618</v>
      </c>
      <c r="F1727" s="1" t="s">
        <v>8861</v>
      </c>
      <c r="G1727" s="1" t="s">
        <v>8862</v>
      </c>
      <c r="H1727" t="s">
        <v>8865</v>
      </c>
      <c r="I1727" t="s">
        <v>8866</v>
      </c>
    </row>
    <row r="1728" spans="1:9">
      <c r="A1728" t="s">
        <v>4469</v>
      </c>
      <c r="B1728">
        <v>153</v>
      </c>
      <c r="C1728" t="s">
        <v>4470</v>
      </c>
    </row>
    <row r="1729" spans="1:9">
      <c r="A1729" t="s">
        <v>4471</v>
      </c>
      <c r="B1729">
        <v>110</v>
      </c>
      <c r="C1729" t="s">
        <v>4472</v>
      </c>
    </row>
    <row r="1730" spans="1:9">
      <c r="A1730" t="s">
        <v>4473</v>
      </c>
      <c r="B1730">
        <v>96</v>
      </c>
      <c r="C1730" t="s">
        <v>4474</v>
      </c>
    </row>
    <row r="1731" spans="1:9">
      <c r="A1731" t="s">
        <v>4477</v>
      </c>
      <c r="B1731">
        <v>286</v>
      </c>
      <c r="C1731" t="s">
        <v>4478</v>
      </c>
      <c r="D1731" s="1" t="s">
        <v>7439</v>
      </c>
      <c r="F1731" s="1" t="s">
        <v>8240</v>
      </c>
      <c r="G1731" s="1" t="s">
        <v>8241</v>
      </c>
      <c r="H1731" s="4" t="s">
        <v>10307</v>
      </c>
      <c r="I1731" s="4" t="s">
        <v>10308</v>
      </c>
    </row>
    <row r="1732" spans="1:9">
      <c r="A1732" t="s">
        <v>4477</v>
      </c>
      <c r="B1732">
        <v>286</v>
      </c>
      <c r="C1732" t="s">
        <v>4478</v>
      </c>
      <c r="D1732" s="1" t="s">
        <v>7439</v>
      </c>
      <c r="F1732" s="1" t="s">
        <v>8240</v>
      </c>
      <c r="G1732" s="1" t="s">
        <v>8241</v>
      </c>
      <c r="H1732" s="4" t="s">
        <v>10309</v>
      </c>
      <c r="I1732" s="4" t="s">
        <v>10308</v>
      </c>
    </row>
    <row r="1733" spans="1:9">
      <c r="A1733" t="s">
        <v>4477</v>
      </c>
      <c r="B1733">
        <v>286</v>
      </c>
      <c r="C1733" t="s">
        <v>4478</v>
      </c>
      <c r="D1733" s="1" t="s">
        <v>7439</v>
      </c>
      <c r="F1733" s="1" t="s">
        <v>8240</v>
      </c>
      <c r="G1733" s="1" t="s">
        <v>8241</v>
      </c>
      <c r="H1733" s="4" t="s">
        <v>10310</v>
      </c>
      <c r="I1733" s="4" t="s">
        <v>10308</v>
      </c>
    </row>
    <row r="1734" spans="1:9">
      <c r="A1734" t="s">
        <v>4477</v>
      </c>
      <c r="B1734">
        <v>286</v>
      </c>
      <c r="C1734" t="s">
        <v>4478</v>
      </c>
      <c r="D1734" s="1" t="s">
        <v>7439</v>
      </c>
      <c r="F1734" s="1" t="s">
        <v>8240</v>
      </c>
      <c r="G1734" s="1" t="s">
        <v>8241</v>
      </c>
      <c r="H1734" s="4" t="s">
        <v>10311</v>
      </c>
      <c r="I1734" s="4" t="s">
        <v>10311</v>
      </c>
    </row>
    <row r="1735" spans="1:9">
      <c r="A1735" t="s">
        <v>4481</v>
      </c>
      <c r="B1735">
        <v>252</v>
      </c>
      <c r="C1735" t="s">
        <v>4482</v>
      </c>
      <c r="D1735" s="1" t="s">
        <v>7619</v>
      </c>
      <c r="F1735" s="1" t="s">
        <v>8867</v>
      </c>
      <c r="G1735" s="1" t="s">
        <v>8868</v>
      </c>
      <c r="H1735" t="s">
        <v>8869</v>
      </c>
      <c r="I1735" t="s">
        <v>8870</v>
      </c>
    </row>
    <row r="1736" spans="1:9">
      <c r="A1736" t="s">
        <v>4481</v>
      </c>
      <c r="B1736">
        <v>252</v>
      </c>
      <c r="C1736" t="s">
        <v>4482</v>
      </c>
      <c r="D1736" s="1" t="s">
        <v>7619</v>
      </c>
      <c r="F1736" s="1" t="s">
        <v>8867</v>
      </c>
      <c r="G1736" s="1" t="s">
        <v>8868</v>
      </c>
      <c r="H1736" t="s">
        <v>8871</v>
      </c>
      <c r="I1736" t="s">
        <v>8872</v>
      </c>
    </row>
    <row r="1737" spans="1:9">
      <c r="A1737" t="s">
        <v>4481</v>
      </c>
      <c r="B1737">
        <v>252</v>
      </c>
      <c r="C1737" t="s">
        <v>4482</v>
      </c>
      <c r="D1737" s="1" t="s">
        <v>7619</v>
      </c>
      <c r="F1737" s="1" t="s">
        <v>8867</v>
      </c>
      <c r="G1737" s="1" t="s">
        <v>8868</v>
      </c>
      <c r="H1737" t="s">
        <v>8873</v>
      </c>
      <c r="I1737" t="s">
        <v>8874</v>
      </c>
    </row>
    <row r="1738" spans="1:9">
      <c r="A1738" t="s">
        <v>4485</v>
      </c>
      <c r="B1738">
        <v>493</v>
      </c>
      <c r="C1738" t="s">
        <v>4486</v>
      </c>
    </row>
    <row r="1739" spans="1:9">
      <c r="A1739" t="s">
        <v>4487</v>
      </c>
      <c r="B1739">
        <v>587</v>
      </c>
      <c r="C1739" t="s">
        <v>4488</v>
      </c>
    </row>
    <row r="1740" spans="1:9">
      <c r="A1740" t="s">
        <v>4489</v>
      </c>
      <c r="B1740">
        <v>83</v>
      </c>
      <c r="C1740" t="s">
        <v>4490</v>
      </c>
    </row>
    <row r="1741" spans="1:9">
      <c r="A1741" t="s">
        <v>4491</v>
      </c>
      <c r="B1741">
        <v>127</v>
      </c>
      <c r="C1741" t="s">
        <v>4492</v>
      </c>
    </row>
    <row r="1742" spans="1:9">
      <c r="A1742" t="s">
        <v>4494</v>
      </c>
      <c r="B1742">
        <v>525</v>
      </c>
      <c r="C1742" t="s">
        <v>4495</v>
      </c>
    </row>
    <row r="1743" spans="1:9">
      <c r="A1743" t="s">
        <v>4498</v>
      </c>
      <c r="B1743">
        <v>147</v>
      </c>
      <c r="C1743" t="s">
        <v>4499</v>
      </c>
      <c r="D1743" s="1" t="s">
        <v>7299</v>
      </c>
    </row>
    <row r="1744" spans="1:9">
      <c r="A1744" t="s">
        <v>4501</v>
      </c>
      <c r="B1744">
        <v>464</v>
      </c>
      <c r="C1744" t="s">
        <v>4502</v>
      </c>
    </row>
    <row r="1745" spans="1:9">
      <c r="A1745" t="s">
        <v>4505</v>
      </c>
      <c r="B1745">
        <v>457</v>
      </c>
      <c r="C1745" t="s">
        <v>4506</v>
      </c>
      <c r="D1745" s="1" t="s">
        <v>7603</v>
      </c>
      <c r="E1745" s="4"/>
      <c r="F1745" s="1" t="s">
        <v>8786</v>
      </c>
      <c r="G1745" s="1" t="s">
        <v>8787</v>
      </c>
      <c r="H1745" s="4" t="s">
        <v>8788</v>
      </c>
      <c r="I1745" s="4" t="s">
        <v>8789</v>
      </c>
    </row>
    <row r="1746" spans="1:9">
      <c r="A1746" t="s">
        <v>4505</v>
      </c>
      <c r="B1746">
        <v>457</v>
      </c>
      <c r="C1746" t="s">
        <v>4506</v>
      </c>
      <c r="D1746" s="1" t="s">
        <v>7603</v>
      </c>
      <c r="E1746" s="4"/>
      <c r="F1746" s="1" t="s">
        <v>8786</v>
      </c>
      <c r="G1746" s="1" t="s">
        <v>8787</v>
      </c>
      <c r="H1746" s="4" t="s">
        <v>8788</v>
      </c>
      <c r="I1746" s="4" t="s">
        <v>8790</v>
      </c>
    </row>
    <row r="1747" spans="1:9">
      <c r="A1747" t="s">
        <v>4505</v>
      </c>
      <c r="B1747">
        <v>457</v>
      </c>
      <c r="C1747" t="s">
        <v>4506</v>
      </c>
      <c r="D1747" s="1" t="s">
        <v>7603</v>
      </c>
      <c r="E1747" s="4"/>
      <c r="F1747" s="1" t="s">
        <v>8786</v>
      </c>
      <c r="G1747" s="1" t="s">
        <v>8787</v>
      </c>
      <c r="H1747" s="4" t="s">
        <v>8791</v>
      </c>
      <c r="I1747" s="4" t="s">
        <v>8789</v>
      </c>
    </row>
    <row r="1748" spans="1:9">
      <c r="A1748" t="s">
        <v>4505</v>
      </c>
      <c r="B1748">
        <v>457</v>
      </c>
      <c r="C1748" t="s">
        <v>4506</v>
      </c>
      <c r="D1748" s="1" t="s">
        <v>7603</v>
      </c>
      <c r="E1748" s="4"/>
      <c r="F1748" s="1" t="s">
        <v>8786</v>
      </c>
      <c r="G1748" s="1" t="s">
        <v>8787</v>
      </c>
      <c r="H1748" s="4" t="s">
        <v>8792</v>
      </c>
      <c r="I1748" s="4" t="s">
        <v>8793</v>
      </c>
    </row>
    <row r="1749" spans="1:9">
      <c r="A1749" t="s">
        <v>4505</v>
      </c>
      <c r="B1749">
        <v>457</v>
      </c>
      <c r="C1749" t="s">
        <v>4506</v>
      </c>
      <c r="D1749" s="1" t="s">
        <v>7603</v>
      </c>
      <c r="E1749" s="4"/>
      <c r="F1749" s="1" t="s">
        <v>8786</v>
      </c>
      <c r="G1749" s="1" t="s">
        <v>8787</v>
      </c>
      <c r="H1749" s="4" t="s">
        <v>8794</v>
      </c>
      <c r="I1749" s="4" t="s">
        <v>8795</v>
      </c>
    </row>
    <row r="1750" spans="1:9">
      <c r="A1750" t="s">
        <v>4508</v>
      </c>
      <c r="B1750">
        <v>254</v>
      </c>
      <c r="C1750" t="s">
        <v>4509</v>
      </c>
    </row>
    <row r="1751" spans="1:9">
      <c r="A1751" t="s">
        <v>4512</v>
      </c>
      <c r="B1751">
        <v>337</v>
      </c>
      <c r="C1751" t="s">
        <v>4513</v>
      </c>
    </row>
    <row r="1752" spans="1:9">
      <c r="A1752" t="s">
        <v>4516</v>
      </c>
      <c r="B1752">
        <v>225</v>
      </c>
      <c r="C1752" t="s">
        <v>4517</v>
      </c>
    </row>
    <row r="1753" spans="1:9">
      <c r="A1753" t="s">
        <v>4520</v>
      </c>
      <c r="B1753">
        <v>327</v>
      </c>
      <c r="C1753" t="s">
        <v>4521</v>
      </c>
      <c r="D1753" s="1" t="s">
        <v>7620</v>
      </c>
      <c r="F1753" s="1" t="s">
        <v>8681</v>
      </c>
      <c r="G1753" s="1" t="s">
        <v>8682</v>
      </c>
      <c r="H1753" t="s">
        <v>8683</v>
      </c>
      <c r="I1753" t="s">
        <v>8684</v>
      </c>
    </row>
    <row r="1754" spans="1:9">
      <c r="A1754" t="s">
        <v>4520</v>
      </c>
      <c r="B1754">
        <v>327</v>
      </c>
      <c r="C1754" t="s">
        <v>4521</v>
      </c>
      <c r="D1754" s="1" t="s">
        <v>7620</v>
      </c>
      <c r="F1754" s="1" t="s">
        <v>8681</v>
      </c>
      <c r="G1754" s="1" t="s">
        <v>8682</v>
      </c>
      <c r="H1754" t="s">
        <v>8685</v>
      </c>
      <c r="I1754" t="s">
        <v>8686</v>
      </c>
    </row>
    <row r="1755" spans="1:9">
      <c r="A1755" t="s">
        <v>4520</v>
      </c>
      <c r="B1755">
        <v>327</v>
      </c>
      <c r="C1755" t="s">
        <v>4521</v>
      </c>
      <c r="D1755" s="1" t="s">
        <v>7620</v>
      </c>
      <c r="F1755" s="1" t="s">
        <v>8681</v>
      </c>
      <c r="G1755" s="1" t="s">
        <v>8682</v>
      </c>
      <c r="H1755" t="s">
        <v>7983</v>
      </c>
      <c r="I1755" t="s">
        <v>8687</v>
      </c>
    </row>
    <row r="1756" spans="1:9">
      <c r="A1756" t="s">
        <v>4522</v>
      </c>
      <c r="B1756">
        <v>375</v>
      </c>
      <c r="C1756" t="s">
        <v>4523</v>
      </c>
    </row>
    <row r="1757" spans="1:9">
      <c r="A1757" t="s">
        <v>4525</v>
      </c>
      <c r="B1757">
        <v>338</v>
      </c>
      <c r="C1757" t="s">
        <v>4526</v>
      </c>
    </row>
    <row r="1758" spans="1:9">
      <c r="A1758" t="s">
        <v>4527</v>
      </c>
      <c r="B1758">
        <v>847</v>
      </c>
      <c r="C1758" t="s">
        <v>4528</v>
      </c>
    </row>
    <row r="1759" spans="1:9">
      <c r="A1759" t="s">
        <v>4531</v>
      </c>
      <c r="B1759">
        <v>174</v>
      </c>
      <c r="C1759" t="s">
        <v>4532</v>
      </c>
      <c r="D1759" s="1" t="s">
        <v>7621</v>
      </c>
      <c r="F1759" s="1" t="s">
        <v>8823</v>
      </c>
      <c r="G1759" s="1" t="s">
        <v>8824</v>
      </c>
      <c r="H1759" t="s">
        <v>8826</v>
      </c>
      <c r="I1759" t="s">
        <v>8825</v>
      </c>
    </row>
    <row r="1760" spans="1:9">
      <c r="A1760" t="s">
        <v>4534</v>
      </c>
      <c r="B1760">
        <v>197</v>
      </c>
      <c r="C1760" t="s">
        <v>4535</v>
      </c>
      <c r="D1760" s="1" t="s">
        <v>7621</v>
      </c>
      <c r="F1760" s="1" t="s">
        <v>8823</v>
      </c>
      <c r="G1760" s="1" t="s">
        <v>8824</v>
      </c>
      <c r="H1760" t="s">
        <v>8826</v>
      </c>
      <c r="I1760" t="s">
        <v>8825</v>
      </c>
    </row>
    <row r="1761" spans="1:9">
      <c r="A1761" t="s">
        <v>4538</v>
      </c>
      <c r="B1761">
        <v>315</v>
      </c>
      <c r="C1761" t="s">
        <v>4539</v>
      </c>
    </row>
    <row r="1762" spans="1:9">
      <c r="A1762" t="s">
        <v>4540</v>
      </c>
      <c r="B1762">
        <v>305</v>
      </c>
      <c r="C1762" t="s">
        <v>4541</v>
      </c>
    </row>
    <row r="1763" spans="1:9">
      <c r="A1763" t="s">
        <v>4543</v>
      </c>
      <c r="B1763">
        <v>1300</v>
      </c>
      <c r="C1763" t="s">
        <v>4544</v>
      </c>
      <c r="D1763" s="1" t="s">
        <v>7300</v>
      </c>
      <c r="E1763" t="s">
        <v>8846</v>
      </c>
      <c r="F1763" s="1" t="s">
        <v>8847</v>
      </c>
      <c r="G1763" s="1"/>
    </row>
    <row r="1764" spans="1:9">
      <c r="A1764" t="s">
        <v>4543</v>
      </c>
      <c r="B1764">
        <v>1300</v>
      </c>
      <c r="C1764" t="s">
        <v>4544</v>
      </c>
      <c r="D1764" s="1" t="s">
        <v>7300</v>
      </c>
      <c r="E1764" t="s">
        <v>8827</v>
      </c>
      <c r="F1764" s="1" t="s">
        <v>8828</v>
      </c>
      <c r="G1764" s="1"/>
    </row>
    <row r="1765" spans="1:9">
      <c r="A1765" t="s">
        <v>4543</v>
      </c>
      <c r="B1765">
        <v>1300</v>
      </c>
      <c r="C1765" t="s">
        <v>4544</v>
      </c>
      <c r="D1765" s="1" t="s">
        <v>7300</v>
      </c>
      <c r="E1765" t="s">
        <v>8829</v>
      </c>
      <c r="F1765" s="1" t="s">
        <v>8830</v>
      </c>
      <c r="G1765" s="1"/>
    </row>
    <row r="1766" spans="1:9">
      <c r="A1766" t="s">
        <v>4547</v>
      </c>
      <c r="B1766">
        <v>152</v>
      </c>
      <c r="C1766" t="s">
        <v>4548</v>
      </c>
    </row>
    <row r="1767" spans="1:9">
      <c r="A1767" t="s">
        <v>4549</v>
      </c>
      <c r="B1767">
        <v>134</v>
      </c>
      <c r="C1767" t="s">
        <v>4550</v>
      </c>
    </row>
    <row r="1768" spans="1:9">
      <c r="A1768" t="s">
        <v>4553</v>
      </c>
      <c r="B1768">
        <v>236</v>
      </c>
      <c r="C1768" t="s">
        <v>4554</v>
      </c>
      <c r="D1768" s="1" t="s">
        <v>7622</v>
      </c>
      <c r="F1768" s="1" t="s">
        <v>8875</v>
      </c>
    </row>
    <row r="1769" spans="1:9">
      <c r="A1769" t="s">
        <v>4557</v>
      </c>
      <c r="B1769">
        <v>260</v>
      </c>
      <c r="C1769" t="s">
        <v>4558</v>
      </c>
    </row>
    <row r="1770" spans="1:9">
      <c r="A1770" t="s">
        <v>4561</v>
      </c>
      <c r="B1770">
        <v>562</v>
      </c>
      <c r="C1770" t="s">
        <v>4562</v>
      </c>
      <c r="D1770" s="1" t="s">
        <v>7623</v>
      </c>
      <c r="F1770" s="1" t="s">
        <v>8876</v>
      </c>
      <c r="G1770" s="1" t="s">
        <v>8877</v>
      </c>
      <c r="H1770" t="s">
        <v>8878</v>
      </c>
      <c r="I1770" t="s">
        <v>8879</v>
      </c>
    </row>
    <row r="1771" spans="1:9">
      <c r="A1771" t="s">
        <v>4565</v>
      </c>
      <c r="B1771">
        <v>320</v>
      </c>
      <c r="C1771" t="s">
        <v>4566</v>
      </c>
      <c r="D1771" s="1" t="s">
        <v>7624</v>
      </c>
      <c r="F1771" s="1" t="s">
        <v>8880</v>
      </c>
      <c r="G1771" s="1" t="s">
        <v>8881</v>
      </c>
      <c r="H1771" t="s">
        <v>8882</v>
      </c>
      <c r="I1771" t="s">
        <v>8883</v>
      </c>
    </row>
    <row r="1772" spans="1:9">
      <c r="A1772" t="s">
        <v>4569</v>
      </c>
      <c r="B1772">
        <v>698</v>
      </c>
      <c r="C1772" t="s">
        <v>4570</v>
      </c>
    </row>
    <row r="1773" spans="1:9">
      <c r="A1773" t="s">
        <v>4573</v>
      </c>
      <c r="B1773">
        <v>90</v>
      </c>
      <c r="C1773" t="s">
        <v>4574</v>
      </c>
      <c r="D1773" s="1" t="s">
        <v>7625</v>
      </c>
    </row>
    <row r="1774" spans="1:9">
      <c r="A1774" t="s">
        <v>4575</v>
      </c>
      <c r="B1774">
        <v>343</v>
      </c>
      <c r="C1774" t="s">
        <v>4576</v>
      </c>
    </row>
    <row r="1775" spans="1:9">
      <c r="A1775" t="s">
        <v>4579</v>
      </c>
      <c r="B1775">
        <v>426</v>
      </c>
      <c r="C1775" t="s">
        <v>4580</v>
      </c>
    </row>
    <row r="1776" spans="1:9">
      <c r="A1776" t="s">
        <v>4583</v>
      </c>
      <c r="B1776">
        <v>502</v>
      </c>
      <c r="C1776" t="s">
        <v>4584</v>
      </c>
    </row>
    <row r="1777" spans="1:9">
      <c r="A1777" t="s">
        <v>4585</v>
      </c>
      <c r="B1777">
        <v>269</v>
      </c>
      <c r="C1777" t="s">
        <v>4586</v>
      </c>
    </row>
    <row r="1778" spans="1:9">
      <c r="A1778" t="s">
        <v>4587</v>
      </c>
      <c r="B1778">
        <v>155</v>
      </c>
      <c r="C1778" t="s">
        <v>4588</v>
      </c>
    </row>
    <row r="1779" spans="1:9">
      <c r="A1779" t="s">
        <v>4591</v>
      </c>
      <c r="B1779">
        <v>281</v>
      </c>
      <c r="C1779" t="s">
        <v>4592</v>
      </c>
      <c r="D1779" s="1" t="s">
        <v>7626</v>
      </c>
      <c r="F1779" s="1" t="s">
        <v>8884</v>
      </c>
      <c r="G1779" s="1" t="s">
        <v>8885</v>
      </c>
      <c r="H1779" t="s">
        <v>8886</v>
      </c>
      <c r="I1779" t="s">
        <v>8433</v>
      </c>
    </row>
    <row r="1780" spans="1:9">
      <c r="A1780" t="s">
        <v>4595</v>
      </c>
      <c r="B1780">
        <v>299</v>
      </c>
      <c r="C1780" t="s">
        <v>4596</v>
      </c>
      <c r="D1780" s="1" t="s">
        <v>7627</v>
      </c>
      <c r="F1780" s="1" t="s">
        <v>8887</v>
      </c>
      <c r="G1780" s="1" t="s">
        <v>8888</v>
      </c>
      <c r="H1780" t="s">
        <v>8889</v>
      </c>
      <c r="I1780" t="s">
        <v>8890</v>
      </c>
    </row>
    <row r="1781" spans="1:9">
      <c r="A1781" t="s">
        <v>4597</v>
      </c>
      <c r="B1781">
        <v>206</v>
      </c>
      <c r="C1781" t="s">
        <v>4598</v>
      </c>
    </row>
    <row r="1782" spans="1:9">
      <c r="A1782" t="s">
        <v>4599</v>
      </c>
      <c r="B1782">
        <v>434</v>
      </c>
      <c r="C1782" t="s">
        <v>4600</v>
      </c>
    </row>
    <row r="1783" spans="1:9">
      <c r="A1783" t="s">
        <v>4601</v>
      </c>
      <c r="B1783">
        <v>366</v>
      </c>
      <c r="C1783" t="s">
        <v>4602</v>
      </c>
    </row>
    <row r="1784" spans="1:9">
      <c r="A1784" t="s">
        <v>4603</v>
      </c>
      <c r="B1784">
        <v>208</v>
      </c>
      <c r="C1784" t="s">
        <v>4604</v>
      </c>
    </row>
    <row r="1785" spans="1:9">
      <c r="A1785" t="s">
        <v>4607</v>
      </c>
      <c r="B1785">
        <v>508</v>
      </c>
      <c r="C1785" t="s">
        <v>4608</v>
      </c>
      <c r="D1785" s="1" t="s">
        <v>7628</v>
      </c>
    </row>
    <row r="1786" spans="1:9">
      <c r="A1786" t="s">
        <v>4611</v>
      </c>
      <c r="B1786">
        <v>199</v>
      </c>
      <c r="C1786" t="s">
        <v>4612</v>
      </c>
    </row>
    <row r="1787" spans="1:9">
      <c r="A1787" t="s">
        <v>4614</v>
      </c>
      <c r="B1787">
        <v>378</v>
      </c>
      <c r="C1787" t="s">
        <v>4615</v>
      </c>
    </row>
    <row r="1788" spans="1:9">
      <c r="A1788" t="s">
        <v>4616</v>
      </c>
      <c r="B1788">
        <v>31</v>
      </c>
      <c r="C1788" t="s">
        <v>4617</v>
      </c>
    </row>
    <row r="1789" spans="1:9">
      <c r="A1789" t="s">
        <v>4620</v>
      </c>
      <c r="B1789">
        <v>187</v>
      </c>
      <c r="C1789" t="s">
        <v>4621</v>
      </c>
    </row>
    <row r="1790" spans="1:9">
      <c r="A1790" t="s">
        <v>4624</v>
      </c>
      <c r="B1790">
        <v>230</v>
      </c>
      <c r="C1790" t="s">
        <v>4625</v>
      </c>
      <c r="D1790" s="1" t="s">
        <v>7324</v>
      </c>
    </row>
    <row r="1791" spans="1:9">
      <c r="A1791" t="s">
        <v>4628</v>
      </c>
      <c r="B1791">
        <v>207</v>
      </c>
      <c r="C1791" t="s">
        <v>4629</v>
      </c>
    </row>
    <row r="1792" spans="1:9">
      <c r="A1792" t="s">
        <v>4631</v>
      </c>
      <c r="B1792">
        <v>285</v>
      </c>
      <c r="C1792" t="s">
        <v>4632</v>
      </c>
    </row>
    <row r="1793" spans="1:9">
      <c r="A1793" t="s">
        <v>4635</v>
      </c>
      <c r="B1793">
        <v>125</v>
      </c>
      <c r="C1793" t="s">
        <v>4636</v>
      </c>
    </row>
    <row r="1794" spans="1:9">
      <c r="A1794" t="s">
        <v>4639</v>
      </c>
      <c r="B1794">
        <v>171</v>
      </c>
      <c r="C1794" t="s">
        <v>4640</v>
      </c>
    </row>
    <row r="1795" spans="1:9">
      <c r="A1795" t="s">
        <v>4643</v>
      </c>
      <c r="B1795">
        <v>194</v>
      </c>
      <c r="C1795" t="s">
        <v>4644</v>
      </c>
      <c r="D1795" s="1" t="s">
        <v>7629</v>
      </c>
      <c r="F1795" s="1" t="s">
        <v>8891</v>
      </c>
      <c r="G1795" s="1" t="s">
        <v>8892</v>
      </c>
      <c r="H1795" t="s">
        <v>8893</v>
      </c>
      <c r="I1795" t="s">
        <v>8894</v>
      </c>
    </row>
    <row r="1796" spans="1:9">
      <c r="A1796" t="s">
        <v>4646</v>
      </c>
      <c r="B1796">
        <v>96</v>
      </c>
      <c r="C1796" t="s">
        <v>4647</v>
      </c>
    </row>
    <row r="1797" spans="1:9">
      <c r="A1797" t="s">
        <v>4650</v>
      </c>
      <c r="B1797">
        <v>373</v>
      </c>
      <c r="C1797" t="s">
        <v>4651</v>
      </c>
    </row>
    <row r="1798" spans="1:9">
      <c r="A1798" t="s">
        <v>4654</v>
      </c>
      <c r="B1798">
        <v>1118</v>
      </c>
      <c r="C1798" t="s">
        <v>4655</v>
      </c>
    </row>
    <row r="1799" spans="1:9">
      <c r="A1799" t="s">
        <v>4656</v>
      </c>
      <c r="B1799">
        <v>221</v>
      </c>
      <c r="C1799" t="s">
        <v>4657</v>
      </c>
    </row>
    <row r="1800" spans="1:9">
      <c r="A1800" t="s">
        <v>4659</v>
      </c>
      <c r="B1800">
        <v>714</v>
      </c>
      <c r="C1800" t="s">
        <v>4660</v>
      </c>
      <c r="D1800" s="1" t="s">
        <v>7299</v>
      </c>
    </row>
    <row r="1801" spans="1:9">
      <c r="A1801" t="s">
        <v>4663</v>
      </c>
      <c r="B1801">
        <v>298</v>
      </c>
      <c r="C1801" t="s">
        <v>4664</v>
      </c>
      <c r="D1801" s="1" t="s">
        <v>7630</v>
      </c>
      <c r="F1801" s="1" t="s">
        <v>8895</v>
      </c>
      <c r="G1801" s="1" t="s">
        <v>8896</v>
      </c>
      <c r="H1801" t="s">
        <v>8897</v>
      </c>
      <c r="I1801" t="s">
        <v>8898</v>
      </c>
    </row>
    <row r="1802" spans="1:9">
      <c r="A1802" t="s">
        <v>4667</v>
      </c>
      <c r="B1802">
        <v>248</v>
      </c>
      <c r="C1802" t="s">
        <v>4668</v>
      </c>
      <c r="D1802" s="1" t="s">
        <v>7631</v>
      </c>
    </row>
    <row r="1803" spans="1:9">
      <c r="A1803" t="s">
        <v>4671</v>
      </c>
      <c r="B1803">
        <v>248</v>
      </c>
      <c r="C1803" t="s">
        <v>4672</v>
      </c>
      <c r="D1803" s="1" t="s">
        <v>7632</v>
      </c>
    </row>
    <row r="1804" spans="1:9">
      <c r="A1804" t="s">
        <v>4674</v>
      </c>
      <c r="B1804">
        <v>129</v>
      </c>
      <c r="C1804" t="s">
        <v>4675</v>
      </c>
    </row>
    <row r="1805" spans="1:9">
      <c r="A1805" t="s">
        <v>4676</v>
      </c>
      <c r="B1805">
        <v>243</v>
      </c>
      <c r="C1805" t="s">
        <v>4677</v>
      </c>
    </row>
    <row r="1806" spans="1:9">
      <c r="A1806" t="s">
        <v>4680</v>
      </c>
      <c r="B1806">
        <v>748</v>
      </c>
      <c r="C1806" t="s">
        <v>4681</v>
      </c>
      <c r="D1806" s="1" t="s">
        <v>7633</v>
      </c>
      <c r="F1806" s="1" t="s">
        <v>8950</v>
      </c>
      <c r="G1806" s="1" t="s">
        <v>8951</v>
      </c>
      <c r="H1806" t="s">
        <v>8952</v>
      </c>
      <c r="I1806" t="s">
        <v>8953</v>
      </c>
    </row>
    <row r="1807" spans="1:9">
      <c r="A1807" t="s">
        <v>4680</v>
      </c>
      <c r="B1807">
        <v>748</v>
      </c>
      <c r="C1807" t="s">
        <v>4681</v>
      </c>
      <c r="D1807" s="1" t="s">
        <v>7633</v>
      </c>
      <c r="F1807" s="1" t="s">
        <v>8950</v>
      </c>
      <c r="G1807" s="1" t="s">
        <v>8951</v>
      </c>
      <c r="H1807" t="s">
        <v>8952</v>
      </c>
      <c r="I1807" t="s">
        <v>8954</v>
      </c>
    </row>
    <row r="1808" spans="1:9">
      <c r="A1808" t="s">
        <v>4680</v>
      </c>
      <c r="B1808">
        <v>748</v>
      </c>
      <c r="C1808" t="s">
        <v>4681</v>
      </c>
      <c r="D1808" s="1" t="s">
        <v>7633</v>
      </c>
      <c r="F1808" s="1" t="s">
        <v>8950</v>
      </c>
      <c r="G1808" s="1" t="s">
        <v>8951</v>
      </c>
      <c r="H1808" t="s">
        <v>8952</v>
      </c>
      <c r="I1808" t="s">
        <v>8955</v>
      </c>
    </row>
    <row r="1809" spans="1:9">
      <c r="A1809" t="s">
        <v>4680</v>
      </c>
      <c r="B1809">
        <v>748</v>
      </c>
      <c r="C1809" t="s">
        <v>4681</v>
      </c>
      <c r="D1809" s="1" t="s">
        <v>7633</v>
      </c>
      <c r="F1809" s="1" t="s">
        <v>8950</v>
      </c>
      <c r="G1809" s="1" t="s">
        <v>8951</v>
      </c>
      <c r="H1809" t="s">
        <v>8952</v>
      </c>
      <c r="I1809" t="s">
        <v>8956</v>
      </c>
    </row>
    <row r="1810" spans="1:9">
      <c r="A1810" t="s">
        <v>4680</v>
      </c>
      <c r="B1810">
        <v>748</v>
      </c>
      <c r="C1810" t="s">
        <v>4681</v>
      </c>
      <c r="D1810" s="1" t="s">
        <v>7633</v>
      </c>
      <c r="F1810" s="1" t="s">
        <v>8950</v>
      </c>
      <c r="G1810" s="1" t="s">
        <v>8951</v>
      </c>
      <c r="H1810" t="s">
        <v>8952</v>
      </c>
      <c r="I1810" t="s">
        <v>8957</v>
      </c>
    </row>
    <row r="1811" spans="1:9">
      <c r="A1811" t="s">
        <v>4684</v>
      </c>
      <c r="B1811">
        <v>89</v>
      </c>
      <c r="C1811" t="s">
        <v>4685</v>
      </c>
    </row>
    <row r="1812" spans="1:9">
      <c r="A1812" t="s">
        <v>4687</v>
      </c>
      <c r="B1812">
        <v>313</v>
      </c>
      <c r="C1812" t="s">
        <v>4688</v>
      </c>
      <c r="D1812" s="1" t="s">
        <v>7487</v>
      </c>
    </row>
    <row r="1813" spans="1:9">
      <c r="A1813" t="s">
        <v>4691</v>
      </c>
      <c r="B1813">
        <v>340</v>
      </c>
      <c r="C1813" t="s">
        <v>4692</v>
      </c>
    </row>
    <row r="1814" spans="1:9">
      <c r="A1814" t="s">
        <v>4695</v>
      </c>
      <c r="B1814">
        <v>297</v>
      </c>
      <c r="C1814" t="s">
        <v>4696</v>
      </c>
      <c r="D1814" s="1" t="s">
        <v>7634</v>
      </c>
      <c r="F1814" s="1" t="s">
        <v>8949</v>
      </c>
    </row>
    <row r="1815" spans="1:9">
      <c r="A1815" t="s">
        <v>4699</v>
      </c>
      <c r="B1815">
        <v>224</v>
      </c>
      <c r="C1815" t="s">
        <v>4700</v>
      </c>
      <c r="D1815" s="1" t="s">
        <v>7635</v>
      </c>
      <c r="F1815" s="1" t="s">
        <v>8958</v>
      </c>
      <c r="G1815" s="1" t="s">
        <v>8959</v>
      </c>
      <c r="H1815" t="s">
        <v>8960</v>
      </c>
      <c r="I1815" t="s">
        <v>8961</v>
      </c>
    </row>
    <row r="1816" spans="1:9">
      <c r="A1816" t="s">
        <v>4702</v>
      </c>
      <c r="B1816">
        <v>268</v>
      </c>
      <c r="C1816" t="s">
        <v>4703</v>
      </c>
    </row>
    <row r="1817" spans="1:9">
      <c r="A1817" t="s">
        <v>4706</v>
      </c>
      <c r="B1817">
        <v>436</v>
      </c>
      <c r="C1817" t="s">
        <v>4707</v>
      </c>
    </row>
    <row r="1818" spans="1:9">
      <c r="A1818" t="s">
        <v>4710</v>
      </c>
      <c r="B1818">
        <v>322</v>
      </c>
      <c r="C1818" t="s">
        <v>4711</v>
      </c>
      <c r="D1818" s="1" t="s">
        <v>7299</v>
      </c>
    </row>
    <row r="1819" spans="1:9">
      <c r="A1819" t="s">
        <v>4714</v>
      </c>
      <c r="B1819">
        <v>147</v>
      </c>
      <c r="C1819" t="s">
        <v>4715</v>
      </c>
    </row>
    <row r="1820" spans="1:9">
      <c r="A1820" t="s">
        <v>4718</v>
      </c>
      <c r="B1820">
        <v>956</v>
      </c>
      <c r="C1820" t="s">
        <v>4719</v>
      </c>
    </row>
    <row r="1821" spans="1:9">
      <c r="A1821" t="s">
        <v>4720</v>
      </c>
      <c r="B1821">
        <v>120</v>
      </c>
      <c r="C1821" t="s">
        <v>4721</v>
      </c>
    </row>
    <row r="1822" spans="1:9">
      <c r="A1822" t="s">
        <v>4722</v>
      </c>
      <c r="B1822">
        <v>338</v>
      </c>
      <c r="C1822" t="s">
        <v>4723</v>
      </c>
    </row>
    <row r="1823" spans="1:9">
      <c r="A1823" t="s">
        <v>4726</v>
      </c>
      <c r="B1823">
        <v>181</v>
      </c>
      <c r="C1823" t="s">
        <v>4727</v>
      </c>
    </row>
    <row r="1824" spans="1:9">
      <c r="A1824" t="s">
        <v>4728</v>
      </c>
      <c r="B1824">
        <v>282</v>
      </c>
      <c r="C1824" t="s">
        <v>4729</v>
      </c>
    </row>
    <row r="1825" spans="1:9">
      <c r="A1825" t="s">
        <v>4732</v>
      </c>
      <c r="B1825">
        <v>109</v>
      </c>
      <c r="C1825" t="s">
        <v>4733</v>
      </c>
      <c r="D1825" s="1" t="s">
        <v>7332</v>
      </c>
    </row>
    <row r="1826" spans="1:9">
      <c r="A1826" t="s">
        <v>4734</v>
      </c>
      <c r="B1826">
        <v>120</v>
      </c>
      <c r="C1826" t="s">
        <v>4735</v>
      </c>
    </row>
    <row r="1827" spans="1:9">
      <c r="A1827" t="s">
        <v>4738</v>
      </c>
      <c r="B1827">
        <v>594</v>
      </c>
      <c r="C1827" t="s">
        <v>4739</v>
      </c>
      <c r="D1827" s="1" t="s">
        <v>7636</v>
      </c>
      <c r="F1827" s="1" t="s">
        <v>8962</v>
      </c>
      <c r="G1827" s="1" t="s">
        <v>8963</v>
      </c>
      <c r="H1827" t="s">
        <v>8964</v>
      </c>
      <c r="I1827" t="s">
        <v>8965</v>
      </c>
    </row>
    <row r="1828" spans="1:9">
      <c r="A1828" t="s">
        <v>4740</v>
      </c>
      <c r="B1828">
        <v>240</v>
      </c>
      <c r="C1828" t="s">
        <v>4741</v>
      </c>
    </row>
    <row r="1829" spans="1:9">
      <c r="A1829" t="s">
        <v>4742</v>
      </c>
      <c r="B1829">
        <v>245</v>
      </c>
      <c r="C1829" t="s">
        <v>4743</v>
      </c>
    </row>
    <row r="1830" spans="1:9">
      <c r="A1830" t="s">
        <v>4745</v>
      </c>
      <c r="B1830">
        <v>299</v>
      </c>
      <c r="C1830" t="s">
        <v>4746</v>
      </c>
      <c r="D1830" s="1" t="s">
        <v>7324</v>
      </c>
    </row>
    <row r="1831" spans="1:9">
      <c r="A1831" t="s">
        <v>4748</v>
      </c>
      <c r="B1831">
        <v>253</v>
      </c>
      <c r="C1831" t="s">
        <v>4749</v>
      </c>
    </row>
    <row r="1832" spans="1:9">
      <c r="A1832" t="s">
        <v>4751</v>
      </c>
      <c r="B1832">
        <v>393</v>
      </c>
      <c r="C1832" t="s">
        <v>4752</v>
      </c>
      <c r="D1832" s="1" t="s">
        <v>7293</v>
      </c>
      <c r="F1832" s="1" t="s">
        <v>7863</v>
      </c>
    </row>
    <row r="1833" spans="1:9">
      <c r="A1833" t="s">
        <v>4755</v>
      </c>
      <c r="B1833">
        <v>274</v>
      </c>
      <c r="C1833" t="s">
        <v>4756</v>
      </c>
      <c r="D1833" s="1" t="s">
        <v>7637</v>
      </c>
    </row>
    <row r="1834" spans="1:9">
      <c r="A1834" t="s">
        <v>4757</v>
      </c>
      <c r="B1834">
        <v>451</v>
      </c>
      <c r="C1834" t="s">
        <v>4758</v>
      </c>
    </row>
    <row r="1835" spans="1:9">
      <c r="A1835" t="s">
        <v>4761</v>
      </c>
      <c r="B1835">
        <v>498</v>
      </c>
      <c r="C1835" t="s">
        <v>4762</v>
      </c>
      <c r="D1835" s="1" t="s">
        <v>7638</v>
      </c>
      <c r="F1835" s="1" t="s">
        <v>8966</v>
      </c>
      <c r="G1835" s="1" t="s">
        <v>8967</v>
      </c>
      <c r="H1835" t="s">
        <v>8968</v>
      </c>
      <c r="I1835" t="s">
        <v>8968</v>
      </c>
    </row>
    <row r="1836" spans="1:9">
      <c r="A1836" t="s">
        <v>4761</v>
      </c>
      <c r="B1836">
        <v>498</v>
      </c>
      <c r="C1836" t="s">
        <v>4762</v>
      </c>
      <c r="D1836" s="1" t="s">
        <v>7638</v>
      </c>
      <c r="F1836" s="1" t="s">
        <v>8966</v>
      </c>
      <c r="G1836" s="1" t="s">
        <v>8967</v>
      </c>
      <c r="H1836" t="s">
        <v>8969</v>
      </c>
      <c r="I1836" t="s">
        <v>8970</v>
      </c>
    </row>
    <row r="1837" spans="1:9">
      <c r="A1837" t="s">
        <v>4761</v>
      </c>
      <c r="B1837">
        <v>498</v>
      </c>
      <c r="C1837" t="s">
        <v>4762</v>
      </c>
      <c r="D1837" s="1" t="s">
        <v>7638</v>
      </c>
      <c r="F1837" s="1" t="s">
        <v>8966</v>
      </c>
      <c r="G1837" s="1" t="s">
        <v>8967</v>
      </c>
      <c r="H1837" t="s">
        <v>8971</v>
      </c>
      <c r="I1837" t="s">
        <v>8972</v>
      </c>
    </row>
    <row r="1838" spans="1:9">
      <c r="A1838" t="s">
        <v>4763</v>
      </c>
      <c r="B1838">
        <v>348</v>
      </c>
      <c r="C1838" t="s">
        <v>4764</v>
      </c>
    </row>
    <row r="1839" spans="1:9">
      <c r="A1839" t="s">
        <v>4767</v>
      </c>
      <c r="B1839">
        <v>466</v>
      </c>
      <c r="C1839" t="s">
        <v>4768</v>
      </c>
      <c r="D1839" s="1" t="s">
        <v>7639</v>
      </c>
      <c r="F1839" s="1" t="s">
        <v>8973</v>
      </c>
      <c r="G1839" s="1" t="s">
        <v>8974</v>
      </c>
      <c r="H1839" t="s">
        <v>8975</v>
      </c>
      <c r="I1839" t="s">
        <v>8976</v>
      </c>
    </row>
    <row r="1840" spans="1:9">
      <c r="A1840" t="s">
        <v>4767</v>
      </c>
      <c r="B1840">
        <v>466</v>
      </c>
      <c r="C1840" t="s">
        <v>4768</v>
      </c>
      <c r="D1840" s="1" t="s">
        <v>7639</v>
      </c>
      <c r="F1840" s="1" t="s">
        <v>8973</v>
      </c>
      <c r="G1840" s="1" t="s">
        <v>8974</v>
      </c>
      <c r="H1840" t="s">
        <v>8977</v>
      </c>
      <c r="I1840" t="s">
        <v>8978</v>
      </c>
    </row>
    <row r="1841" spans="1:9">
      <c r="A1841" t="s">
        <v>4767</v>
      </c>
      <c r="B1841">
        <v>466</v>
      </c>
      <c r="C1841" t="s">
        <v>4768</v>
      </c>
      <c r="D1841" s="1" t="s">
        <v>7639</v>
      </c>
      <c r="F1841" s="1" t="s">
        <v>8973</v>
      </c>
      <c r="G1841" s="1" t="s">
        <v>8974</v>
      </c>
      <c r="H1841" t="s">
        <v>8979</v>
      </c>
      <c r="I1841" t="s">
        <v>8980</v>
      </c>
    </row>
    <row r="1842" spans="1:9">
      <c r="A1842" t="s">
        <v>4767</v>
      </c>
      <c r="B1842">
        <v>466</v>
      </c>
      <c r="C1842" t="s">
        <v>4768</v>
      </c>
      <c r="D1842" s="1" t="s">
        <v>7639</v>
      </c>
      <c r="F1842" s="1" t="s">
        <v>8973</v>
      </c>
      <c r="G1842" s="1" t="s">
        <v>8974</v>
      </c>
      <c r="H1842" t="s">
        <v>8981</v>
      </c>
      <c r="I1842" t="s">
        <v>8982</v>
      </c>
    </row>
    <row r="1843" spans="1:9">
      <c r="A1843" t="s">
        <v>4771</v>
      </c>
      <c r="B1843">
        <v>289</v>
      </c>
      <c r="C1843" t="s">
        <v>4772</v>
      </c>
      <c r="D1843" s="1" t="s">
        <v>7378</v>
      </c>
      <c r="F1843" s="1" t="s">
        <v>8107</v>
      </c>
    </row>
    <row r="1844" spans="1:9">
      <c r="A1844" t="s">
        <v>4775</v>
      </c>
      <c r="B1844">
        <v>631</v>
      </c>
      <c r="C1844" t="s">
        <v>4776</v>
      </c>
    </row>
    <row r="1845" spans="1:9">
      <c r="A1845" t="s">
        <v>4779</v>
      </c>
      <c r="B1845">
        <v>387</v>
      </c>
      <c r="C1845" t="s">
        <v>4780</v>
      </c>
      <c r="D1845" s="1" t="s">
        <v>7640</v>
      </c>
      <c r="F1845" s="1" t="s">
        <v>8983</v>
      </c>
      <c r="G1845" s="1" t="s">
        <v>8984</v>
      </c>
      <c r="H1845" t="s">
        <v>8985</v>
      </c>
      <c r="I1845" t="s">
        <v>8986</v>
      </c>
    </row>
    <row r="1846" spans="1:9">
      <c r="A1846" t="s">
        <v>4783</v>
      </c>
      <c r="B1846">
        <v>402</v>
      </c>
      <c r="C1846" t="s">
        <v>4784</v>
      </c>
      <c r="D1846" s="1" t="s">
        <v>7311</v>
      </c>
    </row>
    <row r="1847" spans="1:9">
      <c r="A1847" t="s">
        <v>4787</v>
      </c>
      <c r="B1847">
        <v>386</v>
      </c>
      <c r="C1847" t="s">
        <v>4788</v>
      </c>
      <c r="D1847" s="1" t="s">
        <v>7641</v>
      </c>
      <c r="F1847" s="1" t="s">
        <v>8987</v>
      </c>
      <c r="G1847" s="1" t="s">
        <v>8988</v>
      </c>
      <c r="H1847" t="s">
        <v>8989</v>
      </c>
      <c r="I1847" t="s">
        <v>8990</v>
      </c>
    </row>
    <row r="1848" spans="1:9">
      <c r="A1848" t="s">
        <v>4789</v>
      </c>
      <c r="B1848">
        <v>152</v>
      </c>
      <c r="C1848" t="s">
        <v>4790</v>
      </c>
    </row>
    <row r="1849" spans="1:9">
      <c r="A1849" t="s">
        <v>4793</v>
      </c>
      <c r="B1849">
        <v>370</v>
      </c>
      <c r="C1849" t="s">
        <v>4794</v>
      </c>
      <c r="D1849" s="1" t="s">
        <v>7501</v>
      </c>
    </row>
    <row r="1850" spans="1:9">
      <c r="A1850" t="s">
        <v>4795</v>
      </c>
      <c r="B1850">
        <v>135</v>
      </c>
      <c r="C1850" t="s">
        <v>4796</v>
      </c>
    </row>
    <row r="1851" spans="1:9">
      <c r="A1851" t="s">
        <v>4799</v>
      </c>
      <c r="B1851">
        <v>292</v>
      </c>
      <c r="C1851" t="s">
        <v>4800</v>
      </c>
      <c r="D1851" s="1" t="s">
        <v>7642</v>
      </c>
      <c r="F1851" s="1" t="s">
        <v>8991</v>
      </c>
      <c r="G1851" s="1" t="s">
        <v>8992</v>
      </c>
      <c r="H1851" t="s">
        <v>8993</v>
      </c>
      <c r="I1851" t="s">
        <v>8994</v>
      </c>
    </row>
    <row r="1852" spans="1:9">
      <c r="A1852" t="s">
        <v>4803</v>
      </c>
      <c r="B1852">
        <v>185</v>
      </c>
      <c r="C1852" t="s">
        <v>4804</v>
      </c>
    </row>
    <row r="1853" spans="1:9">
      <c r="A1853" t="s">
        <v>4807</v>
      </c>
      <c r="B1853">
        <v>242</v>
      </c>
      <c r="C1853" t="s">
        <v>4808</v>
      </c>
      <c r="D1853" s="1" t="s">
        <v>7643</v>
      </c>
      <c r="F1853" s="1" t="s">
        <v>8995</v>
      </c>
      <c r="G1853" s="1" t="s">
        <v>8996</v>
      </c>
      <c r="H1853" t="s">
        <v>8997</v>
      </c>
      <c r="I1853" t="s">
        <v>8998</v>
      </c>
    </row>
    <row r="1854" spans="1:9">
      <c r="A1854" t="s">
        <v>4811</v>
      </c>
      <c r="B1854">
        <v>270</v>
      </c>
      <c r="C1854" t="s">
        <v>4812</v>
      </c>
    </row>
    <row r="1855" spans="1:9">
      <c r="A1855" t="s">
        <v>4815</v>
      </c>
      <c r="B1855">
        <v>277</v>
      </c>
      <c r="C1855" t="s">
        <v>4816</v>
      </c>
    </row>
    <row r="1856" spans="1:9">
      <c r="A1856" t="s">
        <v>4818</v>
      </c>
      <c r="B1856">
        <v>173</v>
      </c>
      <c r="C1856" t="s">
        <v>4819</v>
      </c>
    </row>
    <row r="1857" spans="1:9">
      <c r="A1857" t="s">
        <v>4821</v>
      </c>
      <c r="B1857">
        <v>305</v>
      </c>
      <c r="C1857" t="s">
        <v>4822</v>
      </c>
    </row>
    <row r="1858" spans="1:9">
      <c r="A1858" t="s">
        <v>4823</v>
      </c>
      <c r="B1858">
        <v>393</v>
      </c>
      <c r="C1858" t="s">
        <v>4824</v>
      </c>
    </row>
    <row r="1859" spans="1:9">
      <c r="A1859" t="s">
        <v>4827</v>
      </c>
      <c r="B1859">
        <v>521</v>
      </c>
      <c r="C1859" t="s">
        <v>4828</v>
      </c>
    </row>
    <row r="1860" spans="1:9">
      <c r="A1860" t="s">
        <v>4829</v>
      </c>
      <c r="B1860">
        <v>132</v>
      </c>
      <c r="C1860" t="s">
        <v>4830</v>
      </c>
    </row>
    <row r="1861" spans="1:9">
      <c r="A1861" t="s">
        <v>4831</v>
      </c>
      <c r="B1861">
        <v>101</v>
      </c>
      <c r="C1861" t="s">
        <v>4832</v>
      </c>
    </row>
    <row r="1862" spans="1:9">
      <c r="A1862" t="s">
        <v>4835</v>
      </c>
      <c r="B1862">
        <v>213</v>
      </c>
      <c r="C1862" t="s">
        <v>4836</v>
      </c>
      <c r="D1862" s="1" t="s">
        <v>7644</v>
      </c>
      <c r="F1862" s="1" t="s">
        <v>8999</v>
      </c>
    </row>
    <row r="1863" spans="1:9">
      <c r="A1863" t="s">
        <v>4839</v>
      </c>
      <c r="B1863">
        <v>245</v>
      </c>
      <c r="C1863" t="s">
        <v>4840</v>
      </c>
      <c r="D1863" s="1" t="s">
        <v>7645</v>
      </c>
      <c r="F1863" s="1" t="s">
        <v>9000</v>
      </c>
    </row>
    <row r="1864" spans="1:9">
      <c r="A1864" t="s">
        <v>4842</v>
      </c>
      <c r="B1864">
        <v>254</v>
      </c>
      <c r="C1864" t="s">
        <v>4843</v>
      </c>
      <c r="D1864" s="1" t="s">
        <v>7645</v>
      </c>
      <c r="F1864" s="1" t="s">
        <v>9000</v>
      </c>
    </row>
    <row r="1865" spans="1:9">
      <c r="A1865" t="s">
        <v>4846</v>
      </c>
      <c r="B1865">
        <v>114</v>
      </c>
      <c r="C1865" t="s">
        <v>4847</v>
      </c>
    </row>
    <row r="1866" spans="1:9">
      <c r="A1866" t="s">
        <v>4848</v>
      </c>
      <c r="B1866">
        <v>735</v>
      </c>
      <c r="C1866" t="s">
        <v>4849</v>
      </c>
    </row>
    <row r="1867" spans="1:9">
      <c r="A1867" t="s">
        <v>4850</v>
      </c>
      <c r="B1867">
        <v>774</v>
      </c>
      <c r="C1867" t="s">
        <v>4851</v>
      </c>
    </row>
    <row r="1868" spans="1:9">
      <c r="A1868" t="s">
        <v>4852</v>
      </c>
      <c r="B1868">
        <v>196</v>
      </c>
      <c r="C1868" t="s">
        <v>4853</v>
      </c>
    </row>
    <row r="1869" spans="1:9">
      <c r="A1869" t="s">
        <v>4854</v>
      </c>
      <c r="B1869">
        <v>126</v>
      </c>
      <c r="C1869" t="s">
        <v>4855</v>
      </c>
    </row>
    <row r="1870" spans="1:9">
      <c r="A1870" t="s">
        <v>4858</v>
      </c>
      <c r="B1870">
        <v>296</v>
      </c>
      <c r="C1870" t="s">
        <v>4859</v>
      </c>
      <c r="D1870" s="1" t="s">
        <v>7646</v>
      </c>
      <c r="F1870" s="1" t="s">
        <v>9001</v>
      </c>
      <c r="G1870" s="1" t="s">
        <v>9002</v>
      </c>
      <c r="H1870" t="s">
        <v>9003</v>
      </c>
      <c r="I1870" t="s">
        <v>9004</v>
      </c>
    </row>
    <row r="1871" spans="1:9">
      <c r="A1871" t="s">
        <v>4862</v>
      </c>
      <c r="B1871">
        <v>162</v>
      </c>
      <c r="C1871" t="s">
        <v>4863</v>
      </c>
    </row>
    <row r="1872" spans="1:9">
      <c r="A1872" t="s">
        <v>4865</v>
      </c>
      <c r="B1872">
        <v>141</v>
      </c>
      <c r="C1872" t="s">
        <v>4866</v>
      </c>
    </row>
    <row r="1873" spans="1:9">
      <c r="A1873" t="s">
        <v>4868</v>
      </c>
      <c r="B1873">
        <v>234</v>
      </c>
      <c r="C1873" t="s">
        <v>4869</v>
      </c>
    </row>
    <row r="1874" spans="1:9">
      <c r="A1874" t="s">
        <v>4872</v>
      </c>
      <c r="B1874">
        <v>166</v>
      </c>
      <c r="C1874" t="s">
        <v>4873</v>
      </c>
    </row>
    <row r="1875" spans="1:9">
      <c r="A1875" t="s">
        <v>4875</v>
      </c>
      <c r="B1875">
        <v>755</v>
      </c>
      <c r="C1875" t="s">
        <v>4876</v>
      </c>
      <c r="D1875" s="1" t="s">
        <v>7283</v>
      </c>
    </row>
    <row r="1876" spans="1:9">
      <c r="A1876" t="s">
        <v>4879</v>
      </c>
      <c r="B1876">
        <v>546</v>
      </c>
      <c r="C1876" t="s">
        <v>4880</v>
      </c>
    </row>
    <row r="1877" spans="1:9">
      <c r="A1877" t="s">
        <v>4883</v>
      </c>
      <c r="B1877">
        <v>710</v>
      </c>
      <c r="C1877" t="s">
        <v>4884</v>
      </c>
    </row>
    <row r="1878" spans="1:9">
      <c r="A1878" t="s">
        <v>4886</v>
      </c>
      <c r="B1878">
        <v>112</v>
      </c>
      <c r="C1878" t="s">
        <v>4887</v>
      </c>
    </row>
    <row r="1879" spans="1:9">
      <c r="A1879" t="s">
        <v>4889</v>
      </c>
      <c r="B1879">
        <v>122</v>
      </c>
      <c r="C1879" t="s">
        <v>4890</v>
      </c>
    </row>
    <row r="1880" spans="1:9">
      <c r="A1880" t="s">
        <v>4892</v>
      </c>
      <c r="B1880">
        <v>96</v>
      </c>
      <c r="C1880" t="s">
        <v>4893</v>
      </c>
    </row>
    <row r="1881" spans="1:9">
      <c r="A1881" t="s">
        <v>4895</v>
      </c>
      <c r="B1881">
        <v>177</v>
      </c>
      <c r="C1881" t="s">
        <v>4896</v>
      </c>
    </row>
    <row r="1882" spans="1:9">
      <c r="A1882" t="s">
        <v>4899</v>
      </c>
      <c r="B1882">
        <v>513</v>
      </c>
      <c r="C1882" t="s">
        <v>4900</v>
      </c>
    </row>
    <row r="1883" spans="1:9">
      <c r="A1883" t="s">
        <v>4903</v>
      </c>
      <c r="B1883">
        <v>158</v>
      </c>
      <c r="C1883" t="s">
        <v>4904</v>
      </c>
    </row>
    <row r="1884" spans="1:9">
      <c r="A1884" t="s">
        <v>4907</v>
      </c>
      <c r="B1884">
        <v>993</v>
      </c>
      <c r="C1884" t="s">
        <v>4908</v>
      </c>
    </row>
    <row r="1885" spans="1:9">
      <c r="A1885" t="s">
        <v>4911</v>
      </c>
      <c r="B1885">
        <v>712</v>
      </c>
      <c r="C1885" t="s">
        <v>4912</v>
      </c>
    </row>
    <row r="1886" spans="1:9">
      <c r="A1886" t="s">
        <v>4914</v>
      </c>
      <c r="B1886">
        <v>1176</v>
      </c>
      <c r="C1886" t="s">
        <v>4915</v>
      </c>
    </row>
    <row r="1887" spans="1:9">
      <c r="A1887" t="s">
        <v>4918</v>
      </c>
      <c r="B1887">
        <v>92</v>
      </c>
      <c r="C1887" t="s">
        <v>4919</v>
      </c>
      <c r="D1887" s="1" t="s">
        <v>7647</v>
      </c>
      <c r="F1887" s="1" t="s">
        <v>9005</v>
      </c>
      <c r="G1887" s="1" t="s">
        <v>9006</v>
      </c>
      <c r="H1887" t="s">
        <v>9007</v>
      </c>
      <c r="I1887" t="s">
        <v>9008</v>
      </c>
    </row>
    <row r="1888" spans="1:9">
      <c r="A1888" t="s">
        <v>4918</v>
      </c>
      <c r="B1888">
        <v>92</v>
      </c>
      <c r="C1888" t="s">
        <v>4919</v>
      </c>
      <c r="D1888" s="1" t="s">
        <v>7647</v>
      </c>
      <c r="F1888" s="1" t="s">
        <v>9005</v>
      </c>
      <c r="G1888" s="1" t="s">
        <v>9006</v>
      </c>
      <c r="H1888" t="s">
        <v>9009</v>
      </c>
      <c r="I1888" t="s">
        <v>9010</v>
      </c>
    </row>
    <row r="1889" spans="1:9">
      <c r="A1889" t="s">
        <v>4918</v>
      </c>
      <c r="B1889">
        <v>92</v>
      </c>
      <c r="C1889" t="s">
        <v>4919</v>
      </c>
      <c r="D1889" s="1" t="s">
        <v>7647</v>
      </c>
      <c r="F1889" s="1" t="s">
        <v>9005</v>
      </c>
      <c r="G1889" s="1" t="s">
        <v>9006</v>
      </c>
      <c r="H1889" t="s">
        <v>9011</v>
      </c>
      <c r="I1889" t="s">
        <v>9012</v>
      </c>
    </row>
    <row r="1890" spans="1:9">
      <c r="A1890" t="s">
        <v>4918</v>
      </c>
      <c r="B1890">
        <v>92</v>
      </c>
      <c r="C1890" t="s">
        <v>4919</v>
      </c>
      <c r="D1890" s="1" t="s">
        <v>7647</v>
      </c>
      <c r="F1890" s="1" t="s">
        <v>9005</v>
      </c>
      <c r="G1890" s="1" t="s">
        <v>9006</v>
      </c>
      <c r="H1890" t="s">
        <v>9013</v>
      </c>
      <c r="I1890" t="s">
        <v>9014</v>
      </c>
    </row>
    <row r="1891" spans="1:9">
      <c r="A1891" t="s">
        <v>4922</v>
      </c>
      <c r="B1891">
        <v>500</v>
      </c>
      <c r="C1891" t="s">
        <v>4923</v>
      </c>
    </row>
    <row r="1892" spans="1:9">
      <c r="A1892" t="s">
        <v>4926</v>
      </c>
      <c r="B1892">
        <v>271</v>
      </c>
      <c r="C1892" t="s">
        <v>4927</v>
      </c>
      <c r="D1892" s="1" t="s">
        <v>7648</v>
      </c>
      <c r="F1892" s="9" t="s">
        <v>9015</v>
      </c>
    </row>
    <row r="1893" spans="1:9">
      <c r="A1893" t="s">
        <v>4930</v>
      </c>
      <c r="B1893">
        <v>256</v>
      </c>
      <c r="C1893" t="s">
        <v>4931</v>
      </c>
      <c r="D1893" s="1" t="s">
        <v>7649</v>
      </c>
      <c r="F1893" s="1" t="s">
        <v>9016</v>
      </c>
    </row>
    <row r="1894" spans="1:9">
      <c r="A1894" t="s">
        <v>4932</v>
      </c>
      <c r="B1894">
        <v>182</v>
      </c>
      <c r="C1894" t="s">
        <v>4933</v>
      </c>
      <c r="D1894" s="1"/>
    </row>
    <row r="1895" spans="1:9">
      <c r="A1895" t="s">
        <v>4934</v>
      </c>
      <c r="B1895">
        <v>204</v>
      </c>
      <c r="C1895" t="s">
        <v>4935</v>
      </c>
    </row>
    <row r="1896" spans="1:9">
      <c r="A1896" t="s">
        <v>4937</v>
      </c>
      <c r="B1896">
        <v>296</v>
      </c>
      <c r="C1896" t="s">
        <v>4938</v>
      </c>
    </row>
    <row r="1897" spans="1:9">
      <c r="A1897" t="s">
        <v>4941</v>
      </c>
      <c r="B1897">
        <v>448</v>
      </c>
      <c r="C1897" t="s">
        <v>4942</v>
      </c>
      <c r="D1897" s="1" t="s">
        <v>7650</v>
      </c>
      <c r="F1897" s="1" t="s">
        <v>9017</v>
      </c>
      <c r="G1897" s="1" t="s">
        <v>9018</v>
      </c>
      <c r="H1897" t="s">
        <v>9019</v>
      </c>
      <c r="I1897" t="s">
        <v>9020</v>
      </c>
    </row>
    <row r="1898" spans="1:9">
      <c r="A1898" t="s">
        <v>4941</v>
      </c>
      <c r="B1898">
        <v>448</v>
      </c>
      <c r="C1898" t="s">
        <v>4942</v>
      </c>
      <c r="D1898" s="1" t="s">
        <v>7650</v>
      </c>
      <c r="F1898" s="1" t="s">
        <v>9017</v>
      </c>
      <c r="G1898" s="1" t="s">
        <v>9018</v>
      </c>
      <c r="H1898" t="s">
        <v>9021</v>
      </c>
      <c r="I1898" t="s">
        <v>9022</v>
      </c>
    </row>
    <row r="1899" spans="1:9">
      <c r="A1899" t="s">
        <v>4941</v>
      </c>
      <c r="B1899">
        <v>448</v>
      </c>
      <c r="C1899" t="s">
        <v>4942</v>
      </c>
      <c r="D1899" s="1" t="s">
        <v>7650</v>
      </c>
      <c r="F1899" s="1" t="s">
        <v>9017</v>
      </c>
      <c r="G1899" s="1" t="s">
        <v>9018</v>
      </c>
      <c r="H1899" t="s">
        <v>9023</v>
      </c>
      <c r="I1899" t="s">
        <v>9024</v>
      </c>
    </row>
    <row r="1900" spans="1:9">
      <c r="A1900" t="s">
        <v>4945</v>
      </c>
      <c r="B1900">
        <v>368</v>
      </c>
      <c r="C1900" t="s">
        <v>4946</v>
      </c>
      <c r="D1900" s="1" t="s">
        <v>7651</v>
      </c>
      <c r="F1900" s="1" t="s">
        <v>9025</v>
      </c>
      <c r="G1900" s="1" t="s">
        <v>9026</v>
      </c>
      <c r="H1900" t="s">
        <v>9027</v>
      </c>
      <c r="I1900" t="s">
        <v>9028</v>
      </c>
    </row>
    <row r="1901" spans="1:9">
      <c r="A1901" t="s">
        <v>4947</v>
      </c>
      <c r="B1901">
        <v>132</v>
      </c>
      <c r="C1901" t="s">
        <v>4948</v>
      </c>
    </row>
    <row r="1902" spans="1:9">
      <c r="A1902" t="s">
        <v>4950</v>
      </c>
      <c r="B1902">
        <v>400</v>
      </c>
      <c r="C1902" t="s">
        <v>4951</v>
      </c>
      <c r="D1902" s="1" t="s">
        <v>7332</v>
      </c>
    </row>
    <row r="1903" spans="1:9">
      <c r="A1903" t="s">
        <v>4954</v>
      </c>
      <c r="B1903">
        <v>473</v>
      </c>
      <c r="C1903" t="s">
        <v>4955</v>
      </c>
      <c r="D1903" s="1" t="s">
        <v>7652</v>
      </c>
      <c r="F1903" s="1" t="s">
        <v>9029</v>
      </c>
      <c r="G1903" s="1" t="s">
        <v>9030</v>
      </c>
      <c r="H1903" t="s">
        <v>9031</v>
      </c>
      <c r="I1903" t="s">
        <v>9032</v>
      </c>
    </row>
    <row r="1904" spans="1:9">
      <c r="A1904" t="s">
        <v>4954</v>
      </c>
      <c r="B1904">
        <v>473</v>
      </c>
      <c r="C1904" t="s">
        <v>4955</v>
      </c>
      <c r="D1904" s="1" t="s">
        <v>7652</v>
      </c>
      <c r="F1904" s="1" t="s">
        <v>9029</v>
      </c>
      <c r="G1904" s="1" t="s">
        <v>9030</v>
      </c>
      <c r="H1904" t="s">
        <v>9033</v>
      </c>
      <c r="I1904" t="s">
        <v>9034</v>
      </c>
    </row>
    <row r="1905" spans="1:9">
      <c r="A1905" t="s">
        <v>4954</v>
      </c>
      <c r="B1905">
        <v>473</v>
      </c>
      <c r="C1905" t="s">
        <v>4955</v>
      </c>
      <c r="D1905" s="1" t="s">
        <v>7652</v>
      </c>
      <c r="F1905" s="1" t="s">
        <v>9029</v>
      </c>
      <c r="G1905" s="1" t="s">
        <v>9030</v>
      </c>
      <c r="H1905" t="s">
        <v>9035</v>
      </c>
      <c r="I1905" t="s">
        <v>9036</v>
      </c>
    </row>
    <row r="1906" spans="1:9">
      <c r="A1906" t="s">
        <v>4954</v>
      </c>
      <c r="B1906">
        <v>473</v>
      </c>
      <c r="C1906" t="s">
        <v>4955</v>
      </c>
      <c r="D1906" s="1" t="s">
        <v>7652</v>
      </c>
      <c r="F1906" s="1" t="s">
        <v>9029</v>
      </c>
      <c r="G1906" s="1" t="s">
        <v>9030</v>
      </c>
      <c r="H1906" t="s">
        <v>9037</v>
      </c>
      <c r="I1906" t="s">
        <v>9038</v>
      </c>
    </row>
    <row r="1907" spans="1:9">
      <c r="A1907" t="s">
        <v>4954</v>
      </c>
      <c r="B1907">
        <v>473</v>
      </c>
      <c r="C1907" t="s">
        <v>4955</v>
      </c>
      <c r="D1907" s="1" t="s">
        <v>7652</v>
      </c>
      <c r="F1907" s="1" t="s">
        <v>9029</v>
      </c>
      <c r="G1907" s="1" t="s">
        <v>9030</v>
      </c>
      <c r="H1907" t="s">
        <v>9039</v>
      </c>
      <c r="I1907" t="s">
        <v>9040</v>
      </c>
    </row>
    <row r="1908" spans="1:9">
      <c r="A1908" t="s">
        <v>4954</v>
      </c>
      <c r="B1908">
        <v>473</v>
      </c>
      <c r="C1908" t="s">
        <v>4955</v>
      </c>
      <c r="D1908" s="1" t="s">
        <v>7652</v>
      </c>
      <c r="F1908" s="1" t="s">
        <v>9029</v>
      </c>
      <c r="G1908" s="1" t="s">
        <v>9030</v>
      </c>
      <c r="H1908" t="s">
        <v>9041</v>
      </c>
      <c r="I1908" t="s">
        <v>9042</v>
      </c>
    </row>
    <row r="1909" spans="1:9">
      <c r="A1909" t="s">
        <v>4954</v>
      </c>
      <c r="B1909">
        <v>473</v>
      </c>
      <c r="C1909" t="s">
        <v>4955</v>
      </c>
      <c r="D1909" s="1" t="s">
        <v>7652</v>
      </c>
      <c r="F1909" s="1" t="s">
        <v>9029</v>
      </c>
      <c r="G1909" s="1" t="s">
        <v>9030</v>
      </c>
      <c r="H1909" t="s">
        <v>9043</v>
      </c>
      <c r="I1909" t="s">
        <v>9044</v>
      </c>
    </row>
    <row r="1910" spans="1:9">
      <c r="A1910" t="s">
        <v>4954</v>
      </c>
      <c r="B1910">
        <v>473</v>
      </c>
      <c r="C1910" t="s">
        <v>4955</v>
      </c>
      <c r="D1910" s="1" t="s">
        <v>7652</v>
      </c>
      <c r="F1910" s="1" t="s">
        <v>9029</v>
      </c>
      <c r="G1910" s="1" t="s">
        <v>9030</v>
      </c>
      <c r="H1910" t="s">
        <v>9045</v>
      </c>
      <c r="I1910" t="s">
        <v>9046</v>
      </c>
    </row>
    <row r="1911" spans="1:9">
      <c r="A1911" t="s">
        <v>4958</v>
      </c>
      <c r="B1911">
        <v>323</v>
      </c>
      <c r="C1911" t="s">
        <v>4959</v>
      </c>
      <c r="D1911" s="1" t="s">
        <v>7653</v>
      </c>
    </row>
    <row r="1912" spans="1:9">
      <c r="A1912" t="s">
        <v>4962</v>
      </c>
      <c r="B1912">
        <v>276</v>
      </c>
      <c r="C1912" t="s">
        <v>4963</v>
      </c>
      <c r="D1912" s="1" t="s">
        <v>7654</v>
      </c>
      <c r="F1912" s="1" t="s">
        <v>9047</v>
      </c>
      <c r="G1912" s="1" t="s">
        <v>9048</v>
      </c>
      <c r="H1912" t="s">
        <v>9049</v>
      </c>
      <c r="I1912" t="s">
        <v>9050</v>
      </c>
    </row>
    <row r="1913" spans="1:9">
      <c r="A1913" t="s">
        <v>4965</v>
      </c>
      <c r="B1913">
        <v>211</v>
      </c>
      <c r="C1913" t="s">
        <v>4966</v>
      </c>
    </row>
    <row r="1914" spans="1:9">
      <c r="A1914" t="s">
        <v>4968</v>
      </c>
      <c r="B1914">
        <v>120</v>
      </c>
      <c r="C1914" t="s">
        <v>4969</v>
      </c>
    </row>
    <row r="1915" spans="1:9">
      <c r="A1915" t="s">
        <v>4972</v>
      </c>
      <c r="B1915">
        <v>256</v>
      </c>
      <c r="C1915" t="s">
        <v>4973</v>
      </c>
      <c r="D1915" s="1" t="s">
        <v>7655</v>
      </c>
    </row>
    <row r="1916" spans="1:9">
      <c r="A1916" t="s">
        <v>4976</v>
      </c>
      <c r="B1916">
        <v>256</v>
      </c>
      <c r="C1916" t="s">
        <v>4977</v>
      </c>
      <c r="D1916" s="9" t="s">
        <v>7439</v>
      </c>
      <c r="F1916" s="1" t="s">
        <v>8240</v>
      </c>
      <c r="G1916" s="1" t="s">
        <v>8241</v>
      </c>
      <c r="H1916" t="s">
        <v>10307</v>
      </c>
      <c r="I1916" t="s">
        <v>10308</v>
      </c>
    </row>
    <row r="1917" spans="1:9">
      <c r="A1917" t="s">
        <v>4976</v>
      </c>
      <c r="B1917">
        <v>256</v>
      </c>
      <c r="C1917" t="s">
        <v>4977</v>
      </c>
      <c r="D1917" s="9" t="s">
        <v>7439</v>
      </c>
      <c r="F1917" s="1" t="s">
        <v>8240</v>
      </c>
      <c r="G1917" s="1" t="s">
        <v>8241</v>
      </c>
      <c r="H1917" t="s">
        <v>10309</v>
      </c>
      <c r="I1917" t="s">
        <v>10308</v>
      </c>
    </row>
    <row r="1918" spans="1:9">
      <c r="A1918" t="s">
        <v>4976</v>
      </c>
      <c r="B1918">
        <v>256</v>
      </c>
      <c r="C1918" t="s">
        <v>4977</v>
      </c>
      <c r="D1918" s="9" t="s">
        <v>7439</v>
      </c>
      <c r="F1918" s="1" t="s">
        <v>8240</v>
      </c>
      <c r="G1918" s="1" t="s">
        <v>8241</v>
      </c>
      <c r="H1918" t="s">
        <v>10310</v>
      </c>
      <c r="I1918" t="s">
        <v>10308</v>
      </c>
    </row>
    <row r="1919" spans="1:9">
      <c r="A1919" t="s">
        <v>4976</v>
      </c>
      <c r="B1919">
        <v>256</v>
      </c>
      <c r="C1919" t="s">
        <v>4977</v>
      </c>
      <c r="D1919" s="9" t="s">
        <v>7439</v>
      </c>
      <c r="F1919" s="1" t="s">
        <v>8240</v>
      </c>
      <c r="G1919" s="1" t="s">
        <v>8241</v>
      </c>
      <c r="H1919" t="s">
        <v>10311</v>
      </c>
      <c r="I1919" t="s">
        <v>10311</v>
      </c>
    </row>
    <row r="1920" spans="1:9">
      <c r="A1920" t="s">
        <v>4980</v>
      </c>
      <c r="B1920">
        <v>262</v>
      </c>
      <c r="C1920" t="s">
        <v>4981</v>
      </c>
      <c r="D1920" s="1" t="s">
        <v>7656</v>
      </c>
      <c r="F1920" s="1" t="s">
        <v>9051</v>
      </c>
      <c r="G1920" s="1" t="s">
        <v>9052</v>
      </c>
      <c r="H1920" t="s">
        <v>9053</v>
      </c>
      <c r="I1920" t="s">
        <v>9054</v>
      </c>
    </row>
    <row r="1921" spans="1:9">
      <c r="A1921" t="s">
        <v>4984</v>
      </c>
      <c r="B1921">
        <v>210</v>
      </c>
      <c r="C1921" t="s">
        <v>4985</v>
      </c>
      <c r="D1921" s="1" t="s">
        <v>7312</v>
      </c>
    </row>
    <row r="1922" spans="1:9">
      <c r="A1922" t="s">
        <v>4986</v>
      </c>
      <c r="B1922">
        <v>416</v>
      </c>
      <c r="C1922" t="s">
        <v>4987</v>
      </c>
    </row>
    <row r="1923" spans="1:9">
      <c r="A1923" t="s">
        <v>4988</v>
      </c>
      <c r="B1923">
        <v>55</v>
      </c>
      <c r="C1923" t="s">
        <v>4989</v>
      </c>
    </row>
    <row r="1924" spans="1:9">
      <c r="A1924" t="s">
        <v>4992</v>
      </c>
      <c r="B1924">
        <v>200</v>
      </c>
      <c r="C1924" t="s">
        <v>4993</v>
      </c>
      <c r="D1924" s="1" t="s">
        <v>7657</v>
      </c>
      <c r="F1924" s="1" t="s">
        <v>9055</v>
      </c>
      <c r="G1924" s="1" t="s">
        <v>9056</v>
      </c>
      <c r="H1924" t="s">
        <v>9057</v>
      </c>
      <c r="I1924" t="s">
        <v>9058</v>
      </c>
    </row>
    <row r="1925" spans="1:9">
      <c r="A1925" t="s">
        <v>4996</v>
      </c>
      <c r="B1925">
        <v>370</v>
      </c>
      <c r="C1925" t="s">
        <v>4997</v>
      </c>
      <c r="D1925" s="1" t="s">
        <v>7658</v>
      </c>
      <c r="F1925" s="1" t="s">
        <v>9059</v>
      </c>
      <c r="G1925" s="1" t="s">
        <v>9060</v>
      </c>
      <c r="H1925" t="s">
        <v>9061</v>
      </c>
      <c r="I1925" t="s">
        <v>9062</v>
      </c>
    </row>
    <row r="1926" spans="1:9">
      <c r="A1926" t="s">
        <v>4996</v>
      </c>
      <c r="B1926">
        <v>370</v>
      </c>
      <c r="C1926" t="s">
        <v>4997</v>
      </c>
      <c r="D1926" s="1" t="s">
        <v>7658</v>
      </c>
      <c r="F1926" s="1" t="s">
        <v>9059</v>
      </c>
      <c r="G1926" s="1" t="s">
        <v>9060</v>
      </c>
      <c r="H1926" t="s">
        <v>9063</v>
      </c>
      <c r="I1926" t="s">
        <v>9064</v>
      </c>
    </row>
    <row r="1927" spans="1:9">
      <c r="A1927" t="s">
        <v>4996</v>
      </c>
      <c r="B1927">
        <v>370</v>
      </c>
      <c r="C1927" t="s">
        <v>4997</v>
      </c>
      <c r="D1927" s="1" t="s">
        <v>7658</v>
      </c>
      <c r="F1927" s="1" t="s">
        <v>9059</v>
      </c>
      <c r="G1927" s="1" t="s">
        <v>9060</v>
      </c>
      <c r="H1927" t="s">
        <v>9065</v>
      </c>
      <c r="I1927" t="s">
        <v>9066</v>
      </c>
    </row>
    <row r="1928" spans="1:9">
      <c r="A1928" t="s">
        <v>5000</v>
      </c>
      <c r="B1928">
        <v>436</v>
      </c>
      <c r="C1928" t="s">
        <v>5001</v>
      </c>
      <c r="D1928" s="1" t="s">
        <v>7659</v>
      </c>
      <c r="F1928" s="1" t="s">
        <v>9067</v>
      </c>
      <c r="G1928" s="1" t="s">
        <v>9068</v>
      </c>
      <c r="H1928" t="s">
        <v>9069</v>
      </c>
      <c r="I1928" t="s">
        <v>9070</v>
      </c>
    </row>
    <row r="1929" spans="1:9">
      <c r="A1929" t="s">
        <v>5000</v>
      </c>
      <c r="B1929">
        <v>436</v>
      </c>
      <c r="C1929" t="s">
        <v>5001</v>
      </c>
      <c r="D1929" s="1" t="s">
        <v>7659</v>
      </c>
      <c r="F1929" s="1" t="s">
        <v>9067</v>
      </c>
      <c r="G1929" s="1" t="s">
        <v>9068</v>
      </c>
      <c r="H1929" t="s">
        <v>9071</v>
      </c>
      <c r="I1929" t="s">
        <v>9072</v>
      </c>
    </row>
    <row r="1930" spans="1:9">
      <c r="A1930" t="s">
        <v>5000</v>
      </c>
      <c r="B1930">
        <v>436</v>
      </c>
      <c r="C1930" t="s">
        <v>5001</v>
      </c>
      <c r="D1930" s="1" t="s">
        <v>7659</v>
      </c>
      <c r="F1930" s="1" t="s">
        <v>9067</v>
      </c>
      <c r="G1930" s="1" t="s">
        <v>9068</v>
      </c>
      <c r="H1930" t="s">
        <v>9073</v>
      </c>
      <c r="I1930" t="s">
        <v>9074</v>
      </c>
    </row>
    <row r="1931" spans="1:9">
      <c r="A1931" t="s">
        <v>5002</v>
      </c>
      <c r="B1931">
        <v>299</v>
      </c>
      <c r="C1931" t="s">
        <v>5003</v>
      </c>
    </row>
    <row r="1932" spans="1:9">
      <c r="A1932" t="s">
        <v>5004</v>
      </c>
      <c r="B1932">
        <v>179</v>
      </c>
      <c r="C1932" t="s">
        <v>5005</v>
      </c>
    </row>
    <row r="1933" spans="1:9">
      <c r="A1933" t="s">
        <v>5006</v>
      </c>
      <c r="B1933">
        <v>255</v>
      </c>
      <c r="C1933" t="s">
        <v>5007</v>
      </c>
    </row>
    <row r="1934" spans="1:9">
      <c r="A1934" t="s">
        <v>5010</v>
      </c>
      <c r="B1934">
        <v>177</v>
      </c>
      <c r="C1934" t="s">
        <v>5011</v>
      </c>
    </row>
    <row r="1935" spans="1:9">
      <c r="A1935" t="s">
        <v>5013</v>
      </c>
      <c r="B1935">
        <v>470</v>
      </c>
      <c r="C1935" t="s">
        <v>5014</v>
      </c>
      <c r="D1935" s="1" t="s">
        <v>7279</v>
      </c>
      <c r="F1935" s="1" t="s">
        <v>7828</v>
      </c>
      <c r="G1935" s="1" t="s">
        <v>7829</v>
      </c>
      <c r="H1935" t="s">
        <v>7832</v>
      </c>
      <c r="I1935" t="s">
        <v>7831</v>
      </c>
    </row>
    <row r="1936" spans="1:9">
      <c r="A1936" t="s">
        <v>5013</v>
      </c>
      <c r="B1936">
        <v>470</v>
      </c>
      <c r="C1936" t="s">
        <v>5014</v>
      </c>
      <c r="D1936" s="1" t="s">
        <v>7279</v>
      </c>
      <c r="F1936" s="1" t="s">
        <v>7828</v>
      </c>
      <c r="G1936" s="1" t="s">
        <v>7829</v>
      </c>
      <c r="H1936" t="s">
        <v>10162</v>
      </c>
      <c r="I1936" s="3" t="s">
        <v>10163</v>
      </c>
    </row>
    <row r="1937" spans="1:9">
      <c r="A1937" t="s">
        <v>5013</v>
      </c>
      <c r="B1937">
        <v>470</v>
      </c>
      <c r="C1937" t="s">
        <v>5014</v>
      </c>
      <c r="D1937" s="1" t="s">
        <v>7279</v>
      </c>
      <c r="F1937" s="1" t="s">
        <v>7828</v>
      </c>
      <c r="G1937" s="1" t="s">
        <v>7829</v>
      </c>
      <c r="H1937" t="s">
        <v>10164</v>
      </c>
      <c r="I1937" s="3" t="s">
        <v>10163</v>
      </c>
    </row>
    <row r="1938" spans="1:9">
      <c r="A1938" t="s">
        <v>5013</v>
      </c>
      <c r="B1938">
        <v>470</v>
      </c>
      <c r="C1938" t="s">
        <v>5014</v>
      </c>
      <c r="D1938" s="1" t="s">
        <v>7279</v>
      </c>
      <c r="F1938" s="1" t="s">
        <v>7828</v>
      </c>
      <c r="G1938" s="1" t="s">
        <v>7829</v>
      </c>
      <c r="H1938" t="s">
        <v>10165</v>
      </c>
      <c r="I1938" s="3" t="s">
        <v>10163</v>
      </c>
    </row>
    <row r="1939" spans="1:9">
      <c r="A1939" t="s">
        <v>5013</v>
      </c>
      <c r="B1939">
        <v>470</v>
      </c>
      <c r="C1939" t="s">
        <v>5014</v>
      </c>
      <c r="D1939" s="1" t="s">
        <v>7279</v>
      </c>
      <c r="F1939" s="1" t="s">
        <v>7828</v>
      </c>
      <c r="G1939" s="1" t="s">
        <v>7829</v>
      </c>
      <c r="H1939" t="s">
        <v>10166</v>
      </c>
      <c r="I1939" s="3" t="s">
        <v>10163</v>
      </c>
    </row>
    <row r="1940" spans="1:9">
      <c r="A1940" t="s">
        <v>5013</v>
      </c>
      <c r="B1940">
        <v>470</v>
      </c>
      <c r="C1940" t="s">
        <v>5014</v>
      </c>
      <c r="D1940" s="1" t="s">
        <v>7279</v>
      </c>
      <c r="F1940" s="1" t="s">
        <v>7828</v>
      </c>
      <c r="G1940" s="1" t="s">
        <v>7829</v>
      </c>
      <c r="H1940" t="s">
        <v>10167</v>
      </c>
      <c r="I1940" s="3" t="s">
        <v>10168</v>
      </c>
    </row>
    <row r="1941" spans="1:9">
      <c r="A1941" t="s">
        <v>5015</v>
      </c>
      <c r="B1941">
        <v>205</v>
      </c>
      <c r="C1941" t="s">
        <v>5016</v>
      </c>
    </row>
    <row r="1942" spans="1:9">
      <c r="A1942" t="s">
        <v>5019</v>
      </c>
      <c r="B1942">
        <v>332</v>
      </c>
      <c r="C1942" t="s">
        <v>5020</v>
      </c>
      <c r="D1942" s="1" t="s">
        <v>7660</v>
      </c>
      <c r="F1942" s="1" t="s">
        <v>9075</v>
      </c>
      <c r="G1942" s="1" t="s">
        <v>9076</v>
      </c>
      <c r="H1942" t="s">
        <v>9077</v>
      </c>
      <c r="I1942" t="s">
        <v>9078</v>
      </c>
    </row>
    <row r="1943" spans="1:9">
      <c r="A1943" t="s">
        <v>5023</v>
      </c>
      <c r="B1943">
        <v>129</v>
      </c>
      <c r="C1943" t="s">
        <v>5024</v>
      </c>
    </row>
    <row r="1944" spans="1:9">
      <c r="A1944" t="s">
        <v>5025</v>
      </c>
      <c r="B1944">
        <v>79</v>
      </c>
      <c r="C1944" t="s">
        <v>5026</v>
      </c>
    </row>
    <row r="1945" spans="1:9">
      <c r="A1945" t="s">
        <v>5029</v>
      </c>
      <c r="B1945">
        <v>214</v>
      </c>
      <c r="C1945" t="s">
        <v>5030</v>
      </c>
    </row>
    <row r="1946" spans="1:9">
      <c r="A1946" t="s">
        <v>5033</v>
      </c>
      <c r="B1946">
        <v>422</v>
      </c>
      <c r="C1946" t="s">
        <v>5034</v>
      </c>
      <c r="D1946" s="1" t="s">
        <v>7661</v>
      </c>
      <c r="F1946" s="1" t="s">
        <v>9079</v>
      </c>
      <c r="G1946" s="1" t="s">
        <v>9080</v>
      </c>
      <c r="H1946" t="s">
        <v>9081</v>
      </c>
      <c r="I1946" t="s">
        <v>9082</v>
      </c>
    </row>
    <row r="1947" spans="1:9">
      <c r="A1947" t="s">
        <v>5033</v>
      </c>
      <c r="B1947">
        <v>422</v>
      </c>
      <c r="C1947" t="s">
        <v>5034</v>
      </c>
      <c r="D1947" s="1" t="s">
        <v>7661</v>
      </c>
      <c r="F1947" s="1" t="s">
        <v>9079</v>
      </c>
      <c r="G1947" s="1" t="s">
        <v>9080</v>
      </c>
      <c r="H1947" t="s">
        <v>9083</v>
      </c>
      <c r="I1947" t="s">
        <v>9082</v>
      </c>
    </row>
    <row r="1948" spans="1:9">
      <c r="A1948" t="s">
        <v>5033</v>
      </c>
      <c r="B1948">
        <v>422</v>
      </c>
      <c r="C1948" t="s">
        <v>5034</v>
      </c>
      <c r="D1948" s="1" t="s">
        <v>7661</v>
      </c>
      <c r="F1948" s="1" t="s">
        <v>9079</v>
      </c>
      <c r="G1948" s="1" t="s">
        <v>9080</v>
      </c>
      <c r="H1948" t="s">
        <v>9084</v>
      </c>
      <c r="I1948" t="s">
        <v>9085</v>
      </c>
    </row>
    <row r="1949" spans="1:9">
      <c r="A1949" t="s">
        <v>5033</v>
      </c>
      <c r="B1949">
        <v>422</v>
      </c>
      <c r="C1949" t="s">
        <v>5034</v>
      </c>
      <c r="D1949" s="1" t="s">
        <v>7661</v>
      </c>
      <c r="F1949" s="1" t="s">
        <v>9079</v>
      </c>
      <c r="G1949" s="1" t="s">
        <v>9080</v>
      </c>
      <c r="H1949" t="s">
        <v>8788</v>
      </c>
      <c r="I1949" t="s">
        <v>8789</v>
      </c>
    </row>
    <row r="1950" spans="1:9">
      <c r="A1950" t="s">
        <v>5033</v>
      </c>
      <c r="B1950">
        <v>422</v>
      </c>
      <c r="C1950" t="s">
        <v>5034</v>
      </c>
      <c r="D1950" s="1" t="s">
        <v>7661</v>
      </c>
      <c r="F1950" s="1" t="s">
        <v>9079</v>
      </c>
      <c r="G1950" s="1" t="s">
        <v>9080</v>
      </c>
      <c r="H1950" t="s">
        <v>8794</v>
      </c>
      <c r="I1950" t="s">
        <v>8795</v>
      </c>
    </row>
    <row r="1951" spans="1:9">
      <c r="A1951" t="s">
        <v>5035</v>
      </c>
      <c r="B1951">
        <v>629</v>
      </c>
      <c r="C1951" t="s">
        <v>5036</v>
      </c>
    </row>
    <row r="1952" spans="1:9">
      <c r="A1952" t="s">
        <v>5037</v>
      </c>
      <c r="B1952">
        <v>159</v>
      </c>
      <c r="C1952" t="s">
        <v>5038</v>
      </c>
    </row>
    <row r="1953" spans="1:9">
      <c r="A1953" t="s">
        <v>5041</v>
      </c>
      <c r="B1953">
        <v>1190</v>
      </c>
      <c r="C1953" t="s">
        <v>5042</v>
      </c>
      <c r="D1953" s="1" t="s">
        <v>7279</v>
      </c>
      <c r="F1953" s="1" t="s">
        <v>7828</v>
      </c>
      <c r="G1953" s="1" t="s">
        <v>7829</v>
      </c>
      <c r="H1953" t="s">
        <v>7832</v>
      </c>
      <c r="I1953" t="s">
        <v>7831</v>
      </c>
    </row>
    <row r="1954" spans="1:9">
      <c r="A1954" t="s">
        <v>5041</v>
      </c>
      <c r="B1954">
        <v>1190</v>
      </c>
      <c r="C1954" t="s">
        <v>5042</v>
      </c>
      <c r="D1954" s="1" t="s">
        <v>7279</v>
      </c>
      <c r="F1954" s="1" t="s">
        <v>7828</v>
      </c>
      <c r="G1954" s="1" t="s">
        <v>7829</v>
      </c>
      <c r="H1954" t="s">
        <v>10162</v>
      </c>
      <c r="I1954" s="3" t="s">
        <v>10163</v>
      </c>
    </row>
    <row r="1955" spans="1:9">
      <c r="A1955" t="s">
        <v>5041</v>
      </c>
      <c r="B1955">
        <v>1190</v>
      </c>
      <c r="C1955" t="s">
        <v>5042</v>
      </c>
      <c r="D1955" s="1" t="s">
        <v>7279</v>
      </c>
      <c r="F1955" s="1" t="s">
        <v>7828</v>
      </c>
      <c r="G1955" s="1" t="s">
        <v>7829</v>
      </c>
      <c r="H1955" t="s">
        <v>10164</v>
      </c>
      <c r="I1955" s="3" t="s">
        <v>10163</v>
      </c>
    </row>
    <row r="1956" spans="1:9">
      <c r="A1956" t="s">
        <v>5041</v>
      </c>
      <c r="B1956">
        <v>1190</v>
      </c>
      <c r="C1956" t="s">
        <v>5042</v>
      </c>
      <c r="D1956" s="1" t="s">
        <v>7279</v>
      </c>
      <c r="F1956" s="1" t="s">
        <v>7828</v>
      </c>
      <c r="G1956" s="1" t="s">
        <v>7829</v>
      </c>
      <c r="H1956" t="s">
        <v>10165</v>
      </c>
      <c r="I1956" s="3" t="s">
        <v>10163</v>
      </c>
    </row>
    <row r="1957" spans="1:9">
      <c r="A1957" t="s">
        <v>5041</v>
      </c>
      <c r="B1957">
        <v>1190</v>
      </c>
      <c r="C1957" t="s">
        <v>5042</v>
      </c>
      <c r="D1957" s="1" t="s">
        <v>7279</v>
      </c>
      <c r="F1957" s="1" t="s">
        <v>7828</v>
      </c>
      <c r="G1957" s="1" t="s">
        <v>7829</v>
      </c>
      <c r="H1957" t="s">
        <v>10166</v>
      </c>
      <c r="I1957" s="3" t="s">
        <v>10163</v>
      </c>
    </row>
    <row r="1958" spans="1:9">
      <c r="A1958" t="s">
        <v>5041</v>
      </c>
      <c r="B1958">
        <v>1190</v>
      </c>
      <c r="C1958" t="s">
        <v>5042</v>
      </c>
      <c r="D1958" s="1" t="s">
        <v>7279</v>
      </c>
      <c r="F1958" s="1" t="s">
        <v>7828</v>
      </c>
      <c r="G1958" s="1" t="s">
        <v>7829</v>
      </c>
      <c r="H1958" t="s">
        <v>10167</v>
      </c>
      <c r="I1958" s="3" t="s">
        <v>10168</v>
      </c>
    </row>
    <row r="1959" spans="1:9">
      <c r="A1959" t="s">
        <v>5044</v>
      </c>
      <c r="B1959">
        <v>291</v>
      </c>
      <c r="C1959" t="s">
        <v>5045</v>
      </c>
    </row>
    <row r="1960" spans="1:9">
      <c r="A1960" t="s">
        <v>5046</v>
      </c>
      <c r="B1960">
        <v>326</v>
      </c>
      <c r="C1960" t="s">
        <v>5047</v>
      </c>
    </row>
    <row r="1961" spans="1:9">
      <c r="A1961" t="s">
        <v>5048</v>
      </c>
      <c r="B1961">
        <v>179</v>
      </c>
      <c r="C1961" t="s">
        <v>5049</v>
      </c>
    </row>
    <row r="1962" spans="1:9">
      <c r="A1962" t="s">
        <v>5052</v>
      </c>
      <c r="B1962">
        <v>308</v>
      </c>
      <c r="C1962" t="s">
        <v>5053</v>
      </c>
      <c r="D1962" s="1" t="s">
        <v>7662</v>
      </c>
      <c r="F1962" s="1" t="s">
        <v>9086</v>
      </c>
    </row>
    <row r="1963" spans="1:9">
      <c r="A1963" t="s">
        <v>5056</v>
      </c>
      <c r="B1963">
        <v>166</v>
      </c>
      <c r="C1963" t="s">
        <v>5057</v>
      </c>
      <c r="D1963" s="1" t="s">
        <v>7663</v>
      </c>
      <c r="F1963" s="1" t="s">
        <v>9087</v>
      </c>
    </row>
    <row r="1964" spans="1:9">
      <c r="A1964" t="s">
        <v>5058</v>
      </c>
      <c r="B1964">
        <v>314</v>
      </c>
      <c r="C1964" t="s">
        <v>5059</v>
      </c>
    </row>
    <row r="1965" spans="1:9">
      <c r="A1965" t="s">
        <v>5060</v>
      </c>
      <c r="B1965">
        <v>211</v>
      </c>
      <c r="C1965" t="s">
        <v>5061</v>
      </c>
    </row>
    <row r="1966" spans="1:9">
      <c r="A1966" t="s">
        <v>5064</v>
      </c>
      <c r="B1966">
        <v>304</v>
      </c>
      <c r="C1966" t="s">
        <v>5065</v>
      </c>
      <c r="D1966" s="1" t="s">
        <v>7664</v>
      </c>
      <c r="F1966" s="1" t="s">
        <v>9088</v>
      </c>
      <c r="G1966" s="1" t="s">
        <v>9089</v>
      </c>
      <c r="H1966" t="s">
        <v>9090</v>
      </c>
      <c r="I1966" t="s">
        <v>9091</v>
      </c>
    </row>
    <row r="1967" spans="1:9">
      <c r="A1967" t="s">
        <v>5064</v>
      </c>
      <c r="B1967">
        <v>304</v>
      </c>
      <c r="C1967" t="s">
        <v>5065</v>
      </c>
      <c r="D1967" s="1" t="s">
        <v>7664</v>
      </c>
      <c r="F1967" s="1" t="s">
        <v>9088</v>
      </c>
      <c r="G1967" s="1" t="s">
        <v>9089</v>
      </c>
      <c r="H1967" t="s">
        <v>9092</v>
      </c>
      <c r="I1967" t="s">
        <v>9093</v>
      </c>
    </row>
    <row r="1968" spans="1:9">
      <c r="A1968" t="s">
        <v>5067</v>
      </c>
      <c r="B1968">
        <v>488</v>
      </c>
      <c r="C1968" t="s">
        <v>5068</v>
      </c>
      <c r="D1968" s="1" t="s">
        <v>7279</v>
      </c>
      <c r="F1968" s="1" t="s">
        <v>7828</v>
      </c>
      <c r="G1968" s="1" t="s">
        <v>7829</v>
      </c>
      <c r="H1968" t="s">
        <v>7832</v>
      </c>
      <c r="I1968" t="s">
        <v>7831</v>
      </c>
    </row>
    <row r="1969" spans="1:9">
      <c r="A1969" t="s">
        <v>5067</v>
      </c>
      <c r="B1969">
        <v>488</v>
      </c>
      <c r="C1969" t="s">
        <v>5068</v>
      </c>
      <c r="D1969" s="1" t="s">
        <v>7279</v>
      </c>
      <c r="F1969" s="1" t="s">
        <v>7828</v>
      </c>
      <c r="G1969" s="1" t="s">
        <v>7829</v>
      </c>
      <c r="H1969" t="s">
        <v>10162</v>
      </c>
      <c r="I1969" s="3" t="s">
        <v>10163</v>
      </c>
    </row>
    <row r="1970" spans="1:9">
      <c r="A1970" t="s">
        <v>5067</v>
      </c>
      <c r="B1970">
        <v>488</v>
      </c>
      <c r="C1970" t="s">
        <v>5068</v>
      </c>
      <c r="D1970" s="1" t="s">
        <v>7279</v>
      </c>
      <c r="F1970" s="1" t="s">
        <v>7828</v>
      </c>
      <c r="G1970" s="1" t="s">
        <v>7829</v>
      </c>
      <c r="H1970" t="s">
        <v>10164</v>
      </c>
      <c r="I1970" s="3" t="s">
        <v>10163</v>
      </c>
    </row>
    <row r="1971" spans="1:9">
      <c r="A1971" t="s">
        <v>5067</v>
      </c>
      <c r="B1971">
        <v>488</v>
      </c>
      <c r="C1971" t="s">
        <v>5068</v>
      </c>
      <c r="D1971" s="1" t="s">
        <v>7279</v>
      </c>
      <c r="F1971" s="1" t="s">
        <v>7828</v>
      </c>
      <c r="G1971" s="1" t="s">
        <v>7829</v>
      </c>
      <c r="H1971" t="s">
        <v>10165</v>
      </c>
      <c r="I1971" s="3" t="s">
        <v>10163</v>
      </c>
    </row>
    <row r="1972" spans="1:9">
      <c r="A1972" t="s">
        <v>5067</v>
      </c>
      <c r="B1972">
        <v>488</v>
      </c>
      <c r="C1972" t="s">
        <v>5068</v>
      </c>
      <c r="D1972" s="1" t="s">
        <v>7279</v>
      </c>
      <c r="F1972" s="1" t="s">
        <v>7828</v>
      </c>
      <c r="G1972" s="1" t="s">
        <v>7829</v>
      </c>
      <c r="H1972" t="s">
        <v>10166</v>
      </c>
      <c r="I1972" s="3" t="s">
        <v>10163</v>
      </c>
    </row>
    <row r="1973" spans="1:9">
      <c r="A1973" t="s">
        <v>5067</v>
      </c>
      <c r="B1973">
        <v>488</v>
      </c>
      <c r="C1973" t="s">
        <v>5068</v>
      </c>
      <c r="D1973" s="1" t="s">
        <v>7279</v>
      </c>
      <c r="F1973" s="1" t="s">
        <v>7828</v>
      </c>
      <c r="G1973" s="1" t="s">
        <v>7829</v>
      </c>
      <c r="H1973" t="s">
        <v>10167</v>
      </c>
      <c r="I1973" s="3" t="s">
        <v>10168</v>
      </c>
    </row>
    <row r="1974" spans="1:9">
      <c r="A1974" t="s">
        <v>5071</v>
      </c>
      <c r="B1974">
        <v>209</v>
      </c>
      <c r="C1974" t="s">
        <v>5072</v>
      </c>
    </row>
    <row r="1975" spans="1:9">
      <c r="A1975" t="s">
        <v>5074</v>
      </c>
      <c r="B1975">
        <v>410</v>
      </c>
      <c r="C1975" t="s">
        <v>5075</v>
      </c>
    </row>
    <row r="1976" spans="1:9">
      <c r="A1976" t="s">
        <v>5076</v>
      </c>
      <c r="B1976">
        <v>491</v>
      </c>
      <c r="C1976" t="s">
        <v>5077</v>
      </c>
    </row>
    <row r="1977" spans="1:9">
      <c r="A1977" t="s">
        <v>5078</v>
      </c>
      <c r="B1977">
        <v>321</v>
      </c>
      <c r="C1977" t="s">
        <v>5079</v>
      </c>
    </row>
    <row r="1978" spans="1:9">
      <c r="A1978" t="s">
        <v>5080</v>
      </c>
      <c r="B1978">
        <v>296</v>
      </c>
      <c r="C1978" t="s">
        <v>5081</v>
      </c>
    </row>
    <row r="1979" spans="1:9">
      <c r="A1979" t="s">
        <v>5084</v>
      </c>
      <c r="B1979">
        <v>1054</v>
      </c>
      <c r="C1979" t="s">
        <v>5085</v>
      </c>
      <c r="D1979" s="1" t="s">
        <v>7665</v>
      </c>
      <c r="F1979" s="1" t="s">
        <v>9095</v>
      </c>
      <c r="G1979" s="1" t="s">
        <v>9096</v>
      </c>
      <c r="H1979" t="s">
        <v>9097</v>
      </c>
      <c r="I1979" t="s">
        <v>9098</v>
      </c>
    </row>
    <row r="1980" spans="1:9">
      <c r="A1980" t="s">
        <v>5086</v>
      </c>
      <c r="B1980">
        <v>332</v>
      </c>
      <c r="C1980" t="s">
        <v>5087</v>
      </c>
    </row>
    <row r="1981" spans="1:9">
      <c r="A1981" t="s">
        <v>5088</v>
      </c>
      <c r="B1981">
        <v>68</v>
      </c>
      <c r="C1981" t="s">
        <v>5089</v>
      </c>
    </row>
    <row r="1982" spans="1:9">
      <c r="A1982" t="s">
        <v>5090</v>
      </c>
      <c r="B1982">
        <v>398</v>
      </c>
      <c r="C1982" t="s">
        <v>5091</v>
      </c>
    </row>
    <row r="1983" spans="1:9">
      <c r="A1983" t="s">
        <v>5093</v>
      </c>
      <c r="B1983">
        <v>96</v>
      </c>
      <c r="C1983" t="s">
        <v>5094</v>
      </c>
    </row>
    <row r="1984" spans="1:9">
      <c r="A1984" t="s">
        <v>5097</v>
      </c>
      <c r="B1984">
        <v>157</v>
      </c>
      <c r="C1984" t="s">
        <v>5098</v>
      </c>
    </row>
    <row r="1985" spans="1:9">
      <c r="A1985" t="s">
        <v>5099</v>
      </c>
      <c r="B1985">
        <v>232</v>
      </c>
      <c r="C1985" t="s">
        <v>5100</v>
      </c>
    </row>
    <row r="1986" spans="1:9">
      <c r="A1986" t="s">
        <v>5103</v>
      </c>
      <c r="B1986">
        <v>245</v>
      </c>
      <c r="C1986" t="s">
        <v>5104</v>
      </c>
    </row>
    <row r="1987" spans="1:9">
      <c r="A1987" t="s">
        <v>5107</v>
      </c>
      <c r="B1987">
        <v>449</v>
      </c>
      <c r="C1987" t="s">
        <v>5108</v>
      </c>
    </row>
    <row r="1988" spans="1:9">
      <c r="A1988" t="s">
        <v>5111</v>
      </c>
      <c r="B1988">
        <v>223</v>
      </c>
      <c r="C1988" t="s">
        <v>5112</v>
      </c>
    </row>
    <row r="1989" spans="1:9">
      <c r="A1989" t="s">
        <v>5115</v>
      </c>
      <c r="B1989">
        <v>487</v>
      </c>
      <c r="C1989" t="s">
        <v>5116</v>
      </c>
      <c r="D1989" s="1" t="s">
        <v>7666</v>
      </c>
      <c r="F1989" s="1" t="s">
        <v>9103</v>
      </c>
      <c r="G1989" s="1" t="s">
        <v>9104</v>
      </c>
      <c r="H1989" t="s">
        <v>9105</v>
      </c>
      <c r="I1989" t="s">
        <v>9106</v>
      </c>
    </row>
    <row r="1990" spans="1:9">
      <c r="A1990" t="s">
        <v>5119</v>
      </c>
      <c r="B1990">
        <v>369</v>
      </c>
      <c r="C1990" t="s">
        <v>5120</v>
      </c>
      <c r="D1990" s="1" t="s">
        <v>7667</v>
      </c>
      <c r="F1990" s="1" t="s">
        <v>9107</v>
      </c>
      <c r="G1990" s="1" t="s">
        <v>9108</v>
      </c>
      <c r="H1990" t="s">
        <v>9109</v>
      </c>
      <c r="I1990" t="s">
        <v>9110</v>
      </c>
    </row>
    <row r="1991" spans="1:9">
      <c r="A1991" t="s">
        <v>5119</v>
      </c>
      <c r="B1991">
        <v>369</v>
      </c>
      <c r="C1991" t="s">
        <v>5120</v>
      </c>
      <c r="D1991" s="1" t="s">
        <v>7667</v>
      </c>
      <c r="F1991" s="1" t="s">
        <v>9107</v>
      </c>
      <c r="G1991" s="1" t="s">
        <v>9108</v>
      </c>
      <c r="H1991" t="s">
        <v>9111</v>
      </c>
      <c r="I1991" t="s">
        <v>9112</v>
      </c>
    </row>
    <row r="1992" spans="1:9">
      <c r="A1992" t="s">
        <v>5119</v>
      </c>
      <c r="B1992">
        <v>369</v>
      </c>
      <c r="C1992" t="s">
        <v>5120</v>
      </c>
      <c r="D1992" s="1" t="s">
        <v>7667</v>
      </c>
      <c r="F1992" s="1" t="s">
        <v>9107</v>
      </c>
      <c r="G1992" s="1" t="s">
        <v>9108</v>
      </c>
      <c r="H1992" t="s">
        <v>9113</v>
      </c>
      <c r="I1992" t="s">
        <v>9114</v>
      </c>
    </row>
    <row r="1993" spans="1:9">
      <c r="A1993" t="s">
        <v>5119</v>
      </c>
      <c r="B1993">
        <v>369</v>
      </c>
      <c r="C1993" t="s">
        <v>5120</v>
      </c>
      <c r="D1993" s="1" t="s">
        <v>7667</v>
      </c>
      <c r="F1993" s="1" t="s">
        <v>9107</v>
      </c>
      <c r="G1993" s="1" t="s">
        <v>9108</v>
      </c>
      <c r="H1993" t="s">
        <v>9115</v>
      </c>
      <c r="I1993" t="s">
        <v>9116</v>
      </c>
    </row>
    <row r="1994" spans="1:9">
      <c r="A1994" t="s">
        <v>5119</v>
      </c>
      <c r="B1994">
        <v>369</v>
      </c>
      <c r="C1994" t="s">
        <v>5120</v>
      </c>
      <c r="D1994" s="1" t="s">
        <v>7667</v>
      </c>
      <c r="F1994" s="1" t="s">
        <v>9107</v>
      </c>
      <c r="G1994" s="1" t="s">
        <v>9108</v>
      </c>
      <c r="H1994" t="s">
        <v>9117</v>
      </c>
      <c r="I1994" t="s">
        <v>9118</v>
      </c>
    </row>
    <row r="1995" spans="1:9">
      <c r="A1995" t="s">
        <v>5122</v>
      </c>
      <c r="B1995">
        <v>466</v>
      </c>
      <c r="C1995" t="s">
        <v>5123</v>
      </c>
    </row>
    <row r="1996" spans="1:9">
      <c r="A1996" t="s">
        <v>5126</v>
      </c>
      <c r="B1996">
        <v>465</v>
      </c>
      <c r="C1996" t="s">
        <v>5127</v>
      </c>
      <c r="D1996" s="1" t="s">
        <v>7668</v>
      </c>
      <c r="F1996" s="1" t="s">
        <v>9099</v>
      </c>
      <c r="G1996" s="1" t="s">
        <v>9100</v>
      </c>
      <c r="H1996" t="s">
        <v>9101</v>
      </c>
      <c r="I1996" t="s">
        <v>9102</v>
      </c>
    </row>
    <row r="1997" spans="1:9">
      <c r="A1997" t="s">
        <v>5130</v>
      </c>
      <c r="B1997">
        <v>370</v>
      </c>
      <c r="C1997" t="s">
        <v>5131</v>
      </c>
      <c r="D1997" s="1" t="s">
        <v>7669</v>
      </c>
      <c r="F1997" s="1" t="s">
        <v>9119</v>
      </c>
      <c r="G1997" s="1" t="s">
        <v>9120</v>
      </c>
      <c r="H1997" t="s">
        <v>9121</v>
      </c>
      <c r="I1997" t="s">
        <v>9122</v>
      </c>
    </row>
    <row r="1998" spans="1:9">
      <c r="A1998" t="s">
        <v>5130</v>
      </c>
      <c r="B1998">
        <v>370</v>
      </c>
      <c r="C1998" t="s">
        <v>5131</v>
      </c>
      <c r="D1998" s="1" t="s">
        <v>7669</v>
      </c>
      <c r="F1998" s="1" t="s">
        <v>9119</v>
      </c>
      <c r="G1998" s="1" t="s">
        <v>9120</v>
      </c>
      <c r="H1998" t="s">
        <v>9123</v>
      </c>
      <c r="I1998" t="s">
        <v>9124</v>
      </c>
    </row>
    <row r="1999" spans="1:9">
      <c r="A1999" t="s">
        <v>5134</v>
      </c>
      <c r="B1999">
        <v>509</v>
      </c>
      <c r="C1999" t="s">
        <v>5135</v>
      </c>
      <c r="D1999" s="1" t="s">
        <v>7670</v>
      </c>
      <c r="F1999" s="1" t="s">
        <v>9125</v>
      </c>
      <c r="G1999" s="1" t="s">
        <v>9126</v>
      </c>
      <c r="H1999" t="s">
        <v>9127</v>
      </c>
      <c r="I1999" t="s">
        <v>9128</v>
      </c>
    </row>
    <row r="2000" spans="1:9">
      <c r="A2000" t="s">
        <v>5134</v>
      </c>
      <c r="B2000">
        <v>509</v>
      </c>
      <c r="C2000" t="s">
        <v>5135</v>
      </c>
      <c r="D2000" s="1" t="s">
        <v>7670</v>
      </c>
      <c r="F2000" s="1" t="s">
        <v>9125</v>
      </c>
      <c r="G2000" s="1" t="s">
        <v>9126</v>
      </c>
      <c r="H2000" t="s">
        <v>9129</v>
      </c>
      <c r="I2000" t="s">
        <v>9130</v>
      </c>
    </row>
    <row r="2001" spans="1:9">
      <c r="A2001" t="s">
        <v>5138</v>
      </c>
      <c r="B2001">
        <v>511</v>
      </c>
      <c r="C2001" t="s">
        <v>5139</v>
      </c>
      <c r="D2001" s="1" t="s">
        <v>7671</v>
      </c>
      <c r="F2001" s="1" t="s">
        <v>9131</v>
      </c>
      <c r="G2001" s="1" t="s">
        <v>9132</v>
      </c>
      <c r="H2001" t="s">
        <v>9133</v>
      </c>
      <c r="I2001" t="s">
        <v>9134</v>
      </c>
    </row>
    <row r="2002" spans="1:9">
      <c r="A2002" t="s">
        <v>5142</v>
      </c>
      <c r="B2002">
        <v>621</v>
      </c>
      <c r="C2002" t="s">
        <v>5143</v>
      </c>
      <c r="D2002" s="1" t="s">
        <v>7672</v>
      </c>
      <c r="E2002" t="s">
        <v>9135</v>
      </c>
      <c r="F2002" s="1" t="s">
        <v>9136</v>
      </c>
      <c r="G2002" s="1" t="s">
        <v>9137</v>
      </c>
      <c r="H2002" t="s">
        <v>9138</v>
      </c>
      <c r="I2002" t="s">
        <v>9139</v>
      </c>
    </row>
    <row r="2003" spans="1:9">
      <c r="A2003" t="s">
        <v>5142</v>
      </c>
      <c r="B2003">
        <v>621</v>
      </c>
      <c r="C2003" t="s">
        <v>5143</v>
      </c>
      <c r="D2003" s="1" t="s">
        <v>7672</v>
      </c>
      <c r="E2003" t="s">
        <v>9135</v>
      </c>
      <c r="F2003" s="1" t="s">
        <v>9136</v>
      </c>
      <c r="G2003" s="1" t="s">
        <v>9137</v>
      </c>
      <c r="H2003" t="s">
        <v>9140</v>
      </c>
      <c r="I2003" t="s">
        <v>9141</v>
      </c>
    </row>
    <row r="2004" spans="1:9">
      <c r="A2004" t="s">
        <v>5142</v>
      </c>
      <c r="B2004">
        <v>621</v>
      </c>
      <c r="C2004" t="s">
        <v>5143</v>
      </c>
      <c r="D2004" s="1" t="s">
        <v>7672</v>
      </c>
      <c r="E2004" t="s">
        <v>9135</v>
      </c>
      <c r="F2004" s="1" t="s">
        <v>9136</v>
      </c>
      <c r="G2004" s="1" t="s">
        <v>9137</v>
      </c>
      <c r="H2004" t="s">
        <v>9142</v>
      </c>
      <c r="I2004" t="s">
        <v>9143</v>
      </c>
    </row>
    <row r="2005" spans="1:9">
      <c r="A2005" t="s">
        <v>5142</v>
      </c>
      <c r="B2005">
        <v>621</v>
      </c>
      <c r="C2005" t="s">
        <v>5143</v>
      </c>
      <c r="D2005" s="1" t="s">
        <v>7672</v>
      </c>
      <c r="E2005" t="s">
        <v>9135</v>
      </c>
      <c r="F2005" s="1" t="s">
        <v>9136</v>
      </c>
      <c r="G2005" s="1" t="s">
        <v>9137</v>
      </c>
      <c r="H2005" t="s">
        <v>9144</v>
      </c>
      <c r="I2005" t="s">
        <v>9145</v>
      </c>
    </row>
    <row r="2006" spans="1:9">
      <c r="A2006" t="s">
        <v>5145</v>
      </c>
      <c r="B2006">
        <v>276</v>
      </c>
      <c r="C2006" t="s">
        <v>5146</v>
      </c>
    </row>
    <row r="2007" spans="1:9">
      <c r="A2007" t="s">
        <v>5149</v>
      </c>
      <c r="B2007">
        <v>346</v>
      </c>
      <c r="C2007" t="s">
        <v>5150</v>
      </c>
      <c r="D2007" s="1" t="s">
        <v>7673</v>
      </c>
      <c r="F2007" s="1" t="s">
        <v>9146</v>
      </c>
    </row>
    <row r="2008" spans="1:9">
      <c r="A2008" t="s">
        <v>5152</v>
      </c>
      <c r="B2008">
        <v>151</v>
      </c>
      <c r="C2008" t="s">
        <v>5153</v>
      </c>
    </row>
    <row r="2009" spans="1:9">
      <c r="A2009" t="s">
        <v>5154</v>
      </c>
      <c r="B2009">
        <v>133</v>
      </c>
      <c r="C2009" t="s">
        <v>5155</v>
      </c>
    </row>
    <row r="2010" spans="1:9">
      <c r="A2010" t="s">
        <v>5156</v>
      </c>
      <c r="B2010">
        <v>147</v>
      </c>
      <c r="C2010" t="s">
        <v>5157</v>
      </c>
    </row>
    <row r="2011" spans="1:9">
      <c r="A2011" t="s">
        <v>5158</v>
      </c>
      <c r="B2011">
        <v>170</v>
      </c>
      <c r="C2011" t="s">
        <v>5159</v>
      </c>
    </row>
    <row r="2012" spans="1:9">
      <c r="A2012" t="s">
        <v>5161</v>
      </c>
      <c r="B2012">
        <v>359</v>
      </c>
      <c r="C2012" t="s">
        <v>5162</v>
      </c>
      <c r="D2012" s="1" t="s">
        <v>7674</v>
      </c>
      <c r="F2012" s="1" t="s">
        <v>9147</v>
      </c>
      <c r="G2012" s="1" t="s">
        <v>9148</v>
      </c>
      <c r="H2012" t="s">
        <v>9149</v>
      </c>
      <c r="I2012" t="s">
        <v>9150</v>
      </c>
    </row>
    <row r="2013" spans="1:9">
      <c r="A2013" t="s">
        <v>5163</v>
      </c>
      <c r="B2013">
        <v>507</v>
      </c>
      <c r="C2013" t="s">
        <v>5164</v>
      </c>
    </row>
    <row r="2014" spans="1:9">
      <c r="A2014" t="s">
        <v>5166</v>
      </c>
      <c r="B2014">
        <v>134</v>
      </c>
      <c r="C2014" t="s">
        <v>5167</v>
      </c>
    </row>
    <row r="2015" spans="1:9">
      <c r="A2015" t="s">
        <v>5170</v>
      </c>
      <c r="B2015">
        <v>451</v>
      </c>
      <c r="C2015" t="s">
        <v>5171</v>
      </c>
      <c r="D2015" s="1" t="s">
        <v>7291</v>
      </c>
      <c r="F2015" s="1" t="s">
        <v>7853</v>
      </c>
      <c r="G2015" s="1" t="s">
        <v>7857</v>
      </c>
      <c r="H2015" t="s">
        <v>7855</v>
      </c>
      <c r="I2015" t="s">
        <v>7856</v>
      </c>
    </row>
    <row r="2016" spans="1:9">
      <c r="A2016" t="s">
        <v>5170</v>
      </c>
      <c r="B2016">
        <v>451</v>
      </c>
      <c r="C2016" t="s">
        <v>5171</v>
      </c>
      <c r="D2016" s="1" t="s">
        <v>7291</v>
      </c>
      <c r="F2016" s="1" t="s">
        <v>7853</v>
      </c>
      <c r="G2016" s="1" t="s">
        <v>7857</v>
      </c>
      <c r="H2016" t="s">
        <v>10161</v>
      </c>
      <c r="I2016" t="s">
        <v>10160</v>
      </c>
    </row>
    <row r="2017" spans="1:9">
      <c r="A2017" t="s">
        <v>5174</v>
      </c>
      <c r="B2017">
        <v>462</v>
      </c>
      <c r="C2017" t="s">
        <v>5175</v>
      </c>
      <c r="D2017" s="1" t="s">
        <v>7675</v>
      </c>
      <c r="F2017" s="1" t="s">
        <v>9151</v>
      </c>
      <c r="G2017" s="1" t="s">
        <v>9152</v>
      </c>
      <c r="H2017" t="s">
        <v>9153</v>
      </c>
      <c r="I2017" t="s">
        <v>9154</v>
      </c>
    </row>
    <row r="2018" spans="1:9">
      <c r="A2018" t="s">
        <v>5177</v>
      </c>
      <c r="B2018">
        <v>169</v>
      </c>
      <c r="C2018" t="s">
        <v>5178</v>
      </c>
      <c r="D2018" s="1" t="s">
        <v>7676</v>
      </c>
    </row>
    <row r="2019" spans="1:9">
      <c r="A2019" t="s">
        <v>5179</v>
      </c>
      <c r="B2019">
        <v>395</v>
      </c>
      <c r="C2019" t="s">
        <v>5180</v>
      </c>
      <c r="D2019" s="1" t="s">
        <v>7367</v>
      </c>
    </row>
    <row r="2020" spans="1:9">
      <c r="A2020" t="s">
        <v>5181</v>
      </c>
      <c r="B2020">
        <v>364</v>
      </c>
      <c r="C2020" t="s">
        <v>5182</v>
      </c>
    </row>
    <row r="2021" spans="1:9">
      <c r="A2021" t="s">
        <v>5184</v>
      </c>
      <c r="B2021">
        <v>246</v>
      </c>
      <c r="C2021" t="s">
        <v>5185</v>
      </c>
    </row>
    <row r="2022" spans="1:9">
      <c r="A2022" t="s">
        <v>5188</v>
      </c>
      <c r="B2022">
        <v>310</v>
      </c>
      <c r="C2022" t="s">
        <v>5189</v>
      </c>
      <c r="D2022" s="1" t="s">
        <v>7677</v>
      </c>
      <c r="F2022" s="1" t="s">
        <v>8899</v>
      </c>
      <c r="G2022" s="1" t="s">
        <v>8900</v>
      </c>
      <c r="H2022" t="s">
        <v>8901</v>
      </c>
      <c r="I2022" t="s">
        <v>8905</v>
      </c>
    </row>
    <row r="2023" spans="1:9">
      <c r="A2023" t="s">
        <v>5188</v>
      </c>
      <c r="B2023">
        <v>310</v>
      </c>
      <c r="C2023" t="s">
        <v>5189</v>
      </c>
      <c r="D2023" s="1" t="s">
        <v>7677</v>
      </c>
      <c r="F2023" s="1" t="s">
        <v>8899</v>
      </c>
      <c r="G2023" s="1" t="s">
        <v>8900</v>
      </c>
      <c r="H2023" t="s">
        <v>8902</v>
      </c>
      <c r="I2023" t="s">
        <v>8904</v>
      </c>
    </row>
    <row r="2024" spans="1:9">
      <c r="A2024" t="s">
        <v>5188</v>
      </c>
      <c r="B2024">
        <v>310</v>
      </c>
      <c r="C2024" t="s">
        <v>5189</v>
      </c>
      <c r="D2024" s="1" t="s">
        <v>7677</v>
      </c>
      <c r="F2024" s="1" t="s">
        <v>8899</v>
      </c>
      <c r="G2024" s="1" t="s">
        <v>8900</v>
      </c>
      <c r="H2024" t="s">
        <v>8903</v>
      </c>
      <c r="I2024" t="s">
        <v>8906</v>
      </c>
    </row>
    <row r="2025" spans="1:9">
      <c r="A2025" t="s">
        <v>5192</v>
      </c>
      <c r="B2025">
        <v>367</v>
      </c>
      <c r="C2025" t="s">
        <v>5193</v>
      </c>
      <c r="D2025" s="1" t="s">
        <v>7609</v>
      </c>
      <c r="F2025" s="1" t="s">
        <v>8811</v>
      </c>
      <c r="G2025" s="1" t="s">
        <v>8812</v>
      </c>
      <c r="H2025" s="4" t="s">
        <v>8813</v>
      </c>
      <c r="I2025" s="4" t="s">
        <v>8814</v>
      </c>
    </row>
    <row r="2026" spans="1:9">
      <c r="A2026" t="s">
        <v>5192</v>
      </c>
      <c r="B2026">
        <v>367</v>
      </c>
      <c r="C2026" t="s">
        <v>5193</v>
      </c>
      <c r="D2026" s="1" t="s">
        <v>7609</v>
      </c>
      <c r="F2026" s="1" t="s">
        <v>8811</v>
      </c>
      <c r="G2026" s="1" t="s">
        <v>8812</v>
      </c>
      <c r="H2026" s="4" t="s">
        <v>8815</v>
      </c>
      <c r="I2026" s="4" t="s">
        <v>8816</v>
      </c>
    </row>
    <row r="2027" spans="1:9">
      <c r="A2027" t="s">
        <v>5194</v>
      </c>
      <c r="B2027">
        <v>347</v>
      </c>
      <c r="C2027" t="s">
        <v>5195</v>
      </c>
      <c r="D2027" s="1" t="s">
        <v>7399</v>
      </c>
    </row>
    <row r="2028" spans="1:9">
      <c r="A2028" t="s">
        <v>5196</v>
      </c>
      <c r="B2028">
        <v>209</v>
      </c>
      <c r="C2028" t="s">
        <v>5197</v>
      </c>
      <c r="D2028" s="1" t="s">
        <v>7399</v>
      </c>
    </row>
    <row r="2029" spans="1:9">
      <c r="A2029" t="s">
        <v>5200</v>
      </c>
      <c r="B2029">
        <v>540</v>
      </c>
      <c r="C2029" t="s">
        <v>5201</v>
      </c>
    </row>
    <row r="2030" spans="1:9">
      <c r="A2030" t="s">
        <v>5204</v>
      </c>
      <c r="B2030">
        <v>425</v>
      </c>
      <c r="C2030" t="s">
        <v>5205</v>
      </c>
      <c r="D2030" s="1" t="s">
        <v>7678</v>
      </c>
      <c r="F2030" s="1" t="s">
        <v>8817</v>
      </c>
      <c r="G2030" s="1" t="s">
        <v>8818</v>
      </c>
      <c r="H2030" t="s">
        <v>8819</v>
      </c>
      <c r="I2030" t="s">
        <v>8820</v>
      </c>
    </row>
    <row r="2031" spans="1:9">
      <c r="A2031" t="s">
        <v>5204</v>
      </c>
      <c r="B2031">
        <v>425</v>
      </c>
      <c r="C2031" t="s">
        <v>5205</v>
      </c>
      <c r="D2031" s="1" t="s">
        <v>7678</v>
      </c>
      <c r="F2031" s="1" t="s">
        <v>8817</v>
      </c>
      <c r="G2031" s="1" t="s">
        <v>8818</v>
      </c>
      <c r="H2031" t="s">
        <v>8821</v>
      </c>
      <c r="I2031" t="s">
        <v>8822</v>
      </c>
    </row>
    <row r="2032" spans="1:9">
      <c r="A2032" t="s">
        <v>5208</v>
      </c>
      <c r="B2032">
        <v>294</v>
      </c>
      <c r="C2032" t="s">
        <v>5209</v>
      </c>
    </row>
    <row r="2033" spans="1:9">
      <c r="A2033" t="s">
        <v>5212</v>
      </c>
      <c r="B2033">
        <v>215</v>
      </c>
      <c r="C2033" t="s">
        <v>5213</v>
      </c>
      <c r="D2033" s="1" t="s">
        <v>7679</v>
      </c>
      <c r="F2033" s="1" t="s">
        <v>9155</v>
      </c>
      <c r="G2033" s="1" t="s">
        <v>9156</v>
      </c>
      <c r="H2033" t="s">
        <v>9157</v>
      </c>
      <c r="I2033" t="s">
        <v>9158</v>
      </c>
    </row>
    <row r="2034" spans="1:9">
      <c r="A2034" t="s">
        <v>5212</v>
      </c>
      <c r="B2034">
        <v>215</v>
      </c>
      <c r="C2034" t="s">
        <v>5213</v>
      </c>
      <c r="D2034" s="1" t="s">
        <v>7679</v>
      </c>
      <c r="F2034" s="1" t="s">
        <v>9155</v>
      </c>
      <c r="G2034" s="1" t="s">
        <v>9156</v>
      </c>
      <c r="H2034" t="s">
        <v>9159</v>
      </c>
      <c r="I2034" t="s">
        <v>9160</v>
      </c>
    </row>
    <row r="2035" spans="1:9">
      <c r="A2035" t="s">
        <v>5216</v>
      </c>
      <c r="B2035">
        <v>143</v>
      </c>
      <c r="C2035" t="s">
        <v>5217</v>
      </c>
      <c r="D2035" s="1" t="s">
        <v>7679</v>
      </c>
      <c r="F2035" s="1" t="s">
        <v>9155</v>
      </c>
      <c r="G2035" s="1" t="s">
        <v>9156</v>
      </c>
      <c r="H2035" s="4" t="s">
        <v>9157</v>
      </c>
      <c r="I2035" s="4" t="s">
        <v>9158</v>
      </c>
    </row>
    <row r="2036" spans="1:9">
      <c r="A2036" t="s">
        <v>5216</v>
      </c>
      <c r="B2036">
        <v>143</v>
      </c>
      <c r="C2036" t="s">
        <v>5217</v>
      </c>
      <c r="D2036" s="1" t="s">
        <v>7679</v>
      </c>
      <c r="F2036" s="1" t="s">
        <v>9155</v>
      </c>
      <c r="G2036" s="1" t="s">
        <v>9156</v>
      </c>
      <c r="H2036" s="4" t="s">
        <v>9159</v>
      </c>
      <c r="I2036" s="4" t="s">
        <v>9160</v>
      </c>
    </row>
    <row r="2037" spans="1:9">
      <c r="A2037" t="s">
        <v>5220</v>
      </c>
      <c r="B2037">
        <v>357</v>
      </c>
      <c r="C2037" t="s">
        <v>5221</v>
      </c>
      <c r="D2037" s="1" t="s">
        <v>7679</v>
      </c>
      <c r="F2037" s="1" t="s">
        <v>9155</v>
      </c>
      <c r="G2037" s="1" t="s">
        <v>9156</v>
      </c>
      <c r="H2037" s="4" t="s">
        <v>9157</v>
      </c>
      <c r="I2037" s="4" t="s">
        <v>9158</v>
      </c>
    </row>
    <row r="2038" spans="1:9">
      <c r="A2038" t="s">
        <v>5220</v>
      </c>
      <c r="B2038">
        <v>357</v>
      </c>
      <c r="C2038" t="s">
        <v>5221</v>
      </c>
      <c r="D2038" s="1" t="s">
        <v>7679</v>
      </c>
      <c r="F2038" s="1" t="s">
        <v>9155</v>
      </c>
      <c r="G2038" s="1" t="s">
        <v>9156</v>
      </c>
      <c r="H2038" s="4" t="s">
        <v>9159</v>
      </c>
      <c r="I2038" s="4" t="s">
        <v>9160</v>
      </c>
    </row>
    <row r="2039" spans="1:9">
      <c r="A2039" t="s">
        <v>5224</v>
      </c>
      <c r="B2039">
        <v>640</v>
      </c>
      <c r="C2039" t="s">
        <v>5225</v>
      </c>
      <c r="D2039" s="1" t="s">
        <v>7680</v>
      </c>
      <c r="F2039" s="1" t="s">
        <v>9162</v>
      </c>
      <c r="G2039" s="1" t="s">
        <v>9163</v>
      </c>
      <c r="H2039" s="4" t="s">
        <v>8728</v>
      </c>
      <c r="I2039" s="4" t="s">
        <v>8729</v>
      </c>
    </row>
    <row r="2040" spans="1:9">
      <c r="A2040" t="s">
        <v>5224</v>
      </c>
      <c r="B2040">
        <v>640</v>
      </c>
      <c r="C2040" t="s">
        <v>5225</v>
      </c>
      <c r="D2040" s="1" t="s">
        <v>7680</v>
      </c>
      <c r="F2040" s="1" t="s">
        <v>9162</v>
      </c>
      <c r="G2040" s="1" t="s">
        <v>9163</v>
      </c>
      <c r="H2040" s="4" t="s">
        <v>9164</v>
      </c>
      <c r="I2040" s="4" t="s">
        <v>9165</v>
      </c>
    </row>
    <row r="2041" spans="1:9">
      <c r="A2041" t="s">
        <v>5224</v>
      </c>
      <c r="B2041">
        <v>640</v>
      </c>
      <c r="C2041" t="s">
        <v>5225</v>
      </c>
      <c r="D2041" s="1" t="s">
        <v>7680</v>
      </c>
      <c r="F2041" s="1" t="s">
        <v>9162</v>
      </c>
      <c r="G2041" s="1" t="s">
        <v>9163</v>
      </c>
      <c r="H2041" s="4" t="s">
        <v>9166</v>
      </c>
      <c r="I2041" s="4" t="s">
        <v>9167</v>
      </c>
    </row>
    <row r="2042" spans="1:9">
      <c r="A2042" t="s">
        <v>5228</v>
      </c>
      <c r="B2042">
        <v>114</v>
      </c>
      <c r="C2042" t="s">
        <v>5229</v>
      </c>
    </row>
    <row r="2043" spans="1:9">
      <c r="A2043" t="s">
        <v>5230</v>
      </c>
      <c r="B2043">
        <v>269</v>
      </c>
      <c r="C2043" t="s">
        <v>5231</v>
      </c>
    </row>
    <row r="2044" spans="1:9">
      <c r="A2044" t="s">
        <v>5234</v>
      </c>
      <c r="B2044">
        <v>258</v>
      </c>
      <c r="C2044" t="s">
        <v>5235</v>
      </c>
      <c r="D2044" s="1" t="s">
        <v>7681</v>
      </c>
      <c r="F2044" s="1" t="s">
        <v>9168</v>
      </c>
      <c r="G2044" s="1" t="s">
        <v>9169</v>
      </c>
      <c r="H2044" s="4" t="s">
        <v>9170</v>
      </c>
      <c r="I2044" s="4" t="s">
        <v>9171</v>
      </c>
    </row>
    <row r="2045" spans="1:9">
      <c r="A2045" t="s">
        <v>5238</v>
      </c>
      <c r="B2045">
        <v>366</v>
      </c>
      <c r="C2045" t="s">
        <v>5239</v>
      </c>
      <c r="D2045" s="1" t="s">
        <v>7682</v>
      </c>
      <c r="F2045" s="1" t="s">
        <v>9172</v>
      </c>
      <c r="G2045" s="1" t="s">
        <v>9173</v>
      </c>
      <c r="H2045" s="4" t="s">
        <v>9174</v>
      </c>
      <c r="I2045" s="4" t="s">
        <v>9175</v>
      </c>
    </row>
    <row r="2046" spans="1:9">
      <c r="A2046" t="s">
        <v>5238</v>
      </c>
      <c r="B2046">
        <v>366</v>
      </c>
      <c r="C2046" t="s">
        <v>5239</v>
      </c>
      <c r="D2046" s="1" t="s">
        <v>7682</v>
      </c>
      <c r="F2046" s="1" t="s">
        <v>9172</v>
      </c>
      <c r="G2046" s="1" t="s">
        <v>9173</v>
      </c>
      <c r="H2046" s="4" t="s">
        <v>9176</v>
      </c>
      <c r="I2046" s="4" t="s">
        <v>9177</v>
      </c>
    </row>
    <row r="2047" spans="1:9">
      <c r="A2047" t="s">
        <v>5238</v>
      </c>
      <c r="B2047">
        <v>366</v>
      </c>
      <c r="C2047" t="s">
        <v>5239</v>
      </c>
      <c r="D2047" s="1" t="s">
        <v>7682</v>
      </c>
      <c r="F2047" s="1" t="s">
        <v>9172</v>
      </c>
      <c r="G2047" s="1" t="s">
        <v>9173</v>
      </c>
      <c r="H2047" s="4" t="s">
        <v>9178</v>
      </c>
      <c r="I2047" s="4" t="s">
        <v>9179</v>
      </c>
    </row>
    <row r="2048" spans="1:9">
      <c r="A2048" t="s">
        <v>5238</v>
      </c>
      <c r="B2048">
        <v>366</v>
      </c>
      <c r="C2048" t="s">
        <v>5239</v>
      </c>
      <c r="D2048" s="1" t="s">
        <v>7682</v>
      </c>
      <c r="F2048" s="1" t="s">
        <v>9172</v>
      </c>
      <c r="G2048" s="1" t="s">
        <v>9173</v>
      </c>
      <c r="H2048" s="4" t="s">
        <v>9180</v>
      </c>
      <c r="I2048" s="4" t="s">
        <v>9181</v>
      </c>
    </row>
    <row r="2049" spans="1:9">
      <c r="A2049" t="s">
        <v>5242</v>
      </c>
      <c r="B2049">
        <v>498</v>
      </c>
      <c r="C2049" t="s">
        <v>5243</v>
      </c>
      <c r="D2049" s="1" t="s">
        <v>7683</v>
      </c>
      <c r="F2049" s="1" t="s">
        <v>9182</v>
      </c>
      <c r="G2049" s="1" t="s">
        <v>7986</v>
      </c>
      <c r="H2049" s="4" t="s">
        <v>7987</v>
      </c>
      <c r="I2049" s="4" t="s">
        <v>7988</v>
      </c>
    </row>
    <row r="2050" spans="1:9">
      <c r="A2050" t="s">
        <v>5242</v>
      </c>
      <c r="B2050">
        <v>498</v>
      </c>
      <c r="C2050" t="s">
        <v>5243</v>
      </c>
      <c r="D2050" s="1" t="s">
        <v>7683</v>
      </c>
      <c r="F2050" s="1" t="s">
        <v>9182</v>
      </c>
      <c r="G2050" s="1" t="s">
        <v>7986</v>
      </c>
      <c r="H2050" s="4" t="s">
        <v>9183</v>
      </c>
      <c r="I2050" s="4" t="s">
        <v>9184</v>
      </c>
    </row>
    <row r="2051" spans="1:9">
      <c r="A2051" t="s">
        <v>5245</v>
      </c>
      <c r="B2051">
        <v>178</v>
      </c>
      <c r="C2051" t="s">
        <v>5246</v>
      </c>
    </row>
    <row r="2052" spans="1:9">
      <c r="A2052" t="s">
        <v>5247</v>
      </c>
      <c r="B2052">
        <v>103</v>
      </c>
      <c r="C2052" t="s">
        <v>5248</v>
      </c>
    </row>
    <row r="2053" spans="1:9">
      <c r="A2053" t="s">
        <v>5251</v>
      </c>
      <c r="B2053">
        <v>701</v>
      </c>
      <c r="C2053" t="s">
        <v>5252</v>
      </c>
      <c r="D2053" s="1" t="s">
        <v>7684</v>
      </c>
      <c r="F2053" s="1" t="s">
        <v>9185</v>
      </c>
      <c r="G2053" s="1" t="s">
        <v>9186</v>
      </c>
      <c r="H2053" s="4" t="s">
        <v>9187</v>
      </c>
      <c r="I2053" s="4" t="s">
        <v>9188</v>
      </c>
    </row>
    <row r="2054" spans="1:9">
      <c r="A2054" t="s">
        <v>5255</v>
      </c>
      <c r="B2054">
        <v>947</v>
      </c>
      <c r="C2054" t="s">
        <v>5256</v>
      </c>
      <c r="D2054" s="1" t="s">
        <v>7685</v>
      </c>
      <c r="F2054" s="1" t="s">
        <v>9189</v>
      </c>
      <c r="G2054" s="1" t="s">
        <v>9190</v>
      </c>
      <c r="H2054" s="4" t="s">
        <v>9191</v>
      </c>
      <c r="I2054" s="4" t="s">
        <v>9192</v>
      </c>
    </row>
    <row r="2055" spans="1:9">
      <c r="A2055" t="s">
        <v>5259</v>
      </c>
      <c r="B2055">
        <v>370</v>
      </c>
      <c r="C2055" t="s">
        <v>5260</v>
      </c>
      <c r="D2055" s="1" t="s">
        <v>7686</v>
      </c>
      <c r="F2055" s="1" t="s">
        <v>9193</v>
      </c>
      <c r="G2055" s="1" t="s">
        <v>9194</v>
      </c>
      <c r="H2055" s="4" t="s">
        <v>9195</v>
      </c>
      <c r="I2055" s="4" t="s">
        <v>9196</v>
      </c>
    </row>
    <row r="2056" spans="1:9">
      <c r="A2056" t="s">
        <v>5259</v>
      </c>
      <c r="B2056">
        <v>370</v>
      </c>
      <c r="C2056" t="s">
        <v>5260</v>
      </c>
      <c r="D2056" s="1" t="s">
        <v>7686</v>
      </c>
      <c r="F2056" s="1" t="s">
        <v>9193</v>
      </c>
      <c r="G2056" s="1" t="s">
        <v>9194</v>
      </c>
      <c r="H2056" s="4" t="s">
        <v>9197</v>
      </c>
      <c r="I2056" s="4" t="s">
        <v>9198</v>
      </c>
    </row>
    <row r="2057" spans="1:9">
      <c r="A2057" t="s">
        <v>5263</v>
      </c>
      <c r="B2057">
        <v>130</v>
      </c>
      <c r="C2057" t="s">
        <v>5264</v>
      </c>
    </row>
    <row r="2058" spans="1:9">
      <c r="A2058" t="s">
        <v>5267</v>
      </c>
      <c r="B2058">
        <v>267</v>
      </c>
      <c r="C2058" t="s">
        <v>5268</v>
      </c>
      <c r="D2058" s="1" t="s">
        <v>7687</v>
      </c>
      <c r="F2058" s="1" t="s">
        <v>9199</v>
      </c>
      <c r="G2058" s="1" t="s">
        <v>9200</v>
      </c>
      <c r="H2058" s="4" t="s">
        <v>9201</v>
      </c>
      <c r="I2058" s="4" t="s">
        <v>9202</v>
      </c>
    </row>
    <row r="2059" spans="1:9">
      <c r="A2059" t="s">
        <v>5267</v>
      </c>
      <c r="B2059">
        <v>267</v>
      </c>
      <c r="C2059" t="s">
        <v>5268</v>
      </c>
      <c r="D2059" s="1" t="s">
        <v>7687</v>
      </c>
      <c r="F2059" s="1" t="s">
        <v>9199</v>
      </c>
      <c r="G2059" s="1" t="s">
        <v>9200</v>
      </c>
      <c r="H2059" s="4" t="s">
        <v>9203</v>
      </c>
      <c r="I2059" s="4" t="s">
        <v>9204</v>
      </c>
    </row>
    <row r="2060" spans="1:9">
      <c r="A2060" t="s">
        <v>5267</v>
      </c>
      <c r="B2060">
        <v>267</v>
      </c>
      <c r="C2060" t="s">
        <v>5268</v>
      </c>
      <c r="D2060" s="1" t="s">
        <v>7687</v>
      </c>
      <c r="F2060" s="1" t="s">
        <v>9199</v>
      </c>
      <c r="G2060" s="1" t="s">
        <v>9200</v>
      </c>
      <c r="H2060" s="4" t="s">
        <v>9205</v>
      </c>
      <c r="I2060" s="4" t="s">
        <v>9206</v>
      </c>
    </row>
    <row r="2061" spans="1:9">
      <c r="A2061" t="s">
        <v>5267</v>
      </c>
      <c r="B2061">
        <v>267</v>
      </c>
      <c r="C2061" t="s">
        <v>5268</v>
      </c>
      <c r="D2061" s="1" t="s">
        <v>7687</v>
      </c>
      <c r="F2061" s="1" t="s">
        <v>9199</v>
      </c>
      <c r="G2061" s="1" t="s">
        <v>9200</v>
      </c>
      <c r="H2061" s="4" t="s">
        <v>9207</v>
      </c>
      <c r="I2061" s="4" t="s">
        <v>9208</v>
      </c>
    </row>
    <row r="2062" spans="1:9">
      <c r="A2062" t="s">
        <v>5271</v>
      </c>
      <c r="B2062">
        <v>354</v>
      </c>
      <c r="C2062" t="s">
        <v>5272</v>
      </c>
      <c r="D2062" s="1" t="s">
        <v>7688</v>
      </c>
      <c r="F2062" s="1" t="s">
        <v>9209</v>
      </c>
      <c r="G2062" s="1" t="s">
        <v>9210</v>
      </c>
      <c r="H2062" s="4" t="s">
        <v>9211</v>
      </c>
      <c r="I2062" s="4" t="s">
        <v>9212</v>
      </c>
    </row>
    <row r="2063" spans="1:9">
      <c r="A2063" t="s">
        <v>5271</v>
      </c>
      <c r="B2063">
        <v>354</v>
      </c>
      <c r="C2063" t="s">
        <v>5272</v>
      </c>
      <c r="D2063" s="1" t="s">
        <v>7688</v>
      </c>
      <c r="F2063" s="1" t="s">
        <v>9209</v>
      </c>
      <c r="G2063" s="1" t="s">
        <v>9210</v>
      </c>
      <c r="H2063" s="4" t="s">
        <v>9213</v>
      </c>
      <c r="I2063" s="4" t="s">
        <v>9214</v>
      </c>
    </row>
    <row r="2064" spans="1:9">
      <c r="A2064" t="s">
        <v>5271</v>
      </c>
      <c r="B2064">
        <v>354</v>
      </c>
      <c r="C2064" t="s">
        <v>5272</v>
      </c>
      <c r="D2064" s="1" t="s">
        <v>7688</v>
      </c>
      <c r="F2064" s="1" t="s">
        <v>9209</v>
      </c>
      <c r="G2064" s="1" t="s">
        <v>9210</v>
      </c>
      <c r="H2064" s="4" t="s">
        <v>9215</v>
      </c>
      <c r="I2064" s="4" t="s">
        <v>9216</v>
      </c>
    </row>
    <row r="2065" spans="1:9">
      <c r="A2065" t="s">
        <v>5273</v>
      </c>
      <c r="B2065">
        <v>261</v>
      </c>
      <c r="C2065" t="s">
        <v>5274</v>
      </c>
    </row>
    <row r="2066" spans="1:9">
      <c r="A2066" t="s">
        <v>5275</v>
      </c>
      <c r="B2066">
        <v>157</v>
      </c>
      <c r="C2066" t="s">
        <v>5276</v>
      </c>
    </row>
    <row r="2067" spans="1:9">
      <c r="A2067" t="s">
        <v>5279</v>
      </c>
      <c r="B2067">
        <v>477</v>
      </c>
      <c r="C2067" t="s">
        <v>5280</v>
      </c>
      <c r="D2067" s="1" t="s">
        <v>7689</v>
      </c>
      <c r="F2067" s="1" t="s">
        <v>9217</v>
      </c>
      <c r="G2067" s="1" t="s">
        <v>9218</v>
      </c>
      <c r="H2067" s="4" t="s">
        <v>9219</v>
      </c>
      <c r="I2067" s="4" t="s">
        <v>9220</v>
      </c>
    </row>
    <row r="2068" spans="1:9">
      <c r="A2068" t="s">
        <v>5281</v>
      </c>
      <c r="B2068">
        <v>251</v>
      </c>
      <c r="C2068" t="s">
        <v>5282</v>
      </c>
    </row>
    <row r="2069" spans="1:9">
      <c r="A2069" t="s">
        <v>5284</v>
      </c>
      <c r="B2069">
        <v>295</v>
      </c>
      <c r="C2069" t="s">
        <v>5285</v>
      </c>
    </row>
    <row r="2070" spans="1:9">
      <c r="A2070" t="s">
        <v>5286</v>
      </c>
      <c r="B2070">
        <v>124</v>
      </c>
      <c r="C2070" t="s">
        <v>5287</v>
      </c>
    </row>
    <row r="2071" spans="1:9">
      <c r="A2071" t="s">
        <v>5289</v>
      </c>
      <c r="B2071">
        <v>181</v>
      </c>
      <c r="C2071" t="s">
        <v>5290</v>
      </c>
    </row>
    <row r="2072" spans="1:9">
      <c r="A2072" t="s">
        <v>5291</v>
      </c>
      <c r="B2072">
        <v>264</v>
      </c>
      <c r="C2072" t="s">
        <v>5292</v>
      </c>
    </row>
    <row r="2073" spans="1:9">
      <c r="A2073" t="s">
        <v>5293</v>
      </c>
      <c r="B2073">
        <v>48</v>
      </c>
      <c r="C2073" t="s">
        <v>5294</v>
      </c>
    </row>
    <row r="2074" spans="1:9">
      <c r="A2074" t="s">
        <v>5297</v>
      </c>
      <c r="B2074">
        <v>480</v>
      </c>
      <c r="C2074" t="s">
        <v>5298</v>
      </c>
      <c r="D2074" s="1" t="s">
        <v>7690</v>
      </c>
      <c r="F2074" s="1" t="s">
        <v>9221</v>
      </c>
      <c r="G2074" s="1" t="s">
        <v>9222</v>
      </c>
      <c r="H2074" t="s">
        <v>9223</v>
      </c>
      <c r="I2074" t="s">
        <v>9224</v>
      </c>
    </row>
    <row r="2075" spans="1:9">
      <c r="A2075" t="s">
        <v>5297</v>
      </c>
      <c r="B2075">
        <v>480</v>
      </c>
      <c r="C2075" t="s">
        <v>5298</v>
      </c>
      <c r="D2075" s="1" t="s">
        <v>7690</v>
      </c>
      <c r="F2075" s="1" t="s">
        <v>9221</v>
      </c>
      <c r="G2075" s="1" t="s">
        <v>9222</v>
      </c>
      <c r="H2075" t="s">
        <v>9225</v>
      </c>
      <c r="I2075" t="s">
        <v>9226</v>
      </c>
    </row>
    <row r="2076" spans="1:9">
      <c r="A2076" t="s">
        <v>5301</v>
      </c>
      <c r="B2076">
        <v>420</v>
      </c>
      <c r="C2076" t="s">
        <v>5302</v>
      </c>
    </row>
    <row r="2077" spans="1:9">
      <c r="A2077" t="s">
        <v>5305</v>
      </c>
      <c r="B2077">
        <v>253</v>
      </c>
      <c r="C2077" t="s">
        <v>5306</v>
      </c>
      <c r="D2077" s="1" t="s">
        <v>7691</v>
      </c>
      <c r="F2077" s="1" t="s">
        <v>9227</v>
      </c>
    </row>
    <row r="2078" spans="1:9">
      <c r="A2078" t="s">
        <v>5307</v>
      </c>
      <c r="B2078">
        <v>76</v>
      </c>
      <c r="C2078" t="s">
        <v>5308</v>
      </c>
    </row>
    <row r="2079" spans="1:9">
      <c r="A2079" t="s">
        <v>5309</v>
      </c>
      <c r="B2079">
        <v>167</v>
      </c>
      <c r="C2079" t="s">
        <v>5310</v>
      </c>
    </row>
    <row r="2080" spans="1:9">
      <c r="A2080" t="s">
        <v>5311</v>
      </c>
      <c r="B2080">
        <v>120</v>
      </c>
      <c r="C2080" t="s">
        <v>5312</v>
      </c>
    </row>
    <row r="2081" spans="1:9">
      <c r="A2081" t="s">
        <v>5315</v>
      </c>
      <c r="B2081">
        <v>1019</v>
      </c>
      <c r="C2081" t="s">
        <v>5316</v>
      </c>
      <c r="D2081" s="1" t="s">
        <v>7692</v>
      </c>
      <c r="F2081" s="1" t="s">
        <v>9228</v>
      </c>
      <c r="G2081" s="1" t="s">
        <v>9229</v>
      </c>
      <c r="H2081" t="s">
        <v>9230</v>
      </c>
      <c r="I2081" t="s">
        <v>9231</v>
      </c>
    </row>
    <row r="2082" spans="1:9">
      <c r="A2082" t="s">
        <v>5319</v>
      </c>
      <c r="B2082">
        <v>445</v>
      </c>
      <c r="C2082" t="s">
        <v>5320</v>
      </c>
      <c r="D2082" s="1" t="s">
        <v>7689</v>
      </c>
      <c r="F2082" s="1" t="s">
        <v>9217</v>
      </c>
      <c r="G2082" s="1" t="s">
        <v>9218</v>
      </c>
      <c r="H2082" t="s">
        <v>9219</v>
      </c>
      <c r="I2082" s="4" t="s">
        <v>9220</v>
      </c>
    </row>
    <row r="2083" spans="1:9">
      <c r="A2083" t="s">
        <v>5321</v>
      </c>
      <c r="B2083">
        <v>346</v>
      </c>
      <c r="C2083" t="s">
        <v>5322</v>
      </c>
    </row>
    <row r="2084" spans="1:9">
      <c r="A2084" t="s">
        <v>5324</v>
      </c>
      <c r="B2084">
        <v>585</v>
      </c>
      <c r="C2084" t="s">
        <v>5325</v>
      </c>
    </row>
    <row r="2085" spans="1:9">
      <c r="A2085" t="s">
        <v>5326</v>
      </c>
      <c r="B2085">
        <v>64</v>
      </c>
      <c r="C2085" t="s">
        <v>5327</v>
      </c>
    </row>
    <row r="2086" spans="1:9">
      <c r="A2086" t="s">
        <v>5329</v>
      </c>
      <c r="B2086">
        <v>424</v>
      </c>
      <c r="C2086" t="s">
        <v>5330</v>
      </c>
    </row>
    <row r="2087" spans="1:9">
      <c r="C2087" t="s">
        <v>5334</v>
      </c>
    </row>
    <row r="2088" spans="1:9">
      <c r="A2088" t="s">
        <v>5337</v>
      </c>
      <c r="B2088">
        <v>354</v>
      </c>
      <c r="C2088" t="s">
        <v>5338</v>
      </c>
      <c r="D2088" s="1" t="s">
        <v>7693</v>
      </c>
      <c r="F2088" s="1" t="s">
        <v>9232</v>
      </c>
      <c r="G2088" s="1" t="s">
        <v>9233</v>
      </c>
      <c r="H2088" t="s">
        <v>9234</v>
      </c>
      <c r="I2088" t="s">
        <v>9235</v>
      </c>
    </row>
    <row r="2089" spans="1:9">
      <c r="A2089" t="s">
        <v>5337</v>
      </c>
      <c r="B2089">
        <v>354</v>
      </c>
      <c r="C2089" t="s">
        <v>5338</v>
      </c>
      <c r="D2089" s="1" t="s">
        <v>7693</v>
      </c>
      <c r="F2089" s="1" t="s">
        <v>9232</v>
      </c>
      <c r="G2089" s="1" t="s">
        <v>9233</v>
      </c>
      <c r="H2089" t="s">
        <v>9236</v>
      </c>
      <c r="I2089" t="s">
        <v>9237</v>
      </c>
    </row>
    <row r="2090" spans="1:9">
      <c r="A2090" t="s">
        <v>5337</v>
      </c>
      <c r="B2090">
        <v>354</v>
      </c>
      <c r="C2090" t="s">
        <v>5338</v>
      </c>
      <c r="D2090" s="1" t="s">
        <v>7693</v>
      </c>
      <c r="F2090" s="1" t="s">
        <v>9232</v>
      </c>
      <c r="G2090" s="1" t="s">
        <v>9233</v>
      </c>
      <c r="H2090" t="s">
        <v>9238</v>
      </c>
      <c r="I2090" t="s">
        <v>9239</v>
      </c>
    </row>
    <row r="2091" spans="1:9">
      <c r="A2091" t="s">
        <v>5337</v>
      </c>
      <c r="B2091">
        <v>354</v>
      </c>
      <c r="C2091" t="s">
        <v>5338</v>
      </c>
      <c r="D2091" s="1" t="s">
        <v>7693</v>
      </c>
      <c r="F2091" s="1" t="s">
        <v>9232</v>
      </c>
      <c r="G2091" s="1" t="s">
        <v>9233</v>
      </c>
      <c r="H2091" t="s">
        <v>9240</v>
      </c>
      <c r="I2091" t="s">
        <v>9241</v>
      </c>
    </row>
    <row r="2092" spans="1:9">
      <c r="A2092" t="s">
        <v>5337</v>
      </c>
      <c r="B2092">
        <v>354</v>
      </c>
      <c r="C2092" t="s">
        <v>5338</v>
      </c>
      <c r="D2092" s="1" t="s">
        <v>7693</v>
      </c>
      <c r="F2092" s="1" t="s">
        <v>9232</v>
      </c>
      <c r="G2092" s="1" t="s">
        <v>9233</v>
      </c>
      <c r="H2092" t="s">
        <v>9242</v>
      </c>
      <c r="I2092" t="s">
        <v>9243</v>
      </c>
    </row>
    <row r="2093" spans="1:9">
      <c r="A2093" t="s">
        <v>5337</v>
      </c>
      <c r="B2093">
        <v>354</v>
      </c>
      <c r="C2093" t="s">
        <v>5338</v>
      </c>
      <c r="D2093" s="1" t="s">
        <v>7693</v>
      </c>
      <c r="F2093" s="1" t="s">
        <v>9232</v>
      </c>
      <c r="G2093" s="1" t="s">
        <v>9233</v>
      </c>
      <c r="H2093" t="s">
        <v>9244</v>
      </c>
      <c r="I2093" t="s">
        <v>9245</v>
      </c>
    </row>
    <row r="2094" spans="1:9">
      <c r="A2094" t="s">
        <v>5337</v>
      </c>
      <c r="B2094">
        <v>354</v>
      </c>
      <c r="C2094" t="s">
        <v>5338</v>
      </c>
      <c r="D2094" s="1" t="s">
        <v>7693</v>
      </c>
      <c r="F2094" s="1" t="s">
        <v>9232</v>
      </c>
      <c r="G2094" s="1" t="s">
        <v>9233</v>
      </c>
      <c r="H2094" t="s">
        <v>9246</v>
      </c>
      <c r="I2094" t="s">
        <v>9247</v>
      </c>
    </row>
    <row r="2095" spans="1:9">
      <c r="A2095" t="s">
        <v>5337</v>
      </c>
      <c r="B2095">
        <v>354</v>
      </c>
      <c r="C2095" t="s">
        <v>5338</v>
      </c>
      <c r="D2095" s="1" t="s">
        <v>7693</v>
      </c>
      <c r="F2095" s="1" t="s">
        <v>9232</v>
      </c>
      <c r="G2095" s="1" t="s">
        <v>9233</v>
      </c>
      <c r="H2095" t="s">
        <v>9248</v>
      </c>
      <c r="I2095" t="s">
        <v>9249</v>
      </c>
    </row>
    <row r="2096" spans="1:9">
      <c r="A2096" t="s">
        <v>5337</v>
      </c>
      <c r="B2096">
        <v>354</v>
      </c>
      <c r="C2096" t="s">
        <v>5338</v>
      </c>
      <c r="D2096" s="1" t="s">
        <v>7693</v>
      </c>
      <c r="F2096" s="1" t="s">
        <v>9232</v>
      </c>
      <c r="G2096" s="1" t="s">
        <v>9233</v>
      </c>
      <c r="H2096" t="s">
        <v>9250</v>
      </c>
      <c r="I2096" t="s">
        <v>9251</v>
      </c>
    </row>
    <row r="2097" spans="1:9">
      <c r="A2097" t="s">
        <v>5337</v>
      </c>
      <c r="B2097">
        <v>354</v>
      </c>
      <c r="C2097" t="s">
        <v>5338</v>
      </c>
      <c r="D2097" s="1" t="s">
        <v>7693</v>
      </c>
      <c r="F2097" s="1" t="s">
        <v>9232</v>
      </c>
      <c r="G2097" s="1" t="s">
        <v>9233</v>
      </c>
      <c r="H2097" t="s">
        <v>9252</v>
      </c>
      <c r="I2097" t="s">
        <v>9253</v>
      </c>
    </row>
    <row r="2098" spans="1:9">
      <c r="A2098" t="s">
        <v>5337</v>
      </c>
      <c r="B2098">
        <v>354</v>
      </c>
      <c r="C2098" t="s">
        <v>5338</v>
      </c>
      <c r="D2098" s="1" t="s">
        <v>7693</v>
      </c>
      <c r="F2098" s="1" t="s">
        <v>9232</v>
      </c>
      <c r="G2098" s="1" t="s">
        <v>9233</v>
      </c>
      <c r="H2098" t="s">
        <v>9254</v>
      </c>
      <c r="I2098" t="s">
        <v>9255</v>
      </c>
    </row>
    <row r="2099" spans="1:9">
      <c r="A2099" t="s">
        <v>5337</v>
      </c>
      <c r="B2099">
        <v>354</v>
      </c>
      <c r="C2099" t="s">
        <v>5338</v>
      </c>
      <c r="D2099" s="1" t="s">
        <v>7693</v>
      </c>
      <c r="F2099" s="1" t="s">
        <v>9232</v>
      </c>
      <c r="G2099" s="1" t="s">
        <v>9233</v>
      </c>
      <c r="H2099" t="s">
        <v>9256</v>
      </c>
      <c r="I2099" t="s">
        <v>9257</v>
      </c>
    </row>
    <row r="2100" spans="1:9">
      <c r="A2100" t="s">
        <v>5337</v>
      </c>
      <c r="B2100">
        <v>354</v>
      </c>
      <c r="C2100" t="s">
        <v>5338</v>
      </c>
      <c r="D2100" s="1" t="s">
        <v>7693</v>
      </c>
      <c r="F2100" s="1" t="s">
        <v>9232</v>
      </c>
      <c r="G2100" s="1" t="s">
        <v>9233</v>
      </c>
      <c r="H2100" t="s">
        <v>9258</v>
      </c>
      <c r="I2100" t="s">
        <v>9259</v>
      </c>
    </row>
    <row r="2101" spans="1:9">
      <c r="A2101" t="s">
        <v>5337</v>
      </c>
      <c r="B2101">
        <v>354</v>
      </c>
      <c r="C2101" t="s">
        <v>5338</v>
      </c>
      <c r="D2101" s="1" t="s">
        <v>7693</v>
      </c>
      <c r="F2101" s="1" t="s">
        <v>9232</v>
      </c>
      <c r="G2101" s="1" t="s">
        <v>9233</v>
      </c>
      <c r="H2101" t="s">
        <v>9260</v>
      </c>
      <c r="I2101" t="s">
        <v>9261</v>
      </c>
    </row>
    <row r="2102" spans="1:9">
      <c r="A2102" t="s">
        <v>5337</v>
      </c>
      <c r="B2102">
        <v>354</v>
      </c>
      <c r="C2102" t="s">
        <v>5338</v>
      </c>
      <c r="D2102" s="1" t="s">
        <v>7693</v>
      </c>
      <c r="F2102" s="1" t="s">
        <v>9232</v>
      </c>
      <c r="G2102" s="1" t="s">
        <v>9233</v>
      </c>
      <c r="H2102" t="s">
        <v>9262</v>
      </c>
      <c r="I2102" t="s">
        <v>9263</v>
      </c>
    </row>
    <row r="2103" spans="1:9">
      <c r="A2103" t="s">
        <v>5337</v>
      </c>
      <c r="B2103">
        <v>354</v>
      </c>
      <c r="C2103" t="s">
        <v>5338</v>
      </c>
      <c r="D2103" s="1" t="s">
        <v>7693</v>
      </c>
      <c r="F2103" s="1" t="s">
        <v>9232</v>
      </c>
      <c r="G2103" s="1" t="s">
        <v>9233</v>
      </c>
      <c r="H2103" t="s">
        <v>9264</v>
      </c>
      <c r="I2103" t="s">
        <v>9265</v>
      </c>
    </row>
    <row r="2104" spans="1:9">
      <c r="A2104" t="s">
        <v>5337</v>
      </c>
      <c r="B2104">
        <v>354</v>
      </c>
      <c r="C2104" t="s">
        <v>5338</v>
      </c>
      <c r="D2104" s="1" t="s">
        <v>7693</v>
      </c>
      <c r="F2104" s="1" t="s">
        <v>9232</v>
      </c>
      <c r="G2104" s="1" t="s">
        <v>9233</v>
      </c>
      <c r="H2104" t="s">
        <v>9266</v>
      </c>
      <c r="I2104" t="s">
        <v>9267</v>
      </c>
    </row>
    <row r="2105" spans="1:9">
      <c r="A2105" t="s">
        <v>5337</v>
      </c>
      <c r="B2105">
        <v>354</v>
      </c>
      <c r="C2105" t="s">
        <v>5338</v>
      </c>
      <c r="D2105" s="1" t="s">
        <v>7693</v>
      </c>
      <c r="F2105" s="1" t="s">
        <v>9232</v>
      </c>
      <c r="G2105" s="1" t="s">
        <v>9233</v>
      </c>
      <c r="H2105" t="s">
        <v>9268</v>
      </c>
      <c r="I2105" t="s">
        <v>9269</v>
      </c>
    </row>
    <row r="2106" spans="1:9">
      <c r="A2106" t="s">
        <v>5337</v>
      </c>
      <c r="B2106">
        <v>354</v>
      </c>
      <c r="C2106" t="s">
        <v>5338</v>
      </c>
      <c r="D2106" s="1" t="s">
        <v>7693</v>
      </c>
      <c r="F2106" s="1" t="s">
        <v>9232</v>
      </c>
      <c r="G2106" s="1" t="s">
        <v>9233</v>
      </c>
      <c r="H2106" t="s">
        <v>9270</v>
      </c>
      <c r="I2106" t="s">
        <v>9271</v>
      </c>
    </row>
    <row r="2107" spans="1:9">
      <c r="A2107" t="s">
        <v>5341</v>
      </c>
      <c r="B2107">
        <v>398</v>
      </c>
      <c r="C2107" t="s">
        <v>5342</v>
      </c>
      <c r="D2107" s="1" t="s">
        <v>7353</v>
      </c>
      <c r="F2107" s="1" t="s">
        <v>8022</v>
      </c>
      <c r="G2107" s="1" t="s">
        <v>8023</v>
      </c>
      <c r="H2107" t="s">
        <v>8024</v>
      </c>
      <c r="I2107" t="s">
        <v>8025</v>
      </c>
    </row>
    <row r="2108" spans="1:9">
      <c r="A2108" t="s">
        <v>5341</v>
      </c>
      <c r="B2108">
        <v>398</v>
      </c>
      <c r="C2108" t="s">
        <v>5342</v>
      </c>
      <c r="D2108" s="1" t="s">
        <v>7353</v>
      </c>
      <c r="F2108" s="1" t="s">
        <v>8022</v>
      </c>
      <c r="G2108" s="1" t="s">
        <v>8023</v>
      </c>
      <c r="H2108" t="s">
        <v>10152</v>
      </c>
      <c r="I2108" t="s">
        <v>10154</v>
      </c>
    </row>
    <row r="2109" spans="1:9">
      <c r="A2109" t="s">
        <v>5344</v>
      </c>
      <c r="B2109">
        <v>239</v>
      </c>
      <c r="C2109" t="s">
        <v>5345</v>
      </c>
    </row>
    <row r="2110" spans="1:9">
      <c r="A2110" t="s">
        <v>5347</v>
      </c>
      <c r="B2110">
        <v>380</v>
      </c>
      <c r="C2110" t="s">
        <v>5348</v>
      </c>
      <c r="D2110" s="1" t="s">
        <v>7694</v>
      </c>
      <c r="F2110" s="1" t="s">
        <v>9272</v>
      </c>
      <c r="G2110" s="1" t="s">
        <v>9273</v>
      </c>
      <c r="H2110" t="s">
        <v>9274</v>
      </c>
      <c r="I2110" t="s">
        <v>9275</v>
      </c>
    </row>
    <row r="2111" spans="1:9">
      <c r="A2111" t="s">
        <v>5347</v>
      </c>
      <c r="B2111">
        <v>380</v>
      </c>
      <c r="C2111" t="s">
        <v>5348</v>
      </c>
      <c r="D2111" s="1" t="s">
        <v>7694</v>
      </c>
      <c r="F2111" s="1" t="s">
        <v>9272</v>
      </c>
      <c r="G2111" s="1" t="s">
        <v>9273</v>
      </c>
      <c r="H2111" t="s">
        <v>9274</v>
      </c>
      <c r="I2111" t="s">
        <v>9276</v>
      </c>
    </row>
    <row r="2112" spans="1:9">
      <c r="A2112" t="s">
        <v>5347</v>
      </c>
      <c r="B2112">
        <v>380</v>
      </c>
      <c r="C2112" t="s">
        <v>5348</v>
      </c>
      <c r="D2112" s="1" t="s">
        <v>7694</v>
      </c>
      <c r="F2112" s="1" t="s">
        <v>9272</v>
      </c>
      <c r="G2112" s="1" t="s">
        <v>9273</v>
      </c>
      <c r="H2112" t="s">
        <v>9277</v>
      </c>
      <c r="I2112" t="s">
        <v>9278</v>
      </c>
    </row>
    <row r="2113" spans="1:9">
      <c r="A2113" t="s">
        <v>5347</v>
      </c>
      <c r="B2113">
        <v>380</v>
      </c>
      <c r="C2113" t="s">
        <v>5348</v>
      </c>
      <c r="D2113" s="1" t="s">
        <v>7694</v>
      </c>
      <c r="F2113" s="1" t="s">
        <v>9272</v>
      </c>
      <c r="G2113" s="1" t="s">
        <v>9273</v>
      </c>
      <c r="H2113" t="s">
        <v>9279</v>
      </c>
      <c r="I2113" t="s">
        <v>9280</v>
      </c>
    </row>
    <row r="2114" spans="1:9">
      <c r="A2114" t="s">
        <v>5347</v>
      </c>
      <c r="B2114">
        <v>380</v>
      </c>
      <c r="C2114" t="s">
        <v>5348</v>
      </c>
      <c r="D2114" s="1" t="s">
        <v>7694</v>
      </c>
      <c r="F2114" s="1" t="s">
        <v>9272</v>
      </c>
      <c r="G2114" s="1" t="s">
        <v>9273</v>
      </c>
      <c r="H2114" t="s">
        <v>9281</v>
      </c>
      <c r="I2114" t="s">
        <v>9278</v>
      </c>
    </row>
    <row r="2115" spans="1:9">
      <c r="A2115" t="s">
        <v>5351</v>
      </c>
      <c r="B2115">
        <v>163</v>
      </c>
      <c r="C2115" t="s">
        <v>5352</v>
      </c>
      <c r="D2115" s="1" t="s">
        <v>7695</v>
      </c>
    </row>
    <row r="2116" spans="1:9">
      <c r="A2116" t="s">
        <v>5354</v>
      </c>
      <c r="B2116">
        <v>323</v>
      </c>
      <c r="C2116" t="s">
        <v>5355</v>
      </c>
    </row>
    <row r="2117" spans="1:9">
      <c r="C2117" t="s">
        <v>5356</v>
      </c>
    </row>
    <row r="2118" spans="1:9">
      <c r="A2118" t="s">
        <v>5357</v>
      </c>
      <c r="B2118">
        <v>132</v>
      </c>
      <c r="C2118" t="s">
        <v>5358</v>
      </c>
    </row>
    <row r="2119" spans="1:9">
      <c r="A2119" t="s">
        <v>5361</v>
      </c>
      <c r="B2119">
        <v>914</v>
      </c>
      <c r="C2119" t="s">
        <v>5362</v>
      </c>
      <c r="D2119" s="1" t="s">
        <v>7696</v>
      </c>
      <c r="F2119" s="1" t="s">
        <v>9284</v>
      </c>
      <c r="G2119" s="1" t="s">
        <v>9285</v>
      </c>
      <c r="H2119" t="s">
        <v>9286</v>
      </c>
      <c r="I2119" t="s">
        <v>9287</v>
      </c>
    </row>
    <row r="2120" spans="1:9">
      <c r="A2120" t="s">
        <v>5361</v>
      </c>
      <c r="B2120">
        <v>914</v>
      </c>
      <c r="C2120" t="s">
        <v>5362</v>
      </c>
      <c r="D2120" s="1" t="s">
        <v>7696</v>
      </c>
      <c r="F2120" s="1" t="s">
        <v>9284</v>
      </c>
      <c r="G2120" s="1" t="s">
        <v>9285</v>
      </c>
      <c r="H2120" t="s">
        <v>9288</v>
      </c>
      <c r="I2120" t="s">
        <v>9289</v>
      </c>
    </row>
    <row r="2121" spans="1:9">
      <c r="A2121" t="s">
        <v>5361</v>
      </c>
      <c r="B2121">
        <v>914</v>
      </c>
      <c r="C2121" t="s">
        <v>5362</v>
      </c>
      <c r="D2121" s="1" t="s">
        <v>7696</v>
      </c>
      <c r="F2121" s="1" t="s">
        <v>9284</v>
      </c>
      <c r="G2121" s="1" t="s">
        <v>9285</v>
      </c>
      <c r="H2121" t="s">
        <v>9290</v>
      </c>
      <c r="I2121" t="s">
        <v>9291</v>
      </c>
    </row>
    <row r="2122" spans="1:9">
      <c r="A2122" t="s">
        <v>5364</v>
      </c>
      <c r="B2122">
        <v>99</v>
      </c>
      <c r="C2122" t="s">
        <v>5365</v>
      </c>
    </row>
    <row r="2123" spans="1:9">
      <c r="A2123" t="s">
        <v>5368</v>
      </c>
      <c r="B2123">
        <v>262</v>
      </c>
      <c r="C2123" t="s">
        <v>5369</v>
      </c>
      <c r="D2123" s="1" t="s">
        <v>7697</v>
      </c>
      <c r="F2123" s="1" t="s">
        <v>9292</v>
      </c>
      <c r="G2123" s="1" t="s">
        <v>9293</v>
      </c>
      <c r="H2123" t="s">
        <v>9294</v>
      </c>
      <c r="I2123" t="s">
        <v>9295</v>
      </c>
    </row>
    <row r="2124" spans="1:9">
      <c r="A2124" t="s">
        <v>5368</v>
      </c>
      <c r="B2124">
        <v>262</v>
      </c>
      <c r="C2124" t="s">
        <v>5369</v>
      </c>
      <c r="D2124" s="1" t="s">
        <v>7697</v>
      </c>
      <c r="F2124" s="1" t="s">
        <v>9292</v>
      </c>
      <c r="G2124" s="1" t="s">
        <v>9293</v>
      </c>
      <c r="H2124" t="s">
        <v>9296</v>
      </c>
      <c r="I2124" t="s">
        <v>9297</v>
      </c>
    </row>
    <row r="2125" spans="1:9">
      <c r="A2125" t="s">
        <v>5368</v>
      </c>
      <c r="B2125">
        <v>262</v>
      </c>
      <c r="C2125" t="s">
        <v>5369</v>
      </c>
      <c r="D2125" s="1" t="s">
        <v>7697</v>
      </c>
      <c r="F2125" s="1" t="s">
        <v>9292</v>
      </c>
      <c r="G2125" s="1" t="s">
        <v>9293</v>
      </c>
      <c r="H2125" t="s">
        <v>9298</v>
      </c>
      <c r="I2125" t="s">
        <v>9299</v>
      </c>
    </row>
    <row r="2126" spans="1:9">
      <c r="A2126" t="s">
        <v>5368</v>
      </c>
      <c r="B2126">
        <v>262</v>
      </c>
      <c r="C2126" t="s">
        <v>5369</v>
      </c>
      <c r="D2126" s="1" t="s">
        <v>7697</v>
      </c>
      <c r="F2126" s="1" t="s">
        <v>9292</v>
      </c>
      <c r="G2126" s="1" t="s">
        <v>9293</v>
      </c>
      <c r="H2126" t="s">
        <v>9300</v>
      </c>
      <c r="I2126" t="s">
        <v>9301</v>
      </c>
    </row>
    <row r="2127" spans="1:9">
      <c r="A2127" t="s">
        <v>5368</v>
      </c>
      <c r="B2127">
        <v>262</v>
      </c>
      <c r="C2127" t="s">
        <v>5369</v>
      </c>
      <c r="D2127" s="1" t="s">
        <v>7697</v>
      </c>
      <c r="F2127" s="1" t="s">
        <v>9292</v>
      </c>
      <c r="G2127" s="1" t="s">
        <v>9293</v>
      </c>
      <c r="H2127" t="s">
        <v>9302</v>
      </c>
      <c r="I2127" t="s">
        <v>9303</v>
      </c>
    </row>
    <row r="2128" spans="1:9">
      <c r="A2128" t="s">
        <v>5368</v>
      </c>
      <c r="B2128">
        <v>262</v>
      </c>
      <c r="C2128" t="s">
        <v>5369</v>
      </c>
      <c r="D2128" s="1" t="s">
        <v>7697</v>
      </c>
      <c r="F2128" s="1" t="s">
        <v>9292</v>
      </c>
      <c r="G2128" s="1" t="s">
        <v>9293</v>
      </c>
      <c r="H2128" t="s">
        <v>9304</v>
      </c>
      <c r="I2128" t="s">
        <v>9305</v>
      </c>
    </row>
    <row r="2129" spans="1:9">
      <c r="A2129" t="s">
        <v>5368</v>
      </c>
      <c r="B2129">
        <v>262</v>
      </c>
      <c r="C2129" t="s">
        <v>5369</v>
      </c>
      <c r="D2129" s="1" t="s">
        <v>7697</v>
      </c>
      <c r="F2129" s="1" t="s">
        <v>9292</v>
      </c>
      <c r="G2129" s="1" t="s">
        <v>9293</v>
      </c>
      <c r="H2129" t="s">
        <v>9306</v>
      </c>
      <c r="I2129" t="s">
        <v>9307</v>
      </c>
    </row>
    <row r="2130" spans="1:9">
      <c r="A2130" t="s">
        <v>5368</v>
      </c>
      <c r="B2130">
        <v>262</v>
      </c>
      <c r="C2130" t="s">
        <v>5369</v>
      </c>
      <c r="D2130" s="1" t="s">
        <v>7697</v>
      </c>
      <c r="F2130" s="1" t="s">
        <v>9292</v>
      </c>
      <c r="G2130" s="1" t="s">
        <v>9293</v>
      </c>
      <c r="H2130" t="s">
        <v>9308</v>
      </c>
      <c r="I2130" t="s">
        <v>9309</v>
      </c>
    </row>
    <row r="2131" spans="1:9">
      <c r="A2131" t="s">
        <v>5368</v>
      </c>
      <c r="B2131">
        <v>262</v>
      </c>
      <c r="C2131" t="s">
        <v>5369</v>
      </c>
      <c r="D2131" s="1" t="s">
        <v>7697</v>
      </c>
      <c r="F2131" s="1" t="s">
        <v>9292</v>
      </c>
      <c r="G2131" s="1" t="s">
        <v>9293</v>
      </c>
      <c r="H2131" t="s">
        <v>9310</v>
      </c>
      <c r="I2131" t="s">
        <v>9311</v>
      </c>
    </row>
    <row r="2132" spans="1:9">
      <c r="A2132" t="s">
        <v>5368</v>
      </c>
      <c r="B2132">
        <v>262</v>
      </c>
      <c r="C2132" t="s">
        <v>5369</v>
      </c>
      <c r="D2132" s="1" t="s">
        <v>7697</v>
      </c>
      <c r="F2132" s="1" t="s">
        <v>9292</v>
      </c>
      <c r="G2132" s="1" t="s">
        <v>9293</v>
      </c>
      <c r="H2132" t="s">
        <v>9312</v>
      </c>
      <c r="I2132" t="s">
        <v>9313</v>
      </c>
    </row>
    <row r="2133" spans="1:9">
      <c r="A2133" t="s">
        <v>5368</v>
      </c>
      <c r="B2133">
        <v>262</v>
      </c>
      <c r="C2133" t="s">
        <v>5369</v>
      </c>
      <c r="D2133" s="1" t="s">
        <v>7697</v>
      </c>
      <c r="F2133" s="1" t="s">
        <v>9292</v>
      </c>
      <c r="G2133" s="1" t="s">
        <v>9293</v>
      </c>
      <c r="H2133" t="s">
        <v>9314</v>
      </c>
      <c r="I2133" t="s">
        <v>9315</v>
      </c>
    </row>
    <row r="2134" spans="1:9">
      <c r="A2134" t="s">
        <v>5368</v>
      </c>
      <c r="B2134">
        <v>262</v>
      </c>
      <c r="C2134" t="s">
        <v>5369</v>
      </c>
      <c r="D2134" s="1" t="s">
        <v>7697</v>
      </c>
      <c r="F2134" s="1" t="s">
        <v>9292</v>
      </c>
      <c r="G2134" s="1" t="s">
        <v>9293</v>
      </c>
      <c r="H2134" t="s">
        <v>9316</v>
      </c>
      <c r="I2134" t="s">
        <v>9317</v>
      </c>
    </row>
    <row r="2135" spans="1:9">
      <c r="A2135" t="s">
        <v>5368</v>
      </c>
      <c r="B2135">
        <v>262</v>
      </c>
      <c r="C2135" t="s">
        <v>5369</v>
      </c>
      <c r="D2135" s="1" t="s">
        <v>7697</v>
      </c>
      <c r="F2135" s="1" t="s">
        <v>9292</v>
      </c>
      <c r="G2135" s="1" t="s">
        <v>9293</v>
      </c>
      <c r="H2135" t="s">
        <v>9318</v>
      </c>
      <c r="I2135" t="s">
        <v>9319</v>
      </c>
    </row>
    <row r="2136" spans="1:9">
      <c r="A2136" t="s">
        <v>5368</v>
      </c>
      <c r="B2136">
        <v>262</v>
      </c>
      <c r="C2136" t="s">
        <v>5369</v>
      </c>
      <c r="D2136" s="1" t="s">
        <v>7697</v>
      </c>
      <c r="F2136" s="1" t="s">
        <v>9292</v>
      </c>
      <c r="G2136" s="1" t="s">
        <v>9293</v>
      </c>
      <c r="H2136" t="s">
        <v>9320</v>
      </c>
      <c r="I2136" t="s">
        <v>9321</v>
      </c>
    </row>
    <row r="2137" spans="1:9">
      <c r="A2137" t="s">
        <v>5368</v>
      </c>
      <c r="B2137">
        <v>262</v>
      </c>
      <c r="C2137" t="s">
        <v>5369</v>
      </c>
      <c r="D2137" s="1" t="s">
        <v>7697</v>
      </c>
      <c r="F2137" s="1" t="s">
        <v>9292</v>
      </c>
      <c r="G2137" s="1" t="s">
        <v>9293</v>
      </c>
      <c r="H2137" t="s">
        <v>9322</v>
      </c>
      <c r="I2137" t="s">
        <v>9323</v>
      </c>
    </row>
    <row r="2138" spans="1:9">
      <c r="A2138" t="s">
        <v>5370</v>
      </c>
      <c r="B2138">
        <v>138</v>
      </c>
      <c r="C2138" t="s">
        <v>5371</v>
      </c>
    </row>
    <row r="2139" spans="1:9">
      <c r="A2139" t="s">
        <v>5372</v>
      </c>
      <c r="B2139">
        <v>38</v>
      </c>
      <c r="C2139" t="s">
        <v>5373</v>
      </c>
    </row>
    <row r="2140" spans="1:9">
      <c r="A2140" t="s">
        <v>5375</v>
      </c>
      <c r="B2140">
        <v>275</v>
      </c>
      <c r="C2140" t="s">
        <v>5376</v>
      </c>
    </row>
    <row r="2141" spans="1:9">
      <c r="A2141" t="s">
        <v>5379</v>
      </c>
      <c r="B2141">
        <v>363</v>
      </c>
      <c r="C2141" t="s">
        <v>5380</v>
      </c>
      <c r="D2141" s="1" t="s">
        <v>7314</v>
      </c>
    </row>
    <row r="2142" spans="1:9">
      <c r="A2142" t="s">
        <v>5383</v>
      </c>
      <c r="B2142">
        <v>532</v>
      </c>
      <c r="C2142" t="s">
        <v>5384</v>
      </c>
    </row>
    <row r="2143" spans="1:9">
      <c r="A2143" t="s">
        <v>5385</v>
      </c>
      <c r="B2143">
        <v>368</v>
      </c>
      <c r="C2143" t="s">
        <v>5386</v>
      </c>
    </row>
    <row r="2144" spans="1:9">
      <c r="A2144" t="s">
        <v>5387</v>
      </c>
      <c r="B2144">
        <v>183</v>
      </c>
      <c r="C2144" t="s">
        <v>5388</v>
      </c>
    </row>
    <row r="2145" spans="1:9">
      <c r="C2145" t="s">
        <v>5389</v>
      </c>
    </row>
    <row r="2146" spans="1:9">
      <c r="A2146" t="s">
        <v>5390</v>
      </c>
      <c r="B2146">
        <v>55</v>
      </c>
      <c r="C2146" t="s">
        <v>5391</v>
      </c>
    </row>
    <row r="2147" spans="1:9">
      <c r="A2147" t="s">
        <v>5393</v>
      </c>
      <c r="B2147">
        <v>312</v>
      </c>
      <c r="C2147" t="s">
        <v>5394</v>
      </c>
      <c r="D2147" s="1" t="s">
        <v>7299</v>
      </c>
    </row>
    <row r="2148" spans="1:9">
      <c r="A2148" t="s">
        <v>5397</v>
      </c>
      <c r="B2148">
        <v>232</v>
      </c>
      <c r="C2148" t="s">
        <v>5398</v>
      </c>
      <c r="D2148" s="1" t="s">
        <v>7299</v>
      </c>
    </row>
    <row r="2149" spans="1:9">
      <c r="A2149" t="s">
        <v>5400</v>
      </c>
      <c r="B2149">
        <v>200</v>
      </c>
      <c r="C2149" t="s">
        <v>5401</v>
      </c>
    </row>
    <row r="2150" spans="1:9">
      <c r="A2150" t="s">
        <v>5404</v>
      </c>
      <c r="B2150">
        <v>380</v>
      </c>
      <c r="C2150" t="s">
        <v>5405</v>
      </c>
    </row>
    <row r="2151" spans="1:9">
      <c r="A2151" t="s">
        <v>5407</v>
      </c>
      <c r="B2151">
        <v>223</v>
      </c>
      <c r="C2151" t="s">
        <v>5408</v>
      </c>
    </row>
    <row r="2152" spans="1:9">
      <c r="A2152" t="s">
        <v>5411</v>
      </c>
      <c r="B2152">
        <v>581</v>
      </c>
      <c r="C2152" t="s">
        <v>5412</v>
      </c>
    </row>
    <row r="2153" spans="1:9">
      <c r="A2153" t="s">
        <v>5415</v>
      </c>
      <c r="B2153">
        <v>926</v>
      </c>
      <c r="C2153" t="s">
        <v>5416</v>
      </c>
      <c r="D2153" s="1" t="s">
        <v>7299</v>
      </c>
    </row>
    <row r="2154" spans="1:9">
      <c r="A2154" t="s">
        <v>5419</v>
      </c>
      <c r="B2154">
        <v>139</v>
      </c>
      <c r="C2154" t="s">
        <v>5420</v>
      </c>
    </row>
    <row r="2155" spans="1:9">
      <c r="A2155" t="s">
        <v>5421</v>
      </c>
      <c r="B2155">
        <v>489</v>
      </c>
      <c r="C2155" t="s">
        <v>5422</v>
      </c>
    </row>
    <row r="2156" spans="1:9">
      <c r="A2156" t="s">
        <v>5423</v>
      </c>
      <c r="B2156">
        <v>216</v>
      </c>
      <c r="C2156" t="s">
        <v>5424</v>
      </c>
    </row>
    <row r="2157" spans="1:9">
      <c r="A2157" t="s">
        <v>5426</v>
      </c>
      <c r="B2157">
        <v>1123</v>
      </c>
      <c r="C2157" t="s">
        <v>5427</v>
      </c>
    </row>
    <row r="2158" spans="1:9">
      <c r="A2158" t="s">
        <v>5428</v>
      </c>
      <c r="B2158">
        <v>377</v>
      </c>
      <c r="C2158" t="s">
        <v>5429</v>
      </c>
    </row>
    <row r="2159" spans="1:9">
      <c r="A2159" t="s">
        <v>5430</v>
      </c>
      <c r="B2159">
        <v>138</v>
      </c>
      <c r="C2159" t="s">
        <v>5431</v>
      </c>
    </row>
    <row r="2160" spans="1:9">
      <c r="A2160" t="s">
        <v>5434</v>
      </c>
      <c r="B2160">
        <v>389</v>
      </c>
      <c r="C2160" t="s">
        <v>5435</v>
      </c>
      <c r="D2160" s="1" t="s">
        <v>7698</v>
      </c>
      <c r="F2160" s="1" t="s">
        <v>9324</v>
      </c>
      <c r="G2160" s="1" t="s">
        <v>9325</v>
      </c>
      <c r="H2160" t="s">
        <v>9326</v>
      </c>
      <c r="I2160" t="s">
        <v>9327</v>
      </c>
    </row>
    <row r="2161" spans="1:9">
      <c r="A2161" t="s">
        <v>5434</v>
      </c>
      <c r="B2161">
        <v>389</v>
      </c>
      <c r="C2161" t="s">
        <v>5435</v>
      </c>
      <c r="D2161" s="1" t="s">
        <v>7698</v>
      </c>
      <c r="F2161" s="1" t="s">
        <v>9324</v>
      </c>
      <c r="G2161" s="1" t="s">
        <v>9325</v>
      </c>
      <c r="H2161" t="s">
        <v>9328</v>
      </c>
      <c r="I2161" t="s">
        <v>9329</v>
      </c>
    </row>
    <row r="2162" spans="1:9">
      <c r="A2162" t="s">
        <v>5438</v>
      </c>
      <c r="B2162">
        <v>231</v>
      </c>
      <c r="C2162" t="s">
        <v>5439</v>
      </c>
      <c r="D2162" s="1" t="s">
        <v>7699</v>
      </c>
      <c r="F2162" s="1" t="s">
        <v>9330</v>
      </c>
      <c r="G2162" s="1" t="s">
        <v>9331</v>
      </c>
      <c r="H2162" t="s">
        <v>9332</v>
      </c>
      <c r="I2162" t="s">
        <v>9333</v>
      </c>
    </row>
    <row r="2163" spans="1:9">
      <c r="C2163" t="s">
        <v>5441</v>
      </c>
    </row>
    <row r="2164" spans="1:9">
      <c r="A2164" t="s">
        <v>5442</v>
      </c>
      <c r="B2164">
        <v>69</v>
      </c>
      <c r="C2164" t="s">
        <v>5443</v>
      </c>
    </row>
    <row r="2165" spans="1:9">
      <c r="A2165" t="s">
        <v>5444</v>
      </c>
      <c r="B2165">
        <v>126</v>
      </c>
      <c r="C2165" t="s">
        <v>5445</v>
      </c>
    </row>
    <row r="2166" spans="1:9">
      <c r="A2166" t="s">
        <v>5446</v>
      </c>
      <c r="B2166">
        <v>200</v>
      </c>
      <c r="C2166" t="s">
        <v>5447</v>
      </c>
    </row>
    <row r="2167" spans="1:9">
      <c r="A2167" t="s">
        <v>5448</v>
      </c>
      <c r="B2167">
        <v>303</v>
      </c>
      <c r="C2167" t="s">
        <v>5449</v>
      </c>
    </row>
    <row r="2168" spans="1:9">
      <c r="A2168" t="s">
        <v>5452</v>
      </c>
      <c r="B2168">
        <v>457</v>
      </c>
      <c r="C2168" t="s">
        <v>5453</v>
      </c>
      <c r="D2168" s="1" t="s">
        <v>7700</v>
      </c>
      <c r="F2168" s="1" t="s">
        <v>9334</v>
      </c>
      <c r="G2168" s="1" t="s">
        <v>9335</v>
      </c>
      <c r="H2168" t="s">
        <v>9336</v>
      </c>
      <c r="I2168" t="s">
        <v>9337</v>
      </c>
    </row>
    <row r="2169" spans="1:9">
      <c r="A2169" t="s">
        <v>5456</v>
      </c>
      <c r="B2169">
        <v>401</v>
      </c>
      <c r="C2169" t="s">
        <v>5457</v>
      </c>
    </row>
    <row r="2170" spans="1:9">
      <c r="A2170" t="s">
        <v>5458</v>
      </c>
      <c r="B2170">
        <v>436</v>
      </c>
      <c r="C2170" t="s">
        <v>5459</v>
      </c>
    </row>
    <row r="2171" spans="1:9">
      <c r="A2171" t="s">
        <v>5462</v>
      </c>
      <c r="B2171">
        <v>350</v>
      </c>
      <c r="C2171" t="s">
        <v>5463</v>
      </c>
      <c r="D2171" s="1" t="s">
        <v>7314</v>
      </c>
    </row>
    <row r="2172" spans="1:9">
      <c r="A2172" t="s">
        <v>5464</v>
      </c>
      <c r="B2172">
        <v>307</v>
      </c>
      <c r="C2172" t="s">
        <v>5465</v>
      </c>
    </row>
    <row r="2173" spans="1:9">
      <c r="A2173" t="s">
        <v>5467</v>
      </c>
      <c r="B2173">
        <v>458</v>
      </c>
      <c r="C2173" t="s">
        <v>5468</v>
      </c>
      <c r="D2173" s="1" t="s">
        <v>7420</v>
      </c>
      <c r="F2173" s="1" t="s">
        <v>8222</v>
      </c>
      <c r="G2173" s="1" t="s">
        <v>8223</v>
      </c>
      <c r="H2173" t="s">
        <v>8224</v>
      </c>
      <c r="I2173" s="3" t="s">
        <v>8226</v>
      </c>
    </row>
    <row r="2174" spans="1:9">
      <c r="A2174" t="s">
        <v>5471</v>
      </c>
      <c r="B2174">
        <v>187</v>
      </c>
      <c r="C2174" t="s">
        <v>5472</v>
      </c>
    </row>
    <row r="2175" spans="1:9">
      <c r="A2175" t="s">
        <v>5475</v>
      </c>
      <c r="B2175">
        <v>518</v>
      </c>
      <c r="C2175" t="s">
        <v>5476</v>
      </c>
      <c r="D2175" s="1" t="s">
        <v>7404</v>
      </c>
      <c r="F2175" s="1" t="s">
        <v>8168</v>
      </c>
      <c r="G2175" s="1" t="s">
        <v>8169</v>
      </c>
      <c r="H2175" s="3" t="s">
        <v>8172</v>
      </c>
      <c r="I2175" s="3" t="s">
        <v>8170</v>
      </c>
    </row>
    <row r="2176" spans="1:9">
      <c r="A2176" t="s">
        <v>5479</v>
      </c>
      <c r="B2176">
        <v>448</v>
      </c>
      <c r="C2176" t="s">
        <v>5480</v>
      </c>
    </row>
    <row r="2177" spans="1:9">
      <c r="A2177" t="s">
        <v>5483</v>
      </c>
      <c r="B2177">
        <v>213</v>
      </c>
      <c r="C2177" t="s">
        <v>5484</v>
      </c>
      <c r="D2177" s="1" t="s">
        <v>7701</v>
      </c>
      <c r="F2177" s="1" t="s">
        <v>9339</v>
      </c>
      <c r="G2177" s="1" t="s">
        <v>9340</v>
      </c>
      <c r="H2177" t="s">
        <v>9343</v>
      </c>
      <c r="I2177" t="s">
        <v>9341</v>
      </c>
    </row>
    <row r="2178" spans="1:9">
      <c r="A2178" t="s">
        <v>5483</v>
      </c>
      <c r="B2178">
        <v>213</v>
      </c>
      <c r="C2178" t="s">
        <v>5484</v>
      </c>
      <c r="D2178" s="1" t="s">
        <v>7701</v>
      </c>
      <c r="F2178" s="1" t="s">
        <v>9339</v>
      </c>
      <c r="G2178" s="1" t="s">
        <v>9340</v>
      </c>
      <c r="H2178" t="s">
        <v>9342</v>
      </c>
      <c r="I2178" t="s">
        <v>9344</v>
      </c>
    </row>
    <row r="2179" spans="1:9">
      <c r="A2179" t="s">
        <v>5487</v>
      </c>
      <c r="B2179">
        <v>247</v>
      </c>
      <c r="C2179" t="s">
        <v>5488</v>
      </c>
      <c r="D2179" s="1" t="s">
        <v>7701</v>
      </c>
      <c r="F2179" s="1" t="s">
        <v>9339</v>
      </c>
      <c r="G2179" s="1" t="s">
        <v>9340</v>
      </c>
      <c r="H2179" t="s">
        <v>9343</v>
      </c>
      <c r="I2179" t="s">
        <v>9341</v>
      </c>
    </row>
    <row r="2180" spans="1:9">
      <c r="A2180" t="s">
        <v>5487</v>
      </c>
      <c r="B2180">
        <v>247</v>
      </c>
      <c r="C2180" t="s">
        <v>5488</v>
      </c>
      <c r="D2180" s="1" t="s">
        <v>7701</v>
      </c>
      <c r="F2180" s="1" t="s">
        <v>9339</v>
      </c>
      <c r="G2180" s="1" t="s">
        <v>9340</v>
      </c>
      <c r="H2180" t="s">
        <v>9342</v>
      </c>
      <c r="I2180" t="s">
        <v>9344</v>
      </c>
    </row>
    <row r="2181" spans="1:9">
      <c r="A2181" t="s">
        <v>5491</v>
      </c>
      <c r="B2181">
        <v>257</v>
      </c>
      <c r="C2181" t="s">
        <v>5492</v>
      </c>
    </row>
    <row r="2182" spans="1:9">
      <c r="A2182" t="s">
        <v>5494</v>
      </c>
      <c r="B2182">
        <v>405</v>
      </c>
      <c r="C2182" t="s">
        <v>5495</v>
      </c>
      <c r="D2182" s="1" t="s">
        <v>7702</v>
      </c>
      <c r="F2182" s="1" t="s">
        <v>9345</v>
      </c>
      <c r="G2182" s="1" t="s">
        <v>9346</v>
      </c>
      <c r="H2182" t="s">
        <v>9347</v>
      </c>
      <c r="I2182" t="s">
        <v>9348</v>
      </c>
    </row>
    <row r="2183" spans="1:9">
      <c r="A2183" t="s">
        <v>5494</v>
      </c>
      <c r="B2183">
        <v>405</v>
      </c>
      <c r="C2183" t="s">
        <v>5495</v>
      </c>
      <c r="D2183" s="1" t="s">
        <v>7702</v>
      </c>
      <c r="F2183" s="1" t="s">
        <v>9345</v>
      </c>
      <c r="G2183" s="1" t="s">
        <v>9346</v>
      </c>
      <c r="H2183" t="s">
        <v>9349</v>
      </c>
      <c r="I2183" t="s">
        <v>9350</v>
      </c>
    </row>
    <row r="2184" spans="1:9">
      <c r="A2184" t="s">
        <v>5494</v>
      </c>
      <c r="B2184">
        <v>405</v>
      </c>
      <c r="C2184" t="s">
        <v>5495</v>
      </c>
      <c r="D2184" s="1" t="s">
        <v>7702</v>
      </c>
      <c r="F2184" s="1" t="s">
        <v>9345</v>
      </c>
      <c r="G2184" s="1" t="s">
        <v>9346</v>
      </c>
      <c r="H2184" t="s">
        <v>9351</v>
      </c>
      <c r="I2184" t="s">
        <v>9352</v>
      </c>
    </row>
    <row r="2185" spans="1:9">
      <c r="A2185" t="s">
        <v>5496</v>
      </c>
      <c r="B2185">
        <v>42</v>
      </c>
      <c r="C2185" t="s">
        <v>5497</v>
      </c>
    </row>
    <row r="2186" spans="1:9">
      <c r="A2186" t="s">
        <v>5498</v>
      </c>
      <c r="B2186">
        <v>93</v>
      </c>
      <c r="C2186" t="s">
        <v>5499</v>
      </c>
    </row>
    <row r="2187" spans="1:9">
      <c r="A2187" t="s">
        <v>5502</v>
      </c>
      <c r="B2187">
        <v>639</v>
      </c>
      <c r="C2187" t="s">
        <v>5503</v>
      </c>
      <c r="D2187" s="1" t="s">
        <v>7703</v>
      </c>
    </row>
    <row r="2188" spans="1:9">
      <c r="A2188" t="s">
        <v>5505</v>
      </c>
      <c r="B2188">
        <v>140</v>
      </c>
      <c r="C2188" t="s">
        <v>5506</v>
      </c>
      <c r="D2188" s="1" t="s">
        <v>7704</v>
      </c>
      <c r="F2188" s="1" t="s">
        <v>9353</v>
      </c>
    </row>
    <row r="2189" spans="1:9">
      <c r="A2189" t="s">
        <v>5507</v>
      </c>
      <c r="B2189">
        <v>77</v>
      </c>
      <c r="C2189" t="s">
        <v>5508</v>
      </c>
    </row>
    <row r="2190" spans="1:9">
      <c r="A2190" t="s">
        <v>5511</v>
      </c>
      <c r="B2190">
        <v>430</v>
      </c>
      <c r="C2190" t="s">
        <v>5512</v>
      </c>
      <c r="D2190" s="1" t="s">
        <v>7705</v>
      </c>
      <c r="F2190" s="1" t="s">
        <v>9354</v>
      </c>
      <c r="G2190" s="1" t="s">
        <v>9355</v>
      </c>
      <c r="H2190" t="s">
        <v>9356</v>
      </c>
      <c r="I2190" t="s">
        <v>9357</v>
      </c>
    </row>
    <row r="2191" spans="1:9">
      <c r="A2191" t="s">
        <v>5513</v>
      </c>
      <c r="B2191">
        <v>195</v>
      </c>
      <c r="C2191" t="s">
        <v>5514</v>
      </c>
    </row>
    <row r="2192" spans="1:9">
      <c r="A2192" t="s">
        <v>5515</v>
      </c>
      <c r="B2192">
        <v>682</v>
      </c>
      <c r="C2192" t="s">
        <v>5516</v>
      </c>
    </row>
    <row r="2193" spans="1:9">
      <c r="A2193" t="s">
        <v>5517</v>
      </c>
      <c r="B2193">
        <v>175</v>
      </c>
      <c r="C2193" t="s">
        <v>5518</v>
      </c>
    </row>
    <row r="2194" spans="1:9">
      <c r="A2194" t="s">
        <v>5519</v>
      </c>
      <c r="B2194">
        <v>169</v>
      </c>
      <c r="C2194" t="s">
        <v>5520</v>
      </c>
    </row>
    <row r="2195" spans="1:9">
      <c r="A2195" t="s">
        <v>5523</v>
      </c>
      <c r="B2195">
        <v>459</v>
      </c>
      <c r="C2195" t="s">
        <v>5524</v>
      </c>
      <c r="D2195" s="1" t="s">
        <v>7706</v>
      </c>
      <c r="F2195" s="1" t="s">
        <v>9358</v>
      </c>
      <c r="G2195" s="1" t="s">
        <v>9359</v>
      </c>
      <c r="H2195" t="s">
        <v>9360</v>
      </c>
      <c r="I2195" t="s">
        <v>9361</v>
      </c>
    </row>
    <row r="2196" spans="1:9">
      <c r="A2196" t="s">
        <v>5527</v>
      </c>
      <c r="B2196">
        <v>96</v>
      </c>
      <c r="C2196" t="s">
        <v>5528</v>
      </c>
    </row>
    <row r="2197" spans="1:9">
      <c r="A2197" t="s">
        <v>5531</v>
      </c>
      <c r="B2197">
        <v>142</v>
      </c>
      <c r="C2197" t="s">
        <v>5532</v>
      </c>
    </row>
    <row r="2198" spans="1:9">
      <c r="A2198" t="s">
        <v>5534</v>
      </c>
      <c r="B2198">
        <v>250</v>
      </c>
      <c r="C2198" t="s">
        <v>5535</v>
      </c>
      <c r="D2198" s="1" t="s">
        <v>7707</v>
      </c>
      <c r="F2198" s="1" t="s">
        <v>9362</v>
      </c>
      <c r="G2198" s="1" t="s">
        <v>9363</v>
      </c>
      <c r="H2198" t="s">
        <v>9364</v>
      </c>
      <c r="I2198" t="s">
        <v>9365</v>
      </c>
    </row>
    <row r="2199" spans="1:9">
      <c r="A2199" t="s">
        <v>5538</v>
      </c>
      <c r="B2199">
        <v>238</v>
      </c>
      <c r="C2199" t="s">
        <v>5539</v>
      </c>
    </row>
    <row r="2200" spans="1:9">
      <c r="A2200" t="s">
        <v>5542</v>
      </c>
      <c r="B2200">
        <v>345</v>
      </c>
      <c r="C2200" t="s">
        <v>5543</v>
      </c>
    </row>
    <row r="2201" spans="1:9">
      <c r="A2201" t="s">
        <v>5544</v>
      </c>
      <c r="B2201">
        <v>185</v>
      </c>
      <c r="C2201" t="s">
        <v>5545</v>
      </c>
    </row>
    <row r="2202" spans="1:9">
      <c r="A2202" t="s">
        <v>5548</v>
      </c>
      <c r="B2202">
        <v>339</v>
      </c>
      <c r="C2202" t="s">
        <v>5549</v>
      </c>
      <c r="D2202" s="1" t="s">
        <v>7708</v>
      </c>
      <c r="F2202" s="1" t="s">
        <v>9394</v>
      </c>
      <c r="G2202" s="1" t="s">
        <v>9395</v>
      </c>
      <c r="H2202" t="s">
        <v>9396</v>
      </c>
      <c r="I2202" t="s">
        <v>9397</v>
      </c>
    </row>
    <row r="2203" spans="1:9">
      <c r="A2203" t="s">
        <v>5552</v>
      </c>
      <c r="B2203">
        <v>282</v>
      </c>
      <c r="C2203" t="s">
        <v>5553</v>
      </c>
      <c r="D2203" s="1" t="s">
        <v>7709</v>
      </c>
      <c r="F2203" s="1" t="s">
        <v>9398</v>
      </c>
      <c r="G2203" s="1" t="s">
        <v>9399</v>
      </c>
      <c r="H2203" t="s">
        <v>9400</v>
      </c>
      <c r="I2203" t="s">
        <v>9401</v>
      </c>
    </row>
    <row r="2204" spans="1:9">
      <c r="A2204" t="s">
        <v>5552</v>
      </c>
      <c r="B2204">
        <v>282</v>
      </c>
      <c r="C2204" t="s">
        <v>5553</v>
      </c>
      <c r="D2204" s="1" t="s">
        <v>7709</v>
      </c>
      <c r="F2204" s="1" t="s">
        <v>9398</v>
      </c>
      <c r="G2204" s="1" t="s">
        <v>9399</v>
      </c>
      <c r="H2204" t="s">
        <v>9402</v>
      </c>
      <c r="I2204" t="s">
        <v>9403</v>
      </c>
    </row>
    <row r="2205" spans="1:9">
      <c r="A2205" t="s">
        <v>5552</v>
      </c>
      <c r="B2205">
        <v>282</v>
      </c>
      <c r="C2205" t="s">
        <v>5553</v>
      </c>
      <c r="D2205" s="1" t="s">
        <v>7709</v>
      </c>
      <c r="F2205" s="1" t="s">
        <v>9398</v>
      </c>
      <c r="G2205" s="1" t="s">
        <v>9399</v>
      </c>
      <c r="H2205" t="s">
        <v>9404</v>
      </c>
      <c r="I2205" t="s">
        <v>9405</v>
      </c>
    </row>
    <row r="2206" spans="1:9">
      <c r="A2206" t="s">
        <v>5556</v>
      </c>
      <c r="B2206">
        <v>206</v>
      </c>
      <c r="C2206" t="s">
        <v>5557</v>
      </c>
      <c r="D2206" s="1" t="s">
        <v>7299</v>
      </c>
    </row>
    <row r="2207" spans="1:9">
      <c r="A2207" t="s">
        <v>5559</v>
      </c>
      <c r="B2207">
        <v>325</v>
      </c>
      <c r="C2207" t="s">
        <v>5560</v>
      </c>
    </row>
    <row r="2208" spans="1:9">
      <c r="A2208" t="s">
        <v>5563</v>
      </c>
      <c r="B2208">
        <v>247</v>
      </c>
      <c r="C2208" t="s">
        <v>5564</v>
      </c>
      <c r="D2208" s="1" t="s">
        <v>7710</v>
      </c>
      <c r="F2208" s="1" t="s">
        <v>9406</v>
      </c>
    </row>
    <row r="2209" spans="1:9">
      <c r="A2209" t="s">
        <v>5567</v>
      </c>
      <c r="B2209">
        <v>386</v>
      </c>
      <c r="C2209" t="s">
        <v>5568</v>
      </c>
    </row>
    <row r="2210" spans="1:9">
      <c r="A2210" t="s">
        <v>5571</v>
      </c>
      <c r="B2210">
        <v>346</v>
      </c>
      <c r="C2210" t="s">
        <v>5572</v>
      </c>
    </row>
    <row r="2211" spans="1:9">
      <c r="A2211" t="s">
        <v>5575</v>
      </c>
      <c r="B2211">
        <v>379</v>
      </c>
      <c r="C2211" t="s">
        <v>5576</v>
      </c>
      <c r="D2211" s="1" t="s">
        <v>7711</v>
      </c>
      <c r="F2211" s="1" t="s">
        <v>9407</v>
      </c>
      <c r="G2211" s="1" t="s">
        <v>9408</v>
      </c>
      <c r="H2211" t="s">
        <v>9409</v>
      </c>
      <c r="I2211" t="s">
        <v>9410</v>
      </c>
    </row>
    <row r="2212" spans="1:9">
      <c r="A2212" t="s">
        <v>5579</v>
      </c>
      <c r="B2212">
        <v>462</v>
      </c>
      <c r="C2212" t="s">
        <v>5580</v>
      </c>
    </row>
    <row r="2213" spans="1:9">
      <c r="A2213" t="s">
        <v>5581</v>
      </c>
      <c r="B2213">
        <v>352</v>
      </c>
      <c r="C2213" t="s">
        <v>5582</v>
      </c>
    </row>
    <row r="2214" spans="1:9">
      <c r="A2214" t="s">
        <v>5583</v>
      </c>
      <c r="B2214">
        <v>384</v>
      </c>
      <c r="C2214" t="s">
        <v>5584</v>
      </c>
    </row>
    <row r="2215" spans="1:9">
      <c r="A2215" t="s">
        <v>5585</v>
      </c>
      <c r="B2215">
        <v>316</v>
      </c>
      <c r="C2215" t="s">
        <v>5586</v>
      </c>
    </row>
    <row r="2216" spans="1:9">
      <c r="A2216" t="s">
        <v>5587</v>
      </c>
      <c r="B2216">
        <v>226</v>
      </c>
      <c r="C2216" t="s">
        <v>5588</v>
      </c>
    </row>
    <row r="2217" spans="1:9">
      <c r="A2217" t="s">
        <v>5590</v>
      </c>
      <c r="B2217">
        <v>610</v>
      </c>
      <c r="C2217" t="s">
        <v>5591</v>
      </c>
      <c r="D2217" s="1" t="s">
        <v>7336</v>
      </c>
      <c r="F2217" s="1" t="s">
        <v>7963</v>
      </c>
      <c r="G2217" s="1" t="s">
        <v>7964</v>
      </c>
      <c r="H2217" t="s">
        <v>7965</v>
      </c>
      <c r="I2217" t="s">
        <v>8448</v>
      </c>
    </row>
    <row r="2218" spans="1:9">
      <c r="A2218" t="s">
        <v>5590</v>
      </c>
      <c r="B2218">
        <v>610</v>
      </c>
      <c r="C2218" t="s">
        <v>5591</v>
      </c>
      <c r="D2218" s="1" t="s">
        <v>7336</v>
      </c>
      <c r="F2218" s="1" t="s">
        <v>7963</v>
      </c>
      <c r="G2218" s="1" t="s">
        <v>7964</v>
      </c>
      <c r="H2218" t="s">
        <v>10156</v>
      </c>
      <c r="I2218" t="s">
        <v>10157</v>
      </c>
    </row>
    <row r="2219" spans="1:9">
      <c r="A2219" t="s">
        <v>5592</v>
      </c>
      <c r="B2219">
        <v>91</v>
      </c>
      <c r="C2219" t="s">
        <v>5593</v>
      </c>
    </row>
    <row r="2220" spans="1:9">
      <c r="A2220" t="s">
        <v>5594</v>
      </c>
      <c r="B2220">
        <v>67</v>
      </c>
      <c r="C2220" t="s">
        <v>5595</v>
      </c>
    </row>
    <row r="2221" spans="1:9">
      <c r="A2221" t="s">
        <v>5597</v>
      </c>
      <c r="B2221">
        <v>420</v>
      </c>
      <c r="C2221" t="s">
        <v>5598</v>
      </c>
      <c r="D2221" s="1" t="s">
        <v>7398</v>
      </c>
      <c r="F2221" s="1" t="s">
        <v>8148</v>
      </c>
      <c r="G2221" s="1" t="s">
        <v>8149</v>
      </c>
      <c r="H2221" t="s">
        <v>8150</v>
      </c>
      <c r="I2221" t="s">
        <v>8151</v>
      </c>
    </row>
    <row r="2222" spans="1:9">
      <c r="A2222" t="s">
        <v>5597</v>
      </c>
      <c r="B2222">
        <v>420</v>
      </c>
      <c r="C2222" t="s">
        <v>5598</v>
      </c>
      <c r="D2222" s="1" t="s">
        <v>7398</v>
      </c>
      <c r="F2222" s="1" t="s">
        <v>8148</v>
      </c>
      <c r="G2222" s="1" t="s">
        <v>8149</v>
      </c>
      <c r="H2222" t="s">
        <v>9429</v>
      </c>
      <c r="I2222" t="s">
        <v>9414</v>
      </c>
    </row>
    <row r="2223" spans="1:9">
      <c r="A2223" t="s">
        <v>5597</v>
      </c>
      <c r="B2223">
        <v>420</v>
      </c>
      <c r="C2223" t="s">
        <v>5598</v>
      </c>
      <c r="D2223" s="1" t="s">
        <v>7398</v>
      </c>
      <c r="F2223" s="1" t="s">
        <v>8148</v>
      </c>
      <c r="G2223" s="1" t="s">
        <v>8149</v>
      </c>
      <c r="H2223" t="s">
        <v>9415</v>
      </c>
      <c r="I2223" t="s">
        <v>9416</v>
      </c>
    </row>
    <row r="2224" spans="1:9">
      <c r="A2224" t="s">
        <v>5597</v>
      </c>
      <c r="B2224">
        <v>420</v>
      </c>
      <c r="C2224" t="s">
        <v>5598</v>
      </c>
      <c r="D2224" s="1" t="s">
        <v>7398</v>
      </c>
      <c r="F2224" s="1" t="s">
        <v>8148</v>
      </c>
      <c r="G2224" s="1" t="s">
        <v>8149</v>
      </c>
      <c r="H2224" t="s">
        <v>9430</v>
      </c>
      <c r="I2224" t="s">
        <v>9418</v>
      </c>
    </row>
    <row r="2225" spans="1:9">
      <c r="A2225" t="s">
        <v>5597</v>
      </c>
      <c r="B2225">
        <v>420</v>
      </c>
      <c r="C2225" t="s">
        <v>5598</v>
      </c>
      <c r="D2225" s="1" t="s">
        <v>7398</v>
      </c>
      <c r="F2225" s="1" t="s">
        <v>8148</v>
      </c>
      <c r="G2225" s="1" t="s">
        <v>8149</v>
      </c>
      <c r="H2225" t="s">
        <v>9419</v>
      </c>
      <c r="I2225" t="s">
        <v>9420</v>
      </c>
    </row>
    <row r="2226" spans="1:9">
      <c r="A2226" t="s">
        <v>5597</v>
      </c>
      <c r="B2226">
        <v>420</v>
      </c>
      <c r="C2226" t="s">
        <v>5598</v>
      </c>
      <c r="D2226" s="1" t="s">
        <v>7398</v>
      </c>
      <c r="F2226" s="1" t="s">
        <v>8148</v>
      </c>
      <c r="G2226" s="1" t="s">
        <v>8149</v>
      </c>
      <c r="H2226" t="s">
        <v>9421</v>
      </c>
      <c r="I2226" t="s">
        <v>9422</v>
      </c>
    </row>
    <row r="2227" spans="1:9">
      <c r="A2227" t="s">
        <v>5597</v>
      </c>
      <c r="B2227">
        <v>420</v>
      </c>
      <c r="C2227" t="s">
        <v>5598</v>
      </c>
      <c r="D2227" s="1" t="s">
        <v>7398</v>
      </c>
      <c r="F2227" s="1" t="s">
        <v>8148</v>
      </c>
      <c r="G2227" s="1" t="s">
        <v>8149</v>
      </c>
      <c r="H2227" t="s">
        <v>9431</v>
      </c>
      <c r="I2227" t="s">
        <v>9424</v>
      </c>
    </row>
    <row r="2228" spans="1:9">
      <c r="A2228" t="s">
        <v>5597</v>
      </c>
      <c r="B2228">
        <v>420</v>
      </c>
      <c r="C2228" t="s">
        <v>5598</v>
      </c>
      <c r="D2228" s="1" t="s">
        <v>7398</v>
      </c>
      <c r="F2228" s="1" t="s">
        <v>8148</v>
      </c>
      <c r="G2228" s="1" t="s">
        <v>8149</v>
      </c>
      <c r="H2228" t="s">
        <v>9425</v>
      </c>
      <c r="I2228" t="s">
        <v>9426</v>
      </c>
    </row>
    <row r="2229" spans="1:9">
      <c r="A2229" t="s">
        <v>5597</v>
      </c>
      <c r="B2229">
        <v>420</v>
      </c>
      <c r="C2229" t="s">
        <v>5598</v>
      </c>
      <c r="D2229" s="1" t="s">
        <v>7398</v>
      </c>
      <c r="F2229" s="1" t="s">
        <v>8148</v>
      </c>
      <c r="G2229" s="1" t="s">
        <v>8149</v>
      </c>
      <c r="H2229" t="s">
        <v>9427</v>
      </c>
      <c r="I2229" t="s">
        <v>9428</v>
      </c>
    </row>
    <row r="2230" spans="1:9">
      <c r="A2230" t="s">
        <v>5601</v>
      </c>
      <c r="B2230">
        <v>183</v>
      </c>
      <c r="C2230" t="s">
        <v>5602</v>
      </c>
      <c r="D2230" s="1" t="s">
        <v>7712</v>
      </c>
      <c r="F2230" s="1" t="s">
        <v>9411</v>
      </c>
      <c r="G2230" s="1" t="s">
        <v>9412</v>
      </c>
      <c r="H2230" t="s">
        <v>10150</v>
      </c>
      <c r="I2230" t="s">
        <v>10151</v>
      </c>
    </row>
    <row r="2231" spans="1:9">
      <c r="A2231" t="s">
        <v>5603</v>
      </c>
      <c r="B2231">
        <v>182</v>
      </c>
      <c r="C2231" t="s">
        <v>5604</v>
      </c>
    </row>
    <row r="2232" spans="1:9">
      <c r="A2232" t="s">
        <v>5606</v>
      </c>
      <c r="B2232">
        <v>628</v>
      </c>
      <c r="C2232" t="s">
        <v>5607</v>
      </c>
      <c r="D2232" s="1" t="s">
        <v>7324</v>
      </c>
    </row>
    <row r="2233" spans="1:9">
      <c r="A2233" t="s">
        <v>5610</v>
      </c>
      <c r="B2233">
        <v>376</v>
      </c>
      <c r="C2233" t="s">
        <v>5611</v>
      </c>
      <c r="D2233" s="1" t="s">
        <v>7713</v>
      </c>
      <c r="E2233" t="s">
        <v>9432</v>
      </c>
      <c r="F2233" s="1" t="s">
        <v>9433</v>
      </c>
      <c r="G2233" s="1" t="s">
        <v>9434</v>
      </c>
      <c r="H2233" t="s">
        <v>9435</v>
      </c>
      <c r="I2233" t="s">
        <v>9436</v>
      </c>
    </row>
    <row r="2234" spans="1:9">
      <c r="A2234" t="s">
        <v>5610</v>
      </c>
      <c r="B2234">
        <v>376</v>
      </c>
      <c r="C2234" t="s">
        <v>5611</v>
      </c>
      <c r="D2234" s="1" t="s">
        <v>7713</v>
      </c>
      <c r="E2234" t="s">
        <v>9432</v>
      </c>
      <c r="F2234" s="1" t="s">
        <v>9433</v>
      </c>
      <c r="G2234" s="1" t="s">
        <v>9434</v>
      </c>
      <c r="H2234" t="s">
        <v>9437</v>
      </c>
      <c r="I2234" t="s">
        <v>9438</v>
      </c>
    </row>
    <row r="2235" spans="1:9">
      <c r="A2235" t="s">
        <v>5610</v>
      </c>
      <c r="B2235">
        <v>376</v>
      </c>
      <c r="C2235" t="s">
        <v>5611</v>
      </c>
      <c r="D2235" s="1" t="s">
        <v>7713</v>
      </c>
      <c r="E2235" t="s">
        <v>9432</v>
      </c>
      <c r="F2235" s="1" t="s">
        <v>9433</v>
      </c>
      <c r="G2235" s="1" t="s">
        <v>9434</v>
      </c>
      <c r="H2235" t="s">
        <v>9439</v>
      </c>
      <c r="I2235" t="s">
        <v>9440</v>
      </c>
    </row>
    <row r="2236" spans="1:9">
      <c r="A2236" t="s">
        <v>5610</v>
      </c>
      <c r="B2236">
        <v>376</v>
      </c>
      <c r="C2236" t="s">
        <v>5611</v>
      </c>
      <c r="D2236" s="1" t="s">
        <v>7713</v>
      </c>
      <c r="E2236" t="s">
        <v>9432</v>
      </c>
      <c r="F2236" s="1" t="s">
        <v>9433</v>
      </c>
      <c r="G2236" s="1" t="s">
        <v>9434</v>
      </c>
      <c r="H2236" t="s">
        <v>9441</v>
      </c>
      <c r="I2236" t="s">
        <v>9442</v>
      </c>
    </row>
    <row r="2237" spans="1:9">
      <c r="A2237" t="s">
        <v>5610</v>
      </c>
      <c r="B2237">
        <v>376</v>
      </c>
      <c r="C2237" t="s">
        <v>5611</v>
      </c>
      <c r="D2237" s="1" t="s">
        <v>7713</v>
      </c>
      <c r="E2237" t="s">
        <v>9432</v>
      </c>
      <c r="F2237" s="1" t="s">
        <v>9433</v>
      </c>
      <c r="G2237" s="1" t="s">
        <v>9434</v>
      </c>
      <c r="H2237" t="s">
        <v>9435</v>
      </c>
      <c r="I2237" t="s">
        <v>9443</v>
      </c>
    </row>
    <row r="2238" spans="1:9">
      <c r="A2238" t="s">
        <v>5610</v>
      </c>
      <c r="B2238">
        <v>376</v>
      </c>
      <c r="C2238" t="s">
        <v>5611</v>
      </c>
      <c r="D2238" s="1" t="s">
        <v>7713</v>
      </c>
      <c r="E2238" t="s">
        <v>9432</v>
      </c>
      <c r="F2238" s="1" t="s">
        <v>9433</v>
      </c>
      <c r="G2238" s="1" t="s">
        <v>9434</v>
      </c>
      <c r="H2238" t="s">
        <v>9444</v>
      </c>
      <c r="I2238" t="s">
        <v>9445</v>
      </c>
    </row>
    <row r="2239" spans="1:9">
      <c r="A2239" t="s">
        <v>5610</v>
      </c>
      <c r="B2239">
        <v>376</v>
      </c>
      <c r="C2239" t="s">
        <v>5611</v>
      </c>
      <c r="D2239" s="1" t="s">
        <v>7713</v>
      </c>
      <c r="E2239" t="s">
        <v>9432</v>
      </c>
      <c r="F2239" s="1" t="s">
        <v>9433</v>
      </c>
      <c r="G2239" s="1" t="s">
        <v>9434</v>
      </c>
      <c r="H2239" t="s">
        <v>9446</v>
      </c>
      <c r="I2239" t="s">
        <v>9447</v>
      </c>
    </row>
    <row r="2240" spans="1:9">
      <c r="A2240" t="s">
        <v>5610</v>
      </c>
      <c r="B2240">
        <v>376</v>
      </c>
      <c r="C2240" t="s">
        <v>5611</v>
      </c>
      <c r="D2240" s="1" t="s">
        <v>7713</v>
      </c>
      <c r="E2240" t="s">
        <v>9432</v>
      </c>
      <c r="F2240" s="1" t="s">
        <v>9433</v>
      </c>
      <c r="G2240" s="1" t="s">
        <v>9434</v>
      </c>
      <c r="H2240" t="s">
        <v>9448</v>
      </c>
      <c r="I2240" t="s">
        <v>9449</v>
      </c>
    </row>
    <row r="2241" spans="1:9">
      <c r="A2241" t="s">
        <v>5614</v>
      </c>
      <c r="B2241">
        <v>475</v>
      </c>
      <c r="C2241" t="s">
        <v>5615</v>
      </c>
    </row>
    <row r="2242" spans="1:9">
      <c r="A2242" t="s">
        <v>5618</v>
      </c>
      <c r="B2242">
        <v>339</v>
      </c>
      <c r="C2242" t="s">
        <v>5619</v>
      </c>
      <c r="D2242" s="1" t="s">
        <v>7714</v>
      </c>
      <c r="F2242" s="1" t="s">
        <v>9450</v>
      </c>
      <c r="G2242" s="1" t="s">
        <v>9451</v>
      </c>
      <c r="H2242" t="s">
        <v>9452</v>
      </c>
      <c r="I2242" t="s">
        <v>9453</v>
      </c>
    </row>
    <row r="2243" spans="1:9">
      <c r="A2243" t="s">
        <v>5618</v>
      </c>
      <c r="B2243">
        <v>339</v>
      </c>
      <c r="C2243" t="s">
        <v>5619</v>
      </c>
      <c r="D2243" s="1" t="s">
        <v>7714</v>
      </c>
      <c r="F2243" s="1" t="s">
        <v>9450</v>
      </c>
      <c r="G2243" s="1" t="s">
        <v>9451</v>
      </c>
      <c r="H2243" t="s">
        <v>9454</v>
      </c>
      <c r="I2243" t="s">
        <v>9455</v>
      </c>
    </row>
    <row r="2244" spans="1:9">
      <c r="A2244" t="s">
        <v>5618</v>
      </c>
      <c r="B2244">
        <v>339</v>
      </c>
      <c r="C2244" t="s">
        <v>5619</v>
      </c>
      <c r="D2244" s="1" t="s">
        <v>7714</v>
      </c>
      <c r="F2244" s="1" t="s">
        <v>9450</v>
      </c>
      <c r="G2244" s="1" t="s">
        <v>9451</v>
      </c>
      <c r="H2244" t="s">
        <v>9456</v>
      </c>
      <c r="I2244" t="s">
        <v>9457</v>
      </c>
    </row>
    <row r="2245" spans="1:9">
      <c r="A2245" t="s">
        <v>5618</v>
      </c>
      <c r="B2245">
        <v>339</v>
      </c>
      <c r="C2245" t="s">
        <v>5619</v>
      </c>
      <c r="D2245" s="1" t="s">
        <v>7714</v>
      </c>
      <c r="F2245" s="1" t="s">
        <v>9450</v>
      </c>
      <c r="G2245" s="1" t="s">
        <v>9451</v>
      </c>
      <c r="H2245" t="s">
        <v>9458</v>
      </c>
      <c r="I2245" t="s">
        <v>9459</v>
      </c>
    </row>
    <row r="2246" spans="1:9">
      <c r="A2246" t="s">
        <v>5622</v>
      </c>
      <c r="B2246">
        <v>475</v>
      </c>
      <c r="C2246" t="s">
        <v>5623</v>
      </c>
    </row>
    <row r="2247" spans="1:9">
      <c r="A2247" t="s">
        <v>5626</v>
      </c>
      <c r="B2247">
        <v>321</v>
      </c>
      <c r="C2247" t="s">
        <v>5627</v>
      </c>
    </row>
    <row r="2248" spans="1:9">
      <c r="A2248" t="s">
        <v>5630</v>
      </c>
      <c r="B2248">
        <v>273</v>
      </c>
      <c r="C2248" t="s">
        <v>5631</v>
      </c>
    </row>
    <row r="2249" spans="1:9">
      <c r="A2249" t="s">
        <v>5633</v>
      </c>
      <c r="B2249">
        <v>482</v>
      </c>
      <c r="C2249" t="s">
        <v>5634</v>
      </c>
      <c r="D2249" s="1" t="s">
        <v>7324</v>
      </c>
    </row>
    <row r="2250" spans="1:9">
      <c r="A2250" t="s">
        <v>5635</v>
      </c>
      <c r="B2250">
        <v>563</v>
      </c>
      <c r="C2250" t="s">
        <v>5636</v>
      </c>
    </row>
    <row r="2251" spans="1:9">
      <c r="A2251" t="s">
        <v>5638</v>
      </c>
      <c r="B2251">
        <v>416</v>
      </c>
      <c r="C2251" t="s">
        <v>5639</v>
      </c>
    </row>
    <row r="2252" spans="1:9">
      <c r="A2252" t="s">
        <v>5641</v>
      </c>
      <c r="B2252">
        <v>225</v>
      </c>
      <c r="C2252" t="s">
        <v>5642</v>
      </c>
    </row>
    <row r="2253" spans="1:9">
      <c r="A2253" t="s">
        <v>5643</v>
      </c>
      <c r="B2253">
        <v>126</v>
      </c>
      <c r="C2253" t="s">
        <v>5644</v>
      </c>
    </row>
    <row r="2254" spans="1:9">
      <c r="A2254" t="s">
        <v>5646</v>
      </c>
      <c r="B2254">
        <v>458</v>
      </c>
      <c r="C2254" t="s">
        <v>5647</v>
      </c>
      <c r="D2254" s="1" t="s">
        <v>7332</v>
      </c>
    </row>
    <row r="2255" spans="1:9">
      <c r="A2255" t="s">
        <v>5648</v>
      </c>
      <c r="B2255">
        <v>329</v>
      </c>
      <c r="C2255" t="s">
        <v>5649</v>
      </c>
    </row>
    <row r="2256" spans="1:9">
      <c r="A2256" t="s">
        <v>5652</v>
      </c>
      <c r="B2256">
        <v>408</v>
      </c>
      <c r="C2256" t="s">
        <v>5653</v>
      </c>
      <c r="D2256" s="1" t="s">
        <v>7563</v>
      </c>
    </row>
    <row r="2257" spans="1:9">
      <c r="A2257" t="s">
        <v>5654</v>
      </c>
      <c r="B2257">
        <v>373</v>
      </c>
      <c r="C2257" t="s">
        <v>5655</v>
      </c>
    </row>
    <row r="2258" spans="1:9">
      <c r="A2258" t="s">
        <v>5658</v>
      </c>
      <c r="B2258">
        <v>633</v>
      </c>
      <c r="C2258" t="s">
        <v>5659</v>
      </c>
      <c r="D2258" s="1" t="s">
        <v>7715</v>
      </c>
      <c r="F2258" s="1" t="s">
        <v>9460</v>
      </c>
      <c r="G2258" s="1" t="s">
        <v>9461</v>
      </c>
      <c r="H2258" t="s">
        <v>9462</v>
      </c>
      <c r="I2258" t="s">
        <v>9463</v>
      </c>
    </row>
    <row r="2259" spans="1:9">
      <c r="A2259" t="s">
        <v>5658</v>
      </c>
      <c r="B2259">
        <v>633</v>
      </c>
      <c r="C2259" t="s">
        <v>5659</v>
      </c>
      <c r="D2259" s="1" t="s">
        <v>7715</v>
      </c>
      <c r="F2259" s="1" t="s">
        <v>9460</v>
      </c>
      <c r="G2259" s="1" t="s">
        <v>9461</v>
      </c>
      <c r="H2259" t="s">
        <v>9464</v>
      </c>
      <c r="I2259" t="s">
        <v>9465</v>
      </c>
    </row>
    <row r="2260" spans="1:9">
      <c r="A2260" t="s">
        <v>5658</v>
      </c>
      <c r="B2260">
        <v>633</v>
      </c>
      <c r="C2260" t="s">
        <v>5659</v>
      </c>
      <c r="D2260" s="1" t="s">
        <v>7715</v>
      </c>
      <c r="F2260" s="1" t="s">
        <v>9460</v>
      </c>
      <c r="G2260" s="1" t="s">
        <v>9461</v>
      </c>
      <c r="H2260" t="s">
        <v>9466</v>
      </c>
      <c r="I2260" t="s">
        <v>9467</v>
      </c>
    </row>
    <row r="2261" spans="1:9">
      <c r="A2261" t="s">
        <v>5658</v>
      </c>
      <c r="B2261">
        <v>633</v>
      </c>
      <c r="C2261" t="s">
        <v>5659</v>
      </c>
      <c r="D2261" s="1" t="s">
        <v>7715</v>
      </c>
      <c r="F2261" s="1" t="s">
        <v>9460</v>
      </c>
      <c r="G2261" s="1" t="s">
        <v>9461</v>
      </c>
      <c r="H2261" t="s">
        <v>9468</v>
      </c>
      <c r="I2261" t="s">
        <v>9469</v>
      </c>
    </row>
    <row r="2262" spans="1:9">
      <c r="A2262" t="s">
        <v>5658</v>
      </c>
      <c r="B2262">
        <v>633</v>
      </c>
      <c r="C2262" t="s">
        <v>5659</v>
      </c>
      <c r="D2262" s="1" t="s">
        <v>7715</v>
      </c>
      <c r="F2262" s="1" t="s">
        <v>9460</v>
      </c>
      <c r="G2262" s="1" t="s">
        <v>9461</v>
      </c>
      <c r="H2262" t="s">
        <v>9470</v>
      </c>
      <c r="I2262" t="s">
        <v>9471</v>
      </c>
    </row>
    <row r="2263" spans="1:9">
      <c r="A2263" t="s">
        <v>5662</v>
      </c>
      <c r="B2263">
        <v>616</v>
      </c>
      <c r="C2263" t="s">
        <v>5663</v>
      </c>
      <c r="D2263" s="1" t="s">
        <v>7716</v>
      </c>
    </row>
    <row r="2264" spans="1:9">
      <c r="A2264" t="s">
        <v>5664</v>
      </c>
      <c r="B2264">
        <v>178</v>
      </c>
      <c r="C2264" t="s">
        <v>5665</v>
      </c>
    </row>
    <row r="2265" spans="1:9">
      <c r="A2265" t="s">
        <v>5668</v>
      </c>
      <c r="B2265">
        <v>87</v>
      </c>
      <c r="C2265" t="s">
        <v>5669</v>
      </c>
    </row>
    <row r="2266" spans="1:9">
      <c r="A2266" t="s">
        <v>5670</v>
      </c>
      <c r="B2266">
        <v>192</v>
      </c>
      <c r="C2266" t="s">
        <v>5671</v>
      </c>
    </row>
    <row r="2267" spans="1:9">
      <c r="A2267" t="s">
        <v>5674</v>
      </c>
      <c r="B2267">
        <v>280</v>
      </c>
      <c r="C2267" t="s">
        <v>5675</v>
      </c>
      <c r="D2267" s="1" t="s">
        <v>7717</v>
      </c>
      <c r="F2267" s="1" t="s">
        <v>9472</v>
      </c>
      <c r="G2267" s="1" t="s">
        <v>9473</v>
      </c>
      <c r="H2267" t="s">
        <v>9474</v>
      </c>
      <c r="I2267" t="s">
        <v>9475</v>
      </c>
    </row>
    <row r="2268" spans="1:9">
      <c r="A2268" t="s">
        <v>5676</v>
      </c>
      <c r="B2268">
        <v>453</v>
      </c>
      <c r="C2268" t="s">
        <v>5677</v>
      </c>
    </row>
    <row r="2269" spans="1:9">
      <c r="A2269" t="s">
        <v>5679</v>
      </c>
      <c r="B2269">
        <v>215</v>
      </c>
      <c r="C2269" t="s">
        <v>5680</v>
      </c>
    </row>
    <row r="2270" spans="1:9">
      <c r="A2270" t="s">
        <v>5682</v>
      </c>
      <c r="B2270">
        <v>124</v>
      </c>
      <c r="C2270" t="s">
        <v>5683</v>
      </c>
    </row>
    <row r="2271" spans="1:9">
      <c r="A2271" t="s">
        <v>5684</v>
      </c>
      <c r="B2271">
        <v>322</v>
      </c>
      <c r="C2271" t="s">
        <v>5685</v>
      </c>
    </row>
    <row r="2272" spans="1:9">
      <c r="A2272" t="s">
        <v>5687</v>
      </c>
      <c r="B2272">
        <v>467</v>
      </c>
      <c r="C2272" t="s">
        <v>5688</v>
      </c>
    </row>
    <row r="2273" spans="1:9">
      <c r="A2273" t="s">
        <v>5691</v>
      </c>
      <c r="B2273">
        <v>225</v>
      </c>
      <c r="C2273" t="s">
        <v>5692</v>
      </c>
    </row>
    <row r="2274" spans="1:9">
      <c r="A2274" t="s">
        <v>5694</v>
      </c>
      <c r="B2274">
        <v>265</v>
      </c>
      <c r="C2274" t="s">
        <v>5695</v>
      </c>
    </row>
    <row r="2275" spans="1:9">
      <c r="A2275" t="s">
        <v>5698</v>
      </c>
      <c r="B2275">
        <v>232</v>
      </c>
      <c r="C2275" t="s">
        <v>5699</v>
      </c>
      <c r="D2275" s="1" t="s">
        <v>7462</v>
      </c>
    </row>
    <row r="2276" spans="1:9">
      <c r="A2276" t="s">
        <v>5702</v>
      </c>
      <c r="B2276">
        <v>156</v>
      </c>
      <c r="C2276" t="s">
        <v>5703</v>
      </c>
    </row>
    <row r="2277" spans="1:9">
      <c r="A2277" t="s">
        <v>5706</v>
      </c>
      <c r="B2277">
        <v>205</v>
      </c>
      <c r="C2277" t="s">
        <v>5707</v>
      </c>
      <c r="D2277" s="1" t="s">
        <v>7718</v>
      </c>
      <c r="F2277" s="1" t="s">
        <v>9476</v>
      </c>
      <c r="G2277" s="1" t="s">
        <v>9477</v>
      </c>
      <c r="H2277" t="s">
        <v>9478</v>
      </c>
      <c r="I2277" t="s">
        <v>9479</v>
      </c>
    </row>
    <row r="2278" spans="1:9">
      <c r="A2278" t="s">
        <v>5706</v>
      </c>
      <c r="B2278">
        <v>205</v>
      </c>
      <c r="C2278" t="s">
        <v>5707</v>
      </c>
      <c r="D2278" s="1" t="s">
        <v>7718</v>
      </c>
      <c r="F2278" s="1" t="s">
        <v>9476</v>
      </c>
      <c r="G2278" s="1" t="s">
        <v>9477</v>
      </c>
      <c r="H2278" t="s">
        <v>9480</v>
      </c>
      <c r="I2278" t="s">
        <v>9481</v>
      </c>
    </row>
    <row r="2279" spans="1:9">
      <c r="A2279" t="s">
        <v>5709</v>
      </c>
      <c r="B2279">
        <v>308</v>
      </c>
      <c r="C2279" t="s">
        <v>5710</v>
      </c>
    </row>
    <row r="2280" spans="1:9">
      <c r="A2280" t="s">
        <v>5713</v>
      </c>
      <c r="B2280">
        <v>422</v>
      </c>
      <c r="C2280" t="s">
        <v>5714</v>
      </c>
      <c r="D2280" s="1" t="s">
        <v>7719</v>
      </c>
      <c r="F2280" s="1" t="s">
        <v>9482</v>
      </c>
      <c r="G2280" s="1" t="s">
        <v>9483</v>
      </c>
      <c r="H2280" t="s">
        <v>9484</v>
      </c>
      <c r="I2280" t="s">
        <v>9485</v>
      </c>
    </row>
    <row r="2281" spans="1:9">
      <c r="A2281" t="s">
        <v>5716</v>
      </c>
      <c r="B2281">
        <v>359</v>
      </c>
      <c r="C2281" t="s">
        <v>5717</v>
      </c>
    </row>
    <row r="2282" spans="1:9">
      <c r="A2282" t="s">
        <v>5719</v>
      </c>
      <c r="B2282">
        <v>232</v>
      </c>
      <c r="C2282" t="s">
        <v>5720</v>
      </c>
      <c r="D2282" s="1" t="s">
        <v>7324</v>
      </c>
    </row>
    <row r="2283" spans="1:9">
      <c r="A2283" t="s">
        <v>5722</v>
      </c>
      <c r="B2283">
        <v>274</v>
      </c>
      <c r="C2283" t="s">
        <v>5723</v>
      </c>
    </row>
    <row r="2284" spans="1:9">
      <c r="A2284" t="s">
        <v>5726</v>
      </c>
      <c r="B2284">
        <v>265</v>
      </c>
      <c r="C2284" t="s">
        <v>5727</v>
      </c>
    </row>
    <row r="2285" spans="1:9">
      <c r="A2285" t="s">
        <v>5730</v>
      </c>
      <c r="B2285">
        <v>229</v>
      </c>
      <c r="C2285" t="s">
        <v>5731</v>
      </c>
    </row>
    <row r="2286" spans="1:9">
      <c r="A2286" t="s">
        <v>5734</v>
      </c>
      <c r="B2286">
        <v>309</v>
      </c>
      <c r="C2286" t="s">
        <v>5735</v>
      </c>
      <c r="D2286" s="1" t="s">
        <v>7720</v>
      </c>
      <c r="F2286" s="1" t="s">
        <v>9486</v>
      </c>
      <c r="G2286" s="1" t="s">
        <v>9487</v>
      </c>
      <c r="H2286" t="s">
        <v>9488</v>
      </c>
      <c r="I2286" t="s">
        <v>9489</v>
      </c>
    </row>
    <row r="2287" spans="1:9">
      <c r="A2287" t="s">
        <v>5734</v>
      </c>
      <c r="B2287">
        <v>309</v>
      </c>
      <c r="C2287" t="s">
        <v>5735</v>
      </c>
      <c r="D2287" s="1" t="s">
        <v>7720</v>
      </c>
      <c r="F2287" s="1" t="s">
        <v>9486</v>
      </c>
      <c r="G2287" s="1" t="s">
        <v>9487</v>
      </c>
      <c r="H2287" t="s">
        <v>9490</v>
      </c>
      <c r="I2287" t="s">
        <v>9491</v>
      </c>
    </row>
    <row r="2288" spans="1:9">
      <c r="A2288" t="s">
        <v>5734</v>
      </c>
      <c r="B2288">
        <v>309</v>
      </c>
      <c r="C2288" t="s">
        <v>5735</v>
      </c>
      <c r="D2288" s="1" t="s">
        <v>7720</v>
      </c>
      <c r="F2288" s="1" t="s">
        <v>9486</v>
      </c>
      <c r="G2288" s="1" t="s">
        <v>9487</v>
      </c>
      <c r="H2288" t="s">
        <v>9492</v>
      </c>
      <c r="I2288" t="s">
        <v>9493</v>
      </c>
    </row>
    <row r="2289" spans="1:9">
      <c r="A2289" t="s">
        <v>5738</v>
      </c>
      <c r="B2289">
        <v>410</v>
      </c>
      <c r="C2289" t="s">
        <v>5739</v>
      </c>
      <c r="D2289" s="1" t="s">
        <v>7721</v>
      </c>
      <c r="F2289" s="1" t="s">
        <v>9494</v>
      </c>
      <c r="G2289" s="1" t="s">
        <v>9495</v>
      </c>
      <c r="H2289" t="s">
        <v>9496</v>
      </c>
      <c r="I2289" t="s">
        <v>9497</v>
      </c>
    </row>
    <row r="2290" spans="1:9">
      <c r="A2290" t="s">
        <v>5742</v>
      </c>
      <c r="B2290">
        <v>510</v>
      </c>
      <c r="C2290" t="s">
        <v>5743</v>
      </c>
    </row>
    <row r="2291" spans="1:9">
      <c r="A2291" t="s">
        <v>5744</v>
      </c>
      <c r="B2291">
        <v>321</v>
      </c>
      <c r="C2291" t="s">
        <v>5745</v>
      </c>
    </row>
    <row r="2292" spans="1:9">
      <c r="A2292" t="s">
        <v>5746</v>
      </c>
      <c r="B2292">
        <v>296</v>
      </c>
      <c r="C2292" t="s">
        <v>5747</v>
      </c>
    </row>
    <row r="2293" spans="1:9">
      <c r="A2293" t="s">
        <v>5748</v>
      </c>
      <c r="B2293">
        <v>206</v>
      </c>
      <c r="C2293" t="s">
        <v>5749</v>
      </c>
    </row>
    <row r="2294" spans="1:9">
      <c r="A2294" t="s">
        <v>5752</v>
      </c>
      <c r="B2294">
        <v>92</v>
      </c>
      <c r="C2294" t="s">
        <v>5753</v>
      </c>
    </row>
    <row r="2295" spans="1:9">
      <c r="A2295" t="s">
        <v>5756</v>
      </c>
      <c r="B2295">
        <v>101</v>
      </c>
      <c r="C2295" t="s">
        <v>5757</v>
      </c>
    </row>
    <row r="2296" spans="1:9">
      <c r="A2296" t="s">
        <v>5760</v>
      </c>
      <c r="B2296">
        <v>1285</v>
      </c>
      <c r="C2296" t="s">
        <v>5761</v>
      </c>
      <c r="D2296" s="1" t="s">
        <v>7722</v>
      </c>
      <c r="F2296" s="1" t="s">
        <v>9629</v>
      </c>
    </row>
    <row r="2297" spans="1:9">
      <c r="A2297" t="s">
        <v>5762</v>
      </c>
      <c r="B2297">
        <v>263</v>
      </c>
      <c r="C2297" t="s">
        <v>5763</v>
      </c>
    </row>
    <row r="2298" spans="1:9">
      <c r="A2298" t="s">
        <v>5764</v>
      </c>
      <c r="B2298">
        <v>354</v>
      </c>
      <c r="C2298" t="s">
        <v>5765</v>
      </c>
    </row>
    <row r="2299" spans="1:9">
      <c r="A2299" t="s">
        <v>5768</v>
      </c>
      <c r="B2299">
        <v>116</v>
      </c>
      <c r="C2299" t="s">
        <v>5769</v>
      </c>
    </row>
    <row r="2300" spans="1:9">
      <c r="A2300" t="s">
        <v>5772</v>
      </c>
      <c r="B2300">
        <v>148</v>
      </c>
      <c r="C2300" t="s">
        <v>5773</v>
      </c>
      <c r="D2300" s="1" t="s">
        <v>7723</v>
      </c>
      <c r="F2300" s="1" t="s">
        <v>9630</v>
      </c>
      <c r="G2300" s="1" t="s">
        <v>9631</v>
      </c>
      <c r="H2300" t="s">
        <v>9632</v>
      </c>
      <c r="I2300" t="s">
        <v>9633</v>
      </c>
    </row>
    <row r="2301" spans="1:9">
      <c r="A2301" t="s">
        <v>5772</v>
      </c>
      <c r="B2301">
        <v>148</v>
      </c>
      <c r="C2301" t="s">
        <v>5773</v>
      </c>
      <c r="D2301" s="1" t="s">
        <v>7723</v>
      </c>
      <c r="F2301" s="1" t="s">
        <v>9630</v>
      </c>
      <c r="G2301" s="1" t="s">
        <v>9631</v>
      </c>
      <c r="H2301" t="s">
        <v>9634</v>
      </c>
      <c r="I2301" t="s">
        <v>9635</v>
      </c>
    </row>
    <row r="2302" spans="1:9">
      <c r="A2302" t="s">
        <v>5772</v>
      </c>
      <c r="B2302">
        <v>148</v>
      </c>
      <c r="C2302" t="s">
        <v>5773</v>
      </c>
      <c r="D2302" s="1" t="s">
        <v>7723</v>
      </c>
      <c r="F2302" s="1" t="s">
        <v>9630</v>
      </c>
      <c r="G2302" s="1" t="s">
        <v>9631</v>
      </c>
      <c r="H2302" t="s">
        <v>9636</v>
      </c>
      <c r="I2302" t="s">
        <v>9637</v>
      </c>
    </row>
    <row r="2303" spans="1:9">
      <c r="A2303" t="s">
        <v>5772</v>
      </c>
      <c r="B2303">
        <v>148</v>
      </c>
      <c r="C2303" t="s">
        <v>5773</v>
      </c>
      <c r="D2303" s="1" t="s">
        <v>7723</v>
      </c>
      <c r="F2303" s="1" t="s">
        <v>9630</v>
      </c>
      <c r="G2303" s="1" t="s">
        <v>9631</v>
      </c>
      <c r="H2303" t="s">
        <v>9638</v>
      </c>
      <c r="I2303" t="s">
        <v>9639</v>
      </c>
    </row>
    <row r="2304" spans="1:9">
      <c r="A2304" t="s">
        <v>5772</v>
      </c>
      <c r="B2304">
        <v>148</v>
      </c>
      <c r="C2304" t="s">
        <v>5773</v>
      </c>
      <c r="D2304" s="1" t="s">
        <v>7723</v>
      </c>
      <c r="F2304" s="1" t="s">
        <v>9630</v>
      </c>
      <c r="G2304" s="1" t="s">
        <v>9631</v>
      </c>
      <c r="H2304" t="s">
        <v>9640</v>
      </c>
      <c r="I2304" t="s">
        <v>9641</v>
      </c>
    </row>
    <row r="2305" spans="1:9">
      <c r="A2305" t="s">
        <v>5772</v>
      </c>
      <c r="B2305">
        <v>148</v>
      </c>
      <c r="C2305" t="s">
        <v>5773</v>
      </c>
      <c r="D2305" s="1" t="s">
        <v>7723</v>
      </c>
      <c r="F2305" s="1" t="s">
        <v>9630</v>
      </c>
      <c r="G2305" s="1" t="s">
        <v>9631</v>
      </c>
      <c r="H2305" t="s">
        <v>9642</v>
      </c>
      <c r="I2305" t="s">
        <v>9643</v>
      </c>
    </row>
    <row r="2306" spans="1:9">
      <c r="A2306" t="s">
        <v>5772</v>
      </c>
      <c r="B2306">
        <v>148</v>
      </c>
      <c r="C2306" t="s">
        <v>5773</v>
      </c>
      <c r="D2306" s="1" t="s">
        <v>7723</v>
      </c>
      <c r="F2306" s="1" t="s">
        <v>9630</v>
      </c>
      <c r="G2306" s="1" t="s">
        <v>9631</v>
      </c>
      <c r="H2306" t="s">
        <v>9644</v>
      </c>
      <c r="I2306" t="s">
        <v>9645</v>
      </c>
    </row>
    <row r="2307" spans="1:9">
      <c r="A2307" t="s">
        <v>5772</v>
      </c>
      <c r="B2307">
        <v>148</v>
      </c>
      <c r="C2307" t="s">
        <v>5773</v>
      </c>
      <c r="D2307" s="1" t="s">
        <v>7723</v>
      </c>
      <c r="F2307" s="1" t="s">
        <v>9630</v>
      </c>
      <c r="G2307" s="1" t="s">
        <v>9631</v>
      </c>
      <c r="H2307" t="s">
        <v>9646</v>
      </c>
      <c r="I2307" t="s">
        <v>9647</v>
      </c>
    </row>
    <row r="2308" spans="1:9">
      <c r="A2308" t="s">
        <v>5772</v>
      </c>
      <c r="B2308">
        <v>148</v>
      </c>
      <c r="C2308" t="s">
        <v>5773</v>
      </c>
      <c r="D2308" s="1" t="s">
        <v>7723</v>
      </c>
      <c r="F2308" s="1" t="s">
        <v>9630</v>
      </c>
      <c r="G2308" s="1" t="s">
        <v>9631</v>
      </c>
      <c r="H2308" t="s">
        <v>9648</v>
      </c>
      <c r="I2308" t="s">
        <v>9649</v>
      </c>
    </row>
    <row r="2309" spans="1:9">
      <c r="A2309" t="s">
        <v>5772</v>
      </c>
      <c r="B2309">
        <v>148</v>
      </c>
      <c r="C2309" t="s">
        <v>5773</v>
      </c>
      <c r="D2309" s="1" t="s">
        <v>7723</v>
      </c>
      <c r="F2309" s="1" t="s">
        <v>9630</v>
      </c>
      <c r="G2309" s="1" t="s">
        <v>9631</v>
      </c>
      <c r="H2309" t="s">
        <v>9650</v>
      </c>
      <c r="I2309" t="s">
        <v>9651</v>
      </c>
    </row>
    <row r="2310" spans="1:9">
      <c r="A2310" t="s">
        <v>5772</v>
      </c>
      <c r="B2310">
        <v>148</v>
      </c>
      <c r="C2310" t="s">
        <v>5773</v>
      </c>
      <c r="D2310" s="1" t="s">
        <v>7723</v>
      </c>
      <c r="F2310" s="1" t="s">
        <v>9630</v>
      </c>
      <c r="G2310" s="1" t="s">
        <v>9631</v>
      </c>
      <c r="H2310" t="s">
        <v>9652</v>
      </c>
      <c r="I2310" t="s">
        <v>9653</v>
      </c>
    </row>
    <row r="2311" spans="1:9">
      <c r="A2311" t="s">
        <v>5772</v>
      </c>
      <c r="B2311">
        <v>148</v>
      </c>
      <c r="C2311" t="s">
        <v>5773</v>
      </c>
      <c r="D2311" s="1" t="s">
        <v>7723</v>
      </c>
      <c r="F2311" s="1" t="s">
        <v>9630</v>
      </c>
      <c r="G2311" s="1" t="s">
        <v>9631</v>
      </c>
      <c r="H2311" t="s">
        <v>9654</v>
      </c>
      <c r="I2311" t="s">
        <v>9655</v>
      </c>
    </row>
    <row r="2312" spans="1:9">
      <c r="A2312" t="s">
        <v>5772</v>
      </c>
      <c r="B2312">
        <v>148</v>
      </c>
      <c r="C2312" t="s">
        <v>5773</v>
      </c>
      <c r="D2312" s="1" t="s">
        <v>7723</v>
      </c>
      <c r="F2312" s="1" t="s">
        <v>9630</v>
      </c>
      <c r="G2312" s="1" t="s">
        <v>9631</v>
      </c>
      <c r="H2312" t="s">
        <v>9656</v>
      </c>
      <c r="I2312" t="s">
        <v>9657</v>
      </c>
    </row>
    <row r="2313" spans="1:9">
      <c r="A2313" t="s">
        <v>5772</v>
      </c>
      <c r="B2313">
        <v>148</v>
      </c>
      <c r="C2313" t="s">
        <v>5773</v>
      </c>
      <c r="D2313" s="1" t="s">
        <v>7723</v>
      </c>
      <c r="F2313" s="1" t="s">
        <v>9630</v>
      </c>
      <c r="G2313" s="1" t="s">
        <v>9631</v>
      </c>
      <c r="H2313" t="s">
        <v>9658</v>
      </c>
      <c r="I2313" t="s">
        <v>9659</v>
      </c>
    </row>
    <row r="2314" spans="1:9">
      <c r="A2314" t="s">
        <v>5772</v>
      </c>
      <c r="B2314">
        <v>148</v>
      </c>
      <c r="C2314" t="s">
        <v>5773</v>
      </c>
      <c r="D2314" s="1" t="s">
        <v>7723</v>
      </c>
      <c r="F2314" s="1" t="s">
        <v>9630</v>
      </c>
      <c r="G2314" s="1" t="s">
        <v>9631</v>
      </c>
      <c r="H2314" t="s">
        <v>9660</v>
      </c>
      <c r="I2314" t="s">
        <v>9661</v>
      </c>
    </row>
    <row r="2315" spans="1:9">
      <c r="A2315" t="s">
        <v>5772</v>
      </c>
      <c r="B2315">
        <v>148</v>
      </c>
      <c r="C2315" t="s">
        <v>5773</v>
      </c>
      <c r="D2315" s="1" t="s">
        <v>7723</v>
      </c>
      <c r="F2315" s="1" t="s">
        <v>9630</v>
      </c>
      <c r="G2315" s="1" t="s">
        <v>9631</v>
      </c>
      <c r="H2315" t="s">
        <v>9662</v>
      </c>
      <c r="I2315" t="s">
        <v>9663</v>
      </c>
    </row>
    <row r="2316" spans="1:9">
      <c r="A2316" t="s">
        <v>5774</v>
      </c>
      <c r="B2316">
        <v>103</v>
      </c>
      <c r="C2316" t="s">
        <v>5775</v>
      </c>
    </row>
    <row r="2317" spans="1:9">
      <c r="A2317" t="s">
        <v>5776</v>
      </c>
      <c r="B2317">
        <v>164</v>
      </c>
      <c r="C2317" t="s">
        <v>5777</v>
      </c>
    </row>
    <row r="2318" spans="1:9">
      <c r="A2318" t="s">
        <v>5780</v>
      </c>
      <c r="B2318">
        <v>523</v>
      </c>
      <c r="C2318" t="s">
        <v>5781</v>
      </c>
      <c r="D2318" s="1" t="s">
        <v>7724</v>
      </c>
      <c r="F2318" s="1" t="s">
        <v>9664</v>
      </c>
      <c r="G2318" s="1" t="s">
        <v>9665</v>
      </c>
      <c r="H2318" t="s">
        <v>9666</v>
      </c>
      <c r="I2318" t="s">
        <v>9667</v>
      </c>
    </row>
    <row r="2319" spans="1:9">
      <c r="A2319" t="s">
        <v>5780</v>
      </c>
      <c r="B2319">
        <v>523</v>
      </c>
      <c r="C2319" t="s">
        <v>5781</v>
      </c>
      <c r="D2319" s="1" t="s">
        <v>7724</v>
      </c>
      <c r="F2319" s="1" t="s">
        <v>9664</v>
      </c>
      <c r="G2319" s="1" t="s">
        <v>9665</v>
      </c>
      <c r="H2319" t="s">
        <v>9668</v>
      </c>
      <c r="I2319" t="s">
        <v>9669</v>
      </c>
    </row>
    <row r="2320" spans="1:9">
      <c r="A2320" t="s">
        <v>5780</v>
      </c>
      <c r="B2320">
        <v>523</v>
      </c>
      <c r="C2320" t="s">
        <v>5781</v>
      </c>
      <c r="D2320" s="1" t="s">
        <v>7724</v>
      </c>
      <c r="F2320" s="1" t="s">
        <v>9664</v>
      </c>
      <c r="G2320" s="1" t="s">
        <v>9665</v>
      </c>
      <c r="H2320" t="s">
        <v>9670</v>
      </c>
      <c r="I2320" t="s">
        <v>9671</v>
      </c>
    </row>
    <row r="2321" spans="1:9">
      <c r="A2321" t="s">
        <v>5780</v>
      </c>
      <c r="B2321">
        <v>523</v>
      </c>
      <c r="C2321" t="s">
        <v>5781</v>
      </c>
      <c r="D2321" s="1" t="s">
        <v>7724</v>
      </c>
      <c r="F2321" s="1" t="s">
        <v>9664</v>
      </c>
      <c r="G2321" s="1" t="s">
        <v>9665</v>
      </c>
      <c r="H2321" t="s">
        <v>9672</v>
      </c>
      <c r="I2321" t="s">
        <v>9673</v>
      </c>
    </row>
    <row r="2322" spans="1:9">
      <c r="A2322" t="s">
        <v>5780</v>
      </c>
      <c r="B2322">
        <v>523</v>
      </c>
      <c r="C2322" t="s">
        <v>5781</v>
      </c>
      <c r="D2322" s="1" t="s">
        <v>7724</v>
      </c>
      <c r="F2322" s="1" t="s">
        <v>9664</v>
      </c>
      <c r="G2322" s="1" t="s">
        <v>9665</v>
      </c>
      <c r="H2322" t="s">
        <v>9674</v>
      </c>
      <c r="I2322" t="s">
        <v>9675</v>
      </c>
    </row>
    <row r="2323" spans="1:9">
      <c r="A2323" t="s">
        <v>5784</v>
      </c>
      <c r="B2323">
        <v>921</v>
      </c>
      <c r="C2323" t="s">
        <v>5785</v>
      </c>
      <c r="D2323" s="1" t="s">
        <v>7725</v>
      </c>
      <c r="F2323" s="1" t="s">
        <v>9676</v>
      </c>
      <c r="G2323" s="1" t="s">
        <v>9677</v>
      </c>
      <c r="H2323" t="s">
        <v>9678</v>
      </c>
      <c r="I2323" t="s">
        <v>9679</v>
      </c>
    </row>
    <row r="2324" spans="1:9">
      <c r="A2324" t="s">
        <v>5788</v>
      </c>
      <c r="B2324">
        <v>273</v>
      </c>
      <c r="C2324" t="s">
        <v>5789</v>
      </c>
      <c r="D2324" s="1" t="s">
        <v>7726</v>
      </c>
      <c r="F2324" s="1" t="s">
        <v>9680</v>
      </c>
      <c r="G2324" s="1" t="s">
        <v>9681</v>
      </c>
      <c r="H2324" t="s">
        <v>9682</v>
      </c>
      <c r="I2324" t="s">
        <v>9683</v>
      </c>
    </row>
    <row r="2325" spans="1:9">
      <c r="A2325" t="s">
        <v>5788</v>
      </c>
      <c r="B2325">
        <v>273</v>
      </c>
      <c r="C2325" t="s">
        <v>5789</v>
      </c>
      <c r="D2325" s="1" t="s">
        <v>7726</v>
      </c>
      <c r="F2325" s="1" t="s">
        <v>9680</v>
      </c>
      <c r="G2325" s="1" t="s">
        <v>9681</v>
      </c>
      <c r="H2325" t="s">
        <v>9684</v>
      </c>
      <c r="I2325" t="s">
        <v>9685</v>
      </c>
    </row>
    <row r="2326" spans="1:9">
      <c r="A2326" t="s">
        <v>5792</v>
      </c>
      <c r="B2326">
        <v>273</v>
      </c>
      <c r="C2326" t="s">
        <v>5793</v>
      </c>
      <c r="D2326" s="1" t="s">
        <v>7727</v>
      </c>
      <c r="F2326" s="1" t="s">
        <v>9686</v>
      </c>
      <c r="G2326" s="1" t="s">
        <v>9687</v>
      </c>
      <c r="H2326" s="4" t="s">
        <v>9688</v>
      </c>
      <c r="I2326" s="4" t="s">
        <v>9689</v>
      </c>
    </row>
    <row r="2327" spans="1:9">
      <c r="A2327" t="s">
        <v>5796</v>
      </c>
      <c r="B2327">
        <v>318</v>
      </c>
      <c r="C2327" t="s">
        <v>5797</v>
      </c>
      <c r="D2327" s="1" t="s">
        <v>7728</v>
      </c>
      <c r="F2327" s="1" t="s">
        <v>9698</v>
      </c>
      <c r="G2327" s="1" t="s">
        <v>9699</v>
      </c>
      <c r="H2327" t="s">
        <v>9700</v>
      </c>
      <c r="I2327" t="s">
        <v>9701</v>
      </c>
    </row>
    <row r="2328" spans="1:9">
      <c r="A2328" t="s">
        <v>5796</v>
      </c>
      <c r="B2328">
        <v>318</v>
      </c>
      <c r="C2328" t="s">
        <v>5797</v>
      </c>
      <c r="D2328" s="1" t="s">
        <v>7728</v>
      </c>
      <c r="F2328" s="1" t="s">
        <v>9698</v>
      </c>
      <c r="G2328" s="1" t="s">
        <v>9699</v>
      </c>
      <c r="H2328" t="s">
        <v>9702</v>
      </c>
      <c r="I2328" t="s">
        <v>9703</v>
      </c>
    </row>
    <row r="2329" spans="1:9">
      <c r="A2329" t="s">
        <v>5800</v>
      </c>
      <c r="B2329">
        <v>252</v>
      </c>
      <c r="C2329" t="s">
        <v>5801</v>
      </c>
    </row>
    <row r="2330" spans="1:9">
      <c r="A2330" t="s">
        <v>5804</v>
      </c>
      <c r="B2330">
        <v>431</v>
      </c>
      <c r="C2330" t="s">
        <v>5805</v>
      </c>
    </row>
    <row r="2331" spans="1:9">
      <c r="A2331" t="s">
        <v>5808</v>
      </c>
      <c r="B2331">
        <v>254</v>
      </c>
      <c r="C2331" t="s">
        <v>5809</v>
      </c>
      <c r="D2331" s="1" t="s">
        <v>7729</v>
      </c>
      <c r="F2331" s="1" t="s">
        <v>9694</v>
      </c>
      <c r="G2331" s="1" t="s">
        <v>9695</v>
      </c>
      <c r="H2331" t="s">
        <v>9696</v>
      </c>
      <c r="I2331" t="s">
        <v>9697</v>
      </c>
    </row>
    <row r="2332" spans="1:9">
      <c r="A2332" t="s">
        <v>5810</v>
      </c>
      <c r="B2332">
        <v>84</v>
      </c>
      <c r="C2332" t="s">
        <v>5811</v>
      </c>
    </row>
    <row r="2333" spans="1:9">
      <c r="A2333" t="s">
        <v>5812</v>
      </c>
      <c r="B2333">
        <v>96</v>
      </c>
      <c r="C2333" t="s">
        <v>5813</v>
      </c>
    </row>
    <row r="2334" spans="1:9">
      <c r="A2334" t="s">
        <v>5816</v>
      </c>
      <c r="B2334">
        <v>434</v>
      </c>
      <c r="C2334" t="s">
        <v>5817</v>
      </c>
    </row>
    <row r="2335" spans="1:9">
      <c r="A2335" t="s">
        <v>5820</v>
      </c>
      <c r="B2335">
        <v>500</v>
      </c>
      <c r="C2335" t="s">
        <v>5821</v>
      </c>
    </row>
    <row r="2336" spans="1:9">
      <c r="A2336" t="s">
        <v>5824</v>
      </c>
      <c r="B2336">
        <v>207</v>
      </c>
      <c r="C2336" t="s">
        <v>5825</v>
      </c>
      <c r="D2336" s="1" t="s">
        <v>7730</v>
      </c>
      <c r="F2336" s="1" t="s">
        <v>9704</v>
      </c>
    </row>
    <row r="2337" spans="1:9">
      <c r="A2337" t="s">
        <v>5828</v>
      </c>
      <c r="B2337">
        <v>203</v>
      </c>
      <c r="C2337" t="s">
        <v>5829</v>
      </c>
      <c r="D2337" s="1" t="s">
        <v>7730</v>
      </c>
      <c r="F2337" s="1" t="s">
        <v>9704</v>
      </c>
    </row>
    <row r="2338" spans="1:9">
      <c r="A2338" t="s">
        <v>5832</v>
      </c>
      <c r="B2338">
        <v>451</v>
      </c>
      <c r="C2338" t="s">
        <v>5833</v>
      </c>
      <c r="D2338" s="1" t="s">
        <v>7287</v>
      </c>
      <c r="F2338" s="1" t="s">
        <v>7843</v>
      </c>
      <c r="G2338" s="1" t="s">
        <v>7844</v>
      </c>
      <c r="H2338" t="s">
        <v>7845</v>
      </c>
      <c r="I2338" t="s">
        <v>7846</v>
      </c>
    </row>
    <row r="2339" spans="1:9">
      <c r="C2339" t="s">
        <v>5834</v>
      </c>
    </row>
    <row r="2340" spans="1:9">
      <c r="A2340" t="s">
        <v>5835</v>
      </c>
      <c r="B2340">
        <v>282</v>
      </c>
      <c r="C2340" t="s">
        <v>5836</v>
      </c>
    </row>
    <row r="2341" spans="1:9">
      <c r="C2341" t="s">
        <v>5837</v>
      </c>
    </row>
    <row r="2342" spans="1:9">
      <c r="A2342" t="s">
        <v>5838</v>
      </c>
      <c r="B2342">
        <v>75</v>
      </c>
      <c r="C2342" t="s">
        <v>5839</v>
      </c>
    </row>
    <row r="2343" spans="1:9">
      <c r="A2343" t="s">
        <v>5842</v>
      </c>
      <c r="B2343">
        <v>277</v>
      </c>
      <c r="C2343" t="s">
        <v>5843</v>
      </c>
      <c r="D2343" s="1" t="s">
        <v>7731</v>
      </c>
      <c r="F2343" s="1" t="s">
        <v>9705</v>
      </c>
      <c r="G2343" s="1" t="s">
        <v>9706</v>
      </c>
      <c r="H2343" t="s">
        <v>9707</v>
      </c>
      <c r="I2343" t="s">
        <v>9708</v>
      </c>
    </row>
    <row r="2344" spans="1:9">
      <c r="A2344" t="s">
        <v>5846</v>
      </c>
      <c r="B2344">
        <v>159</v>
      </c>
      <c r="C2344" t="s">
        <v>5847</v>
      </c>
      <c r="D2344" s="1" t="s">
        <v>7732</v>
      </c>
      <c r="F2344" s="1" t="s">
        <v>9726</v>
      </c>
      <c r="G2344" s="1" t="s">
        <v>9727</v>
      </c>
      <c r="H2344" t="s">
        <v>9728</v>
      </c>
      <c r="I2344" t="s">
        <v>8698</v>
      </c>
    </row>
    <row r="2345" spans="1:9">
      <c r="A2345" t="s">
        <v>5846</v>
      </c>
      <c r="B2345">
        <v>159</v>
      </c>
      <c r="C2345" t="s">
        <v>5847</v>
      </c>
      <c r="D2345" s="1" t="s">
        <v>7732</v>
      </c>
      <c r="F2345" s="1" t="s">
        <v>9726</v>
      </c>
      <c r="G2345" s="1" t="s">
        <v>9727</v>
      </c>
      <c r="H2345" t="s">
        <v>9729</v>
      </c>
      <c r="I2345" t="s">
        <v>9730</v>
      </c>
    </row>
    <row r="2346" spans="1:9">
      <c r="A2346" t="s">
        <v>5848</v>
      </c>
      <c r="B2346">
        <v>132</v>
      </c>
      <c r="C2346" t="s">
        <v>5849</v>
      </c>
    </row>
    <row r="2347" spans="1:9">
      <c r="A2347" t="s">
        <v>5851</v>
      </c>
      <c r="B2347">
        <v>207</v>
      </c>
      <c r="C2347" t="s">
        <v>5852</v>
      </c>
    </row>
    <row r="2348" spans="1:9">
      <c r="A2348" t="s">
        <v>5854</v>
      </c>
      <c r="B2348">
        <v>838</v>
      </c>
      <c r="C2348" t="s">
        <v>5855</v>
      </c>
      <c r="D2348" s="1" t="s">
        <v>7341</v>
      </c>
      <c r="F2348" s="1" t="s">
        <v>7985</v>
      </c>
      <c r="G2348" s="1" t="s">
        <v>7986</v>
      </c>
      <c r="H2348" t="s">
        <v>7987</v>
      </c>
      <c r="I2348" t="s">
        <v>7988</v>
      </c>
    </row>
    <row r="2349" spans="1:9">
      <c r="A2349" t="s">
        <v>5854</v>
      </c>
      <c r="B2349">
        <v>838</v>
      </c>
      <c r="C2349" t="s">
        <v>5855</v>
      </c>
      <c r="D2349" s="1" t="s">
        <v>7341</v>
      </c>
      <c r="F2349" s="1" t="s">
        <v>7985</v>
      </c>
      <c r="G2349" s="1" t="s">
        <v>7986</v>
      </c>
      <c r="H2349" t="s">
        <v>10213</v>
      </c>
      <c r="I2349" t="s">
        <v>10212</v>
      </c>
    </row>
    <row r="2350" spans="1:9">
      <c r="A2350" t="s">
        <v>5856</v>
      </c>
      <c r="B2350">
        <v>229</v>
      </c>
      <c r="C2350" t="s">
        <v>5857</v>
      </c>
      <c r="D2350" s="1" t="s">
        <v>7314</v>
      </c>
    </row>
    <row r="2351" spans="1:9">
      <c r="A2351" t="s">
        <v>5858</v>
      </c>
      <c r="B2351">
        <v>623</v>
      </c>
      <c r="C2351" t="s">
        <v>5859</v>
      </c>
    </row>
    <row r="2352" spans="1:9">
      <c r="A2352" t="s">
        <v>5862</v>
      </c>
      <c r="B2352">
        <v>358</v>
      </c>
      <c r="C2352" t="s">
        <v>5863</v>
      </c>
      <c r="D2352" s="1" t="s">
        <v>7733</v>
      </c>
      <c r="F2352" s="1" t="s">
        <v>9709</v>
      </c>
      <c r="G2352" s="1" t="s">
        <v>9710</v>
      </c>
      <c r="H2352" t="s">
        <v>9711</v>
      </c>
      <c r="I2352" t="s">
        <v>9712</v>
      </c>
    </row>
    <row r="2353" spans="1:9">
      <c r="A2353" t="s">
        <v>5862</v>
      </c>
      <c r="B2353">
        <v>358</v>
      </c>
      <c r="C2353" t="s">
        <v>5863</v>
      </c>
      <c r="D2353" s="1" t="s">
        <v>7733</v>
      </c>
      <c r="F2353" s="1" t="s">
        <v>9709</v>
      </c>
      <c r="G2353" s="1" t="s">
        <v>9710</v>
      </c>
      <c r="H2353" t="s">
        <v>9713</v>
      </c>
      <c r="I2353" t="s">
        <v>9714</v>
      </c>
    </row>
    <row r="2354" spans="1:9">
      <c r="A2354" t="s">
        <v>5862</v>
      </c>
      <c r="B2354">
        <v>358</v>
      </c>
      <c r="C2354" t="s">
        <v>5863</v>
      </c>
      <c r="D2354" s="1" t="s">
        <v>7733</v>
      </c>
      <c r="F2354" s="1" t="s">
        <v>9709</v>
      </c>
      <c r="G2354" s="1" t="s">
        <v>9710</v>
      </c>
      <c r="H2354" t="s">
        <v>9715</v>
      </c>
      <c r="I2354" s="6" t="s">
        <v>9716</v>
      </c>
    </row>
    <row r="2355" spans="1:9">
      <c r="A2355" t="s">
        <v>5862</v>
      </c>
      <c r="B2355">
        <v>358</v>
      </c>
      <c r="C2355" t="s">
        <v>5863</v>
      </c>
      <c r="D2355" s="1" t="s">
        <v>7733</v>
      </c>
      <c r="F2355" s="1" t="s">
        <v>9709</v>
      </c>
      <c r="G2355" s="1" t="s">
        <v>9710</v>
      </c>
      <c r="H2355" t="s">
        <v>9717</v>
      </c>
      <c r="I2355" s="6" t="s">
        <v>9711</v>
      </c>
    </row>
    <row r="2356" spans="1:9">
      <c r="A2356" t="s">
        <v>5862</v>
      </c>
      <c r="B2356">
        <v>358</v>
      </c>
      <c r="C2356" t="s">
        <v>5863</v>
      </c>
      <c r="D2356" s="1" t="s">
        <v>7733</v>
      </c>
      <c r="F2356" s="1" t="s">
        <v>9709</v>
      </c>
      <c r="G2356" s="1" t="s">
        <v>9710</v>
      </c>
      <c r="H2356" t="s">
        <v>9718</v>
      </c>
      <c r="I2356" s="6" t="s">
        <v>9719</v>
      </c>
    </row>
    <row r="2357" spans="1:9">
      <c r="A2357" t="s">
        <v>5862</v>
      </c>
      <c r="B2357">
        <v>358</v>
      </c>
      <c r="C2357" t="s">
        <v>5863</v>
      </c>
      <c r="D2357" s="1" t="s">
        <v>7733</v>
      </c>
      <c r="F2357" s="1" t="s">
        <v>9709</v>
      </c>
      <c r="G2357" s="1" t="s">
        <v>9710</v>
      </c>
      <c r="H2357" t="s">
        <v>9720</v>
      </c>
      <c r="I2357" s="6" t="s">
        <v>9721</v>
      </c>
    </row>
    <row r="2358" spans="1:9">
      <c r="A2358" t="s">
        <v>5862</v>
      </c>
      <c r="B2358">
        <v>358</v>
      </c>
      <c r="C2358" t="s">
        <v>5863</v>
      </c>
      <c r="D2358" s="1" t="s">
        <v>7733</v>
      </c>
      <c r="F2358" s="1" t="s">
        <v>9709</v>
      </c>
      <c r="G2358" s="1" t="s">
        <v>9710</v>
      </c>
      <c r="H2358" t="s">
        <v>9722</v>
      </c>
      <c r="I2358" s="6" t="s">
        <v>9723</v>
      </c>
    </row>
    <row r="2359" spans="1:9">
      <c r="A2359" t="s">
        <v>5862</v>
      </c>
      <c r="B2359">
        <v>358</v>
      </c>
      <c r="C2359" t="s">
        <v>5863</v>
      </c>
      <c r="D2359" s="1" t="s">
        <v>7733</v>
      </c>
      <c r="F2359" s="1" t="s">
        <v>9709</v>
      </c>
      <c r="G2359" s="1" t="s">
        <v>9710</v>
      </c>
      <c r="H2359" t="s">
        <v>9724</v>
      </c>
      <c r="I2359" s="6" t="s">
        <v>9725</v>
      </c>
    </row>
    <row r="2360" spans="1:9">
      <c r="A2360" t="s">
        <v>5865</v>
      </c>
      <c r="B2360">
        <v>334</v>
      </c>
      <c r="C2360" t="s">
        <v>5866</v>
      </c>
    </row>
    <row r="2361" spans="1:9">
      <c r="A2361" t="s">
        <v>5869</v>
      </c>
      <c r="B2361">
        <v>127</v>
      </c>
      <c r="C2361" t="s">
        <v>5870</v>
      </c>
    </row>
    <row r="2362" spans="1:9">
      <c r="A2362" t="s">
        <v>5873</v>
      </c>
      <c r="B2362">
        <v>363</v>
      </c>
      <c r="C2362" t="s">
        <v>5874</v>
      </c>
      <c r="D2362" s="1" t="s">
        <v>7734</v>
      </c>
      <c r="F2362" s="1" t="s">
        <v>9731</v>
      </c>
      <c r="G2362" s="1" t="s">
        <v>9732</v>
      </c>
      <c r="H2362" t="s">
        <v>9733</v>
      </c>
      <c r="I2362" t="s">
        <v>9734</v>
      </c>
    </row>
    <row r="2363" spans="1:9">
      <c r="A2363" t="s">
        <v>5873</v>
      </c>
      <c r="B2363">
        <v>363</v>
      </c>
      <c r="C2363" t="s">
        <v>5874</v>
      </c>
      <c r="D2363" s="1" t="s">
        <v>7734</v>
      </c>
      <c r="F2363" s="1" t="s">
        <v>9731</v>
      </c>
      <c r="G2363" s="1" t="s">
        <v>9732</v>
      </c>
      <c r="H2363" t="s">
        <v>9735</v>
      </c>
      <c r="I2363" t="s">
        <v>9736</v>
      </c>
    </row>
    <row r="2364" spans="1:9">
      <c r="A2364" t="s">
        <v>5873</v>
      </c>
      <c r="B2364">
        <v>363</v>
      </c>
      <c r="C2364" t="s">
        <v>5874</v>
      </c>
      <c r="D2364" s="1" t="s">
        <v>7734</v>
      </c>
      <c r="F2364" s="1" t="s">
        <v>9731</v>
      </c>
      <c r="G2364" s="1" t="s">
        <v>9732</v>
      </c>
      <c r="H2364" t="s">
        <v>9737</v>
      </c>
      <c r="I2364" t="s">
        <v>9738</v>
      </c>
    </row>
    <row r="2365" spans="1:9">
      <c r="A2365" t="s">
        <v>5873</v>
      </c>
      <c r="B2365">
        <v>363</v>
      </c>
      <c r="C2365" t="s">
        <v>5874</v>
      </c>
      <c r="D2365" s="1" t="s">
        <v>7734</v>
      </c>
      <c r="F2365" s="1" t="s">
        <v>9731</v>
      </c>
      <c r="G2365" s="1" t="s">
        <v>9732</v>
      </c>
      <c r="H2365" t="s">
        <v>9739</v>
      </c>
      <c r="I2365" t="s">
        <v>9740</v>
      </c>
    </row>
    <row r="2366" spans="1:9">
      <c r="A2366" t="s">
        <v>5875</v>
      </c>
      <c r="B2366">
        <v>212</v>
      </c>
      <c r="C2366" t="s">
        <v>5876</v>
      </c>
    </row>
    <row r="2367" spans="1:9">
      <c r="A2367" t="s">
        <v>5878</v>
      </c>
      <c r="B2367">
        <v>136</v>
      </c>
      <c r="C2367" t="s">
        <v>5879</v>
      </c>
    </row>
    <row r="2368" spans="1:9">
      <c r="A2368" t="s">
        <v>5880</v>
      </c>
      <c r="B2368">
        <v>556</v>
      </c>
      <c r="C2368" t="s">
        <v>5881</v>
      </c>
    </row>
    <row r="2369" spans="1:9">
      <c r="A2369" t="s">
        <v>5884</v>
      </c>
      <c r="B2369">
        <v>198</v>
      </c>
      <c r="C2369" t="s">
        <v>5885</v>
      </c>
    </row>
    <row r="2370" spans="1:9">
      <c r="A2370" t="s">
        <v>5887</v>
      </c>
      <c r="B2370">
        <v>654</v>
      </c>
      <c r="C2370" t="s">
        <v>5888</v>
      </c>
    </row>
    <row r="2371" spans="1:9">
      <c r="A2371" t="s">
        <v>5890</v>
      </c>
      <c r="B2371">
        <v>311</v>
      </c>
      <c r="C2371" t="s">
        <v>5891</v>
      </c>
    </row>
    <row r="2372" spans="1:9">
      <c r="C2372" t="s">
        <v>5892</v>
      </c>
    </row>
    <row r="2373" spans="1:9">
      <c r="A2373" t="s">
        <v>5894</v>
      </c>
      <c r="B2373">
        <v>286</v>
      </c>
      <c r="C2373" t="s">
        <v>5895</v>
      </c>
      <c r="D2373" s="1" t="s">
        <v>7464</v>
      </c>
      <c r="F2373" s="1" t="s">
        <v>8306</v>
      </c>
      <c r="G2373" s="1" t="s">
        <v>8307</v>
      </c>
      <c r="H2373" s="3" t="s">
        <v>9741</v>
      </c>
      <c r="I2373" t="s">
        <v>9742</v>
      </c>
    </row>
    <row r="2374" spans="1:9">
      <c r="A2374" t="s">
        <v>5894</v>
      </c>
      <c r="B2374">
        <v>286</v>
      </c>
      <c r="C2374" t="s">
        <v>5895</v>
      </c>
      <c r="D2374" s="1" t="s">
        <v>7464</v>
      </c>
      <c r="F2374" s="1" t="s">
        <v>8306</v>
      </c>
      <c r="G2374" s="1" t="s">
        <v>8307</v>
      </c>
      <c r="H2374" s="3" t="s">
        <v>9743</v>
      </c>
      <c r="I2374" t="s">
        <v>9744</v>
      </c>
    </row>
    <row r="2375" spans="1:9">
      <c r="A2375" t="s">
        <v>5894</v>
      </c>
      <c r="B2375">
        <v>286</v>
      </c>
      <c r="C2375" t="s">
        <v>5895</v>
      </c>
      <c r="D2375" s="1" t="s">
        <v>7464</v>
      </c>
      <c r="F2375" s="1" t="s">
        <v>8306</v>
      </c>
      <c r="G2375" s="1" t="s">
        <v>8307</v>
      </c>
      <c r="H2375" s="3" t="s">
        <v>9745</v>
      </c>
      <c r="I2375" t="s">
        <v>9746</v>
      </c>
    </row>
    <row r="2376" spans="1:9">
      <c r="A2376" t="s">
        <v>5894</v>
      </c>
      <c r="B2376">
        <v>286</v>
      </c>
      <c r="C2376" t="s">
        <v>5895</v>
      </c>
      <c r="D2376" s="1" t="s">
        <v>7464</v>
      </c>
      <c r="F2376" s="1" t="s">
        <v>8306</v>
      </c>
      <c r="G2376" s="1" t="s">
        <v>8307</v>
      </c>
      <c r="H2376" s="3" t="s">
        <v>9747</v>
      </c>
      <c r="I2376" t="s">
        <v>9748</v>
      </c>
    </row>
    <row r="2377" spans="1:9">
      <c r="A2377" t="s">
        <v>5894</v>
      </c>
      <c r="B2377">
        <v>286</v>
      </c>
      <c r="C2377" t="s">
        <v>5895</v>
      </c>
      <c r="D2377" s="1" t="s">
        <v>7464</v>
      </c>
      <c r="F2377" s="1" t="s">
        <v>8306</v>
      </c>
      <c r="G2377" s="1" t="s">
        <v>8307</v>
      </c>
      <c r="H2377" s="3" t="s">
        <v>9749</v>
      </c>
      <c r="I2377" t="s">
        <v>9750</v>
      </c>
    </row>
    <row r="2378" spans="1:9">
      <c r="A2378" t="s">
        <v>5894</v>
      </c>
      <c r="B2378">
        <v>286</v>
      </c>
      <c r="C2378" t="s">
        <v>5895</v>
      </c>
      <c r="D2378" s="1" t="s">
        <v>7464</v>
      </c>
      <c r="F2378" s="1" t="s">
        <v>8306</v>
      </c>
      <c r="G2378" s="1" t="s">
        <v>8307</v>
      </c>
      <c r="H2378" s="3" t="s">
        <v>9751</v>
      </c>
      <c r="I2378" t="s">
        <v>9752</v>
      </c>
    </row>
    <row r="2379" spans="1:9">
      <c r="A2379" t="s">
        <v>5894</v>
      </c>
      <c r="B2379">
        <v>286</v>
      </c>
      <c r="C2379" t="s">
        <v>5895</v>
      </c>
      <c r="D2379" s="1" t="s">
        <v>7464</v>
      </c>
      <c r="F2379" s="1" t="s">
        <v>8306</v>
      </c>
      <c r="G2379" s="1" t="s">
        <v>8307</v>
      </c>
      <c r="H2379" s="3" t="s">
        <v>9753</v>
      </c>
      <c r="I2379" t="s">
        <v>9754</v>
      </c>
    </row>
    <row r="2380" spans="1:9">
      <c r="A2380" t="s">
        <v>5894</v>
      </c>
      <c r="B2380">
        <v>286</v>
      </c>
      <c r="C2380" t="s">
        <v>5895</v>
      </c>
      <c r="D2380" s="1" t="s">
        <v>7464</v>
      </c>
      <c r="F2380" s="1" t="s">
        <v>8306</v>
      </c>
      <c r="G2380" s="1" t="s">
        <v>8307</v>
      </c>
      <c r="H2380" s="3" t="s">
        <v>9755</v>
      </c>
      <c r="I2380" t="s">
        <v>9756</v>
      </c>
    </row>
    <row r="2381" spans="1:9">
      <c r="A2381" t="s">
        <v>5894</v>
      </c>
      <c r="B2381">
        <v>286</v>
      </c>
      <c r="C2381" t="s">
        <v>5895</v>
      </c>
      <c r="D2381" s="1" t="s">
        <v>7464</v>
      </c>
      <c r="F2381" s="1" t="s">
        <v>8306</v>
      </c>
      <c r="G2381" s="1" t="s">
        <v>8307</v>
      </c>
      <c r="H2381" s="3" t="s">
        <v>9757</v>
      </c>
      <c r="I2381" t="s">
        <v>9758</v>
      </c>
    </row>
    <row r="2382" spans="1:9">
      <c r="A2382" t="s">
        <v>5894</v>
      </c>
      <c r="B2382">
        <v>286</v>
      </c>
      <c r="C2382" t="s">
        <v>5895</v>
      </c>
      <c r="D2382" s="1" t="s">
        <v>7464</v>
      </c>
      <c r="F2382" s="1" t="s">
        <v>8306</v>
      </c>
      <c r="G2382" s="1" t="s">
        <v>8307</v>
      </c>
      <c r="H2382" s="3" t="s">
        <v>9759</v>
      </c>
      <c r="I2382" t="s">
        <v>9760</v>
      </c>
    </row>
    <row r="2383" spans="1:9">
      <c r="A2383" t="s">
        <v>5894</v>
      </c>
      <c r="B2383">
        <v>286</v>
      </c>
      <c r="C2383" t="s">
        <v>5895</v>
      </c>
      <c r="D2383" s="1" t="s">
        <v>7464</v>
      </c>
      <c r="F2383" s="1" t="s">
        <v>8306</v>
      </c>
      <c r="G2383" s="1" t="s">
        <v>8307</v>
      </c>
      <c r="H2383" s="3" t="s">
        <v>9761</v>
      </c>
      <c r="I2383" t="s">
        <v>9762</v>
      </c>
    </row>
    <row r="2384" spans="1:9">
      <c r="A2384" t="s">
        <v>5897</v>
      </c>
      <c r="B2384">
        <v>514</v>
      </c>
      <c r="C2384" t="s">
        <v>5898</v>
      </c>
    </row>
    <row r="2385" spans="1:9">
      <c r="A2385" t="s">
        <v>5901</v>
      </c>
      <c r="B2385">
        <v>210</v>
      </c>
      <c r="C2385" t="s">
        <v>5902</v>
      </c>
      <c r="D2385" s="1" t="s">
        <v>7299</v>
      </c>
    </row>
    <row r="2386" spans="1:9">
      <c r="C2386" t="s">
        <v>5904</v>
      </c>
    </row>
    <row r="2387" spans="1:9">
      <c r="A2387" t="s">
        <v>5906</v>
      </c>
      <c r="B2387">
        <v>314</v>
      </c>
      <c r="C2387" t="s">
        <v>5907</v>
      </c>
      <c r="D2387" s="1" t="s">
        <v>7714</v>
      </c>
      <c r="F2387" s="1" t="s">
        <v>9450</v>
      </c>
      <c r="G2387" s="1" t="s">
        <v>9451</v>
      </c>
      <c r="H2387" s="4" t="s">
        <v>9452</v>
      </c>
      <c r="I2387" s="4" t="s">
        <v>9453</v>
      </c>
    </row>
    <row r="2388" spans="1:9">
      <c r="A2388" t="s">
        <v>5906</v>
      </c>
      <c r="B2388">
        <v>314</v>
      </c>
      <c r="C2388" t="s">
        <v>5907</v>
      </c>
      <c r="D2388" s="1" t="s">
        <v>7714</v>
      </c>
      <c r="F2388" s="1" t="s">
        <v>9450</v>
      </c>
      <c r="G2388" s="1" t="s">
        <v>9451</v>
      </c>
      <c r="H2388" s="4" t="s">
        <v>9454</v>
      </c>
      <c r="I2388" s="4" t="s">
        <v>9455</v>
      </c>
    </row>
    <row r="2389" spans="1:9">
      <c r="A2389" t="s">
        <v>5906</v>
      </c>
      <c r="B2389">
        <v>314</v>
      </c>
      <c r="C2389" t="s">
        <v>5907</v>
      </c>
      <c r="D2389" s="1" t="s">
        <v>7714</v>
      </c>
      <c r="F2389" s="1" t="s">
        <v>9450</v>
      </c>
      <c r="G2389" s="1" t="s">
        <v>9451</v>
      </c>
      <c r="H2389" s="4" t="s">
        <v>9456</v>
      </c>
      <c r="I2389" s="4" t="s">
        <v>9457</v>
      </c>
    </row>
    <row r="2390" spans="1:9">
      <c r="A2390" t="s">
        <v>5906</v>
      </c>
      <c r="B2390">
        <v>314</v>
      </c>
      <c r="C2390" t="s">
        <v>5907</v>
      </c>
      <c r="D2390" s="1" t="s">
        <v>7714</v>
      </c>
      <c r="F2390" s="1" t="s">
        <v>9450</v>
      </c>
      <c r="G2390" s="1" t="s">
        <v>9451</v>
      </c>
      <c r="H2390" s="4" t="s">
        <v>9458</v>
      </c>
      <c r="I2390" s="4" t="s">
        <v>9459</v>
      </c>
    </row>
    <row r="2391" spans="1:9">
      <c r="A2391" t="s">
        <v>5910</v>
      </c>
      <c r="B2391">
        <v>401</v>
      </c>
      <c r="C2391" t="s">
        <v>5911</v>
      </c>
      <c r="D2391" s="1" t="s">
        <v>7628</v>
      </c>
    </row>
    <row r="2392" spans="1:9">
      <c r="C2392" t="s">
        <v>5913</v>
      </c>
    </row>
    <row r="2393" spans="1:9">
      <c r="A2393" t="s">
        <v>5915</v>
      </c>
      <c r="B2393">
        <v>255</v>
      </c>
      <c r="C2393" t="s">
        <v>5916</v>
      </c>
      <c r="D2393" s="1" t="s">
        <v>7440</v>
      </c>
      <c r="F2393" s="1" t="s">
        <v>8242</v>
      </c>
    </row>
    <row r="2394" spans="1:9">
      <c r="A2394" t="s">
        <v>5918</v>
      </c>
      <c r="B2394">
        <v>351</v>
      </c>
      <c r="C2394" t="s">
        <v>5919</v>
      </c>
    </row>
    <row r="2395" spans="1:9">
      <c r="A2395" t="s">
        <v>5921</v>
      </c>
      <c r="B2395">
        <v>389</v>
      </c>
      <c r="C2395" t="s">
        <v>5922</v>
      </c>
    </row>
    <row r="2396" spans="1:9">
      <c r="A2396" t="s">
        <v>5925</v>
      </c>
      <c r="B2396">
        <v>425</v>
      </c>
      <c r="C2396" t="s">
        <v>5926</v>
      </c>
      <c r="D2396" s="1" t="s">
        <v>7735</v>
      </c>
      <c r="F2396" s="1" t="s">
        <v>9763</v>
      </c>
      <c r="G2396" s="1" t="s">
        <v>9764</v>
      </c>
      <c r="H2396" t="s">
        <v>9765</v>
      </c>
      <c r="I2396" t="s">
        <v>9766</v>
      </c>
    </row>
    <row r="2397" spans="1:9">
      <c r="A2397" t="s">
        <v>5925</v>
      </c>
      <c r="B2397">
        <v>425</v>
      </c>
      <c r="C2397" t="s">
        <v>5926</v>
      </c>
      <c r="D2397" s="1" t="s">
        <v>7735</v>
      </c>
      <c r="F2397" s="1" t="s">
        <v>9763</v>
      </c>
      <c r="G2397" s="1" t="s">
        <v>9764</v>
      </c>
      <c r="H2397" t="s">
        <v>9767</v>
      </c>
      <c r="I2397" t="s">
        <v>9768</v>
      </c>
    </row>
    <row r="2398" spans="1:9">
      <c r="A2398" t="s">
        <v>5925</v>
      </c>
      <c r="B2398">
        <v>425</v>
      </c>
      <c r="C2398" t="s">
        <v>5926</v>
      </c>
      <c r="D2398" s="1" t="s">
        <v>7735</v>
      </c>
      <c r="F2398" s="1" t="s">
        <v>9763</v>
      </c>
      <c r="G2398" s="1" t="s">
        <v>9764</v>
      </c>
      <c r="H2398" t="s">
        <v>9769</v>
      </c>
      <c r="I2398" t="s">
        <v>9770</v>
      </c>
    </row>
    <row r="2399" spans="1:9">
      <c r="A2399" t="s">
        <v>5927</v>
      </c>
      <c r="B2399">
        <v>92</v>
      </c>
      <c r="C2399" t="s">
        <v>5928</v>
      </c>
    </row>
    <row r="2400" spans="1:9">
      <c r="A2400" t="s">
        <v>5931</v>
      </c>
      <c r="B2400">
        <v>158</v>
      </c>
      <c r="C2400" t="s">
        <v>5932</v>
      </c>
      <c r="D2400" s="1" t="s">
        <v>7621</v>
      </c>
      <c r="F2400" s="1" t="s">
        <v>8823</v>
      </c>
      <c r="G2400" s="1" t="s">
        <v>8824</v>
      </c>
      <c r="H2400" t="s">
        <v>8826</v>
      </c>
      <c r="I2400" t="s">
        <v>8825</v>
      </c>
    </row>
    <row r="2401" spans="1:9">
      <c r="A2401" t="s">
        <v>5933</v>
      </c>
      <c r="B2401">
        <v>205</v>
      </c>
      <c r="C2401" t="s">
        <v>5934</v>
      </c>
    </row>
    <row r="2402" spans="1:9">
      <c r="A2402" t="s">
        <v>5935</v>
      </c>
      <c r="B2402">
        <v>328</v>
      </c>
      <c r="C2402" t="s">
        <v>5936</v>
      </c>
    </row>
    <row r="2403" spans="1:9">
      <c r="A2403" t="s">
        <v>5939</v>
      </c>
      <c r="B2403">
        <v>224</v>
      </c>
      <c r="C2403" t="s">
        <v>5940</v>
      </c>
      <c r="D2403" s="1" t="s">
        <v>7736</v>
      </c>
      <c r="F2403" s="1" t="s">
        <v>9771</v>
      </c>
      <c r="G2403" s="1" t="s">
        <v>9772</v>
      </c>
      <c r="H2403" t="s">
        <v>9773</v>
      </c>
      <c r="I2403" t="s">
        <v>9774</v>
      </c>
    </row>
    <row r="2404" spans="1:9">
      <c r="A2404" t="s">
        <v>5939</v>
      </c>
      <c r="B2404">
        <v>224</v>
      </c>
      <c r="C2404" t="s">
        <v>5940</v>
      </c>
      <c r="D2404" s="1" t="s">
        <v>7736</v>
      </c>
      <c r="F2404" s="1" t="s">
        <v>9771</v>
      </c>
      <c r="G2404" s="1" t="s">
        <v>9772</v>
      </c>
      <c r="H2404" t="s">
        <v>9775</v>
      </c>
      <c r="I2404" t="s">
        <v>9776</v>
      </c>
    </row>
    <row r="2405" spans="1:9">
      <c r="A2405" t="s">
        <v>5939</v>
      </c>
      <c r="B2405">
        <v>224</v>
      </c>
      <c r="C2405" t="s">
        <v>5940</v>
      </c>
      <c r="D2405" s="1" t="s">
        <v>7736</v>
      </c>
      <c r="F2405" s="1" t="s">
        <v>9771</v>
      </c>
      <c r="G2405" s="1" t="s">
        <v>9772</v>
      </c>
      <c r="H2405" t="s">
        <v>9777</v>
      </c>
      <c r="I2405" t="s">
        <v>9778</v>
      </c>
    </row>
    <row r="2406" spans="1:9">
      <c r="A2406" t="s">
        <v>5943</v>
      </c>
      <c r="B2406">
        <v>430</v>
      </c>
      <c r="C2406" t="s">
        <v>5944</v>
      </c>
      <c r="D2406" s="1" t="s">
        <v>7737</v>
      </c>
      <c r="F2406" s="1" t="s">
        <v>9779</v>
      </c>
      <c r="G2406" s="1" t="s">
        <v>9780</v>
      </c>
      <c r="H2406" t="s">
        <v>9781</v>
      </c>
      <c r="I2406" t="s">
        <v>9782</v>
      </c>
    </row>
    <row r="2407" spans="1:9">
      <c r="A2407" t="s">
        <v>5946</v>
      </c>
      <c r="B2407">
        <v>464</v>
      </c>
      <c r="C2407" t="s">
        <v>5947</v>
      </c>
    </row>
    <row r="2408" spans="1:9">
      <c r="A2408" t="s">
        <v>5950</v>
      </c>
      <c r="B2408">
        <v>301</v>
      </c>
      <c r="C2408" t="s">
        <v>5951</v>
      </c>
    </row>
    <row r="2409" spans="1:9">
      <c r="A2409" t="s">
        <v>5954</v>
      </c>
      <c r="B2409">
        <v>415</v>
      </c>
      <c r="C2409" t="s">
        <v>5955</v>
      </c>
      <c r="D2409" s="1" t="s">
        <v>7738</v>
      </c>
      <c r="F2409" s="1" t="s">
        <v>9783</v>
      </c>
      <c r="G2409" s="1" t="s">
        <v>9784</v>
      </c>
      <c r="H2409" t="s">
        <v>9785</v>
      </c>
      <c r="I2409" t="s">
        <v>9786</v>
      </c>
    </row>
    <row r="2410" spans="1:9">
      <c r="A2410" t="s">
        <v>5958</v>
      </c>
      <c r="B2410">
        <v>289</v>
      </c>
      <c r="C2410" t="s">
        <v>5959</v>
      </c>
      <c r="D2410" s="1" t="s">
        <v>7739</v>
      </c>
      <c r="F2410" s="1" t="s">
        <v>9787</v>
      </c>
      <c r="G2410" s="1" t="s">
        <v>9788</v>
      </c>
      <c r="H2410" t="s">
        <v>9789</v>
      </c>
      <c r="I2410" t="s">
        <v>9790</v>
      </c>
    </row>
    <row r="2411" spans="1:9">
      <c r="A2411" t="s">
        <v>5962</v>
      </c>
      <c r="B2411">
        <v>83</v>
      </c>
      <c r="C2411" t="s">
        <v>5963</v>
      </c>
      <c r="D2411" s="1" t="s">
        <v>7740</v>
      </c>
      <c r="F2411" s="1" t="s">
        <v>9791</v>
      </c>
      <c r="G2411" s="1" t="s">
        <v>9792</v>
      </c>
      <c r="H2411" t="s">
        <v>9793</v>
      </c>
      <c r="I2411" t="s">
        <v>9794</v>
      </c>
    </row>
    <row r="2412" spans="1:9">
      <c r="A2412" t="s">
        <v>5962</v>
      </c>
      <c r="B2412">
        <v>83</v>
      </c>
      <c r="C2412" t="s">
        <v>5963</v>
      </c>
      <c r="D2412" s="1" t="s">
        <v>7740</v>
      </c>
      <c r="F2412" s="1" t="s">
        <v>9791</v>
      </c>
      <c r="G2412" s="1" t="s">
        <v>9792</v>
      </c>
      <c r="H2412" t="s">
        <v>9795</v>
      </c>
      <c r="I2412" t="s">
        <v>9796</v>
      </c>
    </row>
    <row r="2413" spans="1:9">
      <c r="A2413" t="s">
        <v>5966</v>
      </c>
      <c r="B2413">
        <v>695</v>
      </c>
      <c r="C2413" t="s">
        <v>5967</v>
      </c>
      <c r="D2413" s="1" t="s">
        <v>7740</v>
      </c>
      <c r="F2413" s="1" t="s">
        <v>9791</v>
      </c>
      <c r="G2413" s="1" t="s">
        <v>9792</v>
      </c>
      <c r="H2413" t="s">
        <v>9793</v>
      </c>
      <c r="I2413" t="s">
        <v>9794</v>
      </c>
    </row>
    <row r="2414" spans="1:9">
      <c r="A2414" t="s">
        <v>5966</v>
      </c>
      <c r="B2414">
        <v>695</v>
      </c>
      <c r="C2414" t="s">
        <v>5967</v>
      </c>
      <c r="D2414" s="1" t="s">
        <v>7740</v>
      </c>
      <c r="F2414" s="1" t="s">
        <v>9791</v>
      </c>
      <c r="G2414" s="1" t="s">
        <v>9792</v>
      </c>
      <c r="H2414" t="s">
        <v>9795</v>
      </c>
      <c r="I2414" t="s">
        <v>9796</v>
      </c>
    </row>
    <row r="2415" spans="1:9">
      <c r="A2415" t="s">
        <v>5970</v>
      </c>
      <c r="B2415">
        <v>635</v>
      </c>
      <c r="C2415" t="s">
        <v>5971</v>
      </c>
    </row>
    <row r="2416" spans="1:9">
      <c r="C2416" t="s">
        <v>5972</v>
      </c>
    </row>
    <row r="2417" spans="1:9">
      <c r="A2417" t="s">
        <v>5973</v>
      </c>
      <c r="B2417">
        <v>158</v>
      </c>
      <c r="C2417" t="s">
        <v>5974</v>
      </c>
    </row>
    <row r="2418" spans="1:9">
      <c r="A2418" t="s">
        <v>5975</v>
      </c>
      <c r="B2418">
        <v>116</v>
      </c>
      <c r="C2418" t="s">
        <v>5976</v>
      </c>
    </row>
    <row r="2419" spans="1:9">
      <c r="A2419" t="s">
        <v>5978</v>
      </c>
      <c r="B2419">
        <v>200</v>
      </c>
      <c r="C2419" t="s">
        <v>5979</v>
      </c>
      <c r="D2419" s="1" t="s">
        <v>7741</v>
      </c>
      <c r="F2419" s="1" t="s">
        <v>9797</v>
      </c>
      <c r="G2419" s="1" t="s">
        <v>9798</v>
      </c>
      <c r="H2419" t="s">
        <v>9799</v>
      </c>
      <c r="I2419" t="s">
        <v>9800</v>
      </c>
    </row>
    <row r="2420" spans="1:9">
      <c r="A2420" t="s">
        <v>5978</v>
      </c>
      <c r="B2420">
        <v>200</v>
      </c>
      <c r="C2420" t="s">
        <v>5979</v>
      </c>
      <c r="D2420" s="1" t="s">
        <v>7741</v>
      </c>
      <c r="F2420" s="1" t="s">
        <v>9797</v>
      </c>
      <c r="G2420" s="1" t="s">
        <v>9798</v>
      </c>
      <c r="H2420" t="s">
        <v>9801</v>
      </c>
      <c r="I2420" t="s">
        <v>9802</v>
      </c>
    </row>
    <row r="2421" spans="1:9">
      <c r="A2421" t="s">
        <v>5978</v>
      </c>
      <c r="B2421">
        <v>200</v>
      </c>
      <c r="C2421" t="s">
        <v>5979</v>
      </c>
      <c r="D2421" s="1" t="s">
        <v>7741</v>
      </c>
      <c r="F2421" s="1" t="s">
        <v>9797</v>
      </c>
      <c r="G2421" s="1" t="s">
        <v>9798</v>
      </c>
      <c r="H2421" t="s">
        <v>9803</v>
      </c>
      <c r="I2421" t="s">
        <v>9804</v>
      </c>
    </row>
    <row r="2422" spans="1:9">
      <c r="A2422" t="s">
        <v>5978</v>
      </c>
      <c r="B2422">
        <v>200</v>
      </c>
      <c r="C2422" t="s">
        <v>5979</v>
      </c>
      <c r="D2422" s="1" t="s">
        <v>7741</v>
      </c>
      <c r="F2422" s="1" t="s">
        <v>9797</v>
      </c>
      <c r="G2422" s="1" t="s">
        <v>9798</v>
      </c>
      <c r="H2422" t="s">
        <v>9805</v>
      </c>
      <c r="I2422" t="s">
        <v>9806</v>
      </c>
    </row>
    <row r="2423" spans="1:9">
      <c r="A2423" t="s">
        <v>5978</v>
      </c>
      <c r="B2423">
        <v>200</v>
      </c>
      <c r="C2423" t="s">
        <v>5979</v>
      </c>
      <c r="D2423" s="1" t="s">
        <v>7741</v>
      </c>
      <c r="F2423" s="1" t="s">
        <v>9797</v>
      </c>
      <c r="G2423" s="1" t="s">
        <v>9798</v>
      </c>
      <c r="H2423" t="s">
        <v>9807</v>
      </c>
      <c r="I2423" t="s">
        <v>9808</v>
      </c>
    </row>
    <row r="2424" spans="1:9">
      <c r="A2424" t="s">
        <v>5978</v>
      </c>
      <c r="B2424">
        <v>200</v>
      </c>
      <c r="C2424" t="s">
        <v>5979</v>
      </c>
      <c r="D2424" s="1" t="s">
        <v>7741</v>
      </c>
      <c r="F2424" s="1" t="s">
        <v>9797</v>
      </c>
      <c r="G2424" s="1" t="s">
        <v>9798</v>
      </c>
      <c r="H2424" t="s">
        <v>9809</v>
      </c>
      <c r="I2424" t="s">
        <v>9810</v>
      </c>
    </row>
    <row r="2425" spans="1:9">
      <c r="A2425" t="s">
        <v>5978</v>
      </c>
      <c r="B2425">
        <v>200</v>
      </c>
      <c r="C2425" t="s">
        <v>5979</v>
      </c>
      <c r="D2425" s="1" t="s">
        <v>7741</v>
      </c>
      <c r="F2425" s="1" t="s">
        <v>9797</v>
      </c>
      <c r="G2425" s="1" t="s">
        <v>9798</v>
      </c>
      <c r="H2425" t="s">
        <v>9811</v>
      </c>
      <c r="I2425" t="s">
        <v>9812</v>
      </c>
    </row>
    <row r="2426" spans="1:9">
      <c r="A2426" t="s">
        <v>5978</v>
      </c>
      <c r="B2426">
        <v>200</v>
      </c>
      <c r="C2426" t="s">
        <v>5979</v>
      </c>
      <c r="D2426" s="1" t="s">
        <v>7741</v>
      </c>
      <c r="F2426" s="1" t="s">
        <v>9797</v>
      </c>
      <c r="G2426" s="1" t="s">
        <v>9798</v>
      </c>
      <c r="H2426" t="s">
        <v>9813</v>
      </c>
      <c r="I2426" t="s">
        <v>9814</v>
      </c>
    </row>
    <row r="2427" spans="1:9">
      <c r="A2427" t="s">
        <v>5978</v>
      </c>
      <c r="B2427">
        <v>200</v>
      </c>
      <c r="C2427" t="s">
        <v>5979</v>
      </c>
      <c r="D2427" s="1" t="s">
        <v>7741</v>
      </c>
      <c r="F2427" s="1" t="s">
        <v>9797</v>
      </c>
      <c r="G2427" s="1" t="s">
        <v>9798</v>
      </c>
      <c r="H2427" t="s">
        <v>9815</v>
      </c>
      <c r="I2427" t="s">
        <v>9816</v>
      </c>
    </row>
    <row r="2428" spans="1:9">
      <c r="A2428" t="s">
        <v>5978</v>
      </c>
      <c r="B2428">
        <v>200</v>
      </c>
      <c r="C2428" t="s">
        <v>5979</v>
      </c>
      <c r="D2428" s="1" t="s">
        <v>7741</v>
      </c>
      <c r="F2428" s="1" t="s">
        <v>9797</v>
      </c>
      <c r="G2428" s="1" t="s">
        <v>9798</v>
      </c>
      <c r="H2428" t="s">
        <v>9817</v>
      </c>
      <c r="I2428" t="s">
        <v>9818</v>
      </c>
    </row>
    <row r="2429" spans="1:9">
      <c r="A2429" t="s">
        <v>5978</v>
      </c>
      <c r="B2429">
        <v>200</v>
      </c>
      <c r="C2429" t="s">
        <v>5979</v>
      </c>
      <c r="D2429" s="1" t="s">
        <v>7741</v>
      </c>
      <c r="F2429" s="1" t="s">
        <v>9797</v>
      </c>
      <c r="G2429" s="1" t="s">
        <v>9798</v>
      </c>
      <c r="H2429" t="s">
        <v>9819</v>
      </c>
      <c r="I2429" t="s">
        <v>9820</v>
      </c>
    </row>
    <row r="2430" spans="1:9">
      <c r="A2430" t="s">
        <v>5982</v>
      </c>
      <c r="B2430">
        <v>242</v>
      </c>
      <c r="C2430" t="s">
        <v>5983</v>
      </c>
      <c r="D2430" s="1" t="s">
        <v>7742</v>
      </c>
      <c r="F2430" s="1" t="s">
        <v>9821</v>
      </c>
      <c r="G2430" s="1" t="s">
        <v>9822</v>
      </c>
      <c r="H2430" t="s">
        <v>9823</v>
      </c>
      <c r="I2430" t="s">
        <v>9824</v>
      </c>
    </row>
    <row r="2431" spans="1:9">
      <c r="A2431" t="s">
        <v>5986</v>
      </c>
      <c r="B2431">
        <v>253</v>
      </c>
      <c r="C2431" t="s">
        <v>5987</v>
      </c>
      <c r="D2431" s="1" t="s">
        <v>7299</v>
      </c>
    </row>
    <row r="2432" spans="1:9">
      <c r="A2432" t="s">
        <v>5990</v>
      </c>
      <c r="B2432">
        <v>259</v>
      </c>
      <c r="C2432" t="s">
        <v>5991</v>
      </c>
      <c r="D2432" s="1" t="s">
        <v>7743</v>
      </c>
      <c r="F2432" s="1" t="s">
        <v>9825</v>
      </c>
      <c r="G2432" s="1" t="s">
        <v>9826</v>
      </c>
      <c r="H2432" t="s">
        <v>9827</v>
      </c>
      <c r="I2432" t="s">
        <v>9828</v>
      </c>
    </row>
    <row r="2433" spans="1:9">
      <c r="A2433" t="s">
        <v>5993</v>
      </c>
      <c r="B2433">
        <v>208</v>
      </c>
      <c r="C2433" t="s">
        <v>5994</v>
      </c>
    </row>
    <row r="2434" spans="1:9">
      <c r="A2434" t="s">
        <v>5996</v>
      </c>
      <c r="B2434">
        <v>304</v>
      </c>
      <c r="C2434" t="s">
        <v>5997</v>
      </c>
    </row>
    <row r="2435" spans="1:9">
      <c r="A2435" t="s">
        <v>5998</v>
      </c>
      <c r="B2435">
        <v>178</v>
      </c>
      <c r="C2435" t="s">
        <v>5999</v>
      </c>
    </row>
    <row r="2436" spans="1:9">
      <c r="A2436" t="s">
        <v>6001</v>
      </c>
      <c r="B2436">
        <v>108</v>
      </c>
      <c r="C2436" t="s">
        <v>6002</v>
      </c>
    </row>
    <row r="2437" spans="1:9">
      <c r="A2437" t="s">
        <v>6005</v>
      </c>
      <c r="B2437">
        <v>442</v>
      </c>
      <c r="C2437" t="s">
        <v>6006</v>
      </c>
      <c r="D2437" s="1" t="s">
        <v>7744</v>
      </c>
      <c r="F2437" s="1" t="s">
        <v>9829</v>
      </c>
      <c r="G2437" s="1" t="s">
        <v>9830</v>
      </c>
      <c r="H2437" t="s">
        <v>9831</v>
      </c>
      <c r="I2437" t="s">
        <v>9832</v>
      </c>
    </row>
    <row r="2438" spans="1:9">
      <c r="A2438" t="s">
        <v>6009</v>
      </c>
      <c r="B2438">
        <v>654</v>
      </c>
      <c r="C2438" t="s">
        <v>6010</v>
      </c>
      <c r="D2438" s="1" t="s">
        <v>7435</v>
      </c>
      <c r="F2438" s="1" t="s">
        <v>8231</v>
      </c>
    </row>
    <row r="2439" spans="1:9">
      <c r="A2439" t="s">
        <v>6012</v>
      </c>
      <c r="B2439">
        <v>240</v>
      </c>
      <c r="C2439" t="s">
        <v>6013</v>
      </c>
    </row>
    <row r="2440" spans="1:9">
      <c r="A2440" t="s">
        <v>6015</v>
      </c>
      <c r="B2440">
        <v>368</v>
      </c>
      <c r="C2440" t="s">
        <v>6016</v>
      </c>
      <c r="D2440" s="1" t="s">
        <v>7353</v>
      </c>
      <c r="F2440" s="1" t="s">
        <v>8022</v>
      </c>
      <c r="G2440" s="1" t="s">
        <v>8023</v>
      </c>
      <c r="H2440" t="s">
        <v>8024</v>
      </c>
      <c r="I2440" t="s">
        <v>8025</v>
      </c>
    </row>
    <row r="2441" spans="1:9">
      <c r="A2441" t="s">
        <v>6015</v>
      </c>
      <c r="B2441">
        <v>368</v>
      </c>
      <c r="C2441" t="s">
        <v>6016</v>
      </c>
      <c r="D2441" s="1" t="s">
        <v>7353</v>
      </c>
      <c r="F2441" s="1" t="s">
        <v>8022</v>
      </c>
      <c r="G2441" s="1" t="s">
        <v>8023</v>
      </c>
      <c r="H2441" t="s">
        <v>10155</v>
      </c>
      <c r="I2441" t="s">
        <v>10154</v>
      </c>
    </row>
    <row r="2442" spans="1:9">
      <c r="A2442" t="s">
        <v>6019</v>
      </c>
      <c r="B2442">
        <v>564</v>
      </c>
      <c r="C2442" t="s">
        <v>6020</v>
      </c>
      <c r="D2442" s="1" t="s">
        <v>7679</v>
      </c>
      <c r="F2442" s="1" t="s">
        <v>9155</v>
      </c>
      <c r="G2442" s="1" t="s">
        <v>9156</v>
      </c>
      <c r="H2442" t="s">
        <v>9157</v>
      </c>
      <c r="I2442" t="s">
        <v>9158</v>
      </c>
    </row>
    <row r="2443" spans="1:9">
      <c r="A2443" t="s">
        <v>6019</v>
      </c>
      <c r="B2443">
        <v>564</v>
      </c>
      <c r="C2443" t="s">
        <v>6020</v>
      </c>
      <c r="D2443" s="1" t="s">
        <v>7679</v>
      </c>
      <c r="F2443" s="1" t="s">
        <v>9155</v>
      </c>
      <c r="G2443" s="1" t="s">
        <v>9156</v>
      </c>
      <c r="H2443" t="s">
        <v>9161</v>
      </c>
      <c r="I2443" t="s">
        <v>9160</v>
      </c>
    </row>
    <row r="2444" spans="1:9">
      <c r="A2444" t="s">
        <v>6023</v>
      </c>
      <c r="B2444">
        <v>329</v>
      </c>
      <c r="C2444" t="s">
        <v>6024</v>
      </c>
      <c r="D2444" s="1" t="s">
        <v>7745</v>
      </c>
    </row>
    <row r="2445" spans="1:9">
      <c r="A2445" t="s">
        <v>6026</v>
      </c>
      <c r="B2445">
        <v>228</v>
      </c>
      <c r="C2445" t="s">
        <v>6027</v>
      </c>
    </row>
    <row r="2446" spans="1:9">
      <c r="A2446" t="s">
        <v>6030</v>
      </c>
      <c r="B2446">
        <v>720</v>
      </c>
      <c r="C2446" t="s">
        <v>6031</v>
      </c>
      <c r="D2446" s="1" t="s">
        <v>7745</v>
      </c>
      <c r="F2446" s="1" t="s">
        <v>9565</v>
      </c>
      <c r="G2446" s="1" t="s">
        <v>9566</v>
      </c>
      <c r="H2446" t="s">
        <v>9567</v>
      </c>
      <c r="I2446" t="s">
        <v>9568</v>
      </c>
    </row>
    <row r="2447" spans="1:9">
      <c r="A2447" t="s">
        <v>6030</v>
      </c>
      <c r="B2447">
        <v>720</v>
      </c>
      <c r="C2447" t="s">
        <v>6031</v>
      </c>
      <c r="D2447" s="1" t="s">
        <v>7745</v>
      </c>
      <c r="F2447" s="1" t="s">
        <v>9565</v>
      </c>
      <c r="G2447" s="1" t="s">
        <v>9566</v>
      </c>
      <c r="H2447" t="s">
        <v>9569</v>
      </c>
      <c r="I2447" t="s">
        <v>9570</v>
      </c>
    </row>
    <row r="2448" spans="1:9">
      <c r="A2448" t="s">
        <v>6030</v>
      </c>
      <c r="B2448">
        <v>720</v>
      </c>
      <c r="C2448" t="s">
        <v>6031</v>
      </c>
      <c r="D2448" s="1" t="s">
        <v>7745</v>
      </c>
      <c r="F2448" s="1" t="s">
        <v>9565</v>
      </c>
      <c r="G2448" s="1" t="s">
        <v>9566</v>
      </c>
      <c r="H2448" t="s">
        <v>9571</v>
      </c>
      <c r="I2448" t="s">
        <v>9572</v>
      </c>
    </row>
    <row r="2449" spans="1:9">
      <c r="A2449" t="s">
        <v>6030</v>
      </c>
      <c r="B2449">
        <v>720</v>
      </c>
      <c r="C2449" t="s">
        <v>6031</v>
      </c>
      <c r="D2449" s="1" t="s">
        <v>7745</v>
      </c>
      <c r="F2449" s="1" t="s">
        <v>9565</v>
      </c>
      <c r="G2449" s="1" t="s">
        <v>9566</v>
      </c>
      <c r="H2449" t="s">
        <v>9573</v>
      </c>
      <c r="I2449" t="s">
        <v>9574</v>
      </c>
    </row>
    <row r="2450" spans="1:9">
      <c r="A2450" t="s">
        <v>6030</v>
      </c>
      <c r="B2450">
        <v>720</v>
      </c>
      <c r="C2450" t="s">
        <v>6031</v>
      </c>
      <c r="D2450" s="1" t="s">
        <v>7745</v>
      </c>
      <c r="F2450" s="1" t="s">
        <v>9565</v>
      </c>
      <c r="G2450" s="1" t="s">
        <v>9566</v>
      </c>
      <c r="H2450" t="s">
        <v>9575</v>
      </c>
      <c r="I2450" t="s">
        <v>9576</v>
      </c>
    </row>
    <row r="2451" spans="1:9">
      <c r="A2451" t="s">
        <v>6030</v>
      </c>
      <c r="B2451">
        <v>720</v>
      </c>
      <c r="C2451" t="s">
        <v>6031</v>
      </c>
      <c r="D2451" s="1" t="s">
        <v>7745</v>
      </c>
      <c r="F2451" s="1" t="s">
        <v>9565</v>
      </c>
      <c r="G2451" s="1" t="s">
        <v>9566</v>
      </c>
      <c r="H2451" t="s">
        <v>9577</v>
      </c>
      <c r="I2451" t="s">
        <v>9578</v>
      </c>
    </row>
    <row r="2452" spans="1:9">
      <c r="A2452" t="s">
        <v>6030</v>
      </c>
      <c r="B2452">
        <v>720</v>
      </c>
      <c r="C2452" t="s">
        <v>6031</v>
      </c>
      <c r="D2452" s="1" t="s">
        <v>7745</v>
      </c>
      <c r="F2452" s="1" t="s">
        <v>9565</v>
      </c>
      <c r="G2452" s="1" t="s">
        <v>9566</v>
      </c>
      <c r="H2452" t="s">
        <v>9579</v>
      </c>
      <c r="I2452" t="s">
        <v>9580</v>
      </c>
    </row>
    <row r="2453" spans="1:9">
      <c r="A2453" t="s">
        <v>6030</v>
      </c>
      <c r="B2453">
        <v>720</v>
      </c>
      <c r="C2453" t="s">
        <v>6031</v>
      </c>
      <c r="D2453" s="1" t="s">
        <v>7745</v>
      </c>
      <c r="F2453" s="1" t="s">
        <v>9565</v>
      </c>
      <c r="G2453" s="1" t="s">
        <v>9566</v>
      </c>
      <c r="H2453" t="s">
        <v>9581</v>
      </c>
      <c r="I2453" t="s">
        <v>9582</v>
      </c>
    </row>
    <row r="2454" spans="1:9">
      <c r="A2454" t="s">
        <v>6033</v>
      </c>
      <c r="B2454">
        <v>143</v>
      </c>
      <c r="C2454" t="s">
        <v>6034</v>
      </c>
    </row>
    <row r="2455" spans="1:9">
      <c r="A2455" t="s">
        <v>6037</v>
      </c>
      <c r="B2455">
        <v>79</v>
      </c>
      <c r="C2455" t="s">
        <v>6038</v>
      </c>
    </row>
    <row r="2456" spans="1:9">
      <c r="A2456" t="s">
        <v>6041</v>
      </c>
      <c r="B2456">
        <v>40</v>
      </c>
      <c r="C2456" t="s">
        <v>6042</v>
      </c>
    </row>
    <row r="2457" spans="1:9">
      <c r="A2457" t="s">
        <v>6045</v>
      </c>
      <c r="B2457">
        <v>449</v>
      </c>
      <c r="C2457" t="s">
        <v>6046</v>
      </c>
    </row>
    <row r="2458" spans="1:9">
      <c r="A2458" t="s">
        <v>6049</v>
      </c>
      <c r="B2458">
        <v>273</v>
      </c>
      <c r="C2458" t="s">
        <v>6050</v>
      </c>
      <c r="D2458" s="1" t="s">
        <v>7746</v>
      </c>
      <c r="F2458" s="1" t="s">
        <v>9690</v>
      </c>
      <c r="G2458" s="1" t="s">
        <v>9691</v>
      </c>
      <c r="H2458" t="s">
        <v>9692</v>
      </c>
      <c r="I2458" t="s">
        <v>9693</v>
      </c>
    </row>
    <row r="2459" spans="1:9">
      <c r="A2459" t="s">
        <v>6052</v>
      </c>
      <c r="B2459">
        <v>245</v>
      </c>
      <c r="C2459" t="s">
        <v>6053</v>
      </c>
    </row>
    <row r="2460" spans="1:9">
      <c r="A2460" t="s">
        <v>6054</v>
      </c>
      <c r="B2460">
        <v>265</v>
      </c>
      <c r="C2460" t="s">
        <v>6055</v>
      </c>
      <c r="D2460" s="1" t="s">
        <v>7296</v>
      </c>
      <c r="F2460" s="1" t="s">
        <v>7871</v>
      </c>
      <c r="G2460" s="1"/>
    </row>
    <row r="2461" spans="1:9">
      <c r="C2461" t="s">
        <v>6056</v>
      </c>
    </row>
    <row r="2462" spans="1:9">
      <c r="A2462" t="s">
        <v>6059</v>
      </c>
      <c r="B2462">
        <v>241</v>
      </c>
      <c r="C2462" t="s">
        <v>6060</v>
      </c>
      <c r="D2462" s="1" t="s">
        <v>7291</v>
      </c>
      <c r="F2462" s="1" t="s">
        <v>7853</v>
      </c>
      <c r="G2462" s="1" t="s">
        <v>7857</v>
      </c>
      <c r="H2462" t="s">
        <v>7855</v>
      </c>
      <c r="I2462" t="s">
        <v>7856</v>
      </c>
    </row>
    <row r="2463" spans="1:9">
      <c r="A2463" t="s">
        <v>6059</v>
      </c>
      <c r="B2463">
        <v>241</v>
      </c>
      <c r="C2463" t="s">
        <v>6060</v>
      </c>
      <c r="D2463" s="1" t="s">
        <v>7291</v>
      </c>
      <c r="F2463" s="1" t="s">
        <v>7853</v>
      </c>
      <c r="G2463" s="1" t="s">
        <v>7857</v>
      </c>
      <c r="H2463" t="s">
        <v>10161</v>
      </c>
      <c r="I2463" t="s">
        <v>10160</v>
      </c>
    </row>
    <row r="2464" spans="1:9">
      <c r="A2464" t="s">
        <v>6061</v>
      </c>
      <c r="B2464">
        <v>161</v>
      </c>
      <c r="C2464" t="s">
        <v>6062</v>
      </c>
    </row>
    <row r="2465" spans="1:9">
      <c r="A2465" t="s">
        <v>6064</v>
      </c>
      <c r="B2465">
        <v>104</v>
      </c>
      <c r="C2465" t="s">
        <v>6065</v>
      </c>
    </row>
    <row r="2466" spans="1:9">
      <c r="A2466" t="s">
        <v>6068</v>
      </c>
      <c r="B2466">
        <v>119</v>
      </c>
      <c r="C2466" t="s">
        <v>6069</v>
      </c>
    </row>
    <row r="2467" spans="1:9">
      <c r="A2467" t="s">
        <v>6072</v>
      </c>
      <c r="B2467">
        <v>840</v>
      </c>
      <c r="C2467" t="s">
        <v>6073</v>
      </c>
    </row>
    <row r="2468" spans="1:9">
      <c r="A2468" t="s">
        <v>6076</v>
      </c>
      <c r="B2468">
        <v>242</v>
      </c>
      <c r="C2468" t="s">
        <v>6077</v>
      </c>
    </row>
    <row r="2469" spans="1:9">
      <c r="A2469" t="s">
        <v>6080</v>
      </c>
      <c r="B2469">
        <v>304</v>
      </c>
      <c r="C2469" t="s">
        <v>6081</v>
      </c>
    </row>
    <row r="2470" spans="1:9">
      <c r="A2470" t="s">
        <v>6082</v>
      </c>
      <c r="B2470">
        <v>344</v>
      </c>
      <c r="C2470" t="s">
        <v>6083</v>
      </c>
    </row>
    <row r="2471" spans="1:9">
      <c r="A2471" t="s">
        <v>6086</v>
      </c>
      <c r="B2471">
        <v>79</v>
      </c>
      <c r="C2471" t="s">
        <v>6087</v>
      </c>
    </row>
    <row r="2472" spans="1:9">
      <c r="A2472" t="s">
        <v>6088</v>
      </c>
      <c r="B2472">
        <v>244</v>
      </c>
      <c r="C2472" t="s">
        <v>6089</v>
      </c>
    </row>
    <row r="2473" spans="1:9">
      <c r="A2473" t="s">
        <v>6090</v>
      </c>
      <c r="B2473">
        <v>447</v>
      </c>
      <c r="C2473" t="s">
        <v>6091</v>
      </c>
    </row>
    <row r="2474" spans="1:9">
      <c r="A2474" t="s">
        <v>6092</v>
      </c>
      <c r="B2474">
        <v>186</v>
      </c>
      <c r="C2474" t="s">
        <v>6093</v>
      </c>
    </row>
    <row r="2475" spans="1:9">
      <c r="A2475" t="s">
        <v>6094</v>
      </c>
      <c r="B2475">
        <v>58</v>
      </c>
      <c r="C2475" t="s">
        <v>6095</v>
      </c>
    </row>
    <row r="2476" spans="1:9">
      <c r="A2476" t="s">
        <v>6096</v>
      </c>
      <c r="B2476">
        <v>271</v>
      </c>
      <c r="C2476" t="s">
        <v>6097</v>
      </c>
    </row>
    <row r="2477" spans="1:9">
      <c r="C2477" t="s">
        <v>6098</v>
      </c>
    </row>
    <row r="2478" spans="1:9">
      <c r="C2478" t="s">
        <v>6099</v>
      </c>
    </row>
    <row r="2479" spans="1:9">
      <c r="C2479" t="s">
        <v>6100</v>
      </c>
    </row>
    <row r="2480" spans="1:9">
      <c r="A2480" t="s">
        <v>6103</v>
      </c>
      <c r="B2480">
        <v>422</v>
      </c>
      <c r="C2480" t="s">
        <v>6104</v>
      </c>
      <c r="D2480" s="1" t="s">
        <v>7747</v>
      </c>
      <c r="F2480" s="1" t="s">
        <v>9833</v>
      </c>
      <c r="G2480" s="1" t="s">
        <v>9834</v>
      </c>
      <c r="H2480" t="s">
        <v>9835</v>
      </c>
      <c r="I2480" t="s">
        <v>9836</v>
      </c>
    </row>
    <row r="2481" spans="1:9">
      <c r="A2481" t="s">
        <v>6106</v>
      </c>
      <c r="B2481">
        <v>279</v>
      </c>
      <c r="C2481" t="s">
        <v>6107</v>
      </c>
    </row>
    <row r="2482" spans="1:9">
      <c r="A2482" t="s">
        <v>6110</v>
      </c>
      <c r="B2482">
        <v>311</v>
      </c>
      <c r="C2482" t="s">
        <v>6111</v>
      </c>
      <c r="D2482" s="1" t="s">
        <v>7748</v>
      </c>
      <c r="F2482" s="1" t="s">
        <v>9837</v>
      </c>
      <c r="G2482" s="1" t="s">
        <v>9838</v>
      </c>
      <c r="H2482" t="s">
        <v>9839</v>
      </c>
      <c r="I2482" t="s">
        <v>9840</v>
      </c>
    </row>
    <row r="2483" spans="1:9">
      <c r="A2483" t="s">
        <v>6110</v>
      </c>
      <c r="B2483">
        <v>311</v>
      </c>
      <c r="C2483" t="s">
        <v>6111</v>
      </c>
      <c r="D2483" s="1" t="s">
        <v>7748</v>
      </c>
      <c r="F2483" s="1" t="s">
        <v>9837</v>
      </c>
      <c r="G2483" s="1" t="s">
        <v>9838</v>
      </c>
      <c r="H2483" t="s">
        <v>9841</v>
      </c>
      <c r="I2483" t="s">
        <v>9842</v>
      </c>
    </row>
    <row r="2484" spans="1:9">
      <c r="A2484" t="s">
        <v>6110</v>
      </c>
      <c r="B2484">
        <v>311</v>
      </c>
      <c r="C2484" t="s">
        <v>6111</v>
      </c>
      <c r="D2484" s="1" t="s">
        <v>7748</v>
      </c>
      <c r="F2484" s="1" t="s">
        <v>9837</v>
      </c>
      <c r="G2484" s="1" t="s">
        <v>9838</v>
      </c>
      <c r="H2484" t="s">
        <v>9843</v>
      </c>
      <c r="I2484" t="s">
        <v>9844</v>
      </c>
    </row>
    <row r="2485" spans="1:9">
      <c r="A2485" t="s">
        <v>6110</v>
      </c>
      <c r="B2485">
        <v>311</v>
      </c>
      <c r="C2485" t="s">
        <v>6111</v>
      </c>
      <c r="D2485" s="1" t="s">
        <v>7748</v>
      </c>
      <c r="F2485" s="1" t="s">
        <v>9837</v>
      </c>
      <c r="G2485" s="1" t="s">
        <v>9838</v>
      </c>
      <c r="H2485" t="s">
        <v>9845</v>
      </c>
      <c r="I2485" t="s">
        <v>9846</v>
      </c>
    </row>
    <row r="2486" spans="1:9">
      <c r="A2486" t="s">
        <v>6114</v>
      </c>
      <c r="B2486">
        <v>187</v>
      </c>
      <c r="C2486" t="s">
        <v>6115</v>
      </c>
      <c r="D2486" s="1" t="s">
        <v>7749</v>
      </c>
      <c r="F2486" s="1" t="s">
        <v>9847</v>
      </c>
      <c r="G2486" s="1" t="s">
        <v>9848</v>
      </c>
      <c r="H2486" t="s">
        <v>9849</v>
      </c>
      <c r="I2486" t="s">
        <v>9850</v>
      </c>
    </row>
    <row r="2487" spans="1:9">
      <c r="A2487" t="s">
        <v>6116</v>
      </c>
      <c r="B2487">
        <v>96</v>
      </c>
      <c r="C2487" t="s">
        <v>6117</v>
      </c>
    </row>
    <row r="2488" spans="1:9">
      <c r="C2488" t="s">
        <v>6119</v>
      </c>
    </row>
    <row r="2489" spans="1:9">
      <c r="C2489" t="s">
        <v>6121</v>
      </c>
    </row>
    <row r="2490" spans="1:9">
      <c r="C2490" t="s">
        <v>6122</v>
      </c>
    </row>
    <row r="2491" spans="1:9">
      <c r="C2491" t="s">
        <v>6123</v>
      </c>
    </row>
    <row r="2492" spans="1:9">
      <c r="A2492" t="s">
        <v>6126</v>
      </c>
      <c r="B2492">
        <v>110</v>
      </c>
      <c r="C2492" t="s">
        <v>6127</v>
      </c>
    </row>
    <row r="2493" spans="1:9">
      <c r="C2493" t="s">
        <v>6128</v>
      </c>
    </row>
    <row r="2494" spans="1:9">
      <c r="A2494" t="s">
        <v>6131</v>
      </c>
      <c r="B2494">
        <v>500</v>
      </c>
      <c r="C2494" t="s">
        <v>6132</v>
      </c>
      <c r="D2494" s="1" t="s">
        <v>7316</v>
      </c>
    </row>
    <row r="2495" spans="1:9">
      <c r="A2495" t="s">
        <v>6135</v>
      </c>
      <c r="B2495">
        <v>381</v>
      </c>
      <c r="C2495" t="s">
        <v>6136</v>
      </c>
      <c r="D2495" s="1" t="s">
        <v>7314</v>
      </c>
    </row>
    <row r="2496" spans="1:9">
      <c r="A2496" t="s">
        <v>6137</v>
      </c>
      <c r="B2496">
        <v>242</v>
      </c>
      <c r="C2496" t="s">
        <v>6138</v>
      </c>
    </row>
    <row r="2497" spans="1:9">
      <c r="A2497" t="s">
        <v>6141</v>
      </c>
      <c r="B2497">
        <v>257</v>
      </c>
      <c r="C2497" t="s">
        <v>6142</v>
      </c>
      <c r="D2497" s="1" t="s">
        <v>7750</v>
      </c>
      <c r="F2497" s="1" t="s">
        <v>9851</v>
      </c>
    </row>
    <row r="2498" spans="1:9">
      <c r="A2498" t="s">
        <v>6145</v>
      </c>
      <c r="B2498">
        <v>304</v>
      </c>
      <c r="C2498" t="s">
        <v>6146</v>
      </c>
    </row>
    <row r="2499" spans="1:9">
      <c r="A2499" t="s">
        <v>6149</v>
      </c>
      <c r="B2499">
        <v>350</v>
      </c>
      <c r="C2499" t="s">
        <v>6150</v>
      </c>
    </row>
    <row r="2500" spans="1:9">
      <c r="A2500" t="s">
        <v>6153</v>
      </c>
      <c r="B2500">
        <v>370</v>
      </c>
      <c r="C2500" t="s">
        <v>6154</v>
      </c>
      <c r="F2500" s="1"/>
    </row>
    <row r="2501" spans="1:9">
      <c r="A2501" t="s">
        <v>6157</v>
      </c>
      <c r="B2501">
        <v>303</v>
      </c>
      <c r="C2501" t="s">
        <v>6158</v>
      </c>
      <c r="D2501" s="1" t="s">
        <v>7751</v>
      </c>
      <c r="F2501" s="1" t="s">
        <v>9852</v>
      </c>
      <c r="G2501" s="1" t="s">
        <v>9853</v>
      </c>
      <c r="H2501" t="s">
        <v>9854</v>
      </c>
      <c r="I2501" t="s">
        <v>9855</v>
      </c>
    </row>
    <row r="2502" spans="1:9">
      <c r="A2502" t="s">
        <v>6159</v>
      </c>
      <c r="B2502">
        <v>274</v>
      </c>
      <c r="C2502" t="s">
        <v>6160</v>
      </c>
    </row>
    <row r="2503" spans="1:9">
      <c r="A2503" t="s">
        <v>6163</v>
      </c>
      <c r="B2503">
        <v>341</v>
      </c>
      <c r="C2503" t="s">
        <v>6164</v>
      </c>
      <c r="D2503" s="1" t="s">
        <v>7752</v>
      </c>
      <c r="F2503" s="1" t="s">
        <v>9856</v>
      </c>
      <c r="G2503" s="1" t="s">
        <v>9857</v>
      </c>
      <c r="H2503" t="s">
        <v>9858</v>
      </c>
      <c r="I2503" t="s">
        <v>9859</v>
      </c>
    </row>
    <row r="2504" spans="1:9">
      <c r="A2504" t="s">
        <v>6165</v>
      </c>
      <c r="B2504">
        <v>231</v>
      </c>
      <c r="C2504" t="s">
        <v>6166</v>
      </c>
    </row>
    <row r="2505" spans="1:9">
      <c r="A2505" t="s">
        <v>6169</v>
      </c>
      <c r="B2505">
        <v>289</v>
      </c>
      <c r="C2505" t="s">
        <v>6170</v>
      </c>
      <c r="D2505" s="1" t="s">
        <v>7753</v>
      </c>
      <c r="F2505" s="1" t="s">
        <v>9860</v>
      </c>
      <c r="G2505" s="1" t="s">
        <v>9861</v>
      </c>
      <c r="H2505" t="s">
        <v>9862</v>
      </c>
      <c r="I2505" t="s">
        <v>9863</v>
      </c>
    </row>
    <row r="2506" spans="1:9">
      <c r="A2506" t="s">
        <v>6169</v>
      </c>
      <c r="B2506">
        <v>289</v>
      </c>
      <c r="C2506" t="s">
        <v>6170</v>
      </c>
      <c r="D2506" s="1" t="s">
        <v>7753</v>
      </c>
      <c r="F2506" s="1" t="s">
        <v>9860</v>
      </c>
      <c r="G2506" s="1" t="s">
        <v>9861</v>
      </c>
      <c r="H2506" t="s">
        <v>9864</v>
      </c>
      <c r="I2506" t="s">
        <v>9865</v>
      </c>
    </row>
    <row r="2507" spans="1:9">
      <c r="A2507" t="s">
        <v>6169</v>
      </c>
      <c r="B2507">
        <v>289</v>
      </c>
      <c r="C2507" t="s">
        <v>6170</v>
      </c>
      <c r="D2507" s="1" t="s">
        <v>7753</v>
      </c>
      <c r="F2507" s="1" t="s">
        <v>9860</v>
      </c>
      <c r="G2507" s="1" t="s">
        <v>9861</v>
      </c>
      <c r="H2507" t="s">
        <v>9866</v>
      </c>
      <c r="I2507" t="s">
        <v>9867</v>
      </c>
    </row>
    <row r="2508" spans="1:9">
      <c r="A2508" t="s">
        <v>6169</v>
      </c>
      <c r="B2508">
        <v>289</v>
      </c>
      <c r="C2508" t="s">
        <v>6170</v>
      </c>
      <c r="D2508" s="1" t="s">
        <v>7753</v>
      </c>
      <c r="F2508" s="1" t="s">
        <v>9860</v>
      </c>
      <c r="G2508" s="1" t="s">
        <v>9861</v>
      </c>
      <c r="H2508" t="s">
        <v>9868</v>
      </c>
      <c r="I2508" t="s">
        <v>9869</v>
      </c>
    </row>
    <row r="2509" spans="1:9">
      <c r="A2509" t="s">
        <v>6169</v>
      </c>
      <c r="B2509">
        <v>289</v>
      </c>
      <c r="C2509" t="s">
        <v>6170</v>
      </c>
      <c r="D2509" s="1" t="s">
        <v>7753</v>
      </c>
      <c r="F2509" s="1" t="s">
        <v>9860</v>
      </c>
      <c r="G2509" s="1" t="s">
        <v>9861</v>
      </c>
      <c r="H2509" t="s">
        <v>9870</v>
      </c>
      <c r="I2509" t="s">
        <v>9871</v>
      </c>
    </row>
    <row r="2510" spans="1:9">
      <c r="A2510" t="s">
        <v>6169</v>
      </c>
      <c r="B2510">
        <v>289</v>
      </c>
      <c r="C2510" t="s">
        <v>6170</v>
      </c>
      <c r="D2510" s="1" t="s">
        <v>7753</v>
      </c>
      <c r="F2510" s="1" t="s">
        <v>9860</v>
      </c>
      <c r="G2510" s="1" t="s">
        <v>9861</v>
      </c>
      <c r="H2510" t="s">
        <v>9872</v>
      </c>
      <c r="I2510" t="s">
        <v>9873</v>
      </c>
    </row>
    <row r="2511" spans="1:9">
      <c r="A2511" t="s">
        <v>6169</v>
      </c>
      <c r="B2511">
        <v>289</v>
      </c>
      <c r="C2511" t="s">
        <v>6170</v>
      </c>
      <c r="D2511" s="1" t="s">
        <v>7753</v>
      </c>
      <c r="F2511" s="1" t="s">
        <v>9860</v>
      </c>
      <c r="G2511" s="1" t="s">
        <v>9861</v>
      </c>
      <c r="H2511" t="s">
        <v>9874</v>
      </c>
      <c r="I2511" t="s">
        <v>9875</v>
      </c>
    </row>
    <row r="2512" spans="1:9">
      <c r="A2512" t="s">
        <v>6172</v>
      </c>
      <c r="B2512">
        <v>354</v>
      </c>
      <c r="C2512" t="s">
        <v>6173</v>
      </c>
    </row>
    <row r="2513" spans="1:9">
      <c r="A2513" t="s">
        <v>6174</v>
      </c>
      <c r="B2513">
        <v>65</v>
      </c>
      <c r="C2513" t="s">
        <v>6175</v>
      </c>
    </row>
    <row r="2514" spans="1:9">
      <c r="A2514" t="s">
        <v>6178</v>
      </c>
      <c r="B2514">
        <v>350</v>
      </c>
      <c r="C2514" t="s">
        <v>6179</v>
      </c>
      <c r="D2514" s="1" t="s">
        <v>7754</v>
      </c>
      <c r="F2514" s="1" t="s">
        <v>9876</v>
      </c>
      <c r="G2514" s="1" t="s">
        <v>9877</v>
      </c>
      <c r="H2514" t="s">
        <v>9878</v>
      </c>
      <c r="I2514" t="s">
        <v>9879</v>
      </c>
    </row>
    <row r="2515" spans="1:9">
      <c r="A2515" t="s">
        <v>6182</v>
      </c>
      <c r="B2515">
        <v>498</v>
      </c>
      <c r="C2515" t="s">
        <v>6183</v>
      </c>
      <c r="D2515" s="1" t="s">
        <v>7755</v>
      </c>
      <c r="F2515" s="1" t="s">
        <v>9880</v>
      </c>
      <c r="G2515" s="1" t="s">
        <v>9881</v>
      </c>
      <c r="H2515" t="s">
        <v>9882</v>
      </c>
      <c r="I2515" t="s">
        <v>9883</v>
      </c>
    </row>
    <row r="2516" spans="1:9">
      <c r="A2516" t="s">
        <v>6184</v>
      </c>
      <c r="B2516">
        <v>134</v>
      </c>
      <c r="C2516" t="s">
        <v>6185</v>
      </c>
    </row>
    <row r="2517" spans="1:9">
      <c r="A2517" t="s">
        <v>6187</v>
      </c>
      <c r="B2517">
        <v>336</v>
      </c>
      <c r="C2517" t="s">
        <v>6188</v>
      </c>
      <c r="D2517" s="1" t="s">
        <v>7558</v>
      </c>
    </row>
    <row r="2518" spans="1:9">
      <c r="A2518" t="s">
        <v>6191</v>
      </c>
      <c r="B2518">
        <v>412</v>
      </c>
      <c r="C2518" t="s">
        <v>6192</v>
      </c>
      <c r="D2518" s="1" t="s">
        <v>7664</v>
      </c>
      <c r="F2518" s="1" t="s">
        <v>9088</v>
      </c>
      <c r="G2518" s="1" t="s">
        <v>9089</v>
      </c>
      <c r="H2518" t="s">
        <v>9090</v>
      </c>
      <c r="I2518" t="s">
        <v>9091</v>
      </c>
    </row>
    <row r="2519" spans="1:9">
      <c r="A2519" t="s">
        <v>6191</v>
      </c>
      <c r="B2519">
        <v>412</v>
      </c>
      <c r="C2519" t="s">
        <v>6192</v>
      </c>
      <c r="D2519" s="1" t="s">
        <v>7664</v>
      </c>
      <c r="F2519" s="1" t="s">
        <v>9088</v>
      </c>
      <c r="G2519" s="1" t="s">
        <v>9089</v>
      </c>
      <c r="H2519" t="s">
        <v>9094</v>
      </c>
      <c r="I2519" t="s">
        <v>9093</v>
      </c>
    </row>
    <row r="2520" spans="1:9">
      <c r="A2520" t="s">
        <v>6193</v>
      </c>
      <c r="B2520">
        <v>201</v>
      </c>
      <c r="C2520" t="s">
        <v>6194</v>
      </c>
    </row>
    <row r="2521" spans="1:9">
      <c r="A2521" t="s">
        <v>6196</v>
      </c>
      <c r="B2521">
        <v>246</v>
      </c>
      <c r="C2521" t="s">
        <v>6197</v>
      </c>
    </row>
    <row r="2522" spans="1:9">
      <c r="A2522" t="s">
        <v>6198</v>
      </c>
      <c r="B2522">
        <v>105</v>
      </c>
      <c r="C2522" t="s">
        <v>6199</v>
      </c>
    </row>
    <row r="2523" spans="1:9">
      <c r="A2523" t="s">
        <v>6200</v>
      </c>
      <c r="B2523">
        <v>286</v>
      </c>
      <c r="C2523" t="s">
        <v>6201</v>
      </c>
    </row>
    <row r="2524" spans="1:9">
      <c r="A2524" t="s">
        <v>6203</v>
      </c>
      <c r="B2524">
        <v>1062</v>
      </c>
      <c r="C2524" t="s">
        <v>6204</v>
      </c>
    </row>
    <row r="2525" spans="1:9">
      <c r="A2525" t="s">
        <v>6206</v>
      </c>
      <c r="B2525">
        <v>512</v>
      </c>
      <c r="C2525" t="s">
        <v>6207</v>
      </c>
    </row>
    <row r="2526" spans="1:9">
      <c r="A2526" t="s">
        <v>6208</v>
      </c>
      <c r="B2526">
        <v>1668</v>
      </c>
      <c r="C2526" t="s">
        <v>6209</v>
      </c>
    </row>
    <row r="2527" spans="1:9">
      <c r="A2527" t="s">
        <v>6210</v>
      </c>
      <c r="B2527">
        <v>314</v>
      </c>
      <c r="C2527" t="s">
        <v>6211</v>
      </c>
    </row>
    <row r="2528" spans="1:9">
      <c r="A2528" t="s">
        <v>6213</v>
      </c>
      <c r="B2528">
        <v>392</v>
      </c>
      <c r="C2528" t="s">
        <v>6214</v>
      </c>
      <c r="D2528" s="1" t="s">
        <v>7398</v>
      </c>
      <c r="F2528" s="1" t="s">
        <v>8148</v>
      </c>
      <c r="G2528" s="1" t="s">
        <v>8149</v>
      </c>
      <c r="H2528" t="s">
        <v>8150</v>
      </c>
      <c r="I2528" t="s">
        <v>8151</v>
      </c>
    </row>
    <row r="2529" spans="1:9">
      <c r="A2529" t="s">
        <v>6213</v>
      </c>
      <c r="B2529">
        <v>392</v>
      </c>
      <c r="C2529" t="s">
        <v>6214</v>
      </c>
      <c r="D2529" s="1" t="s">
        <v>7398</v>
      </c>
      <c r="F2529" s="1" t="s">
        <v>8148</v>
      </c>
      <c r="G2529" s="1" t="s">
        <v>8149</v>
      </c>
      <c r="H2529" t="s">
        <v>9429</v>
      </c>
      <c r="I2529" t="s">
        <v>9414</v>
      </c>
    </row>
    <row r="2530" spans="1:9">
      <c r="A2530" t="s">
        <v>6213</v>
      </c>
      <c r="B2530">
        <v>392</v>
      </c>
      <c r="C2530" t="s">
        <v>6214</v>
      </c>
      <c r="D2530" s="1" t="s">
        <v>7398</v>
      </c>
      <c r="F2530" s="1" t="s">
        <v>8148</v>
      </c>
      <c r="G2530" s="1" t="s">
        <v>8149</v>
      </c>
      <c r="H2530" t="s">
        <v>9415</v>
      </c>
      <c r="I2530" t="s">
        <v>9416</v>
      </c>
    </row>
    <row r="2531" spans="1:9">
      <c r="A2531" t="s">
        <v>6213</v>
      </c>
      <c r="B2531">
        <v>392</v>
      </c>
      <c r="C2531" t="s">
        <v>6214</v>
      </c>
      <c r="D2531" s="1" t="s">
        <v>7398</v>
      </c>
      <c r="F2531" s="1" t="s">
        <v>8148</v>
      </c>
      <c r="G2531" s="1" t="s">
        <v>8149</v>
      </c>
      <c r="H2531" t="s">
        <v>9430</v>
      </c>
      <c r="I2531" t="s">
        <v>9418</v>
      </c>
    </row>
    <row r="2532" spans="1:9">
      <c r="A2532" t="s">
        <v>6213</v>
      </c>
      <c r="B2532">
        <v>392</v>
      </c>
      <c r="C2532" t="s">
        <v>6214</v>
      </c>
      <c r="D2532" s="1" t="s">
        <v>7398</v>
      </c>
      <c r="F2532" s="1" t="s">
        <v>8148</v>
      </c>
      <c r="G2532" s="1" t="s">
        <v>8149</v>
      </c>
      <c r="H2532" t="s">
        <v>9419</v>
      </c>
      <c r="I2532" t="s">
        <v>9420</v>
      </c>
    </row>
    <row r="2533" spans="1:9">
      <c r="A2533" t="s">
        <v>6213</v>
      </c>
      <c r="B2533">
        <v>392</v>
      </c>
      <c r="C2533" t="s">
        <v>6214</v>
      </c>
      <c r="D2533" s="1" t="s">
        <v>7398</v>
      </c>
      <c r="F2533" s="1" t="s">
        <v>8148</v>
      </c>
      <c r="G2533" s="1" t="s">
        <v>8149</v>
      </c>
      <c r="H2533" t="s">
        <v>9421</v>
      </c>
      <c r="I2533" t="s">
        <v>9422</v>
      </c>
    </row>
    <row r="2534" spans="1:9">
      <c r="A2534" t="s">
        <v>6213</v>
      </c>
      <c r="B2534">
        <v>392</v>
      </c>
      <c r="C2534" t="s">
        <v>6214</v>
      </c>
      <c r="D2534" s="1" t="s">
        <v>7398</v>
      </c>
      <c r="F2534" s="1" t="s">
        <v>8148</v>
      </c>
      <c r="G2534" s="1" t="s">
        <v>8149</v>
      </c>
      <c r="H2534" t="s">
        <v>9431</v>
      </c>
      <c r="I2534" t="s">
        <v>9424</v>
      </c>
    </row>
    <row r="2535" spans="1:9">
      <c r="A2535" t="s">
        <v>6213</v>
      </c>
      <c r="B2535">
        <v>392</v>
      </c>
      <c r="C2535" t="s">
        <v>6214</v>
      </c>
      <c r="D2535" s="1" t="s">
        <v>7398</v>
      </c>
      <c r="F2535" s="1" t="s">
        <v>8148</v>
      </c>
      <c r="G2535" s="1" t="s">
        <v>8149</v>
      </c>
      <c r="H2535" t="s">
        <v>9425</v>
      </c>
      <c r="I2535" t="s">
        <v>9426</v>
      </c>
    </row>
    <row r="2536" spans="1:9">
      <c r="A2536" t="s">
        <v>6213</v>
      </c>
      <c r="B2536">
        <v>392</v>
      </c>
      <c r="C2536" t="s">
        <v>6214</v>
      </c>
      <c r="D2536" s="1" t="s">
        <v>7398</v>
      </c>
      <c r="F2536" s="1" t="s">
        <v>8148</v>
      </c>
      <c r="G2536" s="1" t="s">
        <v>8149</v>
      </c>
      <c r="H2536" t="s">
        <v>9427</v>
      </c>
      <c r="I2536" t="s">
        <v>9428</v>
      </c>
    </row>
    <row r="2537" spans="1:9">
      <c r="A2537" t="s">
        <v>6215</v>
      </c>
      <c r="B2537">
        <v>161</v>
      </c>
      <c r="C2537" t="s">
        <v>6216</v>
      </c>
    </row>
    <row r="2538" spans="1:9">
      <c r="A2538" t="s">
        <v>6217</v>
      </c>
      <c r="B2538">
        <v>384</v>
      </c>
      <c r="C2538" t="s">
        <v>6218</v>
      </c>
    </row>
    <row r="2539" spans="1:9">
      <c r="A2539" t="s">
        <v>6219</v>
      </c>
      <c r="B2539">
        <v>427</v>
      </c>
      <c r="C2539" t="s">
        <v>6220</v>
      </c>
    </row>
    <row r="2540" spans="1:9">
      <c r="A2540" t="s">
        <v>6223</v>
      </c>
      <c r="B2540">
        <v>769</v>
      </c>
      <c r="C2540" t="s">
        <v>6224</v>
      </c>
      <c r="D2540" s="1" t="s">
        <v>7756</v>
      </c>
      <c r="F2540" s="1" t="s">
        <v>9884</v>
      </c>
      <c r="G2540" s="1" t="s">
        <v>9885</v>
      </c>
      <c r="H2540" t="s">
        <v>9886</v>
      </c>
      <c r="I2540" t="s">
        <v>9887</v>
      </c>
    </row>
    <row r="2541" spans="1:9">
      <c r="A2541" t="s">
        <v>6227</v>
      </c>
      <c r="B2541">
        <v>227</v>
      </c>
      <c r="C2541" t="s">
        <v>6228</v>
      </c>
      <c r="D2541" s="1" t="s">
        <v>7756</v>
      </c>
      <c r="F2541" s="1" t="s">
        <v>9884</v>
      </c>
      <c r="G2541" s="1" t="s">
        <v>9885</v>
      </c>
      <c r="H2541" t="s">
        <v>9886</v>
      </c>
      <c r="I2541" t="s">
        <v>9887</v>
      </c>
    </row>
    <row r="2542" spans="1:9">
      <c r="A2542" t="s">
        <v>6230</v>
      </c>
      <c r="B2542">
        <v>80</v>
      </c>
      <c r="C2542" t="s">
        <v>6231</v>
      </c>
    </row>
    <row r="2543" spans="1:9">
      <c r="A2543" t="s">
        <v>6232</v>
      </c>
      <c r="B2543">
        <v>50</v>
      </c>
      <c r="C2543" t="s">
        <v>6233</v>
      </c>
    </row>
    <row r="2544" spans="1:9">
      <c r="A2544" t="s">
        <v>6235</v>
      </c>
      <c r="B2544">
        <v>911</v>
      </c>
      <c r="C2544" t="s">
        <v>6236</v>
      </c>
    </row>
    <row r="2545" spans="1:9">
      <c r="A2545" t="s">
        <v>6237</v>
      </c>
      <c r="B2545">
        <v>227</v>
      </c>
      <c r="C2545" t="s">
        <v>6238</v>
      </c>
    </row>
    <row r="2546" spans="1:9">
      <c r="A2546" t="s">
        <v>6241</v>
      </c>
      <c r="B2546">
        <v>707</v>
      </c>
      <c r="C2546" t="s">
        <v>6242</v>
      </c>
      <c r="D2546" s="1" t="s">
        <v>7757</v>
      </c>
      <c r="F2546" s="1" t="s">
        <v>9888</v>
      </c>
    </row>
    <row r="2547" spans="1:9">
      <c r="A2547" t="s">
        <v>6245</v>
      </c>
      <c r="B2547">
        <v>297</v>
      </c>
      <c r="C2547" t="s">
        <v>6246</v>
      </c>
      <c r="D2547" s="1" t="s">
        <v>7758</v>
      </c>
      <c r="F2547" s="1" t="s">
        <v>9889</v>
      </c>
      <c r="G2547" s="1" t="s">
        <v>9890</v>
      </c>
      <c r="H2547" t="s">
        <v>9891</v>
      </c>
      <c r="I2547" t="s">
        <v>9892</v>
      </c>
    </row>
    <row r="2548" spans="1:9">
      <c r="A2548" t="s">
        <v>6249</v>
      </c>
      <c r="B2548">
        <v>479</v>
      </c>
      <c r="C2548" t="s">
        <v>6250</v>
      </c>
      <c r="D2548" s="1" t="s">
        <v>7759</v>
      </c>
      <c r="F2548" s="1" t="s">
        <v>9893</v>
      </c>
      <c r="G2548" s="1" t="s">
        <v>9894</v>
      </c>
      <c r="H2548" t="s">
        <v>9895</v>
      </c>
      <c r="I2548" t="s">
        <v>9896</v>
      </c>
    </row>
    <row r="2549" spans="1:9">
      <c r="A2549" t="s">
        <v>6249</v>
      </c>
      <c r="B2549">
        <v>479</v>
      </c>
      <c r="C2549" t="s">
        <v>6250</v>
      </c>
      <c r="D2549" s="1" t="s">
        <v>7759</v>
      </c>
      <c r="F2549" s="1" t="s">
        <v>9893</v>
      </c>
      <c r="G2549" s="1" t="s">
        <v>9894</v>
      </c>
      <c r="H2549" t="s">
        <v>9897</v>
      </c>
      <c r="I2549" t="s">
        <v>9898</v>
      </c>
    </row>
    <row r="2550" spans="1:9">
      <c r="A2550" t="s">
        <v>6249</v>
      </c>
      <c r="B2550">
        <v>479</v>
      </c>
      <c r="C2550" t="s">
        <v>6250</v>
      </c>
      <c r="D2550" s="1" t="s">
        <v>7759</v>
      </c>
      <c r="F2550" s="1" t="s">
        <v>9893</v>
      </c>
      <c r="G2550" s="1" t="s">
        <v>9894</v>
      </c>
      <c r="H2550" t="s">
        <v>9899</v>
      </c>
      <c r="I2550" t="s">
        <v>9900</v>
      </c>
    </row>
    <row r="2551" spans="1:9">
      <c r="A2551" t="s">
        <v>6253</v>
      </c>
      <c r="B2551">
        <v>428</v>
      </c>
      <c r="C2551" t="s">
        <v>6254</v>
      </c>
      <c r="D2551" s="1" t="s">
        <v>7760</v>
      </c>
      <c r="F2551" s="1" t="s">
        <v>9901</v>
      </c>
      <c r="G2551" s="1" t="s">
        <v>9902</v>
      </c>
      <c r="H2551" t="s">
        <v>9903</v>
      </c>
      <c r="I2551" t="s">
        <v>9904</v>
      </c>
    </row>
    <row r="2552" spans="1:9">
      <c r="A2552" t="s">
        <v>6256</v>
      </c>
      <c r="B2552">
        <v>142</v>
      </c>
      <c r="C2552" t="s">
        <v>6257</v>
      </c>
      <c r="D2552" s="1" t="s">
        <v>7332</v>
      </c>
    </row>
    <row r="2553" spans="1:9">
      <c r="A2553" t="s">
        <v>6260</v>
      </c>
      <c r="B2553">
        <v>508</v>
      </c>
      <c r="C2553" t="s">
        <v>6261</v>
      </c>
      <c r="D2553" s="1" t="s">
        <v>7293</v>
      </c>
      <c r="F2553" s="1" t="s">
        <v>7863</v>
      </c>
    </row>
    <row r="2554" spans="1:9">
      <c r="A2554" t="s">
        <v>6264</v>
      </c>
      <c r="B2554">
        <v>234</v>
      </c>
      <c r="C2554" t="s">
        <v>6265</v>
      </c>
    </row>
    <row r="2555" spans="1:9">
      <c r="A2555" t="s">
        <v>6268</v>
      </c>
      <c r="B2555">
        <v>581</v>
      </c>
      <c r="C2555" t="s">
        <v>6269</v>
      </c>
      <c r="D2555" s="1" t="s">
        <v>7761</v>
      </c>
      <c r="F2555" s="1" t="s">
        <v>9905</v>
      </c>
      <c r="G2555" s="1" t="s">
        <v>9906</v>
      </c>
      <c r="H2555" t="s">
        <v>9907</v>
      </c>
      <c r="I2555" t="s">
        <v>9908</v>
      </c>
    </row>
    <row r="2556" spans="1:9">
      <c r="A2556" t="s">
        <v>6271</v>
      </c>
      <c r="B2556">
        <v>507</v>
      </c>
      <c r="C2556" t="s">
        <v>6272</v>
      </c>
    </row>
    <row r="2557" spans="1:9">
      <c r="C2557" t="s">
        <v>6273</v>
      </c>
    </row>
    <row r="2558" spans="1:9">
      <c r="A2558" t="s">
        <v>6274</v>
      </c>
      <c r="B2558">
        <v>576</v>
      </c>
      <c r="C2558" t="s">
        <v>6275</v>
      </c>
    </row>
    <row r="2559" spans="1:9">
      <c r="A2559" t="s">
        <v>6276</v>
      </c>
      <c r="B2559">
        <v>118</v>
      </c>
      <c r="C2559" t="s">
        <v>6277</v>
      </c>
    </row>
    <row r="2560" spans="1:9">
      <c r="A2560" t="s">
        <v>6280</v>
      </c>
      <c r="B2560">
        <v>489</v>
      </c>
      <c r="C2560" t="s">
        <v>6281</v>
      </c>
      <c r="D2560" s="1" t="s">
        <v>7367</v>
      </c>
    </row>
    <row r="2561" spans="1:9">
      <c r="A2561" t="s">
        <v>6282</v>
      </c>
      <c r="B2561">
        <v>172</v>
      </c>
      <c r="C2561" t="s">
        <v>6283</v>
      </c>
    </row>
    <row r="2562" spans="1:9">
      <c r="A2562" t="s">
        <v>6286</v>
      </c>
      <c r="B2562">
        <v>252</v>
      </c>
      <c r="C2562" t="s">
        <v>6287</v>
      </c>
      <c r="D2562" s="1" t="s">
        <v>7762</v>
      </c>
      <c r="F2562" s="1" t="s">
        <v>9909</v>
      </c>
      <c r="G2562" s="1" t="s">
        <v>9910</v>
      </c>
      <c r="H2562" t="s">
        <v>9911</v>
      </c>
      <c r="I2562" t="s">
        <v>9912</v>
      </c>
    </row>
    <row r="2563" spans="1:9">
      <c r="A2563" t="s">
        <v>6286</v>
      </c>
      <c r="B2563">
        <v>252</v>
      </c>
      <c r="C2563" t="s">
        <v>6287</v>
      </c>
      <c r="D2563" s="1" t="s">
        <v>7762</v>
      </c>
      <c r="F2563" s="1" t="s">
        <v>9909</v>
      </c>
      <c r="G2563" s="1" t="s">
        <v>9910</v>
      </c>
      <c r="H2563" t="s">
        <v>9913</v>
      </c>
      <c r="I2563" t="s">
        <v>9914</v>
      </c>
    </row>
    <row r="2564" spans="1:9">
      <c r="A2564" t="s">
        <v>6290</v>
      </c>
      <c r="B2564">
        <v>381</v>
      </c>
      <c r="C2564" t="s">
        <v>6291</v>
      </c>
    </row>
    <row r="2565" spans="1:9">
      <c r="A2565" t="s">
        <v>6293</v>
      </c>
      <c r="B2565">
        <v>336</v>
      </c>
      <c r="C2565" t="s">
        <v>6294</v>
      </c>
    </row>
    <row r="2566" spans="1:9">
      <c r="A2566" t="s">
        <v>6295</v>
      </c>
      <c r="B2566">
        <v>233</v>
      </c>
      <c r="C2566" t="s">
        <v>6296</v>
      </c>
    </row>
    <row r="2567" spans="1:9">
      <c r="A2567" t="s">
        <v>6298</v>
      </c>
      <c r="B2567">
        <v>299</v>
      </c>
      <c r="C2567" t="s">
        <v>6299</v>
      </c>
    </row>
    <row r="2568" spans="1:9">
      <c r="A2568" t="s">
        <v>6300</v>
      </c>
      <c r="B2568">
        <v>276</v>
      </c>
      <c r="C2568" t="s">
        <v>6301</v>
      </c>
    </row>
    <row r="2569" spans="1:9">
      <c r="A2569" t="s">
        <v>6302</v>
      </c>
      <c r="B2569">
        <v>398</v>
      </c>
      <c r="C2569" t="s">
        <v>6303</v>
      </c>
    </row>
    <row r="2570" spans="1:9">
      <c r="A2570" t="s">
        <v>6304</v>
      </c>
      <c r="B2570">
        <v>316</v>
      </c>
      <c r="C2570" t="s">
        <v>6305</v>
      </c>
      <c r="D2570" s="1" t="s">
        <v>7501</v>
      </c>
    </row>
    <row r="2571" spans="1:9">
      <c r="A2571" t="s">
        <v>6308</v>
      </c>
      <c r="B2571">
        <v>468</v>
      </c>
      <c r="C2571" t="s">
        <v>6309</v>
      </c>
      <c r="D2571" s="1" t="s">
        <v>7763</v>
      </c>
      <c r="F2571" s="1" t="s">
        <v>9915</v>
      </c>
      <c r="G2571" s="1" t="s">
        <v>9916</v>
      </c>
      <c r="H2571" t="s">
        <v>9917</v>
      </c>
      <c r="I2571" t="s">
        <v>9918</v>
      </c>
    </row>
    <row r="2572" spans="1:9">
      <c r="A2572" t="s">
        <v>6312</v>
      </c>
      <c r="B2572">
        <v>162</v>
      </c>
      <c r="C2572" t="s">
        <v>6313</v>
      </c>
      <c r="D2572" s="1" t="s">
        <v>7764</v>
      </c>
      <c r="F2572" s="1" t="s">
        <v>9919</v>
      </c>
      <c r="G2572" s="1" t="s">
        <v>9920</v>
      </c>
      <c r="H2572" t="s">
        <v>9921</v>
      </c>
      <c r="I2572" t="s">
        <v>9922</v>
      </c>
    </row>
    <row r="2573" spans="1:9">
      <c r="A2573" t="s">
        <v>6316</v>
      </c>
      <c r="B2573">
        <v>241</v>
      </c>
      <c r="C2573" t="s">
        <v>6317</v>
      </c>
      <c r="D2573" s="1" t="s">
        <v>7765</v>
      </c>
      <c r="F2573" s="1" t="s">
        <v>9923</v>
      </c>
      <c r="G2573" s="1" t="s">
        <v>9924</v>
      </c>
      <c r="H2573" t="s">
        <v>9925</v>
      </c>
      <c r="I2573" t="s">
        <v>9926</v>
      </c>
    </row>
    <row r="2574" spans="1:9">
      <c r="A2574" t="s">
        <v>6320</v>
      </c>
      <c r="B2574">
        <v>194</v>
      </c>
      <c r="C2574" t="s">
        <v>6321</v>
      </c>
    </row>
    <row r="2575" spans="1:9">
      <c r="A2575" t="s">
        <v>6322</v>
      </c>
      <c r="B2575">
        <v>196</v>
      </c>
      <c r="C2575" t="s">
        <v>6323</v>
      </c>
    </row>
    <row r="2576" spans="1:9">
      <c r="A2576" t="s">
        <v>6324</v>
      </c>
      <c r="B2576">
        <v>454</v>
      </c>
      <c r="C2576" t="s">
        <v>6325</v>
      </c>
    </row>
    <row r="2577" spans="1:9">
      <c r="A2577" t="s">
        <v>6326</v>
      </c>
      <c r="B2577">
        <v>238</v>
      </c>
      <c r="C2577" t="s">
        <v>6327</v>
      </c>
    </row>
    <row r="2578" spans="1:9">
      <c r="A2578" t="s">
        <v>6330</v>
      </c>
      <c r="B2578">
        <v>219</v>
      </c>
      <c r="C2578" t="s">
        <v>6331</v>
      </c>
      <c r="D2578" s="1" t="s">
        <v>7766</v>
      </c>
      <c r="F2578" s="1" t="s">
        <v>9927</v>
      </c>
      <c r="G2578" s="1" t="s">
        <v>9928</v>
      </c>
      <c r="H2578" t="s">
        <v>9929</v>
      </c>
      <c r="I2578" t="s">
        <v>9930</v>
      </c>
    </row>
    <row r="2579" spans="1:9">
      <c r="A2579" t="s">
        <v>6330</v>
      </c>
      <c r="B2579">
        <v>219</v>
      </c>
      <c r="C2579" t="s">
        <v>6331</v>
      </c>
      <c r="D2579" s="1" t="s">
        <v>7766</v>
      </c>
      <c r="F2579" s="1" t="s">
        <v>9927</v>
      </c>
      <c r="G2579" s="1" t="s">
        <v>9928</v>
      </c>
      <c r="H2579" t="s">
        <v>9931</v>
      </c>
      <c r="I2579" t="s">
        <v>9930</v>
      </c>
    </row>
    <row r="2580" spans="1:9">
      <c r="A2580" t="s">
        <v>6334</v>
      </c>
      <c r="B2580">
        <v>284</v>
      </c>
      <c r="C2580" t="s">
        <v>6335</v>
      </c>
      <c r="D2580" s="1" t="s">
        <v>7448</v>
      </c>
    </row>
    <row r="2581" spans="1:9">
      <c r="A2581" t="s">
        <v>6336</v>
      </c>
      <c r="B2581">
        <v>37</v>
      </c>
      <c r="C2581" t="s">
        <v>6337</v>
      </c>
    </row>
    <row r="2582" spans="1:9">
      <c r="A2582" t="s">
        <v>6340</v>
      </c>
      <c r="B2582">
        <v>961</v>
      </c>
      <c r="C2582" t="s">
        <v>6341</v>
      </c>
    </row>
    <row r="2583" spans="1:9">
      <c r="A2583" t="s">
        <v>6342</v>
      </c>
      <c r="B2583">
        <v>445</v>
      </c>
      <c r="C2583" t="s">
        <v>6343</v>
      </c>
    </row>
    <row r="2584" spans="1:9">
      <c r="A2584" t="s">
        <v>6346</v>
      </c>
      <c r="B2584">
        <v>473</v>
      </c>
      <c r="C2584" t="s">
        <v>6347</v>
      </c>
    </row>
    <row r="2585" spans="1:9">
      <c r="A2585" t="s">
        <v>6349</v>
      </c>
      <c r="B2585">
        <v>478</v>
      </c>
      <c r="C2585" t="s">
        <v>6350</v>
      </c>
      <c r="D2585" s="9" t="s">
        <v>7384</v>
      </c>
      <c r="F2585" s="1" t="s">
        <v>8125</v>
      </c>
      <c r="G2585" s="1" t="s">
        <v>8126</v>
      </c>
      <c r="H2585" t="s">
        <v>8128</v>
      </c>
      <c r="I2585" t="s">
        <v>8127</v>
      </c>
    </row>
    <row r="2586" spans="1:9">
      <c r="A2586" t="s">
        <v>6349</v>
      </c>
      <c r="B2586">
        <v>478</v>
      </c>
      <c r="C2586" t="s">
        <v>6350</v>
      </c>
      <c r="D2586" s="9" t="s">
        <v>7384</v>
      </c>
      <c r="F2586" s="1" t="s">
        <v>8125</v>
      </c>
      <c r="G2586" s="1" t="s">
        <v>8126</v>
      </c>
      <c r="H2586" t="s">
        <v>10262</v>
      </c>
      <c r="I2586" t="s">
        <v>10263</v>
      </c>
    </row>
    <row r="2587" spans="1:9">
      <c r="A2587" t="s">
        <v>6353</v>
      </c>
      <c r="B2587">
        <v>284</v>
      </c>
      <c r="C2587" t="s">
        <v>6354</v>
      </c>
      <c r="D2587" s="1" t="s">
        <v>7767</v>
      </c>
      <c r="F2587" s="1" t="s">
        <v>9932</v>
      </c>
      <c r="G2587" s="1" t="s">
        <v>9933</v>
      </c>
      <c r="H2587" t="s">
        <v>9934</v>
      </c>
      <c r="I2587" t="s">
        <v>9935</v>
      </c>
    </row>
    <row r="2588" spans="1:9">
      <c r="A2588" t="s">
        <v>6353</v>
      </c>
      <c r="B2588">
        <v>284</v>
      </c>
      <c r="C2588" t="s">
        <v>6354</v>
      </c>
      <c r="D2588" s="1" t="s">
        <v>7767</v>
      </c>
      <c r="F2588" s="1" t="s">
        <v>9932</v>
      </c>
      <c r="G2588" s="1" t="s">
        <v>9933</v>
      </c>
      <c r="H2588" t="s">
        <v>9936</v>
      </c>
      <c r="I2588" t="s">
        <v>9937</v>
      </c>
    </row>
    <row r="2589" spans="1:9">
      <c r="A2589" t="s">
        <v>6353</v>
      </c>
      <c r="B2589">
        <v>284</v>
      </c>
      <c r="C2589" t="s">
        <v>6354</v>
      </c>
      <c r="D2589" s="1" t="s">
        <v>7767</v>
      </c>
      <c r="F2589" s="1" t="s">
        <v>9932</v>
      </c>
      <c r="G2589" s="1" t="s">
        <v>9933</v>
      </c>
      <c r="H2589" t="s">
        <v>9934</v>
      </c>
      <c r="I2589" t="s">
        <v>9938</v>
      </c>
    </row>
    <row r="2590" spans="1:9">
      <c r="A2590" t="s">
        <v>6353</v>
      </c>
      <c r="B2590">
        <v>284</v>
      </c>
      <c r="C2590" t="s">
        <v>6354</v>
      </c>
      <c r="D2590" s="1" t="s">
        <v>7767</v>
      </c>
      <c r="F2590" s="1" t="s">
        <v>9932</v>
      </c>
      <c r="G2590" s="1" t="s">
        <v>9933</v>
      </c>
      <c r="H2590" t="s">
        <v>9939</v>
      </c>
      <c r="I2590" t="s">
        <v>9940</v>
      </c>
    </row>
    <row r="2591" spans="1:9">
      <c r="A2591" t="s">
        <v>6353</v>
      </c>
      <c r="B2591">
        <v>284</v>
      </c>
      <c r="C2591" t="s">
        <v>6354</v>
      </c>
      <c r="D2591" s="1" t="s">
        <v>7767</v>
      </c>
      <c r="F2591" s="1" t="s">
        <v>9932</v>
      </c>
      <c r="G2591" s="1" t="s">
        <v>9933</v>
      </c>
      <c r="H2591" t="s">
        <v>9941</v>
      </c>
      <c r="I2591" t="s">
        <v>9942</v>
      </c>
    </row>
    <row r="2592" spans="1:9">
      <c r="A2592" t="s">
        <v>6357</v>
      </c>
      <c r="B2592">
        <v>532</v>
      </c>
      <c r="C2592" t="s">
        <v>6358</v>
      </c>
      <c r="D2592" s="1" t="s">
        <v>7768</v>
      </c>
      <c r="F2592" s="1" t="s">
        <v>9943</v>
      </c>
      <c r="G2592" s="1" t="s">
        <v>9944</v>
      </c>
      <c r="H2592" t="s">
        <v>9945</v>
      </c>
      <c r="I2592" t="s">
        <v>9946</v>
      </c>
    </row>
    <row r="2593" spans="1:9">
      <c r="A2593" t="s">
        <v>6357</v>
      </c>
      <c r="B2593">
        <v>532</v>
      </c>
      <c r="C2593" t="s">
        <v>6358</v>
      </c>
      <c r="D2593" s="1" t="s">
        <v>7768</v>
      </c>
      <c r="F2593" s="1" t="s">
        <v>9943</v>
      </c>
      <c r="G2593" s="1" t="s">
        <v>9944</v>
      </c>
      <c r="H2593" t="s">
        <v>9947</v>
      </c>
      <c r="I2593" t="s">
        <v>9948</v>
      </c>
    </row>
    <row r="2594" spans="1:9">
      <c r="A2594" t="s">
        <v>6357</v>
      </c>
      <c r="B2594">
        <v>532</v>
      </c>
      <c r="C2594" t="s">
        <v>6358</v>
      </c>
      <c r="D2594" s="1" t="s">
        <v>7768</v>
      </c>
      <c r="F2594" s="1" t="s">
        <v>9943</v>
      </c>
      <c r="G2594" s="1" t="s">
        <v>9944</v>
      </c>
      <c r="H2594" t="s">
        <v>9949</v>
      </c>
      <c r="I2594" t="s">
        <v>9950</v>
      </c>
    </row>
    <row r="2595" spans="1:9">
      <c r="A2595" t="s">
        <v>6357</v>
      </c>
      <c r="B2595">
        <v>532</v>
      </c>
      <c r="C2595" t="s">
        <v>6358</v>
      </c>
      <c r="D2595" s="1" t="s">
        <v>7768</v>
      </c>
      <c r="F2595" s="1" t="s">
        <v>9943</v>
      </c>
      <c r="G2595" s="1" t="s">
        <v>9944</v>
      </c>
      <c r="H2595" t="s">
        <v>9951</v>
      </c>
      <c r="I2595" t="s">
        <v>9952</v>
      </c>
    </row>
    <row r="2596" spans="1:9">
      <c r="A2596" t="s">
        <v>6357</v>
      </c>
      <c r="B2596">
        <v>532</v>
      </c>
      <c r="C2596" t="s">
        <v>6358</v>
      </c>
      <c r="D2596" s="1" t="s">
        <v>7768</v>
      </c>
      <c r="F2596" s="1" t="s">
        <v>9943</v>
      </c>
      <c r="G2596" s="1" t="s">
        <v>9944</v>
      </c>
      <c r="H2596" t="s">
        <v>9953</v>
      </c>
      <c r="I2596" t="s">
        <v>9954</v>
      </c>
    </row>
    <row r="2597" spans="1:9">
      <c r="A2597" t="s">
        <v>6357</v>
      </c>
      <c r="B2597">
        <v>532</v>
      </c>
      <c r="C2597" t="s">
        <v>6358</v>
      </c>
      <c r="D2597" s="1" t="s">
        <v>7768</v>
      </c>
      <c r="F2597" s="1" t="s">
        <v>9943</v>
      </c>
      <c r="G2597" s="1" t="s">
        <v>9944</v>
      </c>
      <c r="H2597" t="s">
        <v>9955</v>
      </c>
      <c r="I2597" t="s">
        <v>9956</v>
      </c>
    </row>
    <row r="2598" spans="1:9">
      <c r="A2598" t="s">
        <v>6361</v>
      </c>
      <c r="B2598">
        <v>525</v>
      </c>
      <c r="C2598" t="s">
        <v>6362</v>
      </c>
      <c r="D2598" s="1" t="s">
        <v>7769</v>
      </c>
      <c r="F2598" s="1" t="s">
        <v>9957</v>
      </c>
      <c r="G2598" s="1" t="s">
        <v>9958</v>
      </c>
      <c r="H2598" t="s">
        <v>9959</v>
      </c>
      <c r="I2598" t="s">
        <v>9960</v>
      </c>
    </row>
    <row r="2599" spans="1:9">
      <c r="A2599" t="s">
        <v>6364</v>
      </c>
      <c r="B2599">
        <v>131</v>
      </c>
      <c r="C2599" t="s">
        <v>6365</v>
      </c>
    </row>
    <row r="2600" spans="1:9">
      <c r="A2600" t="s">
        <v>6368</v>
      </c>
      <c r="B2600">
        <v>570</v>
      </c>
      <c r="C2600" t="s">
        <v>6369</v>
      </c>
    </row>
    <row r="2601" spans="1:9">
      <c r="A2601" t="s">
        <v>6370</v>
      </c>
      <c r="B2601">
        <v>95</v>
      </c>
      <c r="C2601" t="s">
        <v>6371</v>
      </c>
    </row>
    <row r="2602" spans="1:9">
      <c r="A2602" t="s">
        <v>6374</v>
      </c>
      <c r="B2602">
        <v>313</v>
      </c>
      <c r="C2602" t="s">
        <v>6375</v>
      </c>
    </row>
    <row r="2603" spans="1:9">
      <c r="A2603" t="s">
        <v>6378</v>
      </c>
      <c r="B2603">
        <v>439</v>
      </c>
      <c r="C2603" t="s">
        <v>6379</v>
      </c>
      <c r="D2603" s="1" t="s">
        <v>7770</v>
      </c>
      <c r="F2603" s="1" t="s">
        <v>9961</v>
      </c>
    </row>
    <row r="2604" spans="1:9">
      <c r="A2604" t="s">
        <v>6381</v>
      </c>
      <c r="B2604">
        <v>433</v>
      </c>
      <c r="C2604" t="s">
        <v>6382</v>
      </c>
      <c r="D2604" s="1" t="s">
        <v>7770</v>
      </c>
      <c r="F2604" s="1" t="s">
        <v>9961</v>
      </c>
    </row>
    <row r="2605" spans="1:9">
      <c r="A2605" t="s">
        <v>6383</v>
      </c>
      <c r="B2605">
        <v>203</v>
      </c>
      <c r="C2605" t="s">
        <v>6384</v>
      </c>
    </row>
    <row r="2606" spans="1:9">
      <c r="A2606" t="s">
        <v>6386</v>
      </c>
      <c r="B2606">
        <v>313</v>
      </c>
      <c r="C2606" t="s">
        <v>6387</v>
      </c>
      <c r="D2606" s="1" t="s">
        <v>7727</v>
      </c>
      <c r="F2606" s="1" t="s">
        <v>9686</v>
      </c>
      <c r="G2606" s="1" t="s">
        <v>9687</v>
      </c>
      <c r="H2606" t="s">
        <v>9688</v>
      </c>
      <c r="I2606" t="s">
        <v>9689</v>
      </c>
    </row>
    <row r="2607" spans="1:9">
      <c r="A2607" t="s">
        <v>6389</v>
      </c>
      <c r="B2607">
        <v>224</v>
      </c>
      <c r="C2607" t="s">
        <v>6390</v>
      </c>
    </row>
    <row r="2608" spans="1:9">
      <c r="A2608" t="s">
        <v>6391</v>
      </c>
      <c r="B2608">
        <v>358</v>
      </c>
      <c r="C2608" t="s">
        <v>6392</v>
      </c>
    </row>
    <row r="2609" spans="1:9">
      <c r="A2609" t="s">
        <v>6393</v>
      </c>
      <c r="B2609">
        <v>157</v>
      </c>
      <c r="C2609" t="s">
        <v>6394</v>
      </c>
    </row>
    <row r="2610" spans="1:9">
      <c r="A2610" t="s">
        <v>6397</v>
      </c>
      <c r="B2610">
        <v>161</v>
      </c>
      <c r="C2610" t="s">
        <v>6398</v>
      </c>
      <c r="D2610" s="1" t="s">
        <v>7771</v>
      </c>
      <c r="F2610" s="1" t="s">
        <v>9962</v>
      </c>
      <c r="G2610" s="1" t="s">
        <v>9963</v>
      </c>
      <c r="H2610" t="s">
        <v>9964</v>
      </c>
      <c r="I2610" t="s">
        <v>9965</v>
      </c>
    </row>
    <row r="2611" spans="1:9">
      <c r="A2611" t="s">
        <v>6401</v>
      </c>
      <c r="B2611">
        <v>132</v>
      </c>
      <c r="C2611" t="s">
        <v>6402</v>
      </c>
      <c r="D2611" s="1" t="s">
        <v>7772</v>
      </c>
      <c r="F2611" s="1" t="s">
        <v>9966</v>
      </c>
      <c r="G2611" s="1" t="s">
        <v>9967</v>
      </c>
      <c r="H2611" t="s">
        <v>9968</v>
      </c>
      <c r="I2611" t="s">
        <v>9969</v>
      </c>
    </row>
    <row r="2612" spans="1:9">
      <c r="A2612" t="s">
        <v>6405</v>
      </c>
      <c r="B2612">
        <v>319</v>
      </c>
      <c r="C2612" t="s">
        <v>6406</v>
      </c>
      <c r="D2612" s="1" t="s">
        <v>7773</v>
      </c>
      <c r="F2612" s="1" t="s">
        <v>9970</v>
      </c>
      <c r="G2612" s="1" t="s">
        <v>9971</v>
      </c>
      <c r="H2612" t="s">
        <v>9972</v>
      </c>
      <c r="I2612" t="s">
        <v>9973</v>
      </c>
    </row>
    <row r="2613" spans="1:9">
      <c r="A2613" t="s">
        <v>6405</v>
      </c>
      <c r="B2613">
        <v>319</v>
      </c>
      <c r="C2613" t="s">
        <v>6406</v>
      </c>
      <c r="D2613" s="1" t="s">
        <v>7773</v>
      </c>
      <c r="F2613" s="1" t="s">
        <v>9970</v>
      </c>
      <c r="G2613" s="1" t="s">
        <v>9971</v>
      </c>
      <c r="H2613" t="s">
        <v>9974</v>
      </c>
      <c r="I2613" t="s">
        <v>9975</v>
      </c>
    </row>
    <row r="2614" spans="1:9">
      <c r="A2614" t="s">
        <v>6409</v>
      </c>
      <c r="B2614">
        <v>202</v>
      </c>
      <c r="C2614" t="s">
        <v>6410</v>
      </c>
      <c r="D2614" s="1" t="s">
        <v>7694</v>
      </c>
      <c r="F2614" s="1" t="s">
        <v>9272</v>
      </c>
      <c r="G2614" s="1" t="s">
        <v>9273</v>
      </c>
      <c r="H2614" t="s">
        <v>9274</v>
      </c>
      <c r="I2614" t="s">
        <v>9275</v>
      </c>
    </row>
    <row r="2615" spans="1:9">
      <c r="A2615" t="s">
        <v>6409</v>
      </c>
      <c r="B2615">
        <v>202</v>
      </c>
      <c r="C2615" t="s">
        <v>6410</v>
      </c>
      <c r="D2615" s="1" t="s">
        <v>7694</v>
      </c>
      <c r="F2615" s="1" t="s">
        <v>9272</v>
      </c>
      <c r="G2615" s="1" t="s">
        <v>9273</v>
      </c>
      <c r="H2615" t="s">
        <v>9274</v>
      </c>
      <c r="I2615" t="s">
        <v>9276</v>
      </c>
    </row>
    <row r="2616" spans="1:9">
      <c r="A2616" t="s">
        <v>6409</v>
      </c>
      <c r="B2616">
        <v>202</v>
      </c>
      <c r="C2616" t="s">
        <v>6410</v>
      </c>
      <c r="D2616" s="1" t="s">
        <v>7694</v>
      </c>
      <c r="F2616" s="1" t="s">
        <v>9272</v>
      </c>
      <c r="G2616" s="1" t="s">
        <v>9273</v>
      </c>
      <c r="H2616" t="s">
        <v>9283</v>
      </c>
      <c r="I2616" t="s">
        <v>9278</v>
      </c>
    </row>
    <row r="2617" spans="1:9">
      <c r="A2617" t="s">
        <v>6409</v>
      </c>
      <c r="B2617">
        <v>202</v>
      </c>
      <c r="C2617" t="s">
        <v>6410</v>
      </c>
      <c r="D2617" s="1" t="s">
        <v>7694</v>
      </c>
      <c r="F2617" s="1" t="s">
        <v>9272</v>
      </c>
      <c r="G2617" s="1" t="s">
        <v>9273</v>
      </c>
      <c r="H2617" t="s">
        <v>9279</v>
      </c>
      <c r="I2617" t="s">
        <v>9280</v>
      </c>
    </row>
    <row r="2618" spans="1:9">
      <c r="A2618" t="s">
        <v>6409</v>
      </c>
      <c r="B2618">
        <v>202</v>
      </c>
      <c r="C2618" t="s">
        <v>6410</v>
      </c>
      <c r="D2618" s="1" t="s">
        <v>7694</v>
      </c>
      <c r="F2618" s="1" t="s">
        <v>9272</v>
      </c>
      <c r="G2618" s="1" t="s">
        <v>9273</v>
      </c>
      <c r="H2618" t="s">
        <v>9282</v>
      </c>
      <c r="I2618" t="s">
        <v>9278</v>
      </c>
    </row>
    <row r="2619" spans="1:9">
      <c r="A2619" t="s">
        <v>6413</v>
      </c>
      <c r="B2619">
        <v>808</v>
      </c>
      <c r="C2619" t="s">
        <v>6414</v>
      </c>
      <c r="D2619" s="1" t="s">
        <v>7311</v>
      </c>
    </row>
    <row r="2620" spans="1:9">
      <c r="A2620" t="s">
        <v>6417</v>
      </c>
      <c r="B2620">
        <v>195</v>
      </c>
      <c r="C2620" t="s">
        <v>6418</v>
      </c>
      <c r="D2620" s="1" t="s">
        <v>7774</v>
      </c>
      <c r="F2620" s="1" t="s">
        <v>9976</v>
      </c>
      <c r="G2620" s="1" t="s">
        <v>9977</v>
      </c>
      <c r="H2620" t="s">
        <v>9978</v>
      </c>
      <c r="I2620" t="s">
        <v>9979</v>
      </c>
    </row>
    <row r="2621" spans="1:9">
      <c r="A2621" t="s">
        <v>6417</v>
      </c>
      <c r="B2621">
        <v>195</v>
      </c>
      <c r="C2621" t="s">
        <v>6418</v>
      </c>
      <c r="D2621" s="1" t="s">
        <v>7774</v>
      </c>
      <c r="F2621" s="1" t="s">
        <v>9976</v>
      </c>
      <c r="G2621" s="1" t="s">
        <v>9977</v>
      </c>
      <c r="H2621" t="s">
        <v>9804</v>
      </c>
      <c r="I2621" t="s">
        <v>9980</v>
      </c>
    </row>
    <row r="2622" spans="1:9">
      <c r="A2622" t="s">
        <v>6417</v>
      </c>
      <c r="B2622">
        <v>195</v>
      </c>
      <c r="C2622" t="s">
        <v>6418</v>
      </c>
      <c r="D2622" s="1" t="s">
        <v>7774</v>
      </c>
      <c r="F2622" s="1" t="s">
        <v>9976</v>
      </c>
      <c r="G2622" s="1" t="s">
        <v>9977</v>
      </c>
      <c r="H2622" t="s">
        <v>9981</v>
      </c>
      <c r="I2622" t="s">
        <v>9982</v>
      </c>
    </row>
    <row r="2623" spans="1:9">
      <c r="A2623" t="s">
        <v>6417</v>
      </c>
      <c r="B2623">
        <v>195</v>
      </c>
      <c r="C2623" t="s">
        <v>6418</v>
      </c>
      <c r="D2623" s="1" t="s">
        <v>7774</v>
      </c>
      <c r="F2623" s="1" t="s">
        <v>9976</v>
      </c>
      <c r="G2623" s="1" t="s">
        <v>9977</v>
      </c>
      <c r="H2623" t="s">
        <v>9983</v>
      </c>
      <c r="I2623" t="s">
        <v>9984</v>
      </c>
    </row>
    <row r="2624" spans="1:9">
      <c r="A2624" t="s">
        <v>6417</v>
      </c>
      <c r="B2624">
        <v>195</v>
      </c>
      <c r="C2624" t="s">
        <v>6418</v>
      </c>
      <c r="D2624" s="1" t="s">
        <v>7774</v>
      </c>
      <c r="F2624" s="1" t="s">
        <v>9976</v>
      </c>
      <c r="G2624" s="1" t="s">
        <v>9977</v>
      </c>
      <c r="H2624" t="s">
        <v>9985</v>
      </c>
      <c r="I2624" t="s">
        <v>9986</v>
      </c>
    </row>
    <row r="2625" spans="1:9">
      <c r="A2625" t="s">
        <v>6417</v>
      </c>
      <c r="B2625">
        <v>195</v>
      </c>
      <c r="C2625" t="s">
        <v>6418</v>
      </c>
      <c r="D2625" s="1" t="s">
        <v>7774</v>
      </c>
      <c r="F2625" s="1" t="s">
        <v>9976</v>
      </c>
      <c r="G2625" s="1" t="s">
        <v>9977</v>
      </c>
      <c r="H2625" t="s">
        <v>9987</v>
      </c>
      <c r="I2625" t="s">
        <v>9988</v>
      </c>
    </row>
    <row r="2626" spans="1:9">
      <c r="A2626" t="s">
        <v>6421</v>
      </c>
      <c r="B2626">
        <v>297</v>
      </c>
      <c r="C2626" t="s">
        <v>6422</v>
      </c>
      <c r="D2626" s="1" t="s">
        <v>7775</v>
      </c>
    </row>
    <row r="2627" spans="1:9">
      <c r="A2627" t="s">
        <v>6425</v>
      </c>
      <c r="B2627">
        <v>454</v>
      </c>
      <c r="C2627" t="s">
        <v>6426</v>
      </c>
      <c r="D2627" s="1" t="s">
        <v>7776</v>
      </c>
      <c r="F2627" s="1" t="s">
        <v>9989</v>
      </c>
    </row>
    <row r="2628" spans="1:9">
      <c r="A2628" t="s">
        <v>6429</v>
      </c>
      <c r="B2628">
        <v>157</v>
      </c>
      <c r="C2628" t="s">
        <v>6430</v>
      </c>
      <c r="D2628" s="1" t="s">
        <v>7777</v>
      </c>
      <c r="F2628" s="1" t="s">
        <v>9990</v>
      </c>
      <c r="G2628" s="1" t="s">
        <v>9991</v>
      </c>
      <c r="H2628" t="s">
        <v>9992</v>
      </c>
      <c r="I2628" t="s">
        <v>9993</v>
      </c>
    </row>
    <row r="2629" spans="1:9">
      <c r="A2629" t="s">
        <v>6431</v>
      </c>
      <c r="B2629">
        <v>276</v>
      </c>
      <c r="C2629" t="s">
        <v>6432</v>
      </c>
    </row>
    <row r="2630" spans="1:9">
      <c r="A2630" t="s">
        <v>6433</v>
      </c>
      <c r="B2630">
        <v>466</v>
      </c>
      <c r="C2630" t="s">
        <v>6434</v>
      </c>
    </row>
    <row r="2631" spans="1:9">
      <c r="A2631" t="s">
        <v>6437</v>
      </c>
      <c r="B2631">
        <v>231</v>
      </c>
      <c r="C2631" t="s">
        <v>6438</v>
      </c>
    </row>
    <row r="2632" spans="1:9">
      <c r="A2632" t="s">
        <v>6440</v>
      </c>
      <c r="B2632">
        <v>232</v>
      </c>
      <c r="C2632" t="s">
        <v>6441</v>
      </c>
      <c r="D2632" s="1" t="s">
        <v>7293</v>
      </c>
      <c r="F2632" s="1" t="s">
        <v>7863</v>
      </c>
    </row>
    <row r="2633" spans="1:9">
      <c r="A2633" t="s">
        <v>6443</v>
      </c>
      <c r="B2633">
        <v>222</v>
      </c>
      <c r="C2633" t="s">
        <v>6444</v>
      </c>
    </row>
    <row r="2634" spans="1:9">
      <c r="A2634" t="s">
        <v>6447</v>
      </c>
      <c r="B2634">
        <v>98</v>
      </c>
      <c r="C2634" t="s">
        <v>6448</v>
      </c>
      <c r="D2634" s="1" t="s">
        <v>7407</v>
      </c>
      <c r="F2634" s="1" t="s">
        <v>8181</v>
      </c>
      <c r="G2634" s="1" t="s">
        <v>8182</v>
      </c>
      <c r="H2634" s="4" t="s">
        <v>8184</v>
      </c>
      <c r="I2634" s="4" t="s">
        <v>8183</v>
      </c>
    </row>
    <row r="2635" spans="1:9">
      <c r="A2635" t="s">
        <v>6450</v>
      </c>
      <c r="B2635">
        <v>152</v>
      </c>
      <c r="C2635" t="s">
        <v>6451</v>
      </c>
    </row>
    <row r="2636" spans="1:9">
      <c r="A2636" t="s">
        <v>6454</v>
      </c>
      <c r="B2636">
        <v>1307</v>
      </c>
      <c r="C2636" t="s">
        <v>6455</v>
      </c>
    </row>
    <row r="2637" spans="1:9">
      <c r="A2637" t="s">
        <v>6456</v>
      </c>
      <c r="B2637">
        <v>263</v>
      </c>
      <c r="C2637" t="s">
        <v>6457</v>
      </c>
    </row>
    <row r="2638" spans="1:9">
      <c r="A2638" t="s">
        <v>6460</v>
      </c>
      <c r="B2638">
        <v>382</v>
      </c>
      <c r="C2638" t="s">
        <v>6461</v>
      </c>
      <c r="D2638" s="1" t="s">
        <v>7502</v>
      </c>
    </row>
    <row r="2639" spans="1:9">
      <c r="A2639" t="s">
        <v>6462</v>
      </c>
      <c r="B2639">
        <v>299</v>
      </c>
      <c r="C2639" t="s">
        <v>6463</v>
      </c>
    </row>
    <row r="2640" spans="1:9">
      <c r="A2640" t="s">
        <v>6464</v>
      </c>
      <c r="B2640">
        <v>41</v>
      </c>
      <c r="C2640" t="s">
        <v>6465</v>
      </c>
    </row>
    <row r="2641" spans="1:9">
      <c r="A2641" t="s">
        <v>6466</v>
      </c>
      <c r="B2641">
        <v>59</v>
      </c>
      <c r="C2641" t="s">
        <v>6467</v>
      </c>
    </row>
    <row r="2642" spans="1:9">
      <c r="A2642" t="s">
        <v>6469</v>
      </c>
      <c r="B2642">
        <v>547</v>
      </c>
      <c r="C2642" t="s">
        <v>6470</v>
      </c>
    </row>
    <row r="2643" spans="1:9">
      <c r="A2643" t="s">
        <v>6472</v>
      </c>
      <c r="B2643">
        <v>671</v>
      </c>
      <c r="C2643" t="s">
        <v>6473</v>
      </c>
    </row>
    <row r="2644" spans="1:9">
      <c r="A2644" t="s">
        <v>6475</v>
      </c>
      <c r="B2644">
        <v>455</v>
      </c>
      <c r="C2644" t="s">
        <v>6476</v>
      </c>
      <c r="D2644" s="1" t="s">
        <v>7294</v>
      </c>
      <c r="F2644" s="1" t="s">
        <v>7864</v>
      </c>
      <c r="G2644" s="1" t="s">
        <v>7865</v>
      </c>
      <c r="H2644" t="s">
        <v>7866</v>
      </c>
      <c r="I2644" t="s">
        <v>7867</v>
      </c>
    </row>
    <row r="2645" spans="1:9">
      <c r="A2645" t="s">
        <v>6478</v>
      </c>
      <c r="B2645">
        <v>1002</v>
      </c>
      <c r="C2645" t="s">
        <v>6479</v>
      </c>
    </row>
    <row r="2646" spans="1:9">
      <c r="A2646" t="s">
        <v>6481</v>
      </c>
      <c r="B2646">
        <v>166</v>
      </c>
      <c r="C2646" t="s">
        <v>6482</v>
      </c>
    </row>
    <row r="2647" spans="1:9">
      <c r="A2647" t="s">
        <v>6484</v>
      </c>
      <c r="B2647">
        <v>621</v>
      </c>
      <c r="C2647" t="s">
        <v>6485</v>
      </c>
    </row>
    <row r="2648" spans="1:9">
      <c r="A2648" t="s">
        <v>6486</v>
      </c>
      <c r="B2648">
        <v>175</v>
      </c>
      <c r="C2648" t="s">
        <v>6487</v>
      </c>
    </row>
    <row r="2649" spans="1:9">
      <c r="A2649" t="s">
        <v>6488</v>
      </c>
      <c r="B2649">
        <v>91</v>
      </c>
      <c r="C2649" t="s">
        <v>6489</v>
      </c>
    </row>
    <row r="2650" spans="1:9">
      <c r="A2650" t="s">
        <v>6492</v>
      </c>
      <c r="B2650">
        <v>126</v>
      </c>
      <c r="C2650" t="s">
        <v>6493</v>
      </c>
    </row>
    <row r="2651" spans="1:9">
      <c r="A2651" t="s">
        <v>6496</v>
      </c>
      <c r="B2651">
        <v>500</v>
      </c>
      <c r="C2651" t="s">
        <v>6497</v>
      </c>
      <c r="D2651" s="1" t="s">
        <v>7367</v>
      </c>
    </row>
    <row r="2652" spans="1:9">
      <c r="A2652" t="s">
        <v>6500</v>
      </c>
      <c r="B2652">
        <v>379</v>
      </c>
      <c r="C2652" t="s">
        <v>6501</v>
      </c>
      <c r="D2652" s="1" t="s">
        <v>7778</v>
      </c>
    </row>
    <row r="2653" spans="1:9">
      <c r="A2653" t="s">
        <v>6502</v>
      </c>
      <c r="B2653">
        <v>316</v>
      </c>
      <c r="C2653" t="s">
        <v>6503</v>
      </c>
    </row>
    <row r="2654" spans="1:9">
      <c r="A2654" t="s">
        <v>6504</v>
      </c>
      <c r="B2654">
        <v>85</v>
      </c>
      <c r="C2654" t="s">
        <v>6505</v>
      </c>
    </row>
    <row r="2655" spans="1:9">
      <c r="A2655" t="s">
        <v>6507</v>
      </c>
      <c r="B2655">
        <v>207</v>
      </c>
      <c r="C2655" t="s">
        <v>6508</v>
      </c>
      <c r="D2655" s="1" t="s">
        <v>7589</v>
      </c>
      <c r="F2655" s="1" t="s">
        <v>8705</v>
      </c>
      <c r="G2655" s="1" t="s">
        <v>8706</v>
      </c>
      <c r="H2655" t="s">
        <v>8707</v>
      </c>
      <c r="I2655" t="s">
        <v>8708</v>
      </c>
    </row>
    <row r="2656" spans="1:9">
      <c r="A2656" t="s">
        <v>6507</v>
      </c>
      <c r="B2656">
        <v>207</v>
      </c>
      <c r="C2656" t="s">
        <v>6508</v>
      </c>
      <c r="D2656" s="1" t="s">
        <v>7589</v>
      </c>
      <c r="F2656" s="1" t="s">
        <v>8705</v>
      </c>
      <c r="G2656" s="1" t="s">
        <v>8706</v>
      </c>
      <c r="H2656" t="s">
        <v>8709</v>
      </c>
      <c r="I2656" t="s">
        <v>8710</v>
      </c>
    </row>
    <row r="2657" spans="1:9">
      <c r="A2657" t="s">
        <v>6511</v>
      </c>
      <c r="B2657">
        <v>333</v>
      </c>
      <c r="C2657" t="s">
        <v>6512</v>
      </c>
      <c r="D2657" s="1" t="s">
        <v>7779</v>
      </c>
      <c r="F2657" s="1" t="s">
        <v>9366</v>
      </c>
      <c r="G2657" s="1" t="s">
        <v>9367</v>
      </c>
      <c r="H2657" t="s">
        <v>9368</v>
      </c>
      <c r="I2657" t="s">
        <v>9369</v>
      </c>
    </row>
    <row r="2658" spans="1:9">
      <c r="A2658" t="s">
        <v>6511</v>
      </c>
      <c r="B2658">
        <v>333</v>
      </c>
      <c r="C2658" t="s">
        <v>6512</v>
      </c>
      <c r="D2658" s="1" t="s">
        <v>7779</v>
      </c>
      <c r="F2658" s="1" t="s">
        <v>9366</v>
      </c>
      <c r="G2658" s="1" t="s">
        <v>9367</v>
      </c>
      <c r="H2658" t="s">
        <v>9370</v>
      </c>
      <c r="I2658" t="s">
        <v>9371</v>
      </c>
    </row>
    <row r="2659" spans="1:9">
      <c r="A2659" t="s">
        <v>6515</v>
      </c>
      <c r="B2659">
        <v>269</v>
      </c>
      <c r="C2659" t="s">
        <v>6516</v>
      </c>
      <c r="D2659" s="1" t="s">
        <v>7395</v>
      </c>
      <c r="F2659" s="1" t="s">
        <v>8139</v>
      </c>
    </row>
    <row r="2660" spans="1:9">
      <c r="A2660" t="s">
        <v>6519</v>
      </c>
      <c r="B2660">
        <v>487</v>
      </c>
      <c r="C2660" t="s">
        <v>6520</v>
      </c>
      <c r="D2660" s="1" t="s">
        <v>7780</v>
      </c>
    </row>
    <row r="2661" spans="1:9">
      <c r="A2661" t="s">
        <v>6521</v>
      </c>
      <c r="B2661">
        <v>258</v>
      </c>
      <c r="C2661" t="s">
        <v>6522</v>
      </c>
    </row>
    <row r="2662" spans="1:9">
      <c r="A2662" t="s">
        <v>6524</v>
      </c>
      <c r="B2662">
        <v>327</v>
      </c>
      <c r="C2662" t="s">
        <v>6525</v>
      </c>
      <c r="D2662" s="1" t="s">
        <v>7324</v>
      </c>
    </row>
    <row r="2663" spans="1:9">
      <c r="A2663" t="s">
        <v>6526</v>
      </c>
      <c r="B2663">
        <v>164</v>
      </c>
      <c r="C2663" t="s">
        <v>6527</v>
      </c>
    </row>
    <row r="2664" spans="1:9">
      <c r="A2664" t="s">
        <v>6528</v>
      </c>
      <c r="B2664">
        <v>481</v>
      </c>
      <c r="C2664" t="s">
        <v>6529</v>
      </c>
    </row>
    <row r="2665" spans="1:9">
      <c r="A2665" t="s">
        <v>6532</v>
      </c>
      <c r="B2665">
        <v>335</v>
      </c>
      <c r="C2665" t="s">
        <v>6533</v>
      </c>
    </row>
    <row r="2666" spans="1:9">
      <c r="A2666" t="s">
        <v>6536</v>
      </c>
      <c r="B2666">
        <v>1013</v>
      </c>
      <c r="C2666" t="s">
        <v>6537</v>
      </c>
      <c r="D2666" s="9" t="s">
        <v>7291</v>
      </c>
      <c r="F2666" s="1" t="s">
        <v>7853</v>
      </c>
      <c r="G2666" s="1" t="s">
        <v>7857</v>
      </c>
      <c r="H2666" t="s">
        <v>7855</v>
      </c>
      <c r="I2666" t="s">
        <v>7856</v>
      </c>
    </row>
    <row r="2667" spans="1:9">
      <c r="A2667" t="s">
        <v>6536</v>
      </c>
      <c r="B2667">
        <v>1013</v>
      </c>
      <c r="C2667" t="s">
        <v>6537</v>
      </c>
      <c r="D2667" s="9" t="s">
        <v>7291</v>
      </c>
      <c r="F2667" s="1" t="s">
        <v>7853</v>
      </c>
      <c r="G2667" s="1" t="s">
        <v>7857</v>
      </c>
      <c r="H2667" s="4" t="s">
        <v>10161</v>
      </c>
      <c r="I2667" s="4" t="s">
        <v>10160</v>
      </c>
    </row>
    <row r="2668" spans="1:9">
      <c r="A2668" t="s">
        <v>6540</v>
      </c>
      <c r="B2668">
        <v>407</v>
      </c>
      <c r="C2668" t="s">
        <v>6541</v>
      </c>
      <c r="D2668" s="1" t="s">
        <v>7781</v>
      </c>
      <c r="F2668" s="1" t="s">
        <v>9372</v>
      </c>
      <c r="G2668" s="1" t="s">
        <v>9373</v>
      </c>
      <c r="H2668" t="s">
        <v>9374</v>
      </c>
      <c r="I2668" t="s">
        <v>9375</v>
      </c>
    </row>
    <row r="2669" spans="1:9">
      <c r="A2669" t="s">
        <v>6540</v>
      </c>
      <c r="B2669">
        <v>407</v>
      </c>
      <c r="C2669" t="s">
        <v>6541</v>
      </c>
      <c r="D2669" s="1" t="s">
        <v>7781</v>
      </c>
      <c r="F2669" s="1" t="s">
        <v>9372</v>
      </c>
      <c r="G2669" s="1" t="s">
        <v>9373</v>
      </c>
      <c r="H2669" t="s">
        <v>9376</v>
      </c>
      <c r="I2669" t="s">
        <v>9377</v>
      </c>
    </row>
    <row r="2670" spans="1:9">
      <c r="A2670" t="s">
        <v>6544</v>
      </c>
      <c r="B2670">
        <v>455</v>
      </c>
      <c r="C2670" t="s">
        <v>6545</v>
      </c>
      <c r="D2670" s="1" t="s">
        <v>7782</v>
      </c>
      <c r="F2670" s="1" t="s">
        <v>9378</v>
      </c>
      <c r="G2670" s="1" t="s">
        <v>9379</v>
      </c>
      <c r="H2670" t="s">
        <v>9380</v>
      </c>
      <c r="I2670" t="s">
        <v>9381</v>
      </c>
    </row>
    <row r="2671" spans="1:9">
      <c r="A2671" t="s">
        <v>6544</v>
      </c>
      <c r="B2671">
        <v>455</v>
      </c>
      <c r="C2671" t="s">
        <v>6545</v>
      </c>
      <c r="D2671" s="1" t="s">
        <v>7782</v>
      </c>
      <c r="F2671" s="1" t="s">
        <v>9378</v>
      </c>
      <c r="G2671" s="1" t="s">
        <v>9379</v>
      </c>
      <c r="H2671" t="s">
        <v>9382</v>
      </c>
      <c r="I2671" t="s">
        <v>9383</v>
      </c>
    </row>
    <row r="2672" spans="1:9">
      <c r="A2672" t="s">
        <v>6547</v>
      </c>
      <c r="B2672">
        <v>453</v>
      </c>
      <c r="C2672" t="s">
        <v>6548</v>
      </c>
      <c r="D2672" s="1" t="s">
        <v>7428</v>
      </c>
      <c r="F2672" s="1" t="s">
        <v>9384</v>
      </c>
      <c r="G2672" s="1" t="s">
        <v>9385</v>
      </c>
      <c r="H2672" t="s">
        <v>9386</v>
      </c>
      <c r="I2672" t="s">
        <v>9387</v>
      </c>
    </row>
    <row r="2673" spans="1:9">
      <c r="A2673" t="s">
        <v>6547</v>
      </c>
      <c r="B2673">
        <v>453</v>
      </c>
      <c r="C2673" t="s">
        <v>6548</v>
      </c>
      <c r="D2673" s="1" t="s">
        <v>7428</v>
      </c>
      <c r="F2673" s="1" t="s">
        <v>9384</v>
      </c>
      <c r="G2673" s="1" t="s">
        <v>9385</v>
      </c>
      <c r="H2673" t="s">
        <v>9388</v>
      </c>
      <c r="I2673" t="s">
        <v>9389</v>
      </c>
    </row>
    <row r="2674" spans="1:9">
      <c r="A2674" t="s">
        <v>6551</v>
      </c>
      <c r="B2674">
        <v>450</v>
      </c>
      <c r="C2674" t="s">
        <v>6552</v>
      </c>
      <c r="D2674" s="1" t="s">
        <v>7827</v>
      </c>
    </row>
    <row r="2675" spans="1:9">
      <c r="A2675" t="s">
        <v>6554</v>
      </c>
      <c r="B2675">
        <v>247</v>
      </c>
      <c r="C2675" t="s">
        <v>6555</v>
      </c>
    </row>
    <row r="2676" spans="1:9">
      <c r="A2676" t="s">
        <v>6556</v>
      </c>
      <c r="B2676">
        <v>1390</v>
      </c>
      <c r="C2676" t="s">
        <v>6557</v>
      </c>
    </row>
    <row r="2677" spans="1:9">
      <c r="A2677" t="s">
        <v>6558</v>
      </c>
      <c r="B2677">
        <v>150</v>
      </c>
      <c r="C2677" t="s">
        <v>6559</v>
      </c>
    </row>
    <row r="2678" spans="1:9">
      <c r="A2678" t="s">
        <v>6562</v>
      </c>
      <c r="B2678">
        <v>430</v>
      </c>
      <c r="C2678" t="s">
        <v>6563</v>
      </c>
      <c r="D2678" s="1" t="s">
        <v>7826</v>
      </c>
      <c r="F2678" s="1" t="s">
        <v>9390</v>
      </c>
      <c r="G2678" s="1" t="s">
        <v>9391</v>
      </c>
      <c r="H2678" t="s">
        <v>9392</v>
      </c>
      <c r="I2678" t="s">
        <v>9393</v>
      </c>
    </row>
    <row r="2679" spans="1:9">
      <c r="A2679" t="s">
        <v>6564</v>
      </c>
      <c r="B2679">
        <v>274</v>
      </c>
      <c r="C2679" t="s">
        <v>6565</v>
      </c>
    </row>
    <row r="2680" spans="1:9">
      <c r="A2680" t="s">
        <v>6566</v>
      </c>
      <c r="B2680">
        <v>408</v>
      </c>
      <c r="C2680" t="s">
        <v>6567</v>
      </c>
    </row>
    <row r="2681" spans="1:9">
      <c r="A2681" t="s">
        <v>6568</v>
      </c>
      <c r="B2681">
        <v>340</v>
      </c>
      <c r="C2681" t="s">
        <v>6569</v>
      </c>
    </row>
    <row r="2682" spans="1:9">
      <c r="A2682" t="s">
        <v>6572</v>
      </c>
      <c r="B2682">
        <v>344</v>
      </c>
      <c r="C2682" t="s">
        <v>6573</v>
      </c>
      <c r="D2682" s="1" t="s">
        <v>7825</v>
      </c>
      <c r="F2682" s="1" t="s">
        <v>9994</v>
      </c>
      <c r="G2682" s="1" t="s">
        <v>9995</v>
      </c>
      <c r="H2682" s="4" t="s">
        <v>9996</v>
      </c>
      <c r="I2682" s="4" t="s">
        <v>9997</v>
      </c>
    </row>
    <row r="2683" spans="1:9">
      <c r="A2683" t="s">
        <v>6572</v>
      </c>
      <c r="B2683">
        <v>344</v>
      </c>
      <c r="C2683" t="s">
        <v>6573</v>
      </c>
      <c r="D2683" s="1" t="s">
        <v>7825</v>
      </c>
      <c r="F2683" s="1" t="s">
        <v>9994</v>
      </c>
      <c r="G2683" s="1" t="s">
        <v>9995</v>
      </c>
      <c r="H2683" t="s">
        <v>10000</v>
      </c>
      <c r="I2683" t="s">
        <v>9997</v>
      </c>
    </row>
    <row r="2684" spans="1:9">
      <c r="A2684" t="s">
        <v>6572</v>
      </c>
      <c r="B2684">
        <v>344</v>
      </c>
      <c r="C2684" t="s">
        <v>6573</v>
      </c>
      <c r="D2684" s="1" t="s">
        <v>7825</v>
      </c>
      <c r="F2684" s="1" t="s">
        <v>9994</v>
      </c>
      <c r="G2684" s="1" t="s">
        <v>9995</v>
      </c>
      <c r="H2684" t="s">
        <v>10001</v>
      </c>
      <c r="I2684" t="s">
        <v>10002</v>
      </c>
    </row>
    <row r="2685" spans="1:9">
      <c r="A2685" t="s">
        <v>6572</v>
      </c>
      <c r="B2685">
        <v>344</v>
      </c>
      <c r="C2685" t="s">
        <v>6573</v>
      </c>
      <c r="D2685" s="1" t="s">
        <v>7825</v>
      </c>
      <c r="F2685" s="1" t="s">
        <v>9994</v>
      </c>
      <c r="G2685" s="1" t="s">
        <v>9995</v>
      </c>
      <c r="H2685" t="s">
        <v>9998</v>
      </c>
      <c r="I2685" t="s">
        <v>9999</v>
      </c>
    </row>
    <row r="2686" spans="1:9">
      <c r="A2686" t="s">
        <v>6575</v>
      </c>
      <c r="B2686">
        <v>401</v>
      </c>
      <c r="C2686" t="s">
        <v>6576</v>
      </c>
    </row>
    <row r="2687" spans="1:9">
      <c r="A2687" t="s">
        <v>6579</v>
      </c>
      <c r="B2687">
        <v>263</v>
      </c>
      <c r="C2687" t="s">
        <v>6580</v>
      </c>
      <c r="D2687" s="1" t="s">
        <v>7824</v>
      </c>
      <c r="F2687" s="1" t="s">
        <v>10003</v>
      </c>
      <c r="G2687" s="1" t="s">
        <v>10004</v>
      </c>
      <c r="H2687" t="s">
        <v>10005</v>
      </c>
      <c r="I2687" t="s">
        <v>10006</v>
      </c>
    </row>
    <row r="2688" spans="1:9">
      <c r="A2688" t="s">
        <v>6583</v>
      </c>
      <c r="B2688">
        <v>184</v>
      </c>
      <c r="C2688" t="s">
        <v>6584</v>
      </c>
      <c r="D2688" s="1" t="s">
        <v>7823</v>
      </c>
      <c r="F2688" s="1" t="s">
        <v>10007</v>
      </c>
      <c r="G2688" s="1" t="s">
        <v>10008</v>
      </c>
      <c r="H2688" t="s">
        <v>10009</v>
      </c>
      <c r="I2688" t="s">
        <v>10010</v>
      </c>
    </row>
    <row r="2689" spans="1:9">
      <c r="A2689" t="s">
        <v>6583</v>
      </c>
      <c r="B2689">
        <v>184</v>
      </c>
      <c r="C2689" t="s">
        <v>6584</v>
      </c>
      <c r="D2689" s="1" t="s">
        <v>7823</v>
      </c>
      <c r="F2689" s="1" t="s">
        <v>10007</v>
      </c>
      <c r="G2689" s="1" t="s">
        <v>10008</v>
      </c>
      <c r="H2689" t="s">
        <v>10011</v>
      </c>
      <c r="I2689" t="s">
        <v>10012</v>
      </c>
    </row>
    <row r="2690" spans="1:9">
      <c r="A2690" t="s">
        <v>6585</v>
      </c>
      <c r="B2690">
        <v>687</v>
      </c>
      <c r="C2690" t="s">
        <v>6586</v>
      </c>
    </row>
    <row r="2691" spans="1:9">
      <c r="A2691" t="s">
        <v>6589</v>
      </c>
      <c r="B2691">
        <v>285</v>
      </c>
      <c r="C2691" t="s">
        <v>6590</v>
      </c>
      <c r="D2691" s="1" t="s">
        <v>7822</v>
      </c>
      <c r="F2691" s="1" t="s">
        <v>10013</v>
      </c>
      <c r="G2691" s="1" t="s">
        <v>10014</v>
      </c>
      <c r="H2691" t="s">
        <v>10015</v>
      </c>
      <c r="I2691" t="s">
        <v>10018</v>
      </c>
    </row>
    <row r="2692" spans="1:9">
      <c r="A2692" t="s">
        <v>6589</v>
      </c>
      <c r="B2692">
        <v>285</v>
      </c>
      <c r="C2692" t="s">
        <v>6590</v>
      </c>
      <c r="D2692" s="1" t="s">
        <v>7822</v>
      </c>
      <c r="F2692" s="1" t="s">
        <v>10013</v>
      </c>
      <c r="G2692" s="1" t="s">
        <v>10014</v>
      </c>
      <c r="H2692" t="s">
        <v>10016</v>
      </c>
      <c r="I2692" t="s">
        <v>10017</v>
      </c>
    </row>
    <row r="2693" spans="1:9">
      <c r="A2693" t="s">
        <v>6589</v>
      </c>
      <c r="B2693">
        <v>285</v>
      </c>
      <c r="C2693" t="s">
        <v>6590</v>
      </c>
      <c r="D2693" s="1" t="s">
        <v>7822</v>
      </c>
      <c r="F2693" s="1" t="s">
        <v>10013</v>
      </c>
      <c r="G2693" s="1" t="s">
        <v>10014</v>
      </c>
      <c r="H2693" t="s">
        <v>10019</v>
      </c>
      <c r="I2693" t="s">
        <v>10020</v>
      </c>
    </row>
    <row r="2694" spans="1:9">
      <c r="A2694" t="s">
        <v>6593</v>
      </c>
      <c r="B2694">
        <v>851</v>
      </c>
      <c r="C2694" t="s">
        <v>6594</v>
      </c>
    </row>
    <row r="2695" spans="1:9">
      <c r="A2695" t="s">
        <v>6595</v>
      </c>
      <c r="B2695">
        <v>458</v>
      </c>
      <c r="C2695" t="s">
        <v>6596</v>
      </c>
    </row>
    <row r="2696" spans="1:9">
      <c r="A2696" t="s">
        <v>6599</v>
      </c>
      <c r="B2696">
        <v>447</v>
      </c>
      <c r="C2696" t="s">
        <v>6600</v>
      </c>
      <c r="D2696" s="1" t="s">
        <v>7314</v>
      </c>
    </row>
    <row r="2697" spans="1:9">
      <c r="A2697" t="s">
        <v>6603</v>
      </c>
      <c r="B2697">
        <v>410</v>
      </c>
      <c r="C2697" t="s">
        <v>6604</v>
      </c>
      <c r="D2697" s="1" t="s">
        <v>7821</v>
      </c>
      <c r="F2697" s="1" t="s">
        <v>10021</v>
      </c>
      <c r="G2697" s="1" t="s">
        <v>10022</v>
      </c>
      <c r="H2697" t="s">
        <v>10023</v>
      </c>
      <c r="I2697" t="s">
        <v>10024</v>
      </c>
    </row>
    <row r="2698" spans="1:9">
      <c r="A2698" t="s">
        <v>6603</v>
      </c>
      <c r="B2698">
        <v>410</v>
      </c>
      <c r="C2698" t="s">
        <v>6604</v>
      </c>
      <c r="D2698" s="1" t="s">
        <v>7821</v>
      </c>
      <c r="F2698" s="1" t="s">
        <v>10021</v>
      </c>
      <c r="G2698" s="1" t="s">
        <v>10022</v>
      </c>
      <c r="H2698" t="s">
        <v>10025</v>
      </c>
      <c r="I2698" t="s">
        <v>10026</v>
      </c>
    </row>
    <row r="2699" spans="1:9">
      <c r="A2699" t="s">
        <v>6606</v>
      </c>
      <c r="B2699">
        <v>271</v>
      </c>
      <c r="C2699" t="s">
        <v>6607</v>
      </c>
      <c r="D2699" s="1" t="s">
        <v>7820</v>
      </c>
      <c r="F2699" s="1" t="s">
        <v>10224</v>
      </c>
      <c r="G2699" s="1" t="s">
        <v>10225</v>
      </c>
      <c r="H2699" t="s">
        <v>10226</v>
      </c>
      <c r="I2699" t="s">
        <v>10227</v>
      </c>
    </row>
    <row r="2700" spans="1:9">
      <c r="A2700" t="s">
        <v>6608</v>
      </c>
      <c r="B2700">
        <v>63</v>
      </c>
      <c r="C2700" t="s">
        <v>6609</v>
      </c>
    </row>
    <row r="2701" spans="1:9">
      <c r="A2701" t="s">
        <v>6610</v>
      </c>
      <c r="B2701">
        <v>392</v>
      </c>
      <c r="C2701" t="s">
        <v>6611</v>
      </c>
    </row>
    <row r="2702" spans="1:9">
      <c r="A2702" t="s">
        <v>6614</v>
      </c>
      <c r="B2702">
        <v>506</v>
      </c>
      <c r="C2702" t="s">
        <v>6615</v>
      </c>
      <c r="D2702" s="1" t="s">
        <v>7819</v>
      </c>
      <c r="F2702" s="1" t="s">
        <v>10027</v>
      </c>
      <c r="G2702" s="1" t="s">
        <v>10028</v>
      </c>
      <c r="H2702" t="s">
        <v>10029</v>
      </c>
      <c r="I2702" t="s">
        <v>10030</v>
      </c>
    </row>
    <row r="2703" spans="1:9">
      <c r="A2703" t="s">
        <v>6614</v>
      </c>
      <c r="B2703">
        <v>506</v>
      </c>
      <c r="C2703" t="s">
        <v>6615</v>
      </c>
      <c r="D2703" s="1" t="s">
        <v>7819</v>
      </c>
      <c r="F2703" s="1" t="s">
        <v>10027</v>
      </c>
      <c r="G2703" s="1" t="s">
        <v>10028</v>
      </c>
      <c r="H2703" t="s">
        <v>10031</v>
      </c>
      <c r="I2703" t="s">
        <v>10032</v>
      </c>
    </row>
    <row r="2704" spans="1:9">
      <c r="A2704" t="s">
        <v>6614</v>
      </c>
      <c r="B2704">
        <v>506</v>
      </c>
      <c r="C2704" t="s">
        <v>6615</v>
      </c>
      <c r="D2704" s="1" t="s">
        <v>7819</v>
      </c>
      <c r="F2704" s="1" t="s">
        <v>10027</v>
      </c>
      <c r="G2704" s="1" t="s">
        <v>10028</v>
      </c>
      <c r="H2704" t="s">
        <v>10033</v>
      </c>
      <c r="I2704" t="s">
        <v>10034</v>
      </c>
    </row>
    <row r="2705" spans="1:9">
      <c r="A2705" t="s">
        <v>6614</v>
      </c>
      <c r="B2705">
        <v>506</v>
      </c>
      <c r="C2705" t="s">
        <v>6615</v>
      </c>
      <c r="D2705" s="1" t="s">
        <v>7819</v>
      </c>
      <c r="F2705" s="1" t="s">
        <v>10027</v>
      </c>
      <c r="G2705" s="1" t="s">
        <v>10028</v>
      </c>
      <c r="H2705" t="s">
        <v>10035</v>
      </c>
      <c r="I2705" t="s">
        <v>10036</v>
      </c>
    </row>
    <row r="2706" spans="1:9">
      <c r="A2706" t="s">
        <v>6614</v>
      </c>
      <c r="B2706">
        <v>506</v>
      </c>
      <c r="C2706" t="s">
        <v>6615</v>
      </c>
      <c r="D2706" s="1" t="s">
        <v>7819</v>
      </c>
      <c r="F2706" s="1" t="s">
        <v>10027</v>
      </c>
      <c r="G2706" s="1" t="s">
        <v>10028</v>
      </c>
      <c r="H2706" t="s">
        <v>10037</v>
      </c>
      <c r="I2706" t="s">
        <v>10038</v>
      </c>
    </row>
    <row r="2707" spans="1:9">
      <c r="A2707" t="s">
        <v>6614</v>
      </c>
      <c r="B2707">
        <v>506</v>
      </c>
      <c r="C2707" t="s">
        <v>6615</v>
      </c>
      <c r="D2707" s="1" t="s">
        <v>7819</v>
      </c>
      <c r="F2707" s="1" t="s">
        <v>10027</v>
      </c>
      <c r="G2707" s="1" t="s">
        <v>10028</v>
      </c>
      <c r="H2707" t="s">
        <v>10039</v>
      </c>
      <c r="I2707" t="s">
        <v>10040</v>
      </c>
    </row>
    <row r="2708" spans="1:9">
      <c r="A2708" t="s">
        <v>6614</v>
      </c>
      <c r="B2708">
        <v>506</v>
      </c>
      <c r="C2708" t="s">
        <v>6615</v>
      </c>
      <c r="D2708" s="1" t="s">
        <v>7819</v>
      </c>
      <c r="F2708" s="1" t="s">
        <v>10027</v>
      </c>
      <c r="G2708" s="1" t="s">
        <v>10028</v>
      </c>
      <c r="H2708" t="s">
        <v>10041</v>
      </c>
      <c r="I2708" s="6" t="s">
        <v>10042</v>
      </c>
    </row>
    <row r="2709" spans="1:9">
      <c r="A2709" t="s">
        <v>6614</v>
      </c>
      <c r="B2709">
        <v>506</v>
      </c>
      <c r="C2709" t="s">
        <v>6615</v>
      </c>
      <c r="D2709" s="1" t="s">
        <v>7819</v>
      </c>
      <c r="F2709" s="1" t="s">
        <v>10027</v>
      </c>
      <c r="G2709" s="1" t="s">
        <v>10028</v>
      </c>
      <c r="H2709" t="s">
        <v>10043</v>
      </c>
      <c r="I2709" s="6" t="s">
        <v>10044</v>
      </c>
    </row>
    <row r="2710" spans="1:9">
      <c r="A2710" t="s">
        <v>6614</v>
      </c>
      <c r="B2710">
        <v>506</v>
      </c>
      <c r="C2710" t="s">
        <v>6615</v>
      </c>
      <c r="D2710" s="1" t="s">
        <v>7819</v>
      </c>
      <c r="F2710" s="1" t="s">
        <v>10027</v>
      </c>
      <c r="G2710" s="1" t="s">
        <v>10028</v>
      </c>
      <c r="H2710" t="s">
        <v>10045</v>
      </c>
      <c r="I2710" s="6" t="s">
        <v>10046</v>
      </c>
    </row>
    <row r="2711" spans="1:9">
      <c r="A2711" t="s">
        <v>6614</v>
      </c>
      <c r="B2711">
        <v>506</v>
      </c>
      <c r="C2711" t="s">
        <v>6615</v>
      </c>
      <c r="D2711" s="1" t="s">
        <v>7819</v>
      </c>
      <c r="F2711" s="1" t="s">
        <v>10027</v>
      </c>
      <c r="G2711" s="1" t="s">
        <v>10028</v>
      </c>
      <c r="H2711" t="s">
        <v>10047</v>
      </c>
      <c r="I2711" s="6" t="s">
        <v>10048</v>
      </c>
    </row>
    <row r="2712" spans="1:9">
      <c r="A2712" t="s">
        <v>6614</v>
      </c>
      <c r="B2712">
        <v>506</v>
      </c>
      <c r="C2712" t="s">
        <v>6615</v>
      </c>
      <c r="D2712" s="1" t="s">
        <v>7819</v>
      </c>
      <c r="F2712" s="1" t="s">
        <v>10027</v>
      </c>
      <c r="G2712" s="1" t="s">
        <v>10028</v>
      </c>
      <c r="H2712" t="s">
        <v>10049</v>
      </c>
      <c r="I2712" s="6" t="s">
        <v>10050</v>
      </c>
    </row>
    <row r="2713" spans="1:9">
      <c r="A2713" t="s">
        <v>6614</v>
      </c>
      <c r="B2713">
        <v>506</v>
      </c>
      <c r="C2713" t="s">
        <v>6615</v>
      </c>
      <c r="D2713" s="1" t="s">
        <v>7819</v>
      </c>
      <c r="F2713" s="1" t="s">
        <v>10027</v>
      </c>
      <c r="G2713" s="1" t="s">
        <v>10028</v>
      </c>
      <c r="H2713" t="s">
        <v>10051</v>
      </c>
      <c r="I2713" s="6" t="s">
        <v>10052</v>
      </c>
    </row>
    <row r="2714" spans="1:9">
      <c r="A2714" t="s">
        <v>6614</v>
      </c>
      <c r="B2714">
        <v>506</v>
      </c>
      <c r="C2714" t="s">
        <v>6615</v>
      </c>
      <c r="D2714" s="1" t="s">
        <v>7819</v>
      </c>
      <c r="F2714" s="1" t="s">
        <v>10027</v>
      </c>
      <c r="G2714" s="1" t="s">
        <v>10028</v>
      </c>
      <c r="H2714" t="s">
        <v>10053</v>
      </c>
      <c r="I2714" s="6" t="s">
        <v>10054</v>
      </c>
    </row>
    <row r="2715" spans="1:9">
      <c r="A2715" t="s">
        <v>6614</v>
      </c>
      <c r="B2715">
        <v>506</v>
      </c>
      <c r="C2715" t="s">
        <v>6615</v>
      </c>
      <c r="D2715" s="1" t="s">
        <v>7819</v>
      </c>
      <c r="F2715" s="1" t="s">
        <v>10027</v>
      </c>
      <c r="G2715" s="1" t="s">
        <v>10028</v>
      </c>
      <c r="H2715" t="s">
        <v>10055</v>
      </c>
      <c r="I2715" s="6" t="s">
        <v>10056</v>
      </c>
    </row>
    <row r="2716" spans="1:9">
      <c r="A2716" t="s">
        <v>6614</v>
      </c>
      <c r="B2716">
        <v>506</v>
      </c>
      <c r="C2716" t="s">
        <v>6615</v>
      </c>
      <c r="D2716" s="1" t="s">
        <v>7819</v>
      </c>
      <c r="F2716" s="1" t="s">
        <v>10027</v>
      </c>
      <c r="G2716" s="1" t="s">
        <v>10028</v>
      </c>
      <c r="H2716" t="s">
        <v>10057</v>
      </c>
      <c r="I2716" s="6" t="s">
        <v>10058</v>
      </c>
    </row>
    <row r="2717" spans="1:9">
      <c r="A2717" t="s">
        <v>6614</v>
      </c>
      <c r="B2717">
        <v>506</v>
      </c>
      <c r="C2717" t="s">
        <v>6615</v>
      </c>
      <c r="D2717" s="1" t="s">
        <v>7819</v>
      </c>
      <c r="F2717" s="1" t="s">
        <v>10027</v>
      </c>
      <c r="G2717" s="1" t="s">
        <v>10028</v>
      </c>
      <c r="H2717" t="s">
        <v>10059</v>
      </c>
      <c r="I2717" s="6" t="s">
        <v>10060</v>
      </c>
    </row>
    <row r="2718" spans="1:9">
      <c r="A2718" t="s">
        <v>6614</v>
      </c>
      <c r="B2718">
        <v>506</v>
      </c>
      <c r="C2718" t="s">
        <v>6615</v>
      </c>
      <c r="D2718" s="1" t="s">
        <v>7819</v>
      </c>
      <c r="F2718" s="1" t="s">
        <v>10027</v>
      </c>
      <c r="G2718" s="1" t="s">
        <v>10028</v>
      </c>
      <c r="H2718" t="s">
        <v>10060</v>
      </c>
      <c r="I2718" s="6" t="s">
        <v>10061</v>
      </c>
    </row>
    <row r="2719" spans="1:9">
      <c r="A2719" t="s">
        <v>6614</v>
      </c>
      <c r="B2719">
        <v>506</v>
      </c>
      <c r="C2719" t="s">
        <v>6615</v>
      </c>
      <c r="D2719" s="1" t="s">
        <v>7819</v>
      </c>
      <c r="F2719" s="1" t="s">
        <v>10027</v>
      </c>
      <c r="G2719" s="1" t="s">
        <v>10028</v>
      </c>
      <c r="H2719" t="s">
        <v>10062</v>
      </c>
      <c r="I2719" s="6" t="s">
        <v>10063</v>
      </c>
    </row>
    <row r="2720" spans="1:9">
      <c r="A2720" t="s">
        <v>6614</v>
      </c>
      <c r="B2720">
        <v>506</v>
      </c>
      <c r="C2720" t="s">
        <v>6615</v>
      </c>
      <c r="D2720" s="1" t="s">
        <v>7819</v>
      </c>
      <c r="F2720" s="1" t="s">
        <v>10027</v>
      </c>
      <c r="G2720" s="1" t="s">
        <v>10028</v>
      </c>
      <c r="H2720" t="s">
        <v>10064</v>
      </c>
      <c r="I2720" s="6" t="s">
        <v>10065</v>
      </c>
    </row>
    <row r="2721" spans="1:9">
      <c r="A2721" t="s">
        <v>6614</v>
      </c>
      <c r="B2721">
        <v>506</v>
      </c>
      <c r="C2721" t="s">
        <v>6615</v>
      </c>
      <c r="D2721" s="1" t="s">
        <v>7819</v>
      </c>
      <c r="F2721" s="1" t="s">
        <v>10027</v>
      </c>
      <c r="G2721" s="1" t="s">
        <v>10028</v>
      </c>
      <c r="H2721" t="s">
        <v>10066</v>
      </c>
      <c r="I2721" s="6" t="s">
        <v>10067</v>
      </c>
    </row>
    <row r="2722" spans="1:9">
      <c r="A2722" t="s">
        <v>6614</v>
      </c>
      <c r="B2722">
        <v>506</v>
      </c>
      <c r="C2722" t="s">
        <v>6615</v>
      </c>
      <c r="D2722" s="1" t="s">
        <v>7819</v>
      </c>
      <c r="F2722" s="1" t="s">
        <v>10027</v>
      </c>
      <c r="G2722" s="1" t="s">
        <v>10028</v>
      </c>
      <c r="H2722" t="s">
        <v>10068</v>
      </c>
      <c r="I2722" s="6" t="s">
        <v>10069</v>
      </c>
    </row>
    <row r="2723" spans="1:9">
      <c r="A2723" t="s">
        <v>6614</v>
      </c>
      <c r="B2723">
        <v>506</v>
      </c>
      <c r="C2723" t="s">
        <v>6615</v>
      </c>
      <c r="D2723" s="1" t="s">
        <v>7819</v>
      </c>
      <c r="F2723" s="1" t="s">
        <v>10027</v>
      </c>
      <c r="G2723" s="1" t="s">
        <v>10028</v>
      </c>
      <c r="H2723" t="s">
        <v>10070</v>
      </c>
      <c r="I2723" s="6" t="s">
        <v>10071</v>
      </c>
    </row>
    <row r="2724" spans="1:9">
      <c r="A2724" t="s">
        <v>6618</v>
      </c>
      <c r="B2724">
        <v>180</v>
      </c>
      <c r="C2724" t="s">
        <v>6619</v>
      </c>
    </row>
    <row r="2725" spans="1:9">
      <c r="A2725" t="s">
        <v>6621</v>
      </c>
      <c r="B2725">
        <v>401</v>
      </c>
      <c r="C2725" t="s">
        <v>6622</v>
      </c>
    </row>
    <row r="2726" spans="1:9">
      <c r="A2726" t="s">
        <v>6624</v>
      </c>
      <c r="B2726">
        <v>234</v>
      </c>
      <c r="C2726" t="s">
        <v>6625</v>
      </c>
    </row>
    <row r="2727" spans="1:9">
      <c r="A2727" t="s">
        <v>6628</v>
      </c>
      <c r="B2727">
        <v>620</v>
      </c>
      <c r="C2727" t="s">
        <v>6629</v>
      </c>
    </row>
    <row r="2728" spans="1:9">
      <c r="A2728" t="s">
        <v>6630</v>
      </c>
      <c r="B2728">
        <v>73</v>
      </c>
      <c r="C2728" t="s">
        <v>6631</v>
      </c>
    </row>
    <row r="2729" spans="1:9">
      <c r="A2729" t="s">
        <v>6633</v>
      </c>
      <c r="B2729">
        <v>392</v>
      </c>
      <c r="C2729" t="s">
        <v>6634</v>
      </c>
    </row>
    <row r="2730" spans="1:9">
      <c r="A2730" t="s">
        <v>6635</v>
      </c>
      <c r="B2730">
        <v>51</v>
      </c>
      <c r="C2730" t="s">
        <v>6636</v>
      </c>
    </row>
    <row r="2731" spans="1:9">
      <c r="A2731" t="s">
        <v>6638</v>
      </c>
      <c r="B2731">
        <v>226</v>
      </c>
      <c r="C2731" t="s">
        <v>6639</v>
      </c>
    </row>
    <row r="2732" spans="1:9">
      <c r="A2732" t="s">
        <v>6640</v>
      </c>
      <c r="B2732">
        <v>661</v>
      </c>
      <c r="C2732" t="s">
        <v>6641</v>
      </c>
    </row>
    <row r="2733" spans="1:9">
      <c r="A2733" t="s">
        <v>6644</v>
      </c>
      <c r="B2733">
        <v>1146</v>
      </c>
      <c r="C2733" t="s">
        <v>6645</v>
      </c>
    </row>
    <row r="2734" spans="1:9">
      <c r="A2734" t="s">
        <v>6647</v>
      </c>
      <c r="B2734">
        <v>477</v>
      </c>
      <c r="C2734" t="s">
        <v>6648</v>
      </c>
    </row>
    <row r="2735" spans="1:9">
      <c r="A2735" t="s">
        <v>6650</v>
      </c>
      <c r="B2735">
        <v>508</v>
      </c>
      <c r="C2735" t="s">
        <v>6651</v>
      </c>
    </row>
    <row r="2736" spans="1:9">
      <c r="A2736" t="s">
        <v>6652</v>
      </c>
      <c r="B2736">
        <v>306</v>
      </c>
      <c r="C2736" t="s">
        <v>6653</v>
      </c>
    </row>
    <row r="2737" spans="1:9">
      <c r="A2737" t="s">
        <v>6654</v>
      </c>
      <c r="B2737">
        <v>286</v>
      </c>
      <c r="C2737" t="s">
        <v>6655</v>
      </c>
    </row>
    <row r="2738" spans="1:9">
      <c r="A2738" t="s">
        <v>6657</v>
      </c>
      <c r="B2738">
        <v>941</v>
      </c>
      <c r="C2738" t="s">
        <v>6658</v>
      </c>
    </row>
    <row r="2739" spans="1:9">
      <c r="A2739" t="s">
        <v>6661</v>
      </c>
      <c r="B2739">
        <v>196</v>
      </c>
      <c r="C2739" t="s">
        <v>6662</v>
      </c>
      <c r="D2739" s="1" t="s">
        <v>7448</v>
      </c>
    </row>
    <row r="2740" spans="1:9">
      <c r="A2740" t="s">
        <v>6665</v>
      </c>
      <c r="B2740">
        <v>427</v>
      </c>
      <c r="C2740" t="s">
        <v>6666</v>
      </c>
    </row>
    <row r="2741" spans="1:9">
      <c r="A2741" t="s">
        <v>6669</v>
      </c>
      <c r="B2741">
        <v>299</v>
      </c>
      <c r="C2741" t="s">
        <v>6670</v>
      </c>
      <c r="D2741" s="1" t="s">
        <v>7818</v>
      </c>
      <c r="F2741" s="1" t="s">
        <v>10111</v>
      </c>
      <c r="G2741" s="1" t="s">
        <v>10112</v>
      </c>
      <c r="H2741" t="s">
        <v>10113</v>
      </c>
      <c r="I2741" t="s">
        <v>10114</v>
      </c>
    </row>
    <row r="2742" spans="1:9">
      <c r="A2742" t="s">
        <v>6669</v>
      </c>
      <c r="B2742">
        <v>299</v>
      </c>
      <c r="C2742" t="s">
        <v>6670</v>
      </c>
      <c r="D2742" s="1" t="s">
        <v>7818</v>
      </c>
      <c r="F2742" s="1" t="s">
        <v>10111</v>
      </c>
      <c r="G2742" s="1" t="s">
        <v>10112</v>
      </c>
      <c r="H2742" t="s">
        <v>10115</v>
      </c>
      <c r="I2742" t="s">
        <v>10116</v>
      </c>
    </row>
    <row r="2743" spans="1:9">
      <c r="A2743" t="s">
        <v>6673</v>
      </c>
      <c r="B2743">
        <v>261</v>
      </c>
      <c r="C2743" t="s">
        <v>6674</v>
      </c>
      <c r="D2743" s="1" t="s">
        <v>7817</v>
      </c>
      <c r="F2743" s="1" t="s">
        <v>10117</v>
      </c>
      <c r="G2743" s="1" t="s">
        <v>10118</v>
      </c>
      <c r="H2743" t="s">
        <v>10119</v>
      </c>
      <c r="I2743" t="s">
        <v>10120</v>
      </c>
    </row>
    <row r="2744" spans="1:9">
      <c r="A2744" t="s">
        <v>6675</v>
      </c>
      <c r="B2744">
        <v>138</v>
      </c>
      <c r="C2744" t="s">
        <v>6676</v>
      </c>
    </row>
    <row r="2745" spans="1:9">
      <c r="A2745" t="s">
        <v>6677</v>
      </c>
      <c r="B2745">
        <v>580</v>
      </c>
      <c r="C2745" t="s">
        <v>6678</v>
      </c>
    </row>
    <row r="2746" spans="1:9">
      <c r="A2746" t="s">
        <v>6679</v>
      </c>
      <c r="B2746">
        <v>654</v>
      </c>
      <c r="C2746" t="s">
        <v>6680</v>
      </c>
    </row>
    <row r="2747" spans="1:9">
      <c r="A2747" t="s">
        <v>6681</v>
      </c>
      <c r="B2747">
        <v>209</v>
      </c>
      <c r="C2747" t="s">
        <v>6682</v>
      </c>
    </row>
    <row r="2748" spans="1:9">
      <c r="A2748" t="s">
        <v>6683</v>
      </c>
      <c r="B2748">
        <v>214</v>
      </c>
      <c r="C2748" t="s">
        <v>6684</v>
      </c>
    </row>
    <row r="2749" spans="1:9">
      <c r="A2749" t="s">
        <v>6685</v>
      </c>
      <c r="B2749">
        <v>192</v>
      </c>
      <c r="C2749" t="s">
        <v>6686</v>
      </c>
    </row>
    <row r="2750" spans="1:9">
      <c r="A2750" t="s">
        <v>6687</v>
      </c>
      <c r="B2750">
        <v>351</v>
      </c>
      <c r="C2750" t="s">
        <v>6688</v>
      </c>
    </row>
    <row r="2751" spans="1:9">
      <c r="A2751" t="s">
        <v>6691</v>
      </c>
      <c r="B2751">
        <v>528</v>
      </c>
      <c r="C2751" t="s">
        <v>6692</v>
      </c>
      <c r="D2751" s="1" t="s">
        <v>7700</v>
      </c>
      <c r="F2751" s="1" t="s">
        <v>9334</v>
      </c>
      <c r="G2751" s="1" t="s">
        <v>9335</v>
      </c>
      <c r="H2751" t="s">
        <v>9338</v>
      </c>
      <c r="I2751" t="s">
        <v>9337</v>
      </c>
    </row>
    <row r="2752" spans="1:9">
      <c r="A2752" t="s">
        <v>6693</v>
      </c>
      <c r="B2752">
        <v>268</v>
      </c>
      <c r="C2752" t="s">
        <v>6694</v>
      </c>
    </row>
    <row r="2753" spans="1:9">
      <c r="A2753" t="s">
        <v>6695</v>
      </c>
      <c r="B2753">
        <v>299</v>
      </c>
      <c r="C2753" t="s">
        <v>6696</v>
      </c>
    </row>
    <row r="2754" spans="1:9">
      <c r="A2754" t="s">
        <v>6699</v>
      </c>
      <c r="B2754">
        <v>1014</v>
      </c>
      <c r="C2754" t="s">
        <v>6700</v>
      </c>
    </row>
    <row r="2755" spans="1:9">
      <c r="A2755" t="s">
        <v>6703</v>
      </c>
      <c r="B2755">
        <v>435</v>
      </c>
      <c r="C2755" t="s">
        <v>6704</v>
      </c>
    </row>
    <row r="2756" spans="1:9">
      <c r="A2756" t="s">
        <v>6705</v>
      </c>
      <c r="B2756">
        <v>216</v>
      </c>
      <c r="C2756" t="s">
        <v>6706</v>
      </c>
    </row>
    <row r="2757" spans="1:9">
      <c r="A2757" t="s">
        <v>6709</v>
      </c>
      <c r="B2757">
        <v>411</v>
      </c>
      <c r="C2757" t="s">
        <v>6710</v>
      </c>
      <c r="D2757" s="1" t="s">
        <v>7816</v>
      </c>
      <c r="F2757" s="1" t="s">
        <v>10072</v>
      </c>
      <c r="G2757" s="1" t="s">
        <v>10073</v>
      </c>
      <c r="H2757" t="s">
        <v>10074</v>
      </c>
      <c r="I2757" t="s">
        <v>10075</v>
      </c>
    </row>
    <row r="2758" spans="1:9">
      <c r="A2758" t="s">
        <v>6712</v>
      </c>
      <c r="B2758">
        <v>443</v>
      </c>
      <c r="C2758" t="s">
        <v>6713</v>
      </c>
    </row>
    <row r="2759" spans="1:9">
      <c r="A2759" t="s">
        <v>6716</v>
      </c>
      <c r="B2759">
        <v>440</v>
      </c>
      <c r="C2759" t="s">
        <v>6717</v>
      </c>
      <c r="D2759" s="1" t="s">
        <v>7815</v>
      </c>
      <c r="F2759" s="1" t="s">
        <v>10076</v>
      </c>
      <c r="G2759" s="1" t="s">
        <v>10077</v>
      </c>
      <c r="H2759" t="s">
        <v>10078</v>
      </c>
      <c r="I2759" t="s">
        <v>10079</v>
      </c>
    </row>
    <row r="2760" spans="1:9">
      <c r="C2760" t="s">
        <v>6718</v>
      </c>
    </row>
    <row r="2761" spans="1:9">
      <c r="A2761" t="s">
        <v>6721</v>
      </c>
      <c r="B2761">
        <v>494</v>
      </c>
      <c r="C2761" t="s">
        <v>6722</v>
      </c>
    </row>
    <row r="2762" spans="1:9">
      <c r="A2762" t="s">
        <v>6723</v>
      </c>
      <c r="B2762">
        <v>201</v>
      </c>
      <c r="C2762" t="s">
        <v>6724</v>
      </c>
    </row>
    <row r="2763" spans="1:9">
      <c r="A2763" t="s">
        <v>6725</v>
      </c>
      <c r="B2763">
        <v>447</v>
      </c>
      <c r="C2763" t="s">
        <v>6726</v>
      </c>
    </row>
    <row r="2764" spans="1:9">
      <c r="A2764" t="s">
        <v>6728</v>
      </c>
      <c r="B2764">
        <v>562</v>
      </c>
      <c r="C2764" t="s">
        <v>6729</v>
      </c>
    </row>
    <row r="2765" spans="1:9">
      <c r="A2765" t="s">
        <v>6732</v>
      </c>
      <c r="B2765">
        <v>399</v>
      </c>
      <c r="C2765" t="s">
        <v>6733</v>
      </c>
      <c r="D2765" s="1" t="s">
        <v>7814</v>
      </c>
      <c r="F2765" s="1" t="s">
        <v>10080</v>
      </c>
      <c r="G2765" s="1" t="s">
        <v>10081</v>
      </c>
      <c r="H2765" t="s">
        <v>10082</v>
      </c>
      <c r="I2765" t="s">
        <v>10083</v>
      </c>
    </row>
    <row r="2766" spans="1:9">
      <c r="A2766" t="s">
        <v>6732</v>
      </c>
      <c r="B2766">
        <v>399</v>
      </c>
      <c r="C2766" t="s">
        <v>6733</v>
      </c>
      <c r="D2766" s="1" t="s">
        <v>7814</v>
      </c>
      <c r="F2766" s="1" t="s">
        <v>10080</v>
      </c>
      <c r="G2766" s="1" t="s">
        <v>10081</v>
      </c>
      <c r="H2766" t="s">
        <v>10084</v>
      </c>
      <c r="I2766" t="s">
        <v>10085</v>
      </c>
    </row>
    <row r="2767" spans="1:9">
      <c r="A2767" t="s">
        <v>6732</v>
      </c>
      <c r="B2767">
        <v>399</v>
      </c>
      <c r="C2767" t="s">
        <v>6733</v>
      </c>
      <c r="D2767" s="1" t="s">
        <v>7814</v>
      </c>
      <c r="F2767" s="1" t="s">
        <v>10080</v>
      </c>
      <c r="G2767" s="1" t="s">
        <v>10081</v>
      </c>
      <c r="H2767" t="s">
        <v>10086</v>
      </c>
      <c r="I2767" t="s">
        <v>10087</v>
      </c>
    </row>
    <row r="2768" spans="1:9">
      <c r="A2768" t="s">
        <v>6732</v>
      </c>
      <c r="B2768">
        <v>399</v>
      </c>
      <c r="C2768" t="s">
        <v>6733</v>
      </c>
      <c r="D2768" s="1" t="s">
        <v>7814</v>
      </c>
      <c r="F2768" s="1" t="s">
        <v>10080</v>
      </c>
      <c r="G2768" s="1" t="s">
        <v>10081</v>
      </c>
      <c r="H2768" t="s">
        <v>10088</v>
      </c>
      <c r="I2768" t="s">
        <v>10089</v>
      </c>
    </row>
    <row r="2769" spans="1:9">
      <c r="A2769" t="s">
        <v>6732</v>
      </c>
      <c r="B2769">
        <v>399</v>
      </c>
      <c r="C2769" t="s">
        <v>6733</v>
      </c>
      <c r="D2769" s="1" t="s">
        <v>7814</v>
      </c>
      <c r="F2769" s="1" t="s">
        <v>10080</v>
      </c>
      <c r="G2769" s="1" t="s">
        <v>10081</v>
      </c>
      <c r="H2769" t="s">
        <v>10090</v>
      </c>
      <c r="I2769" t="s">
        <v>10091</v>
      </c>
    </row>
    <row r="2770" spans="1:9">
      <c r="A2770" t="s">
        <v>6732</v>
      </c>
      <c r="B2770">
        <v>399</v>
      </c>
      <c r="C2770" t="s">
        <v>6733</v>
      </c>
      <c r="D2770" s="1" t="s">
        <v>7814</v>
      </c>
      <c r="F2770" s="1" t="s">
        <v>10080</v>
      </c>
      <c r="G2770" s="1" t="s">
        <v>10081</v>
      </c>
      <c r="H2770" t="s">
        <v>10092</v>
      </c>
      <c r="I2770" t="s">
        <v>10093</v>
      </c>
    </row>
    <row r="2771" spans="1:9">
      <c r="A2771" t="s">
        <v>6732</v>
      </c>
      <c r="B2771">
        <v>399</v>
      </c>
      <c r="C2771" t="s">
        <v>6733</v>
      </c>
      <c r="D2771" s="1" t="s">
        <v>7814</v>
      </c>
      <c r="F2771" s="1" t="s">
        <v>10080</v>
      </c>
      <c r="G2771" s="1" t="s">
        <v>10081</v>
      </c>
      <c r="H2771" t="s">
        <v>10094</v>
      </c>
      <c r="I2771" t="s">
        <v>10095</v>
      </c>
    </row>
    <row r="2772" spans="1:9">
      <c r="A2772" t="s">
        <v>6732</v>
      </c>
      <c r="B2772">
        <v>399</v>
      </c>
      <c r="C2772" t="s">
        <v>6733</v>
      </c>
      <c r="D2772" s="1" t="s">
        <v>7814</v>
      </c>
      <c r="F2772" s="1" t="s">
        <v>10080</v>
      </c>
      <c r="G2772" s="1" t="s">
        <v>10081</v>
      </c>
      <c r="H2772" t="s">
        <v>10096</v>
      </c>
      <c r="I2772" t="s">
        <v>10083</v>
      </c>
    </row>
    <row r="2773" spans="1:9">
      <c r="A2773" t="s">
        <v>6732</v>
      </c>
      <c r="B2773">
        <v>399</v>
      </c>
      <c r="C2773" t="s">
        <v>6733</v>
      </c>
      <c r="D2773" s="1" t="s">
        <v>7814</v>
      </c>
      <c r="F2773" s="1" t="s">
        <v>10080</v>
      </c>
      <c r="G2773" s="1" t="s">
        <v>10081</v>
      </c>
      <c r="H2773" t="s">
        <v>10097</v>
      </c>
      <c r="I2773" t="s">
        <v>10098</v>
      </c>
    </row>
    <row r="2774" spans="1:9">
      <c r="A2774" t="s">
        <v>6732</v>
      </c>
      <c r="B2774">
        <v>399</v>
      </c>
      <c r="C2774" t="s">
        <v>6733</v>
      </c>
      <c r="D2774" s="1" t="s">
        <v>7814</v>
      </c>
      <c r="F2774" s="1" t="s">
        <v>10080</v>
      </c>
      <c r="G2774" s="1" t="s">
        <v>10081</v>
      </c>
      <c r="H2774" t="s">
        <v>10099</v>
      </c>
      <c r="I2774" t="s">
        <v>10100</v>
      </c>
    </row>
    <row r="2775" spans="1:9">
      <c r="A2775" t="s">
        <v>6732</v>
      </c>
      <c r="B2775">
        <v>399</v>
      </c>
      <c r="C2775" t="s">
        <v>6733</v>
      </c>
      <c r="D2775" s="1" t="s">
        <v>7814</v>
      </c>
      <c r="F2775" s="1" t="s">
        <v>10080</v>
      </c>
      <c r="G2775" s="1" t="s">
        <v>10081</v>
      </c>
      <c r="H2775" t="s">
        <v>10101</v>
      </c>
      <c r="I2775" t="s">
        <v>10102</v>
      </c>
    </row>
    <row r="2776" spans="1:9">
      <c r="A2776" t="s">
        <v>6732</v>
      </c>
      <c r="B2776">
        <v>399</v>
      </c>
      <c r="C2776" t="s">
        <v>6733</v>
      </c>
      <c r="D2776" s="1" t="s">
        <v>7814</v>
      </c>
      <c r="F2776" s="1" t="s">
        <v>10080</v>
      </c>
      <c r="G2776" s="1" t="s">
        <v>10081</v>
      </c>
      <c r="H2776" t="s">
        <v>10103</v>
      </c>
      <c r="I2776" t="s">
        <v>10104</v>
      </c>
    </row>
    <row r="2777" spans="1:9">
      <c r="A2777" t="s">
        <v>6732</v>
      </c>
      <c r="B2777">
        <v>399</v>
      </c>
      <c r="C2777" t="s">
        <v>6733</v>
      </c>
      <c r="D2777" s="1" t="s">
        <v>7814</v>
      </c>
      <c r="F2777" s="1" t="s">
        <v>10080</v>
      </c>
      <c r="G2777" s="1" t="s">
        <v>10081</v>
      </c>
      <c r="H2777" t="s">
        <v>10105</v>
      </c>
      <c r="I2777" t="s">
        <v>10106</v>
      </c>
    </row>
    <row r="2778" spans="1:9">
      <c r="A2778" t="s">
        <v>6732</v>
      </c>
      <c r="B2778">
        <v>399</v>
      </c>
      <c r="C2778" t="s">
        <v>6733</v>
      </c>
      <c r="D2778" s="1" t="s">
        <v>7814</v>
      </c>
      <c r="F2778" s="1" t="s">
        <v>10080</v>
      </c>
      <c r="G2778" s="1" t="s">
        <v>10081</v>
      </c>
      <c r="H2778" t="s">
        <v>10107</v>
      </c>
      <c r="I2778" t="s">
        <v>10108</v>
      </c>
    </row>
    <row r="2779" spans="1:9">
      <c r="A2779" t="s">
        <v>6732</v>
      </c>
      <c r="B2779">
        <v>399</v>
      </c>
      <c r="C2779" t="s">
        <v>6733</v>
      </c>
      <c r="D2779" s="1" t="s">
        <v>7814</v>
      </c>
      <c r="F2779" s="1" t="s">
        <v>10080</v>
      </c>
      <c r="G2779" s="1" t="s">
        <v>10081</v>
      </c>
      <c r="H2779" t="s">
        <v>10109</v>
      </c>
      <c r="I2779" t="s">
        <v>10110</v>
      </c>
    </row>
    <row r="2780" spans="1:9">
      <c r="A2780" t="s">
        <v>6735</v>
      </c>
      <c r="B2780">
        <v>162</v>
      </c>
      <c r="C2780" t="s">
        <v>6736</v>
      </c>
    </row>
    <row r="2781" spans="1:9">
      <c r="A2781" t="s">
        <v>6737</v>
      </c>
      <c r="B2781">
        <v>65</v>
      </c>
      <c r="C2781" t="s">
        <v>6738</v>
      </c>
    </row>
    <row r="2782" spans="1:9">
      <c r="A2782" t="s">
        <v>6740</v>
      </c>
      <c r="B2782">
        <v>1058</v>
      </c>
      <c r="C2782" t="s">
        <v>6741</v>
      </c>
      <c r="D2782" s="1" t="s">
        <v>7613</v>
      </c>
      <c r="F2782" s="1" t="s">
        <v>8845</v>
      </c>
    </row>
    <row r="2783" spans="1:9">
      <c r="A2783" t="s">
        <v>6743</v>
      </c>
      <c r="B2783">
        <v>381</v>
      </c>
      <c r="C2783" t="s">
        <v>6744</v>
      </c>
      <c r="D2783" s="1" t="s">
        <v>7283</v>
      </c>
    </row>
    <row r="2784" spans="1:9">
      <c r="A2784" t="s">
        <v>6745</v>
      </c>
      <c r="B2784">
        <v>397</v>
      </c>
      <c r="C2784" t="s">
        <v>6746</v>
      </c>
    </row>
    <row r="2785" spans="1:9">
      <c r="A2785" t="s">
        <v>6747</v>
      </c>
      <c r="B2785">
        <v>493</v>
      </c>
      <c r="C2785" t="s">
        <v>6748</v>
      </c>
    </row>
    <row r="2786" spans="1:9">
      <c r="A2786" t="s">
        <v>6750</v>
      </c>
      <c r="B2786">
        <v>369</v>
      </c>
      <c r="C2786" t="s">
        <v>6751</v>
      </c>
      <c r="D2786" s="1" t="s">
        <v>7813</v>
      </c>
      <c r="F2786" s="1" t="s">
        <v>10121</v>
      </c>
      <c r="G2786" s="1" t="s">
        <v>10122</v>
      </c>
      <c r="H2786" t="s">
        <v>10123</v>
      </c>
      <c r="I2786" t="s">
        <v>10124</v>
      </c>
    </row>
    <row r="2787" spans="1:9">
      <c r="A2787" t="s">
        <v>6750</v>
      </c>
      <c r="B2787">
        <v>369</v>
      </c>
      <c r="C2787" t="s">
        <v>6751</v>
      </c>
      <c r="D2787" s="1" t="s">
        <v>7813</v>
      </c>
      <c r="F2787" s="1" t="s">
        <v>10121</v>
      </c>
      <c r="G2787" s="1" t="s">
        <v>10122</v>
      </c>
      <c r="H2787" t="s">
        <v>10125</v>
      </c>
      <c r="I2787" t="s">
        <v>10126</v>
      </c>
    </row>
    <row r="2788" spans="1:9">
      <c r="A2788" t="s">
        <v>6752</v>
      </c>
      <c r="B2788">
        <v>248</v>
      </c>
      <c r="C2788" t="s">
        <v>6753</v>
      </c>
      <c r="D2788" s="1" t="s">
        <v>7501</v>
      </c>
    </row>
    <row r="2789" spans="1:9">
      <c r="A2789" t="s">
        <v>6755</v>
      </c>
      <c r="B2789">
        <v>237</v>
      </c>
      <c r="C2789" t="s">
        <v>6756</v>
      </c>
    </row>
    <row r="2790" spans="1:9">
      <c r="A2790" t="s">
        <v>6757</v>
      </c>
      <c r="B2790">
        <v>72</v>
      </c>
      <c r="C2790" t="s">
        <v>6758</v>
      </c>
    </row>
    <row r="2791" spans="1:9">
      <c r="A2791" t="s">
        <v>6759</v>
      </c>
      <c r="B2791">
        <v>100</v>
      </c>
      <c r="C2791" t="s">
        <v>6760</v>
      </c>
    </row>
    <row r="2792" spans="1:9">
      <c r="A2792" t="s">
        <v>6763</v>
      </c>
      <c r="B2792">
        <v>428</v>
      </c>
      <c r="C2792" t="s">
        <v>6764</v>
      </c>
      <c r="D2792" s="1" t="s">
        <v>7812</v>
      </c>
      <c r="F2792" s="1" t="s">
        <v>10127</v>
      </c>
      <c r="G2792" s="1" t="s">
        <v>10128</v>
      </c>
      <c r="H2792" t="s">
        <v>10129</v>
      </c>
      <c r="I2792" t="s">
        <v>10130</v>
      </c>
    </row>
    <row r="2793" spans="1:9">
      <c r="A2793" t="s">
        <v>6763</v>
      </c>
      <c r="B2793">
        <v>428</v>
      </c>
      <c r="C2793" t="s">
        <v>6764</v>
      </c>
      <c r="D2793" s="1" t="s">
        <v>7812</v>
      </c>
      <c r="F2793" s="1" t="s">
        <v>10127</v>
      </c>
      <c r="G2793" s="1" t="s">
        <v>10128</v>
      </c>
      <c r="H2793" t="s">
        <v>10131</v>
      </c>
      <c r="I2793" t="s">
        <v>10132</v>
      </c>
    </row>
    <row r="2794" spans="1:9">
      <c r="A2794" t="s">
        <v>6766</v>
      </c>
      <c r="B2794">
        <v>438</v>
      </c>
      <c r="C2794" t="s">
        <v>6767</v>
      </c>
    </row>
    <row r="2795" spans="1:9">
      <c r="A2795" t="s">
        <v>6768</v>
      </c>
      <c r="B2795">
        <v>43</v>
      </c>
      <c r="C2795" t="s">
        <v>6769</v>
      </c>
    </row>
    <row r="2796" spans="1:9">
      <c r="A2796" t="s">
        <v>6772</v>
      </c>
      <c r="B2796">
        <v>524</v>
      </c>
      <c r="C2796" t="s">
        <v>6773</v>
      </c>
    </row>
    <row r="2797" spans="1:9">
      <c r="A2797" t="s">
        <v>6776</v>
      </c>
      <c r="B2797">
        <v>279</v>
      </c>
      <c r="C2797" t="s">
        <v>6777</v>
      </c>
      <c r="D2797" s="1" t="s">
        <v>7811</v>
      </c>
    </row>
    <row r="2798" spans="1:9">
      <c r="A2798" t="s">
        <v>6779</v>
      </c>
      <c r="B2798">
        <v>423</v>
      </c>
      <c r="C2798" t="s">
        <v>6780</v>
      </c>
      <c r="D2798" s="1" t="s">
        <v>7703</v>
      </c>
    </row>
    <row r="2799" spans="1:9">
      <c r="A2799" t="s">
        <v>6782</v>
      </c>
      <c r="B2799">
        <v>1118</v>
      </c>
      <c r="C2799" t="s">
        <v>6783</v>
      </c>
      <c r="D2799" s="1" t="s">
        <v>7279</v>
      </c>
      <c r="F2799" s="1" t="s">
        <v>7828</v>
      </c>
      <c r="G2799" s="1" t="s">
        <v>7829</v>
      </c>
      <c r="H2799" t="s">
        <v>7832</v>
      </c>
      <c r="I2799" t="s">
        <v>7831</v>
      </c>
    </row>
    <row r="2800" spans="1:9">
      <c r="A2800" t="s">
        <v>6782</v>
      </c>
      <c r="B2800">
        <v>1118</v>
      </c>
      <c r="C2800" t="s">
        <v>6783</v>
      </c>
      <c r="D2800" s="1" t="s">
        <v>7279</v>
      </c>
      <c r="F2800" s="1" t="s">
        <v>7828</v>
      </c>
      <c r="G2800" s="1" t="s">
        <v>7829</v>
      </c>
      <c r="H2800" s="4" t="s">
        <v>10162</v>
      </c>
      <c r="I2800" s="10" t="s">
        <v>10163</v>
      </c>
    </row>
    <row r="2801" spans="1:9">
      <c r="A2801" t="s">
        <v>6782</v>
      </c>
      <c r="B2801">
        <v>1118</v>
      </c>
      <c r="C2801" t="s">
        <v>6783</v>
      </c>
      <c r="D2801" s="1" t="s">
        <v>7279</v>
      </c>
      <c r="F2801" s="1" t="s">
        <v>7828</v>
      </c>
      <c r="G2801" s="1" t="s">
        <v>7829</v>
      </c>
      <c r="H2801" s="4" t="s">
        <v>10164</v>
      </c>
      <c r="I2801" s="10" t="s">
        <v>10163</v>
      </c>
    </row>
    <row r="2802" spans="1:9">
      <c r="A2802" t="s">
        <v>6782</v>
      </c>
      <c r="B2802">
        <v>1118</v>
      </c>
      <c r="C2802" t="s">
        <v>6783</v>
      </c>
      <c r="D2802" s="1" t="s">
        <v>7279</v>
      </c>
      <c r="F2802" s="1" t="s">
        <v>7828</v>
      </c>
      <c r="G2802" s="1" t="s">
        <v>7829</v>
      </c>
      <c r="H2802" s="4" t="s">
        <v>10165</v>
      </c>
      <c r="I2802" s="10" t="s">
        <v>10163</v>
      </c>
    </row>
    <row r="2803" spans="1:9">
      <c r="A2803" t="s">
        <v>6782</v>
      </c>
      <c r="B2803">
        <v>1118</v>
      </c>
      <c r="C2803" t="s">
        <v>6783</v>
      </c>
      <c r="D2803" s="1" t="s">
        <v>7279</v>
      </c>
      <c r="F2803" s="1" t="s">
        <v>7828</v>
      </c>
      <c r="G2803" s="1" t="s">
        <v>7829</v>
      </c>
      <c r="H2803" s="4" t="s">
        <v>10166</v>
      </c>
      <c r="I2803" s="10" t="s">
        <v>10163</v>
      </c>
    </row>
    <row r="2804" spans="1:9">
      <c r="A2804" t="s">
        <v>6782</v>
      </c>
      <c r="B2804">
        <v>1118</v>
      </c>
      <c r="C2804" t="s">
        <v>6783</v>
      </c>
      <c r="D2804" s="1" t="s">
        <v>7279</v>
      </c>
      <c r="F2804" s="1" t="s">
        <v>7828</v>
      </c>
      <c r="G2804" s="1" t="s">
        <v>7829</v>
      </c>
      <c r="H2804" s="4" t="s">
        <v>10167</v>
      </c>
      <c r="I2804" s="10" t="s">
        <v>10168</v>
      </c>
    </row>
    <row r="2805" spans="1:9">
      <c r="A2805" t="s">
        <v>6784</v>
      </c>
      <c r="B2805">
        <v>241</v>
      </c>
      <c r="C2805" t="s">
        <v>6785</v>
      </c>
    </row>
    <row r="2806" spans="1:9">
      <c r="A2806" t="s">
        <v>6786</v>
      </c>
      <c r="B2806">
        <v>99</v>
      </c>
      <c r="C2806" t="s">
        <v>6787</v>
      </c>
    </row>
    <row r="2807" spans="1:9">
      <c r="A2807" t="s">
        <v>6788</v>
      </c>
      <c r="B2807">
        <v>298</v>
      </c>
      <c r="C2807" t="s">
        <v>6789</v>
      </c>
    </row>
    <row r="2808" spans="1:9">
      <c r="A2808" t="s">
        <v>6791</v>
      </c>
      <c r="B2808">
        <v>326</v>
      </c>
      <c r="C2808" t="s">
        <v>6792</v>
      </c>
      <c r="D2808" s="1" t="s">
        <v>7630</v>
      </c>
      <c r="F2808" s="1" t="s">
        <v>8895</v>
      </c>
      <c r="G2808" s="1" t="s">
        <v>8896</v>
      </c>
      <c r="H2808" t="s">
        <v>8897</v>
      </c>
      <c r="I2808" t="s">
        <v>8898</v>
      </c>
    </row>
    <row r="2809" spans="1:9">
      <c r="A2809" t="s">
        <v>6794</v>
      </c>
      <c r="B2809">
        <v>331</v>
      </c>
      <c r="C2809" t="s">
        <v>6795</v>
      </c>
      <c r="D2809" s="1" t="s">
        <v>7677</v>
      </c>
      <c r="F2809" s="1" t="s">
        <v>8899</v>
      </c>
      <c r="G2809" s="1" t="s">
        <v>8900</v>
      </c>
      <c r="H2809" t="s">
        <v>8901</v>
      </c>
      <c r="I2809" t="s">
        <v>8905</v>
      </c>
    </row>
    <row r="2810" spans="1:9">
      <c r="A2810" t="s">
        <v>6794</v>
      </c>
      <c r="B2810">
        <v>331</v>
      </c>
      <c r="C2810" t="s">
        <v>6795</v>
      </c>
      <c r="D2810" s="1" t="s">
        <v>7677</v>
      </c>
      <c r="F2810" s="1" t="s">
        <v>8899</v>
      </c>
      <c r="G2810" s="1" t="s">
        <v>8900</v>
      </c>
      <c r="H2810" t="s">
        <v>8902</v>
      </c>
      <c r="I2810" t="s">
        <v>8904</v>
      </c>
    </row>
    <row r="2811" spans="1:9">
      <c r="A2811" t="s">
        <v>6794</v>
      </c>
      <c r="B2811">
        <v>331</v>
      </c>
      <c r="C2811" t="s">
        <v>6795</v>
      </c>
      <c r="D2811" s="1" t="s">
        <v>7677</v>
      </c>
      <c r="F2811" s="1" t="s">
        <v>8899</v>
      </c>
      <c r="G2811" s="1" t="s">
        <v>8900</v>
      </c>
      <c r="H2811" t="s">
        <v>8903</v>
      </c>
      <c r="I2811" t="s">
        <v>8906</v>
      </c>
    </row>
    <row r="2812" spans="1:9">
      <c r="A2812" t="s">
        <v>6798</v>
      </c>
      <c r="B2812">
        <v>236</v>
      </c>
      <c r="C2812" t="s">
        <v>6799</v>
      </c>
      <c r="D2812" s="1" t="s">
        <v>7810</v>
      </c>
      <c r="F2812" s="1" t="s">
        <v>10133</v>
      </c>
      <c r="G2812" s="1" t="s">
        <v>10134</v>
      </c>
      <c r="H2812" t="s">
        <v>10135</v>
      </c>
      <c r="I2812" t="s">
        <v>10136</v>
      </c>
    </row>
    <row r="2813" spans="1:9">
      <c r="A2813" t="s">
        <v>6798</v>
      </c>
      <c r="B2813">
        <v>236</v>
      </c>
      <c r="C2813" t="s">
        <v>6799</v>
      </c>
      <c r="D2813" s="1" t="s">
        <v>7810</v>
      </c>
      <c r="F2813" s="1" t="s">
        <v>10133</v>
      </c>
      <c r="G2813" s="1" t="s">
        <v>10134</v>
      </c>
      <c r="H2813" t="s">
        <v>10137</v>
      </c>
      <c r="I2813" t="s">
        <v>10138</v>
      </c>
    </row>
    <row r="2814" spans="1:9">
      <c r="A2814" t="s">
        <v>6802</v>
      </c>
      <c r="B2814">
        <v>198</v>
      </c>
      <c r="C2814" t="s">
        <v>6803</v>
      </c>
    </row>
    <row r="2815" spans="1:9">
      <c r="A2815" t="s">
        <v>6805</v>
      </c>
      <c r="B2815">
        <v>502</v>
      </c>
      <c r="C2815" t="s">
        <v>6806</v>
      </c>
    </row>
    <row r="2816" spans="1:9">
      <c r="A2816" t="s">
        <v>6808</v>
      </c>
      <c r="B2816">
        <v>434</v>
      </c>
      <c r="C2816" t="s">
        <v>6809</v>
      </c>
      <c r="D2816" s="1" t="s">
        <v>7289</v>
      </c>
      <c r="F2816" s="1" t="s">
        <v>7848</v>
      </c>
      <c r="G2816" s="1" t="s">
        <v>7849</v>
      </c>
      <c r="H2816" t="s">
        <v>7850</v>
      </c>
      <c r="I2816" t="s">
        <v>7851</v>
      </c>
    </row>
    <row r="2817" spans="1:9">
      <c r="A2817" t="s">
        <v>6811</v>
      </c>
      <c r="B2817">
        <v>255</v>
      </c>
      <c r="C2817" t="s">
        <v>6812</v>
      </c>
      <c r="D2817" s="1" t="s">
        <v>7290</v>
      </c>
      <c r="F2817" s="1" t="s">
        <v>8907</v>
      </c>
      <c r="G2817" s="1" t="s">
        <v>8908</v>
      </c>
      <c r="H2817" t="s">
        <v>8909</v>
      </c>
      <c r="I2817" t="s">
        <v>8910</v>
      </c>
    </row>
    <row r="2818" spans="1:9">
      <c r="A2818" t="s">
        <v>6813</v>
      </c>
      <c r="B2818">
        <v>87</v>
      </c>
      <c r="C2818" t="s">
        <v>6814</v>
      </c>
    </row>
    <row r="2819" spans="1:9">
      <c r="A2819" t="s">
        <v>6815</v>
      </c>
      <c r="B2819">
        <v>110</v>
      </c>
      <c r="C2819" t="s">
        <v>6816</v>
      </c>
    </row>
    <row r="2820" spans="1:9">
      <c r="A2820" t="s">
        <v>6817</v>
      </c>
      <c r="B2820">
        <v>116</v>
      </c>
      <c r="C2820" t="s">
        <v>6818</v>
      </c>
    </row>
    <row r="2821" spans="1:9">
      <c r="A2821" t="s">
        <v>6819</v>
      </c>
      <c r="B2821">
        <v>110</v>
      </c>
      <c r="C2821" t="s">
        <v>6820</v>
      </c>
    </row>
    <row r="2822" spans="1:9">
      <c r="A2822" t="s">
        <v>6823</v>
      </c>
      <c r="B2822">
        <v>608</v>
      </c>
      <c r="C2822" t="s">
        <v>6824</v>
      </c>
      <c r="D2822" s="1" t="s">
        <v>7809</v>
      </c>
      <c r="F2822" s="1" t="s">
        <v>8911</v>
      </c>
      <c r="G2822" s="1" t="s">
        <v>8912</v>
      </c>
      <c r="H2822" t="s">
        <v>8913</v>
      </c>
      <c r="I2822" t="s">
        <v>8914</v>
      </c>
    </row>
    <row r="2823" spans="1:9">
      <c r="A2823" t="s">
        <v>6823</v>
      </c>
      <c r="B2823">
        <v>608</v>
      </c>
      <c r="C2823" t="s">
        <v>6824</v>
      </c>
      <c r="D2823" s="1" t="s">
        <v>7809</v>
      </c>
      <c r="F2823" s="1" t="s">
        <v>8911</v>
      </c>
      <c r="G2823" s="1" t="s">
        <v>8912</v>
      </c>
      <c r="H2823" t="s">
        <v>8915</v>
      </c>
      <c r="I2823" t="s">
        <v>8916</v>
      </c>
    </row>
    <row r="2824" spans="1:9">
      <c r="A2824" t="s">
        <v>6827</v>
      </c>
      <c r="B2824">
        <v>258</v>
      </c>
      <c r="C2824" t="s">
        <v>6828</v>
      </c>
      <c r="D2824" s="1" t="s">
        <v>7808</v>
      </c>
      <c r="F2824" s="1" t="s">
        <v>8917</v>
      </c>
      <c r="G2824" s="1" t="s">
        <v>8918</v>
      </c>
      <c r="H2824" t="s">
        <v>8919</v>
      </c>
      <c r="I2824" t="s">
        <v>8920</v>
      </c>
    </row>
    <row r="2825" spans="1:9">
      <c r="A2825" t="s">
        <v>6829</v>
      </c>
      <c r="B2825">
        <v>197</v>
      </c>
      <c r="C2825" t="s">
        <v>6830</v>
      </c>
    </row>
    <row r="2826" spans="1:9">
      <c r="A2826" t="s">
        <v>6832</v>
      </c>
      <c r="B2826">
        <v>717</v>
      </c>
      <c r="C2826" t="s">
        <v>6833</v>
      </c>
    </row>
    <row r="2827" spans="1:9">
      <c r="A2827" t="s">
        <v>6834</v>
      </c>
      <c r="B2827">
        <v>342</v>
      </c>
      <c r="C2827" t="s">
        <v>6835</v>
      </c>
    </row>
    <row r="2828" spans="1:9">
      <c r="A2828" t="s">
        <v>6836</v>
      </c>
      <c r="B2828">
        <v>112</v>
      </c>
      <c r="C2828" t="s">
        <v>6837</v>
      </c>
    </row>
    <row r="2829" spans="1:9">
      <c r="A2829" t="s">
        <v>6839</v>
      </c>
      <c r="B2829">
        <v>447</v>
      </c>
      <c r="C2829" t="s">
        <v>6840</v>
      </c>
    </row>
    <row r="2830" spans="1:9">
      <c r="A2830" t="s">
        <v>6841</v>
      </c>
      <c r="B2830">
        <v>139</v>
      </c>
      <c r="C2830" t="s">
        <v>6842</v>
      </c>
    </row>
    <row r="2831" spans="1:9">
      <c r="A2831" t="s">
        <v>6843</v>
      </c>
      <c r="B2831">
        <v>139</v>
      </c>
      <c r="C2831" t="s">
        <v>6844</v>
      </c>
    </row>
    <row r="2832" spans="1:9">
      <c r="A2832" t="s">
        <v>6845</v>
      </c>
      <c r="B2832">
        <v>157</v>
      </c>
      <c r="C2832" t="s">
        <v>6846</v>
      </c>
    </row>
    <row r="2833" spans="1:9">
      <c r="A2833" t="s">
        <v>6847</v>
      </c>
      <c r="B2833">
        <v>57</v>
      </c>
      <c r="C2833" t="s">
        <v>6848</v>
      </c>
    </row>
    <row r="2834" spans="1:9">
      <c r="A2834" t="s">
        <v>6850</v>
      </c>
      <c r="B2834">
        <v>518</v>
      </c>
      <c r="C2834" t="s">
        <v>6851</v>
      </c>
      <c r="D2834" s="9" t="s">
        <v>7408</v>
      </c>
      <c r="F2834" s="1" t="s">
        <v>8185</v>
      </c>
      <c r="G2834" s="1" t="s">
        <v>8186</v>
      </c>
      <c r="H2834" t="s">
        <v>8187</v>
      </c>
      <c r="I2834" t="s">
        <v>8188</v>
      </c>
    </row>
    <row r="2835" spans="1:9">
      <c r="A2835" t="s">
        <v>6850</v>
      </c>
      <c r="B2835">
        <v>518</v>
      </c>
      <c r="C2835" t="s">
        <v>6851</v>
      </c>
      <c r="D2835" s="9" t="s">
        <v>7408</v>
      </c>
      <c r="F2835" s="1" t="s">
        <v>8185</v>
      </c>
      <c r="G2835" s="1" t="s">
        <v>8186</v>
      </c>
      <c r="H2835" t="s">
        <v>10473</v>
      </c>
      <c r="I2835" t="s">
        <v>10474</v>
      </c>
    </row>
    <row r="2836" spans="1:9">
      <c r="A2836" t="s">
        <v>6854</v>
      </c>
      <c r="B2836">
        <v>1585</v>
      </c>
      <c r="C2836" t="s">
        <v>6855</v>
      </c>
      <c r="D2836" s="1" t="s">
        <v>7807</v>
      </c>
      <c r="F2836" s="1" t="s">
        <v>8921</v>
      </c>
      <c r="G2836" s="1" t="s">
        <v>8922</v>
      </c>
      <c r="H2836" t="s">
        <v>8924</v>
      </c>
      <c r="I2836" t="s">
        <v>8923</v>
      </c>
    </row>
    <row r="2837" spans="1:9">
      <c r="A2837" t="s">
        <v>6854</v>
      </c>
      <c r="B2837">
        <v>1585</v>
      </c>
      <c r="C2837" t="s">
        <v>6855</v>
      </c>
      <c r="D2837" s="1" t="s">
        <v>7807</v>
      </c>
      <c r="F2837" s="1" t="s">
        <v>8921</v>
      </c>
      <c r="G2837" s="1" t="s">
        <v>8922</v>
      </c>
      <c r="H2837" t="s">
        <v>8925</v>
      </c>
      <c r="I2837" t="s">
        <v>8926</v>
      </c>
    </row>
    <row r="2838" spans="1:9">
      <c r="A2838" t="s">
        <v>6854</v>
      </c>
      <c r="B2838">
        <v>1585</v>
      </c>
      <c r="C2838" t="s">
        <v>6855</v>
      </c>
      <c r="D2838" s="1" t="s">
        <v>7807</v>
      </c>
      <c r="F2838" s="1" t="s">
        <v>8921</v>
      </c>
      <c r="G2838" s="1" t="s">
        <v>8922</v>
      </c>
      <c r="H2838" t="s">
        <v>8927</v>
      </c>
      <c r="I2838" t="s">
        <v>8928</v>
      </c>
    </row>
    <row r="2839" spans="1:9">
      <c r="A2839" t="s">
        <v>6854</v>
      </c>
      <c r="B2839">
        <v>1585</v>
      </c>
      <c r="C2839" t="s">
        <v>6855</v>
      </c>
      <c r="D2839" s="1" t="s">
        <v>7807</v>
      </c>
      <c r="F2839" s="1" t="s">
        <v>8921</v>
      </c>
      <c r="G2839" s="1" t="s">
        <v>8922</v>
      </c>
      <c r="H2839" t="s">
        <v>8929</v>
      </c>
      <c r="I2839" t="s">
        <v>8930</v>
      </c>
    </row>
    <row r="2840" spans="1:9">
      <c r="A2840" t="s">
        <v>6854</v>
      </c>
      <c r="B2840">
        <v>1585</v>
      </c>
      <c r="C2840" t="s">
        <v>6855</v>
      </c>
      <c r="D2840" s="1" t="s">
        <v>7807</v>
      </c>
      <c r="F2840" s="1" t="s">
        <v>8921</v>
      </c>
      <c r="G2840" s="1" t="s">
        <v>8922</v>
      </c>
      <c r="H2840" t="s">
        <v>8931</v>
      </c>
      <c r="I2840" t="s">
        <v>8932</v>
      </c>
    </row>
    <row r="2841" spans="1:9">
      <c r="A2841" t="s">
        <v>6854</v>
      </c>
      <c r="B2841">
        <v>1585</v>
      </c>
      <c r="C2841" t="s">
        <v>6855</v>
      </c>
      <c r="D2841" s="1" t="s">
        <v>7807</v>
      </c>
      <c r="F2841" s="1" t="s">
        <v>8921</v>
      </c>
      <c r="G2841" s="1" t="s">
        <v>8922</v>
      </c>
      <c r="H2841" t="s">
        <v>8933</v>
      </c>
      <c r="I2841" t="s">
        <v>8934</v>
      </c>
    </row>
    <row r="2842" spans="1:9">
      <c r="A2842" t="s">
        <v>6854</v>
      </c>
      <c r="B2842">
        <v>1585</v>
      </c>
      <c r="C2842" t="s">
        <v>6855</v>
      </c>
      <c r="D2842" s="1" t="s">
        <v>7807</v>
      </c>
      <c r="F2842" s="1" t="s">
        <v>8921</v>
      </c>
      <c r="G2842" s="1" t="s">
        <v>8922</v>
      </c>
      <c r="H2842" t="s">
        <v>8935</v>
      </c>
      <c r="I2842" t="s">
        <v>8936</v>
      </c>
    </row>
    <row r="2843" spans="1:9">
      <c r="A2843" t="s">
        <v>6854</v>
      </c>
      <c r="B2843">
        <v>1585</v>
      </c>
      <c r="C2843" t="s">
        <v>6855</v>
      </c>
      <c r="D2843" s="1" t="s">
        <v>7807</v>
      </c>
      <c r="F2843" s="1" t="s">
        <v>8921</v>
      </c>
      <c r="G2843" s="1" t="s">
        <v>8922</v>
      </c>
      <c r="H2843" t="s">
        <v>8937</v>
      </c>
      <c r="I2843" t="s">
        <v>8938</v>
      </c>
    </row>
    <row r="2844" spans="1:9">
      <c r="A2844" t="s">
        <v>6854</v>
      </c>
      <c r="B2844">
        <v>1585</v>
      </c>
      <c r="C2844" t="s">
        <v>6855</v>
      </c>
      <c r="D2844" s="1" t="s">
        <v>7807</v>
      </c>
      <c r="F2844" s="1" t="s">
        <v>8921</v>
      </c>
      <c r="G2844" s="1" t="s">
        <v>8922</v>
      </c>
      <c r="H2844" t="s">
        <v>8939</v>
      </c>
      <c r="I2844" t="s">
        <v>8940</v>
      </c>
    </row>
    <row r="2845" spans="1:9">
      <c r="A2845" t="s">
        <v>6854</v>
      </c>
      <c r="B2845">
        <v>1585</v>
      </c>
      <c r="C2845" t="s">
        <v>6855</v>
      </c>
      <c r="D2845" s="1" t="s">
        <v>7807</v>
      </c>
      <c r="F2845" s="1" t="s">
        <v>8921</v>
      </c>
      <c r="G2845" s="1" t="s">
        <v>8922</v>
      </c>
      <c r="H2845" t="s">
        <v>8941</v>
      </c>
      <c r="I2845" t="s">
        <v>8942</v>
      </c>
    </row>
    <row r="2846" spans="1:9">
      <c r="A2846" t="s">
        <v>6854</v>
      </c>
      <c r="B2846">
        <v>1585</v>
      </c>
      <c r="C2846" t="s">
        <v>6855</v>
      </c>
      <c r="D2846" s="1" t="s">
        <v>7807</v>
      </c>
      <c r="F2846" s="1" t="s">
        <v>8921</v>
      </c>
      <c r="G2846" s="1" t="s">
        <v>8922</v>
      </c>
      <c r="H2846" t="s">
        <v>8943</v>
      </c>
      <c r="I2846" t="s">
        <v>8944</v>
      </c>
    </row>
    <row r="2847" spans="1:9">
      <c r="A2847" t="s">
        <v>6857</v>
      </c>
      <c r="B2847">
        <v>581</v>
      </c>
      <c r="C2847" t="s">
        <v>6858</v>
      </c>
      <c r="D2847" s="1" t="s">
        <v>7806</v>
      </c>
    </row>
    <row r="2848" spans="1:9">
      <c r="A2848" t="s">
        <v>6859</v>
      </c>
      <c r="B2848">
        <v>306</v>
      </c>
      <c r="C2848" t="s">
        <v>6860</v>
      </c>
    </row>
    <row r="2849" spans="1:9">
      <c r="A2849" t="s">
        <v>6861</v>
      </c>
      <c r="B2849">
        <v>175</v>
      </c>
      <c r="C2849" t="s">
        <v>6862</v>
      </c>
    </row>
    <row r="2850" spans="1:9">
      <c r="A2850" t="s">
        <v>6864</v>
      </c>
      <c r="B2850">
        <v>649</v>
      </c>
      <c r="C2850" t="s">
        <v>6865</v>
      </c>
      <c r="D2850" s="1" t="s">
        <v>7342</v>
      </c>
      <c r="F2850" s="1" t="s">
        <v>7989</v>
      </c>
      <c r="G2850" s="1" t="s">
        <v>7990</v>
      </c>
      <c r="H2850" t="s">
        <v>7991</v>
      </c>
      <c r="I2850" t="s">
        <v>7992</v>
      </c>
    </row>
    <row r="2851" spans="1:9">
      <c r="A2851" t="s">
        <v>6864</v>
      </c>
      <c r="B2851">
        <v>649</v>
      </c>
      <c r="C2851" t="s">
        <v>6865</v>
      </c>
      <c r="D2851" s="1" t="s">
        <v>7342</v>
      </c>
      <c r="F2851" s="1" t="s">
        <v>7989</v>
      </c>
      <c r="G2851" s="1" t="s">
        <v>7990</v>
      </c>
      <c r="H2851" t="s">
        <v>10214</v>
      </c>
      <c r="I2851" t="s">
        <v>10215</v>
      </c>
    </row>
    <row r="2852" spans="1:9">
      <c r="A2852" t="s">
        <v>6868</v>
      </c>
      <c r="B2852">
        <v>339</v>
      </c>
      <c r="C2852" t="s">
        <v>6869</v>
      </c>
      <c r="D2852" s="1" t="s">
        <v>7342</v>
      </c>
      <c r="F2852" s="1" t="s">
        <v>7989</v>
      </c>
      <c r="G2852" s="1" t="s">
        <v>7990</v>
      </c>
      <c r="H2852" t="s">
        <v>7991</v>
      </c>
      <c r="I2852" t="s">
        <v>7992</v>
      </c>
    </row>
    <row r="2853" spans="1:9">
      <c r="A2853" t="s">
        <v>6868</v>
      </c>
      <c r="B2853">
        <v>339</v>
      </c>
      <c r="C2853" t="s">
        <v>6869</v>
      </c>
      <c r="D2853" s="1" t="s">
        <v>7342</v>
      </c>
      <c r="F2853" s="1" t="s">
        <v>7989</v>
      </c>
      <c r="G2853" s="1" t="s">
        <v>7990</v>
      </c>
      <c r="H2853" t="s">
        <v>10214</v>
      </c>
      <c r="I2853" t="s">
        <v>10215</v>
      </c>
    </row>
    <row r="2854" spans="1:9">
      <c r="A2854" t="s">
        <v>6870</v>
      </c>
      <c r="B2854">
        <v>564</v>
      </c>
      <c r="C2854" t="s">
        <v>6871</v>
      </c>
    </row>
    <row r="2855" spans="1:9">
      <c r="A2855" t="s">
        <v>6873</v>
      </c>
      <c r="B2855">
        <v>326</v>
      </c>
      <c r="C2855" t="s">
        <v>6874</v>
      </c>
      <c r="D2855" s="1" t="s">
        <v>7805</v>
      </c>
      <c r="F2855" s="1" t="s">
        <v>8945</v>
      </c>
      <c r="G2855" s="1" t="s">
        <v>8946</v>
      </c>
      <c r="H2855" t="s">
        <v>8947</v>
      </c>
      <c r="I2855" t="s">
        <v>8948</v>
      </c>
    </row>
    <row r="2856" spans="1:9">
      <c r="A2856" t="s">
        <v>6876</v>
      </c>
      <c r="B2856">
        <v>170</v>
      </c>
      <c r="C2856" t="s">
        <v>6877</v>
      </c>
    </row>
    <row r="2857" spans="1:9">
      <c r="A2857" t="s">
        <v>6880</v>
      </c>
      <c r="B2857">
        <v>650</v>
      </c>
      <c r="C2857" t="s">
        <v>6881</v>
      </c>
      <c r="D2857" s="1" t="s">
        <v>7804</v>
      </c>
      <c r="F2857" s="1" t="s">
        <v>10139</v>
      </c>
      <c r="G2857" s="1" t="s">
        <v>10140</v>
      </c>
      <c r="H2857" t="s">
        <v>10141</v>
      </c>
      <c r="I2857" t="s">
        <v>10142</v>
      </c>
    </row>
    <row r="2858" spans="1:9">
      <c r="A2858" t="s">
        <v>6882</v>
      </c>
      <c r="B2858">
        <v>195</v>
      </c>
      <c r="C2858" t="s">
        <v>6883</v>
      </c>
    </row>
    <row r="2859" spans="1:9">
      <c r="A2859" t="s">
        <v>6886</v>
      </c>
      <c r="B2859">
        <v>635</v>
      </c>
      <c r="C2859" t="s">
        <v>6887</v>
      </c>
      <c r="D2859" s="1" t="s">
        <v>7803</v>
      </c>
      <c r="F2859" s="1" t="s">
        <v>10143</v>
      </c>
      <c r="G2859" s="1" t="s">
        <v>10144</v>
      </c>
      <c r="H2859" t="s">
        <v>10145</v>
      </c>
      <c r="I2859" t="s">
        <v>9766</v>
      </c>
    </row>
    <row r="2860" spans="1:9">
      <c r="A2860" t="s">
        <v>6886</v>
      </c>
      <c r="B2860">
        <v>635</v>
      </c>
      <c r="C2860" t="s">
        <v>6887</v>
      </c>
      <c r="D2860" s="1" t="s">
        <v>7803</v>
      </c>
      <c r="F2860" s="1" t="s">
        <v>10143</v>
      </c>
      <c r="G2860" s="1" t="s">
        <v>10144</v>
      </c>
      <c r="H2860" t="s">
        <v>10146</v>
      </c>
      <c r="I2860" t="s">
        <v>10147</v>
      </c>
    </row>
    <row r="2861" spans="1:9">
      <c r="A2861" t="s">
        <v>6886</v>
      </c>
      <c r="B2861">
        <v>635</v>
      </c>
      <c r="C2861" t="s">
        <v>6887</v>
      </c>
      <c r="D2861" s="1" t="s">
        <v>7803</v>
      </c>
      <c r="F2861" s="1" t="s">
        <v>10143</v>
      </c>
      <c r="G2861" s="1" t="s">
        <v>10144</v>
      </c>
      <c r="H2861" t="s">
        <v>10148</v>
      </c>
      <c r="I2861" t="s">
        <v>10149</v>
      </c>
    </row>
    <row r="2862" spans="1:9">
      <c r="A2862" t="s">
        <v>6888</v>
      </c>
      <c r="B2862">
        <v>250</v>
      </c>
      <c r="C2862" t="s">
        <v>6889</v>
      </c>
    </row>
    <row r="2863" spans="1:9">
      <c r="A2863" t="s">
        <v>6891</v>
      </c>
      <c r="B2863">
        <v>309</v>
      </c>
      <c r="C2863" t="s">
        <v>6892</v>
      </c>
      <c r="D2863" s="9" t="s">
        <v>7398</v>
      </c>
      <c r="F2863" s="1" t="s">
        <v>8148</v>
      </c>
      <c r="G2863" s="1" t="s">
        <v>8149</v>
      </c>
      <c r="H2863" s="4" t="s">
        <v>8150</v>
      </c>
      <c r="I2863" s="4" t="s">
        <v>8151</v>
      </c>
    </row>
    <row r="2864" spans="1:9">
      <c r="A2864" t="s">
        <v>6891</v>
      </c>
      <c r="B2864">
        <v>309</v>
      </c>
      <c r="C2864" t="s">
        <v>6892</v>
      </c>
      <c r="D2864" s="9" t="s">
        <v>7398</v>
      </c>
      <c r="F2864" s="1" t="s">
        <v>8148</v>
      </c>
      <c r="G2864" s="1" t="s">
        <v>8149</v>
      </c>
      <c r="H2864" s="4" t="s">
        <v>9429</v>
      </c>
      <c r="I2864" s="4" t="s">
        <v>9414</v>
      </c>
    </row>
    <row r="2865" spans="1:9">
      <c r="A2865" t="s">
        <v>6891</v>
      </c>
      <c r="B2865">
        <v>309</v>
      </c>
      <c r="C2865" t="s">
        <v>6892</v>
      </c>
      <c r="D2865" s="9" t="s">
        <v>7398</v>
      </c>
      <c r="F2865" s="1" t="s">
        <v>8148</v>
      </c>
      <c r="G2865" s="1" t="s">
        <v>8149</v>
      </c>
      <c r="H2865" s="4" t="s">
        <v>9415</v>
      </c>
      <c r="I2865" s="4" t="s">
        <v>9416</v>
      </c>
    </row>
    <row r="2866" spans="1:9">
      <c r="A2866" t="s">
        <v>6891</v>
      </c>
      <c r="B2866">
        <v>309</v>
      </c>
      <c r="C2866" t="s">
        <v>6892</v>
      </c>
      <c r="D2866" s="9" t="s">
        <v>7398</v>
      </c>
      <c r="F2866" s="1" t="s">
        <v>8148</v>
      </c>
      <c r="G2866" s="1" t="s">
        <v>8149</v>
      </c>
      <c r="H2866" s="4" t="s">
        <v>9430</v>
      </c>
      <c r="I2866" s="4" t="s">
        <v>9418</v>
      </c>
    </row>
    <row r="2867" spans="1:9">
      <c r="A2867" t="s">
        <v>6891</v>
      </c>
      <c r="B2867">
        <v>309</v>
      </c>
      <c r="C2867" t="s">
        <v>6892</v>
      </c>
      <c r="D2867" s="9" t="s">
        <v>7398</v>
      </c>
      <c r="F2867" s="1" t="s">
        <v>8148</v>
      </c>
      <c r="G2867" s="1" t="s">
        <v>8149</v>
      </c>
      <c r="H2867" s="4" t="s">
        <v>9419</v>
      </c>
      <c r="I2867" s="4" t="s">
        <v>9420</v>
      </c>
    </row>
    <row r="2868" spans="1:9">
      <c r="A2868" t="s">
        <v>6891</v>
      </c>
      <c r="B2868">
        <v>309</v>
      </c>
      <c r="C2868" t="s">
        <v>6892</v>
      </c>
      <c r="D2868" s="9" t="s">
        <v>7398</v>
      </c>
      <c r="F2868" s="1" t="s">
        <v>8148</v>
      </c>
      <c r="G2868" s="1" t="s">
        <v>8149</v>
      </c>
      <c r="H2868" s="4" t="s">
        <v>9421</v>
      </c>
      <c r="I2868" s="4" t="s">
        <v>9422</v>
      </c>
    </row>
    <row r="2869" spans="1:9">
      <c r="A2869" t="s">
        <v>6891</v>
      </c>
      <c r="B2869">
        <v>309</v>
      </c>
      <c r="C2869" t="s">
        <v>6892</v>
      </c>
      <c r="D2869" s="9" t="s">
        <v>7398</v>
      </c>
      <c r="F2869" s="1" t="s">
        <v>8148</v>
      </c>
      <c r="G2869" s="1" t="s">
        <v>8149</v>
      </c>
      <c r="H2869" s="4" t="s">
        <v>9431</v>
      </c>
      <c r="I2869" s="4" t="s">
        <v>9424</v>
      </c>
    </row>
    <row r="2870" spans="1:9">
      <c r="A2870" t="s">
        <v>6891</v>
      </c>
      <c r="B2870">
        <v>309</v>
      </c>
      <c r="C2870" t="s">
        <v>6892</v>
      </c>
      <c r="D2870" s="9" t="s">
        <v>7398</v>
      </c>
      <c r="F2870" s="1" t="s">
        <v>8148</v>
      </c>
      <c r="G2870" s="1" t="s">
        <v>8149</v>
      </c>
      <c r="H2870" s="4" t="s">
        <v>9425</v>
      </c>
      <c r="I2870" s="4" t="s">
        <v>9426</v>
      </c>
    </row>
    <row r="2871" spans="1:9">
      <c r="A2871" t="s">
        <v>6891</v>
      </c>
      <c r="B2871">
        <v>309</v>
      </c>
      <c r="C2871" t="s">
        <v>6892</v>
      </c>
      <c r="D2871" s="9" t="s">
        <v>7398</v>
      </c>
      <c r="F2871" s="1" t="s">
        <v>8148</v>
      </c>
      <c r="G2871" s="1" t="s">
        <v>8149</v>
      </c>
      <c r="H2871" s="4" t="s">
        <v>9427</v>
      </c>
      <c r="I2871" s="4" t="s">
        <v>9428</v>
      </c>
    </row>
    <row r="2872" spans="1:9">
      <c r="A2872" t="s">
        <v>6893</v>
      </c>
      <c r="B2872">
        <v>70</v>
      </c>
      <c r="C2872" t="s">
        <v>6894</v>
      </c>
    </row>
    <row r="2873" spans="1:9">
      <c r="A2873" t="s">
        <v>6897</v>
      </c>
      <c r="B2873">
        <v>401</v>
      </c>
      <c r="C2873" t="s">
        <v>6898</v>
      </c>
      <c r="D2873" s="1" t="s">
        <v>7802</v>
      </c>
      <c r="F2873" s="1" t="s">
        <v>9498</v>
      </c>
      <c r="G2873" s="1" t="s">
        <v>9499</v>
      </c>
      <c r="H2873" t="s">
        <v>8684</v>
      </c>
      <c r="I2873" t="s">
        <v>9500</v>
      </c>
    </row>
    <row r="2874" spans="1:9">
      <c r="A2874" t="s">
        <v>6897</v>
      </c>
      <c r="B2874">
        <v>401</v>
      </c>
      <c r="C2874" t="s">
        <v>6898</v>
      </c>
      <c r="D2874" s="1" t="s">
        <v>7802</v>
      </c>
      <c r="F2874" s="1" t="s">
        <v>9498</v>
      </c>
      <c r="G2874" s="1" t="s">
        <v>9499</v>
      </c>
      <c r="H2874" t="s">
        <v>9501</v>
      </c>
      <c r="I2874" t="s">
        <v>9502</v>
      </c>
    </row>
    <row r="2875" spans="1:9">
      <c r="A2875" t="s">
        <v>6900</v>
      </c>
      <c r="B2875">
        <v>632</v>
      </c>
      <c r="C2875" t="s">
        <v>6901</v>
      </c>
    </row>
    <row r="2876" spans="1:9">
      <c r="A2876" t="s">
        <v>6904</v>
      </c>
      <c r="B2876">
        <v>276</v>
      </c>
      <c r="C2876" t="s">
        <v>6905</v>
      </c>
      <c r="D2876" s="1" t="s">
        <v>7801</v>
      </c>
      <c r="F2876" s="1" t="s">
        <v>9503</v>
      </c>
      <c r="G2876" s="1" t="s">
        <v>9504</v>
      </c>
      <c r="H2876" t="s">
        <v>9505</v>
      </c>
      <c r="I2876" t="s">
        <v>9506</v>
      </c>
    </row>
    <row r="2877" spans="1:9">
      <c r="A2877" t="s">
        <v>6908</v>
      </c>
      <c r="B2877">
        <v>515</v>
      </c>
      <c r="C2877" t="s">
        <v>6909</v>
      </c>
      <c r="D2877" s="1" t="s">
        <v>7800</v>
      </c>
      <c r="F2877" s="1" t="s">
        <v>9507</v>
      </c>
      <c r="G2877" s="1" t="s">
        <v>9508</v>
      </c>
      <c r="H2877" t="s">
        <v>9509</v>
      </c>
      <c r="I2877" t="s">
        <v>9510</v>
      </c>
    </row>
    <row r="2878" spans="1:9">
      <c r="A2878" t="s">
        <v>6912</v>
      </c>
      <c r="B2878">
        <v>245</v>
      </c>
      <c r="C2878" t="s">
        <v>6913</v>
      </c>
    </row>
    <row r="2879" spans="1:9">
      <c r="A2879" t="s">
        <v>6916</v>
      </c>
      <c r="B2879">
        <v>578</v>
      </c>
      <c r="C2879" t="s">
        <v>6917</v>
      </c>
      <c r="D2879" s="1" t="s">
        <v>7799</v>
      </c>
      <c r="F2879" s="1" t="s">
        <v>9511</v>
      </c>
      <c r="G2879" s="1" t="s">
        <v>9512</v>
      </c>
      <c r="H2879" t="s">
        <v>9513</v>
      </c>
      <c r="I2879" t="s">
        <v>9514</v>
      </c>
    </row>
    <row r="2880" spans="1:9">
      <c r="A2880" t="s">
        <v>6916</v>
      </c>
      <c r="B2880">
        <v>578</v>
      </c>
      <c r="C2880" t="s">
        <v>6917</v>
      </c>
      <c r="D2880" s="1" t="s">
        <v>7799</v>
      </c>
      <c r="F2880" s="1" t="s">
        <v>9511</v>
      </c>
      <c r="G2880" s="1" t="s">
        <v>9512</v>
      </c>
      <c r="H2880" t="s">
        <v>9515</v>
      </c>
      <c r="I2880" t="s">
        <v>9516</v>
      </c>
    </row>
    <row r="2881" spans="1:9">
      <c r="A2881" t="s">
        <v>6916</v>
      </c>
      <c r="B2881">
        <v>578</v>
      </c>
      <c r="C2881" t="s">
        <v>6917</v>
      </c>
      <c r="D2881" s="1" t="s">
        <v>7799</v>
      </c>
      <c r="F2881" s="1" t="s">
        <v>9511</v>
      </c>
      <c r="G2881" s="1" t="s">
        <v>9512</v>
      </c>
      <c r="H2881" t="s">
        <v>9517</v>
      </c>
      <c r="I2881" t="s">
        <v>9518</v>
      </c>
    </row>
    <row r="2882" spans="1:9">
      <c r="A2882" t="s">
        <v>6920</v>
      </c>
      <c r="B2882">
        <v>543</v>
      </c>
      <c r="C2882" t="s">
        <v>6921</v>
      </c>
      <c r="D2882" s="1" t="s">
        <v>7283</v>
      </c>
    </row>
    <row r="2883" spans="1:9">
      <c r="A2883" t="s">
        <v>6924</v>
      </c>
      <c r="B2883">
        <v>418</v>
      </c>
      <c r="C2883" t="s">
        <v>6925</v>
      </c>
      <c r="D2883" s="1" t="s">
        <v>7798</v>
      </c>
      <c r="F2883" s="1" t="s">
        <v>9519</v>
      </c>
      <c r="G2883" s="1" t="s">
        <v>9520</v>
      </c>
      <c r="H2883" t="s">
        <v>9521</v>
      </c>
      <c r="I2883" t="s">
        <v>9522</v>
      </c>
    </row>
    <row r="2884" spans="1:9">
      <c r="A2884" t="s">
        <v>6924</v>
      </c>
      <c r="B2884">
        <v>418</v>
      </c>
      <c r="C2884" t="s">
        <v>6925</v>
      </c>
      <c r="D2884" s="1" t="s">
        <v>7798</v>
      </c>
      <c r="F2884" s="1" t="s">
        <v>9519</v>
      </c>
      <c r="G2884" s="1" t="s">
        <v>9520</v>
      </c>
      <c r="H2884" t="s">
        <v>9523</v>
      </c>
      <c r="I2884" t="s">
        <v>9524</v>
      </c>
    </row>
    <row r="2885" spans="1:9">
      <c r="A2885" t="s">
        <v>6928</v>
      </c>
      <c r="B2885">
        <v>249</v>
      </c>
      <c r="C2885" t="s">
        <v>6929</v>
      </c>
    </row>
    <row r="2886" spans="1:9">
      <c r="A2886" t="s">
        <v>6931</v>
      </c>
      <c r="B2886">
        <v>349</v>
      </c>
      <c r="C2886" t="s">
        <v>6932</v>
      </c>
    </row>
    <row r="2887" spans="1:9">
      <c r="A2887" t="s">
        <v>6934</v>
      </c>
      <c r="B2887">
        <v>115</v>
      </c>
      <c r="C2887" t="s">
        <v>6935</v>
      </c>
    </row>
    <row r="2888" spans="1:9">
      <c r="A2888" t="s">
        <v>6938</v>
      </c>
      <c r="B2888">
        <v>217</v>
      </c>
      <c r="C2888" t="s">
        <v>6939</v>
      </c>
      <c r="D2888" s="1" t="s">
        <v>7797</v>
      </c>
      <c r="F2888" s="1" t="s">
        <v>9525</v>
      </c>
      <c r="G2888" s="1" t="s">
        <v>9526</v>
      </c>
      <c r="H2888" t="s">
        <v>9527</v>
      </c>
      <c r="I2888" t="s">
        <v>9528</v>
      </c>
    </row>
    <row r="2889" spans="1:9">
      <c r="A2889" t="s">
        <v>6938</v>
      </c>
      <c r="B2889">
        <v>217</v>
      </c>
      <c r="C2889" t="s">
        <v>6939</v>
      </c>
      <c r="D2889" s="1" t="s">
        <v>7797</v>
      </c>
      <c r="F2889" s="1" t="s">
        <v>9525</v>
      </c>
      <c r="G2889" s="1" t="s">
        <v>9526</v>
      </c>
      <c r="H2889" t="s">
        <v>9529</v>
      </c>
      <c r="I2889" t="s">
        <v>9530</v>
      </c>
    </row>
    <row r="2890" spans="1:9">
      <c r="A2890" t="s">
        <v>6942</v>
      </c>
      <c r="B2890">
        <v>302</v>
      </c>
      <c r="C2890" t="s">
        <v>6943</v>
      </c>
      <c r="D2890" s="1" t="s">
        <v>7796</v>
      </c>
      <c r="F2890" s="1" t="s">
        <v>9531</v>
      </c>
      <c r="G2890" s="1" t="s">
        <v>9532</v>
      </c>
      <c r="H2890" t="s">
        <v>8269</v>
      </c>
      <c r="I2890" t="s">
        <v>9533</v>
      </c>
    </row>
    <row r="2891" spans="1:9">
      <c r="A2891" t="s">
        <v>6942</v>
      </c>
      <c r="B2891">
        <v>302</v>
      </c>
      <c r="C2891" t="s">
        <v>6943</v>
      </c>
      <c r="D2891" s="1" t="s">
        <v>7796</v>
      </c>
      <c r="F2891" s="1" t="s">
        <v>9531</v>
      </c>
      <c r="G2891" s="1" t="s">
        <v>9532</v>
      </c>
      <c r="H2891" t="s">
        <v>9534</v>
      </c>
      <c r="I2891" t="s">
        <v>9535</v>
      </c>
    </row>
    <row r="2892" spans="1:9">
      <c r="A2892" t="s">
        <v>6946</v>
      </c>
      <c r="B2892">
        <v>378</v>
      </c>
      <c r="C2892" t="s">
        <v>6947</v>
      </c>
      <c r="D2892" s="1" t="s">
        <v>7795</v>
      </c>
      <c r="F2892" s="1" t="s">
        <v>9536</v>
      </c>
      <c r="G2892" s="1" t="s">
        <v>9537</v>
      </c>
      <c r="H2892" t="s">
        <v>9538</v>
      </c>
      <c r="I2892" t="s">
        <v>9539</v>
      </c>
    </row>
    <row r="2893" spans="1:9">
      <c r="A2893" t="s">
        <v>6948</v>
      </c>
      <c r="B2893">
        <v>236</v>
      </c>
      <c r="C2893" t="s">
        <v>6949</v>
      </c>
    </row>
    <row r="2894" spans="1:9">
      <c r="A2894" t="s">
        <v>6951</v>
      </c>
      <c r="B2894">
        <v>424</v>
      </c>
      <c r="C2894" t="s">
        <v>6952</v>
      </c>
    </row>
    <row r="2895" spans="1:9">
      <c r="A2895" t="s">
        <v>6953</v>
      </c>
      <c r="B2895">
        <v>306</v>
      </c>
      <c r="C2895" t="s">
        <v>6954</v>
      </c>
    </row>
    <row r="2896" spans="1:9">
      <c r="A2896" t="s">
        <v>6957</v>
      </c>
      <c r="B2896">
        <v>234</v>
      </c>
      <c r="C2896" t="s">
        <v>6958</v>
      </c>
      <c r="D2896" s="1" t="s">
        <v>7794</v>
      </c>
      <c r="F2896" s="1" t="s">
        <v>9540</v>
      </c>
      <c r="G2896" s="1" t="s">
        <v>9541</v>
      </c>
      <c r="H2896" t="s">
        <v>9542</v>
      </c>
      <c r="I2896" t="s">
        <v>9543</v>
      </c>
    </row>
    <row r="2897" spans="1:9">
      <c r="A2897" t="s">
        <v>6957</v>
      </c>
      <c r="B2897">
        <v>234</v>
      </c>
      <c r="C2897" t="s">
        <v>6958</v>
      </c>
      <c r="D2897" s="1" t="s">
        <v>7794</v>
      </c>
      <c r="F2897" s="1" t="s">
        <v>9540</v>
      </c>
      <c r="G2897" s="1" t="s">
        <v>9541</v>
      </c>
      <c r="H2897" t="s">
        <v>9544</v>
      </c>
      <c r="I2897" t="s">
        <v>9545</v>
      </c>
    </row>
    <row r="2898" spans="1:9">
      <c r="A2898" t="s">
        <v>6957</v>
      </c>
      <c r="B2898">
        <v>234</v>
      </c>
      <c r="C2898" t="s">
        <v>6958</v>
      </c>
      <c r="D2898" s="1" t="s">
        <v>7794</v>
      </c>
      <c r="F2898" s="1" t="s">
        <v>9540</v>
      </c>
      <c r="G2898" s="1" t="s">
        <v>9541</v>
      </c>
      <c r="H2898" t="s">
        <v>9546</v>
      </c>
      <c r="I2898" t="s">
        <v>9547</v>
      </c>
    </row>
    <row r="2899" spans="1:9">
      <c r="A2899" t="s">
        <v>6961</v>
      </c>
      <c r="B2899">
        <v>315</v>
      </c>
      <c r="C2899" t="s">
        <v>6962</v>
      </c>
      <c r="D2899" s="1" t="s">
        <v>7793</v>
      </c>
      <c r="F2899" s="1" t="s">
        <v>9548</v>
      </c>
      <c r="G2899" s="1" t="s">
        <v>9549</v>
      </c>
      <c r="H2899" t="s">
        <v>9550</v>
      </c>
      <c r="I2899" t="s">
        <v>9551</v>
      </c>
    </row>
    <row r="2900" spans="1:9">
      <c r="A2900" t="s">
        <v>6961</v>
      </c>
      <c r="B2900">
        <v>315</v>
      </c>
      <c r="C2900" t="s">
        <v>6962</v>
      </c>
      <c r="D2900" s="1" t="s">
        <v>7793</v>
      </c>
      <c r="F2900" s="1" t="s">
        <v>9548</v>
      </c>
      <c r="G2900" s="1" t="s">
        <v>9549</v>
      </c>
      <c r="H2900" t="s">
        <v>9552</v>
      </c>
      <c r="I2900" t="s">
        <v>9553</v>
      </c>
    </row>
    <row r="2901" spans="1:9">
      <c r="A2901" t="s">
        <v>6961</v>
      </c>
      <c r="B2901">
        <v>315</v>
      </c>
      <c r="C2901" t="s">
        <v>6962</v>
      </c>
      <c r="D2901" s="1" t="s">
        <v>7793</v>
      </c>
      <c r="F2901" s="1" t="s">
        <v>9548</v>
      </c>
      <c r="G2901" s="1" t="s">
        <v>9549</v>
      </c>
      <c r="H2901" t="s">
        <v>9554</v>
      </c>
      <c r="I2901" t="s">
        <v>9555</v>
      </c>
    </row>
    <row r="2902" spans="1:9">
      <c r="A2902" t="s">
        <v>6963</v>
      </c>
      <c r="B2902">
        <v>580</v>
      </c>
      <c r="C2902" t="s">
        <v>6964</v>
      </c>
    </row>
    <row r="2903" spans="1:9">
      <c r="A2903" t="s">
        <v>6967</v>
      </c>
      <c r="B2903">
        <v>215</v>
      </c>
      <c r="C2903" t="s">
        <v>6968</v>
      </c>
      <c r="D2903" s="1" t="s">
        <v>7792</v>
      </c>
      <c r="F2903" s="1" t="s">
        <v>9556</v>
      </c>
      <c r="G2903" s="1" t="s">
        <v>9557</v>
      </c>
      <c r="H2903" t="s">
        <v>8850</v>
      </c>
      <c r="I2903" t="s">
        <v>9558</v>
      </c>
    </row>
    <row r="2904" spans="1:9">
      <c r="A2904" t="s">
        <v>6967</v>
      </c>
      <c r="B2904">
        <v>215</v>
      </c>
      <c r="C2904" t="s">
        <v>6968</v>
      </c>
      <c r="D2904" s="1" t="s">
        <v>7792</v>
      </c>
      <c r="F2904" s="1" t="s">
        <v>9556</v>
      </c>
      <c r="G2904" s="1" t="s">
        <v>9557</v>
      </c>
      <c r="H2904" t="s">
        <v>9559</v>
      </c>
      <c r="I2904" t="s">
        <v>9560</v>
      </c>
    </row>
    <row r="2905" spans="1:9">
      <c r="A2905" t="s">
        <v>6970</v>
      </c>
      <c r="B2905">
        <v>200</v>
      </c>
      <c r="C2905" t="s">
        <v>6971</v>
      </c>
      <c r="D2905" s="1" t="s">
        <v>7605</v>
      </c>
      <c r="F2905" s="1" t="s">
        <v>8800</v>
      </c>
      <c r="G2905" s="1" t="s">
        <v>8801</v>
      </c>
      <c r="H2905" t="s">
        <v>8804</v>
      </c>
      <c r="I2905" t="s">
        <v>8803</v>
      </c>
    </row>
    <row r="2906" spans="1:9">
      <c r="A2906" t="s">
        <v>6974</v>
      </c>
      <c r="B2906">
        <v>383</v>
      </c>
      <c r="C2906" t="s">
        <v>6975</v>
      </c>
    </row>
    <row r="2907" spans="1:9">
      <c r="A2907" t="s">
        <v>6976</v>
      </c>
      <c r="B2907">
        <v>432</v>
      </c>
      <c r="C2907" t="s">
        <v>6977</v>
      </c>
    </row>
    <row r="2908" spans="1:9">
      <c r="A2908" t="s">
        <v>6978</v>
      </c>
      <c r="B2908">
        <v>477</v>
      </c>
      <c r="C2908" t="s">
        <v>6979</v>
      </c>
    </row>
    <row r="2909" spans="1:9">
      <c r="A2909" t="s">
        <v>6980</v>
      </c>
      <c r="B2909">
        <v>210</v>
      </c>
      <c r="C2909" t="s">
        <v>6981</v>
      </c>
    </row>
    <row r="2910" spans="1:9">
      <c r="A2910" t="s">
        <v>6984</v>
      </c>
      <c r="B2910">
        <v>103</v>
      </c>
      <c r="C2910" t="s">
        <v>6985</v>
      </c>
    </row>
    <row r="2911" spans="1:9">
      <c r="A2911" t="s">
        <v>6987</v>
      </c>
      <c r="B2911">
        <v>212</v>
      </c>
      <c r="C2911" t="s">
        <v>6988</v>
      </c>
    </row>
    <row r="2912" spans="1:9">
      <c r="A2912" t="s">
        <v>6991</v>
      </c>
      <c r="B2912">
        <v>387</v>
      </c>
      <c r="C2912" t="s">
        <v>6992</v>
      </c>
      <c r="D2912" s="1" t="s">
        <v>7293</v>
      </c>
      <c r="F2912" s="1" t="s">
        <v>7863</v>
      </c>
    </row>
    <row r="2913" spans="1:6">
      <c r="A2913" t="s">
        <v>6993</v>
      </c>
      <c r="B2913">
        <v>166</v>
      </c>
      <c r="C2913" t="s">
        <v>6994</v>
      </c>
    </row>
    <row r="2914" spans="1:6">
      <c r="A2914" t="s">
        <v>6995</v>
      </c>
      <c r="B2914">
        <v>50</v>
      </c>
      <c r="C2914" t="s">
        <v>6996</v>
      </c>
    </row>
    <row r="2915" spans="1:6">
      <c r="A2915" t="s">
        <v>6997</v>
      </c>
      <c r="B2915">
        <v>220</v>
      </c>
      <c r="C2915" t="s">
        <v>6998</v>
      </c>
    </row>
    <row r="2916" spans="1:6">
      <c r="A2916" t="s">
        <v>7001</v>
      </c>
      <c r="B2916">
        <v>314</v>
      </c>
      <c r="C2916" t="s">
        <v>7002</v>
      </c>
    </row>
    <row r="2917" spans="1:6">
      <c r="A2917" t="s">
        <v>7004</v>
      </c>
      <c r="B2917">
        <v>202</v>
      </c>
      <c r="C2917" t="s">
        <v>7005</v>
      </c>
    </row>
    <row r="2918" spans="1:6">
      <c r="A2918" t="s">
        <v>7006</v>
      </c>
      <c r="B2918">
        <v>83</v>
      </c>
      <c r="C2918" t="s">
        <v>7007</v>
      </c>
    </row>
    <row r="2919" spans="1:6">
      <c r="A2919" t="s">
        <v>7008</v>
      </c>
      <c r="B2919">
        <v>299</v>
      </c>
      <c r="C2919" t="s">
        <v>7009</v>
      </c>
    </row>
    <row r="2920" spans="1:6">
      <c r="A2920" t="s">
        <v>7011</v>
      </c>
      <c r="B2920">
        <v>313</v>
      </c>
      <c r="C2920" t="s">
        <v>7012</v>
      </c>
      <c r="D2920" s="1" t="s">
        <v>7496</v>
      </c>
      <c r="F2920" s="1" t="s">
        <v>8395</v>
      </c>
    </row>
    <row r="2921" spans="1:6">
      <c r="A2921" t="s">
        <v>7013</v>
      </c>
      <c r="B2921">
        <v>148</v>
      </c>
      <c r="C2921" t="s">
        <v>7014</v>
      </c>
    </row>
    <row r="2922" spans="1:6">
      <c r="A2922" t="s">
        <v>7015</v>
      </c>
      <c r="B2922">
        <v>137</v>
      </c>
      <c r="C2922" t="s">
        <v>7016</v>
      </c>
    </row>
    <row r="2923" spans="1:6">
      <c r="C2923" t="s">
        <v>7017</v>
      </c>
    </row>
    <row r="2924" spans="1:6">
      <c r="A2924" t="s">
        <v>7018</v>
      </c>
      <c r="B2924">
        <v>170</v>
      </c>
      <c r="C2924" t="s">
        <v>7019</v>
      </c>
    </row>
    <row r="2925" spans="1:6">
      <c r="C2925" t="s">
        <v>7020</v>
      </c>
    </row>
    <row r="2926" spans="1:6">
      <c r="C2926" t="s">
        <v>7021</v>
      </c>
    </row>
    <row r="2927" spans="1:6">
      <c r="C2927" t="s">
        <v>7022</v>
      </c>
    </row>
    <row r="2928" spans="1:6">
      <c r="A2928" t="s">
        <v>7023</v>
      </c>
      <c r="B2928">
        <v>326</v>
      </c>
      <c r="C2928" t="s">
        <v>7024</v>
      </c>
    </row>
    <row r="2929" spans="1:6">
      <c r="A2929" t="s">
        <v>7027</v>
      </c>
      <c r="B2929">
        <v>267</v>
      </c>
      <c r="C2929" t="s">
        <v>7028</v>
      </c>
    </row>
    <row r="2930" spans="1:6">
      <c r="A2930" t="s">
        <v>7030</v>
      </c>
      <c r="B2930">
        <v>125</v>
      </c>
      <c r="C2930" t="s">
        <v>7031</v>
      </c>
    </row>
    <row r="2931" spans="1:6">
      <c r="A2931" t="s">
        <v>7033</v>
      </c>
      <c r="B2931">
        <v>391</v>
      </c>
      <c r="C2931" t="s">
        <v>7034</v>
      </c>
    </row>
    <row r="2932" spans="1:6">
      <c r="A2932" t="s">
        <v>7035</v>
      </c>
      <c r="B2932">
        <v>245</v>
      </c>
      <c r="C2932" t="s">
        <v>7036</v>
      </c>
    </row>
    <row r="2933" spans="1:6">
      <c r="A2933" t="s">
        <v>7039</v>
      </c>
      <c r="B2933">
        <v>123</v>
      </c>
      <c r="C2933" t="s">
        <v>7040</v>
      </c>
    </row>
    <row r="2934" spans="1:6">
      <c r="A2934" t="s">
        <v>7043</v>
      </c>
      <c r="B2934">
        <v>66</v>
      </c>
      <c r="C2934" t="s">
        <v>7044</v>
      </c>
    </row>
    <row r="2935" spans="1:6">
      <c r="A2935" t="s">
        <v>7047</v>
      </c>
      <c r="B2935">
        <v>729</v>
      </c>
      <c r="C2935" t="s">
        <v>7048</v>
      </c>
      <c r="D2935" s="1" t="s">
        <v>7281</v>
      </c>
      <c r="F2935" s="1" t="s">
        <v>7862</v>
      </c>
    </row>
    <row r="2936" spans="1:6">
      <c r="A2936" t="s">
        <v>7051</v>
      </c>
      <c r="B2936">
        <v>433</v>
      </c>
      <c r="C2936" t="s">
        <v>7052</v>
      </c>
    </row>
    <row r="2937" spans="1:6">
      <c r="A2937" t="s">
        <v>7054</v>
      </c>
      <c r="B2937">
        <v>154</v>
      </c>
      <c r="C2937" t="s">
        <v>7055</v>
      </c>
    </row>
    <row r="2938" spans="1:6">
      <c r="A2938" t="s">
        <v>7058</v>
      </c>
      <c r="B2938">
        <v>477</v>
      </c>
      <c r="C2938" t="s">
        <v>7059</v>
      </c>
      <c r="D2938" s="1" t="s">
        <v>7435</v>
      </c>
      <c r="F2938" s="1" t="s">
        <v>8231</v>
      </c>
    </row>
    <row r="2939" spans="1:6">
      <c r="A2939" t="s">
        <v>7062</v>
      </c>
      <c r="B2939">
        <v>150</v>
      </c>
      <c r="C2939" t="s">
        <v>7063</v>
      </c>
    </row>
    <row r="2940" spans="1:6">
      <c r="A2940" t="s">
        <v>7065</v>
      </c>
      <c r="B2940">
        <v>183</v>
      </c>
      <c r="C2940" t="s">
        <v>7066</v>
      </c>
    </row>
    <row r="2941" spans="1:6">
      <c r="A2941" t="s">
        <v>7069</v>
      </c>
      <c r="B2941">
        <v>96</v>
      </c>
      <c r="C2941" t="s">
        <v>7070</v>
      </c>
    </row>
    <row r="2942" spans="1:6">
      <c r="A2942" t="s">
        <v>7071</v>
      </c>
      <c r="B2942">
        <v>62</v>
      </c>
      <c r="C2942" t="s">
        <v>7072</v>
      </c>
    </row>
    <row r="2943" spans="1:6">
      <c r="A2943" t="s">
        <v>7073</v>
      </c>
      <c r="B2943">
        <v>463</v>
      </c>
      <c r="C2943" t="s">
        <v>7074</v>
      </c>
    </row>
    <row r="2944" spans="1:6">
      <c r="A2944" t="s">
        <v>7077</v>
      </c>
      <c r="B2944">
        <v>752</v>
      </c>
      <c r="C2944" t="s">
        <v>7078</v>
      </c>
    </row>
    <row r="2945" spans="1:9">
      <c r="A2945" t="s">
        <v>7079</v>
      </c>
      <c r="B2945">
        <v>124</v>
      </c>
      <c r="C2945" t="s">
        <v>7080</v>
      </c>
    </row>
    <row r="2946" spans="1:9">
      <c r="A2946" t="s">
        <v>7083</v>
      </c>
      <c r="B2946">
        <v>362</v>
      </c>
      <c r="C2946" t="s">
        <v>7084</v>
      </c>
      <c r="D2946" s="1" t="s">
        <v>7791</v>
      </c>
      <c r="F2946" s="1" t="s">
        <v>9561</v>
      </c>
      <c r="G2946" s="1" t="s">
        <v>9562</v>
      </c>
      <c r="H2946" t="s">
        <v>9563</v>
      </c>
      <c r="I2946" t="s">
        <v>9564</v>
      </c>
    </row>
    <row r="2947" spans="1:9">
      <c r="A2947" t="s">
        <v>7085</v>
      </c>
      <c r="B2947">
        <v>164</v>
      </c>
      <c r="C2947" t="s">
        <v>7086</v>
      </c>
    </row>
    <row r="2948" spans="1:9">
      <c r="A2948" t="s">
        <v>7087</v>
      </c>
      <c r="B2948">
        <v>323</v>
      </c>
      <c r="C2948" t="s">
        <v>7088</v>
      </c>
    </row>
    <row r="2949" spans="1:9">
      <c r="A2949" t="s">
        <v>7089</v>
      </c>
      <c r="B2949">
        <v>156</v>
      </c>
      <c r="C2949" t="s">
        <v>7090</v>
      </c>
    </row>
    <row r="2950" spans="1:9">
      <c r="A2950" t="s">
        <v>7092</v>
      </c>
      <c r="B2950">
        <v>310</v>
      </c>
      <c r="C2950" t="s">
        <v>7093</v>
      </c>
    </row>
    <row r="2951" spans="1:9">
      <c r="A2951" t="s">
        <v>7094</v>
      </c>
      <c r="B2951">
        <v>498</v>
      </c>
      <c r="C2951" t="s">
        <v>7095</v>
      </c>
    </row>
    <row r="2952" spans="1:9">
      <c r="A2952" t="s">
        <v>7097</v>
      </c>
      <c r="B2952">
        <v>271</v>
      </c>
      <c r="C2952" t="s">
        <v>7098</v>
      </c>
      <c r="D2952" s="1" t="s">
        <v>7448</v>
      </c>
    </row>
    <row r="2953" spans="1:9">
      <c r="A2953" t="s">
        <v>7101</v>
      </c>
      <c r="B2953">
        <v>530</v>
      </c>
      <c r="C2953" t="s">
        <v>7102</v>
      </c>
    </row>
    <row r="2954" spans="1:9">
      <c r="A2954" t="s">
        <v>7104</v>
      </c>
      <c r="B2954">
        <v>211</v>
      </c>
      <c r="C2954" t="s">
        <v>7105</v>
      </c>
      <c r="D2954" s="1" t="s">
        <v>7324</v>
      </c>
    </row>
    <row r="2955" spans="1:9">
      <c r="A2955" t="s">
        <v>7106</v>
      </c>
      <c r="B2955">
        <v>327</v>
      </c>
      <c r="C2955" t="s">
        <v>7107</v>
      </c>
    </row>
    <row r="2956" spans="1:9">
      <c r="A2956" t="s">
        <v>7109</v>
      </c>
      <c r="B2956">
        <v>365</v>
      </c>
      <c r="C2956" t="s">
        <v>7110</v>
      </c>
      <c r="D2956" s="1" t="s">
        <v>7293</v>
      </c>
      <c r="F2956" s="1" t="s">
        <v>7863</v>
      </c>
    </row>
    <row r="2957" spans="1:9">
      <c r="A2957" t="s">
        <v>7112</v>
      </c>
      <c r="B2957">
        <v>205</v>
      </c>
      <c r="C2957" t="s">
        <v>7113</v>
      </c>
    </row>
    <row r="2958" spans="1:9">
      <c r="A2958" t="s">
        <v>7115</v>
      </c>
      <c r="B2958">
        <v>327</v>
      </c>
      <c r="C2958" t="s">
        <v>7116</v>
      </c>
      <c r="D2958" s="1" t="s">
        <v>7314</v>
      </c>
    </row>
    <row r="2959" spans="1:9">
      <c r="A2959" t="s">
        <v>7119</v>
      </c>
      <c r="B2959">
        <v>324</v>
      </c>
      <c r="C2959" t="s">
        <v>7120</v>
      </c>
      <c r="D2959" s="1" t="s">
        <v>7790</v>
      </c>
    </row>
    <row r="2960" spans="1:9">
      <c r="A2960" t="s">
        <v>7121</v>
      </c>
      <c r="B2960">
        <v>148</v>
      </c>
      <c r="C2960" t="s">
        <v>7122</v>
      </c>
    </row>
    <row r="2961" spans="1:9">
      <c r="A2961" t="s">
        <v>7123</v>
      </c>
      <c r="B2961">
        <v>216</v>
      </c>
      <c r="C2961" t="s">
        <v>7124</v>
      </c>
    </row>
    <row r="2962" spans="1:9">
      <c r="A2962" t="s">
        <v>7126</v>
      </c>
      <c r="B2962">
        <v>188</v>
      </c>
      <c r="C2962" t="s">
        <v>7127</v>
      </c>
    </row>
    <row r="2963" spans="1:9">
      <c r="A2963" t="s">
        <v>7130</v>
      </c>
      <c r="B2963">
        <v>337</v>
      </c>
      <c r="C2963" t="s">
        <v>7131</v>
      </c>
      <c r="D2963" s="1" t="s">
        <v>7745</v>
      </c>
      <c r="F2963" s="1" t="s">
        <v>9565</v>
      </c>
      <c r="G2963" s="1" t="s">
        <v>9566</v>
      </c>
      <c r="H2963" s="4" t="s">
        <v>9567</v>
      </c>
      <c r="I2963" s="4" t="s">
        <v>9568</v>
      </c>
    </row>
    <row r="2964" spans="1:9">
      <c r="A2964" t="s">
        <v>7130</v>
      </c>
      <c r="B2964">
        <v>337</v>
      </c>
      <c r="C2964" t="s">
        <v>7131</v>
      </c>
      <c r="D2964" s="1" t="s">
        <v>7745</v>
      </c>
      <c r="F2964" s="1" t="s">
        <v>9565</v>
      </c>
      <c r="G2964" s="1" t="s">
        <v>9566</v>
      </c>
      <c r="H2964" s="4" t="s">
        <v>9569</v>
      </c>
      <c r="I2964" s="4" t="s">
        <v>9570</v>
      </c>
    </row>
    <row r="2965" spans="1:9">
      <c r="A2965" t="s">
        <v>7130</v>
      </c>
      <c r="B2965">
        <v>337</v>
      </c>
      <c r="C2965" t="s">
        <v>7131</v>
      </c>
      <c r="D2965" s="1" t="s">
        <v>7745</v>
      </c>
      <c r="F2965" s="1" t="s">
        <v>9565</v>
      </c>
      <c r="G2965" s="1" t="s">
        <v>9566</v>
      </c>
      <c r="H2965" s="4" t="s">
        <v>9571</v>
      </c>
      <c r="I2965" s="4" t="s">
        <v>9572</v>
      </c>
    </row>
    <row r="2966" spans="1:9">
      <c r="A2966" t="s">
        <v>7130</v>
      </c>
      <c r="B2966">
        <v>337</v>
      </c>
      <c r="C2966" t="s">
        <v>7131</v>
      </c>
      <c r="D2966" s="1" t="s">
        <v>7745</v>
      </c>
      <c r="F2966" s="1" t="s">
        <v>9565</v>
      </c>
      <c r="G2966" s="1" t="s">
        <v>9566</v>
      </c>
      <c r="H2966" s="4" t="s">
        <v>9573</v>
      </c>
      <c r="I2966" s="4" t="s">
        <v>9574</v>
      </c>
    </row>
    <row r="2967" spans="1:9">
      <c r="A2967" t="s">
        <v>7130</v>
      </c>
      <c r="B2967">
        <v>337</v>
      </c>
      <c r="C2967" t="s">
        <v>7131</v>
      </c>
      <c r="D2967" s="1" t="s">
        <v>7745</v>
      </c>
      <c r="F2967" s="1" t="s">
        <v>9565</v>
      </c>
      <c r="G2967" s="1" t="s">
        <v>9566</v>
      </c>
      <c r="H2967" s="4" t="s">
        <v>9575</v>
      </c>
      <c r="I2967" s="4" t="s">
        <v>9576</v>
      </c>
    </row>
    <row r="2968" spans="1:9">
      <c r="A2968" t="s">
        <v>7130</v>
      </c>
      <c r="B2968">
        <v>337</v>
      </c>
      <c r="C2968" t="s">
        <v>7131</v>
      </c>
      <c r="D2968" s="1" t="s">
        <v>7745</v>
      </c>
      <c r="F2968" s="1" t="s">
        <v>9565</v>
      </c>
      <c r="G2968" s="1" t="s">
        <v>9566</v>
      </c>
      <c r="H2968" s="4" t="s">
        <v>9577</v>
      </c>
      <c r="I2968" s="4" t="s">
        <v>9578</v>
      </c>
    </row>
    <row r="2969" spans="1:9">
      <c r="A2969" t="s">
        <v>7130</v>
      </c>
      <c r="B2969">
        <v>337</v>
      </c>
      <c r="C2969" t="s">
        <v>7131</v>
      </c>
      <c r="D2969" s="1" t="s">
        <v>7745</v>
      </c>
      <c r="F2969" s="1" t="s">
        <v>9565</v>
      </c>
      <c r="G2969" s="1" t="s">
        <v>9566</v>
      </c>
      <c r="H2969" s="4" t="s">
        <v>9579</v>
      </c>
      <c r="I2969" s="4" t="s">
        <v>9580</v>
      </c>
    </row>
    <row r="2970" spans="1:9">
      <c r="A2970" t="s">
        <v>7130</v>
      </c>
      <c r="B2970">
        <v>337</v>
      </c>
      <c r="C2970" t="s">
        <v>7131</v>
      </c>
      <c r="D2970" s="1" t="s">
        <v>7745</v>
      </c>
      <c r="F2970" s="1" t="s">
        <v>9565</v>
      </c>
      <c r="G2970" s="1" t="s">
        <v>9566</v>
      </c>
      <c r="H2970" s="4" t="s">
        <v>9581</v>
      </c>
      <c r="I2970" s="4" t="s">
        <v>9582</v>
      </c>
    </row>
    <row r="2971" spans="1:9">
      <c r="A2971" t="s">
        <v>7133</v>
      </c>
      <c r="B2971">
        <v>157</v>
      </c>
      <c r="C2971" t="s">
        <v>7134</v>
      </c>
    </row>
    <row r="2972" spans="1:9">
      <c r="A2972" t="s">
        <v>7136</v>
      </c>
      <c r="B2972">
        <v>244</v>
      </c>
      <c r="C2972" t="s">
        <v>7137</v>
      </c>
    </row>
    <row r="2973" spans="1:9">
      <c r="A2973" t="s">
        <v>7140</v>
      </c>
      <c r="B2973">
        <v>948</v>
      </c>
      <c r="C2973" t="s">
        <v>7141</v>
      </c>
      <c r="D2973" s="1" t="s">
        <v>7789</v>
      </c>
      <c r="F2973" s="1" t="s">
        <v>9583</v>
      </c>
      <c r="G2973" s="1" t="s">
        <v>9584</v>
      </c>
      <c r="H2973" s="4" t="s">
        <v>9585</v>
      </c>
      <c r="I2973" s="4" t="s">
        <v>9586</v>
      </c>
    </row>
    <row r="2974" spans="1:9">
      <c r="A2974" t="s">
        <v>7144</v>
      </c>
      <c r="B2974">
        <v>527</v>
      </c>
      <c r="C2974" t="s">
        <v>7145</v>
      </c>
      <c r="D2974" s="1" t="s">
        <v>7788</v>
      </c>
      <c r="F2974" s="1" t="s">
        <v>9587</v>
      </c>
      <c r="G2974" s="1" t="s">
        <v>9588</v>
      </c>
      <c r="H2974" s="4" t="s">
        <v>9589</v>
      </c>
      <c r="I2974" s="4" t="s">
        <v>9590</v>
      </c>
    </row>
    <row r="2975" spans="1:9">
      <c r="A2975" t="s">
        <v>7144</v>
      </c>
      <c r="B2975">
        <v>527</v>
      </c>
      <c r="C2975" t="s">
        <v>7145</v>
      </c>
      <c r="D2975" s="1" t="s">
        <v>7788</v>
      </c>
      <c r="F2975" s="1" t="s">
        <v>9587</v>
      </c>
      <c r="G2975" s="1" t="s">
        <v>9588</v>
      </c>
      <c r="H2975" s="4" t="s">
        <v>9591</v>
      </c>
      <c r="I2975" s="4" t="s">
        <v>9592</v>
      </c>
    </row>
    <row r="2976" spans="1:9">
      <c r="A2976" t="s">
        <v>7144</v>
      </c>
      <c r="B2976">
        <v>527</v>
      </c>
      <c r="C2976" t="s">
        <v>7145</v>
      </c>
      <c r="D2976" s="1" t="s">
        <v>7788</v>
      </c>
      <c r="F2976" s="1" t="s">
        <v>9587</v>
      </c>
      <c r="G2976" s="1" t="s">
        <v>9588</v>
      </c>
      <c r="H2976" s="4" t="s">
        <v>9593</v>
      </c>
      <c r="I2976" s="4" t="s">
        <v>9594</v>
      </c>
    </row>
    <row r="2977" spans="1:9">
      <c r="A2977" t="s">
        <v>7144</v>
      </c>
      <c r="B2977">
        <v>527</v>
      </c>
      <c r="C2977" t="s">
        <v>7145</v>
      </c>
      <c r="D2977" s="1" t="s">
        <v>7788</v>
      </c>
      <c r="F2977" s="1" t="s">
        <v>9587</v>
      </c>
      <c r="G2977" s="1" t="s">
        <v>9588</v>
      </c>
      <c r="H2977" s="4" t="s">
        <v>9595</v>
      </c>
      <c r="I2977" s="4" t="s">
        <v>9596</v>
      </c>
    </row>
    <row r="2978" spans="1:9">
      <c r="A2978" t="s">
        <v>7144</v>
      </c>
      <c r="B2978">
        <v>527</v>
      </c>
      <c r="C2978" t="s">
        <v>7145</v>
      </c>
      <c r="D2978" s="1" t="s">
        <v>7788</v>
      </c>
      <c r="F2978" s="1" t="s">
        <v>9587</v>
      </c>
      <c r="G2978" s="1" t="s">
        <v>9588</v>
      </c>
      <c r="H2978" s="4" t="s">
        <v>9597</v>
      </c>
      <c r="I2978" s="4" t="s">
        <v>9598</v>
      </c>
    </row>
    <row r="2979" spans="1:9">
      <c r="A2979" t="s">
        <v>7146</v>
      </c>
      <c r="B2979">
        <v>861</v>
      </c>
      <c r="C2979" t="s">
        <v>7147</v>
      </c>
    </row>
    <row r="2980" spans="1:9">
      <c r="A2980" t="s">
        <v>7149</v>
      </c>
      <c r="B2980">
        <v>210</v>
      </c>
      <c r="C2980" t="s">
        <v>7150</v>
      </c>
    </row>
    <row r="2981" spans="1:9">
      <c r="A2981" t="s">
        <v>7153</v>
      </c>
      <c r="B2981">
        <v>368</v>
      </c>
      <c r="C2981" t="s">
        <v>7154</v>
      </c>
    </row>
    <row r="2982" spans="1:9">
      <c r="A2982" t="s">
        <v>7157</v>
      </c>
      <c r="B2982">
        <v>491</v>
      </c>
      <c r="C2982" t="s">
        <v>7158</v>
      </c>
      <c r="D2982" s="1" t="s">
        <v>7700</v>
      </c>
      <c r="F2982" s="1" t="s">
        <v>9334</v>
      </c>
      <c r="G2982" s="1" t="s">
        <v>9335</v>
      </c>
      <c r="H2982" s="4" t="s">
        <v>9336</v>
      </c>
      <c r="I2982" s="4" t="s">
        <v>9337</v>
      </c>
    </row>
    <row r="2983" spans="1:9">
      <c r="A2983" t="s">
        <v>7161</v>
      </c>
      <c r="B2983">
        <v>508</v>
      </c>
      <c r="C2983" t="s">
        <v>7162</v>
      </c>
      <c r="D2983" s="1" t="s">
        <v>7787</v>
      </c>
      <c r="F2983" s="1" t="s">
        <v>9599</v>
      </c>
      <c r="G2983" s="1" t="s">
        <v>9600</v>
      </c>
      <c r="H2983" t="s">
        <v>9601</v>
      </c>
      <c r="I2983" t="s">
        <v>9602</v>
      </c>
    </row>
    <row r="2984" spans="1:9">
      <c r="A2984" t="s">
        <v>7161</v>
      </c>
      <c r="B2984">
        <v>508</v>
      </c>
      <c r="C2984" t="s">
        <v>7162</v>
      </c>
      <c r="D2984" s="1" t="s">
        <v>7787</v>
      </c>
      <c r="F2984" s="1" t="s">
        <v>9599</v>
      </c>
      <c r="G2984" s="1" t="s">
        <v>9600</v>
      </c>
      <c r="H2984" t="s">
        <v>9603</v>
      </c>
      <c r="I2984" t="s">
        <v>9604</v>
      </c>
    </row>
    <row r="2985" spans="1:9">
      <c r="A2985" t="s">
        <v>7165</v>
      </c>
      <c r="B2985">
        <v>215</v>
      </c>
      <c r="C2985" t="s">
        <v>7166</v>
      </c>
      <c r="D2985" s="1" t="s">
        <v>7787</v>
      </c>
      <c r="F2985" s="1" t="s">
        <v>9599</v>
      </c>
      <c r="G2985" s="1" t="s">
        <v>9600</v>
      </c>
      <c r="H2985" s="4" t="s">
        <v>9601</v>
      </c>
      <c r="I2985" s="4" t="s">
        <v>9602</v>
      </c>
    </row>
    <row r="2986" spans="1:9">
      <c r="A2986" t="s">
        <v>7165</v>
      </c>
      <c r="B2986">
        <v>215</v>
      </c>
      <c r="C2986" t="s">
        <v>7166</v>
      </c>
      <c r="D2986" s="1" t="s">
        <v>7787</v>
      </c>
      <c r="F2986" s="1" t="s">
        <v>9599</v>
      </c>
      <c r="G2986" s="1" t="s">
        <v>9600</v>
      </c>
      <c r="H2986" s="4" t="s">
        <v>9603</v>
      </c>
      <c r="I2986" s="4" t="s">
        <v>9604</v>
      </c>
    </row>
    <row r="2987" spans="1:9">
      <c r="A2987" t="s">
        <v>7169</v>
      </c>
      <c r="B2987">
        <v>339</v>
      </c>
      <c r="C2987" t="s">
        <v>7170</v>
      </c>
    </row>
    <row r="2988" spans="1:9">
      <c r="A2988" t="s">
        <v>7173</v>
      </c>
      <c r="B2988">
        <v>475</v>
      </c>
      <c r="C2988" t="s">
        <v>7174</v>
      </c>
    </row>
    <row r="2989" spans="1:9">
      <c r="A2989" t="s">
        <v>7177</v>
      </c>
      <c r="B2989">
        <v>400</v>
      </c>
      <c r="C2989" t="s">
        <v>7178</v>
      </c>
      <c r="D2989" s="1" t="s">
        <v>7786</v>
      </c>
      <c r="F2989" s="1" t="s">
        <v>9605</v>
      </c>
      <c r="G2989" s="1" t="s">
        <v>9606</v>
      </c>
      <c r="H2989" t="s">
        <v>9607</v>
      </c>
      <c r="I2989" t="s">
        <v>9608</v>
      </c>
    </row>
    <row r="2990" spans="1:9">
      <c r="A2990" t="s">
        <v>7177</v>
      </c>
      <c r="B2990">
        <v>400</v>
      </c>
      <c r="C2990" t="s">
        <v>7178</v>
      </c>
      <c r="D2990" s="1" t="s">
        <v>7786</v>
      </c>
      <c r="F2990" s="1" t="s">
        <v>9605</v>
      </c>
      <c r="G2990" s="1" t="s">
        <v>9606</v>
      </c>
      <c r="H2990" t="s">
        <v>9609</v>
      </c>
      <c r="I2990" t="s">
        <v>9610</v>
      </c>
    </row>
    <row r="2991" spans="1:9">
      <c r="A2991" t="s">
        <v>7177</v>
      </c>
      <c r="B2991">
        <v>400</v>
      </c>
      <c r="C2991" t="s">
        <v>7178</v>
      </c>
      <c r="D2991" s="1" t="s">
        <v>7786</v>
      </c>
      <c r="F2991" s="1" t="s">
        <v>9605</v>
      </c>
      <c r="G2991" s="1" t="s">
        <v>9606</v>
      </c>
      <c r="H2991" t="s">
        <v>9611</v>
      </c>
      <c r="I2991" t="s">
        <v>9612</v>
      </c>
    </row>
    <row r="2992" spans="1:9">
      <c r="A2992" t="s">
        <v>7181</v>
      </c>
      <c r="B2992">
        <v>280</v>
      </c>
      <c r="C2992" t="s">
        <v>7182</v>
      </c>
      <c r="D2992" s="1" t="s">
        <v>7786</v>
      </c>
      <c r="F2992" s="1" t="s">
        <v>9605</v>
      </c>
      <c r="G2992" s="1" t="s">
        <v>9606</v>
      </c>
      <c r="H2992" s="4" t="s">
        <v>9607</v>
      </c>
      <c r="I2992" s="4" t="s">
        <v>9608</v>
      </c>
    </row>
    <row r="2993" spans="1:9">
      <c r="A2993" t="s">
        <v>7181</v>
      </c>
      <c r="B2993">
        <v>280</v>
      </c>
      <c r="C2993" t="s">
        <v>7182</v>
      </c>
      <c r="D2993" s="1" t="s">
        <v>7786</v>
      </c>
      <c r="F2993" s="1" t="s">
        <v>9605</v>
      </c>
      <c r="G2993" s="1" t="s">
        <v>9606</v>
      </c>
      <c r="H2993" s="4" t="s">
        <v>9609</v>
      </c>
      <c r="I2993" s="4" t="s">
        <v>9610</v>
      </c>
    </row>
    <row r="2994" spans="1:9">
      <c r="A2994" t="s">
        <v>7181</v>
      </c>
      <c r="B2994">
        <v>280</v>
      </c>
      <c r="C2994" t="s">
        <v>7182</v>
      </c>
      <c r="D2994" s="1" t="s">
        <v>7786</v>
      </c>
      <c r="F2994" s="1" t="s">
        <v>9605</v>
      </c>
      <c r="G2994" s="1" t="s">
        <v>9606</v>
      </c>
      <c r="H2994" s="4" t="s">
        <v>9611</v>
      </c>
      <c r="I2994" s="4" t="s">
        <v>9612</v>
      </c>
    </row>
    <row r="2995" spans="1:9">
      <c r="A2995" t="s">
        <v>7185</v>
      </c>
      <c r="B2995">
        <v>403</v>
      </c>
      <c r="C2995" t="s">
        <v>7186</v>
      </c>
    </row>
    <row r="2996" spans="1:9">
      <c r="A2996" t="s">
        <v>7187</v>
      </c>
      <c r="B2996">
        <v>160</v>
      </c>
      <c r="C2996" t="s">
        <v>7188</v>
      </c>
    </row>
    <row r="2997" spans="1:9">
      <c r="A2997" t="s">
        <v>7189</v>
      </c>
      <c r="B2997">
        <v>74</v>
      </c>
      <c r="C2997" t="s">
        <v>7190</v>
      </c>
    </row>
    <row r="2998" spans="1:9">
      <c r="A2998" t="s">
        <v>7193</v>
      </c>
      <c r="B2998">
        <v>121</v>
      </c>
      <c r="C2998" t="s">
        <v>7194</v>
      </c>
    </row>
    <row r="2999" spans="1:9">
      <c r="A2999" t="s">
        <v>7195</v>
      </c>
      <c r="B2999">
        <v>324</v>
      </c>
      <c r="C2999" t="s">
        <v>7196</v>
      </c>
    </row>
    <row r="3000" spans="1:9">
      <c r="A3000" t="s">
        <v>7197</v>
      </c>
      <c r="B3000">
        <v>104</v>
      </c>
      <c r="C3000" t="s">
        <v>7198</v>
      </c>
    </row>
    <row r="3001" spans="1:9">
      <c r="A3001" t="s">
        <v>7200</v>
      </c>
      <c r="B3001">
        <v>110</v>
      </c>
      <c r="C3001" t="s">
        <v>7201</v>
      </c>
    </row>
    <row r="3002" spans="1:9">
      <c r="A3002" t="s">
        <v>7204</v>
      </c>
      <c r="B3002">
        <v>243</v>
      </c>
      <c r="C3002" t="s">
        <v>7205</v>
      </c>
    </row>
    <row r="3003" spans="1:9">
      <c r="A3003" t="s">
        <v>7206</v>
      </c>
      <c r="B3003">
        <v>198</v>
      </c>
      <c r="C3003" t="s">
        <v>7207</v>
      </c>
    </row>
    <row r="3004" spans="1:9">
      <c r="A3004" t="s">
        <v>7210</v>
      </c>
      <c r="B3004">
        <v>478</v>
      </c>
      <c r="C3004" t="s">
        <v>7211</v>
      </c>
      <c r="D3004" s="1" t="s">
        <v>7785</v>
      </c>
      <c r="F3004" s="1" t="s">
        <v>9613</v>
      </c>
      <c r="G3004" s="1" t="s">
        <v>9614</v>
      </c>
      <c r="H3004" t="s">
        <v>9615</v>
      </c>
      <c r="I3004" t="s">
        <v>9620</v>
      </c>
    </row>
    <row r="3005" spans="1:9">
      <c r="A3005" t="s">
        <v>7210</v>
      </c>
      <c r="B3005">
        <v>478</v>
      </c>
      <c r="C3005" t="s">
        <v>7211</v>
      </c>
      <c r="D3005" s="1" t="s">
        <v>7785</v>
      </c>
      <c r="F3005" s="1" t="s">
        <v>9613</v>
      </c>
      <c r="G3005" s="1" t="s">
        <v>9614</v>
      </c>
      <c r="H3005" t="s">
        <v>9616</v>
      </c>
      <c r="I3005" t="s">
        <v>9617</v>
      </c>
    </row>
    <row r="3006" spans="1:9">
      <c r="A3006" t="s">
        <v>7210</v>
      </c>
      <c r="B3006">
        <v>478</v>
      </c>
      <c r="C3006" t="s">
        <v>7211</v>
      </c>
      <c r="D3006" s="1" t="s">
        <v>7785</v>
      </c>
      <c r="F3006" s="1" t="s">
        <v>9613</v>
      </c>
      <c r="G3006" s="1" t="s">
        <v>9614</v>
      </c>
      <c r="H3006" t="s">
        <v>9619</v>
      </c>
      <c r="I3006" t="s">
        <v>9618</v>
      </c>
    </row>
    <row r="3007" spans="1:9">
      <c r="A3007" t="s">
        <v>7210</v>
      </c>
      <c r="B3007">
        <v>478</v>
      </c>
      <c r="C3007" t="s">
        <v>7211</v>
      </c>
      <c r="D3007" s="1" t="s">
        <v>7785</v>
      </c>
      <c r="F3007" s="1" t="s">
        <v>9613</v>
      </c>
      <c r="G3007" s="1" t="s">
        <v>9614</v>
      </c>
      <c r="H3007" t="s">
        <v>9621</v>
      </c>
      <c r="I3007" t="s">
        <v>9622</v>
      </c>
    </row>
    <row r="3008" spans="1:9">
      <c r="A3008" t="s">
        <v>7213</v>
      </c>
      <c r="B3008">
        <v>167</v>
      </c>
      <c r="C3008" t="s">
        <v>7214</v>
      </c>
      <c r="D3008" s="1" t="s">
        <v>7432</v>
      </c>
    </row>
    <row r="3009" spans="1:9">
      <c r="A3009" t="s">
        <v>7215</v>
      </c>
      <c r="B3009">
        <v>743</v>
      </c>
      <c r="C3009" t="s">
        <v>7216</v>
      </c>
    </row>
    <row r="3010" spans="1:9">
      <c r="A3010" t="s">
        <v>7219</v>
      </c>
      <c r="B3010">
        <v>1145</v>
      </c>
      <c r="C3010" t="s">
        <v>7220</v>
      </c>
    </row>
    <row r="3011" spans="1:9">
      <c r="A3011" t="s">
        <v>7221</v>
      </c>
      <c r="B3011">
        <v>177</v>
      </c>
      <c r="C3011" t="s">
        <v>7222</v>
      </c>
    </row>
    <row r="3012" spans="1:9">
      <c r="A3012" t="s">
        <v>7224</v>
      </c>
      <c r="B3012">
        <v>344</v>
      </c>
      <c r="C3012" t="s">
        <v>7225</v>
      </c>
      <c r="D3012" s="1" t="s">
        <v>7620</v>
      </c>
      <c r="F3012" s="1" t="s">
        <v>8681</v>
      </c>
      <c r="G3012" s="1" t="s">
        <v>8682</v>
      </c>
      <c r="H3012" t="s">
        <v>8683</v>
      </c>
      <c r="I3012" t="s">
        <v>8684</v>
      </c>
    </row>
    <row r="3013" spans="1:9">
      <c r="A3013" t="s">
        <v>7224</v>
      </c>
      <c r="B3013">
        <v>344</v>
      </c>
      <c r="C3013" t="s">
        <v>7225</v>
      </c>
      <c r="D3013" s="1" t="s">
        <v>7620</v>
      </c>
      <c r="F3013" s="1" t="s">
        <v>8681</v>
      </c>
      <c r="G3013" s="1" t="s">
        <v>8682</v>
      </c>
      <c r="H3013" t="s">
        <v>8685</v>
      </c>
      <c r="I3013" t="s">
        <v>8686</v>
      </c>
    </row>
    <row r="3014" spans="1:9">
      <c r="A3014" t="s">
        <v>7224</v>
      </c>
      <c r="B3014">
        <v>344</v>
      </c>
      <c r="C3014" t="s">
        <v>7225</v>
      </c>
      <c r="D3014" s="1" t="s">
        <v>7620</v>
      </c>
      <c r="F3014" s="1" t="s">
        <v>8681</v>
      </c>
      <c r="G3014" s="1" t="s">
        <v>8682</v>
      </c>
      <c r="H3014" t="s">
        <v>7983</v>
      </c>
      <c r="I3014" t="s">
        <v>8687</v>
      </c>
    </row>
    <row r="3015" spans="1:9">
      <c r="A3015" t="s">
        <v>7226</v>
      </c>
      <c r="B3015">
        <v>222</v>
      </c>
      <c r="C3015" t="s">
        <v>7227</v>
      </c>
    </row>
    <row r="3016" spans="1:9">
      <c r="A3016" t="s">
        <v>7228</v>
      </c>
      <c r="B3016">
        <v>101</v>
      </c>
      <c r="C3016" t="s">
        <v>7229</v>
      </c>
    </row>
    <row r="3017" spans="1:9">
      <c r="A3017" t="s">
        <v>7230</v>
      </c>
      <c r="B3017">
        <v>108</v>
      </c>
      <c r="C3017" t="s">
        <v>7231</v>
      </c>
    </row>
    <row r="3018" spans="1:9">
      <c r="A3018" t="s">
        <v>7232</v>
      </c>
      <c r="B3018">
        <v>117</v>
      </c>
      <c r="C3018" t="s">
        <v>7233</v>
      </c>
    </row>
    <row r="3019" spans="1:9">
      <c r="A3019" t="s">
        <v>7235</v>
      </c>
      <c r="B3019">
        <v>839</v>
      </c>
      <c r="C3019" t="s">
        <v>7236</v>
      </c>
      <c r="D3019" s="1" t="s">
        <v>7341</v>
      </c>
      <c r="F3019" s="1" t="s">
        <v>7985</v>
      </c>
      <c r="G3019" s="1" t="s">
        <v>7986</v>
      </c>
      <c r="H3019" t="s">
        <v>7987</v>
      </c>
      <c r="I3019" t="s">
        <v>7988</v>
      </c>
    </row>
    <row r="3020" spans="1:9">
      <c r="A3020" t="s">
        <v>7235</v>
      </c>
      <c r="B3020">
        <v>839</v>
      </c>
      <c r="C3020" t="s">
        <v>7236</v>
      </c>
      <c r="D3020" s="1" t="s">
        <v>7341</v>
      </c>
      <c r="F3020" s="1" t="s">
        <v>7985</v>
      </c>
      <c r="G3020" s="1" t="s">
        <v>7986</v>
      </c>
      <c r="H3020" t="s">
        <v>10213</v>
      </c>
      <c r="I3020" t="s">
        <v>10212</v>
      </c>
    </row>
    <row r="3021" spans="1:9">
      <c r="A3021" t="s">
        <v>7239</v>
      </c>
      <c r="B3021">
        <v>182</v>
      </c>
      <c r="C3021" t="s">
        <v>7240</v>
      </c>
    </row>
    <row r="3022" spans="1:9">
      <c r="A3022" t="s">
        <v>7243</v>
      </c>
      <c r="B3022">
        <v>308</v>
      </c>
      <c r="C3022" t="s">
        <v>7244</v>
      </c>
      <c r="D3022" s="1" t="s">
        <v>7784</v>
      </c>
      <c r="F3022" s="1" t="s">
        <v>8677</v>
      </c>
      <c r="G3022" s="1" t="s">
        <v>8678</v>
      </c>
      <c r="H3022" t="s">
        <v>8679</v>
      </c>
      <c r="I3022" t="s">
        <v>8680</v>
      </c>
    </row>
    <row r="3023" spans="1:9">
      <c r="A3023" t="s">
        <v>7243</v>
      </c>
      <c r="B3023">
        <v>308</v>
      </c>
      <c r="C3023" t="s">
        <v>7244</v>
      </c>
      <c r="D3023" s="1" t="s">
        <v>7784</v>
      </c>
      <c r="F3023" s="1" t="s">
        <v>8677</v>
      </c>
      <c r="G3023" s="1" t="s">
        <v>8678</v>
      </c>
      <c r="H3023" t="s">
        <v>9623</v>
      </c>
      <c r="I3023" t="s">
        <v>9624</v>
      </c>
    </row>
    <row r="3024" spans="1:9">
      <c r="A3024" t="s">
        <v>7243</v>
      </c>
      <c r="B3024">
        <v>308</v>
      </c>
      <c r="C3024" t="s">
        <v>7244</v>
      </c>
      <c r="D3024" s="1" t="s">
        <v>7784</v>
      </c>
      <c r="F3024" s="1" t="s">
        <v>8677</v>
      </c>
      <c r="G3024" s="1" t="s">
        <v>8678</v>
      </c>
      <c r="H3024" t="s">
        <v>9625</v>
      </c>
      <c r="I3024" t="s">
        <v>9626</v>
      </c>
    </row>
    <row r="3025" spans="1:9">
      <c r="A3025" t="s">
        <v>7243</v>
      </c>
      <c r="B3025">
        <v>308</v>
      </c>
      <c r="C3025" t="s">
        <v>7244</v>
      </c>
      <c r="D3025" s="1" t="s">
        <v>7784</v>
      </c>
      <c r="F3025" s="1" t="s">
        <v>8677</v>
      </c>
      <c r="G3025" s="1" t="s">
        <v>8678</v>
      </c>
      <c r="H3025" t="s">
        <v>9627</v>
      </c>
      <c r="I3025" t="s">
        <v>9628</v>
      </c>
    </row>
    <row r="3026" spans="1:9">
      <c r="A3026" t="s">
        <v>7246</v>
      </c>
      <c r="B3026">
        <v>107</v>
      </c>
      <c r="C3026" t="s">
        <v>7247</v>
      </c>
    </row>
    <row r="3027" spans="1:9">
      <c r="A3027" t="s">
        <v>7250</v>
      </c>
      <c r="B3027">
        <v>396</v>
      </c>
      <c r="C3027" t="s">
        <v>7251</v>
      </c>
      <c r="D3027" s="1" t="s">
        <v>7783</v>
      </c>
      <c r="F3027" s="1" t="s">
        <v>8673</v>
      </c>
      <c r="G3027" s="1" t="s">
        <v>8674</v>
      </c>
      <c r="H3027" t="s">
        <v>8675</v>
      </c>
      <c r="I3027" t="s">
        <v>8676</v>
      </c>
    </row>
    <row r="3028" spans="1:9">
      <c r="A3028" t="s">
        <v>7254</v>
      </c>
      <c r="B3028">
        <v>453</v>
      </c>
      <c r="C3028" t="s">
        <v>7255</v>
      </c>
    </row>
    <row r="3029" spans="1:9">
      <c r="A3029" t="s">
        <v>7258</v>
      </c>
      <c r="B3029">
        <v>346</v>
      </c>
      <c r="C3029" t="s">
        <v>7259</v>
      </c>
    </row>
    <row r="3030" spans="1:9">
      <c r="A3030" t="s">
        <v>7261</v>
      </c>
      <c r="B3030">
        <v>282</v>
      </c>
      <c r="C3030" t="s">
        <v>7262</v>
      </c>
      <c r="D3030" s="1" t="s">
        <v>7553</v>
      </c>
    </row>
    <row r="3031" spans="1:9">
      <c r="A3031" t="s">
        <v>7265</v>
      </c>
      <c r="B3031">
        <v>202</v>
      </c>
      <c r="C3031" t="s">
        <v>7266</v>
      </c>
      <c r="D3031" s="1" t="s">
        <v>7501</v>
      </c>
    </row>
    <row r="3032" spans="1:9">
      <c r="A3032" t="s">
        <v>7269</v>
      </c>
      <c r="B3032">
        <v>327</v>
      </c>
      <c r="C3032" t="s">
        <v>7270</v>
      </c>
    </row>
    <row r="3033" spans="1:9">
      <c r="A3033" t="s">
        <v>7272</v>
      </c>
      <c r="B3033">
        <v>126</v>
      </c>
      <c r="C3033" t="s">
        <v>7273</v>
      </c>
    </row>
    <row r="3034" spans="1:9">
      <c r="A3034" t="s">
        <v>7276</v>
      </c>
      <c r="B3034">
        <v>47</v>
      </c>
      <c r="C3034" t="s">
        <v>7277</v>
      </c>
    </row>
  </sheetData>
  <phoneticPr fontId="23" type="noConversion"/>
  <hyperlinks>
    <hyperlink ref="D465" r:id="rId1" display="https://enzyme.expasy.org/EC/2.4.1.-" xr:uid="{4A27B451-1785-DE46-A65C-DC21AD9AABAC}"/>
    <hyperlink ref="D466" r:id="rId2" display="https://enzyme.expasy.org/EC/2.1.1.163" xr:uid="{447E0C42-0C23-E144-B11B-1F4717BDCB26}"/>
    <hyperlink ref="D467" r:id="rId3" display="https://enzyme.expasy.org/EC/1.-.-.-" xr:uid="{5F07437D-7980-9F44-A76E-3F3CF04B57B2}"/>
    <hyperlink ref="D468" r:id="rId4" display="https://enzyme.expasy.org/EC/2.5.1.30" xr:uid="{A26F8EB3-7F3C-AA4C-B7F9-B50F1C9A3CB0}"/>
    <hyperlink ref="D479" r:id="rId5" display="https://enzyme.expasy.org/EC/5.4.2.8" xr:uid="{26F01CCA-81EA-4643-8EC8-7A76A99C9704}"/>
    <hyperlink ref="D480" r:id="rId6" display="https://enzyme.expasy.org/EC/4.1.2.4" xr:uid="{F1854548-AA41-F044-B523-206EAF5DAD8B}"/>
    <hyperlink ref="D492" r:id="rId7" display="https://enzyme.expasy.org/EC/4.1.99.3" xr:uid="{EA2B2063-24DB-6A45-8C79-E53E97F764E0}"/>
    <hyperlink ref="D482" r:id="rId8" display="https://enzyme.expasy.org/EC/2.4.2.1" xr:uid="{AF63FFF1-40E6-1E40-A33B-E268B84CCF39}"/>
    <hyperlink ref="D505" r:id="rId9" display="https://enzyme.expasy.org/EC/2.7.7.6" xr:uid="{22DE71E6-AFC3-5C47-B12F-FC8D642BA586}"/>
    <hyperlink ref="D511" r:id="rId10" display="https://enzyme.expasy.org/EC/2.7.7.6" xr:uid="{3B939197-A370-4045-A192-4A7A7F91071E}"/>
    <hyperlink ref="D514" r:id="rId11" display="https://enzyme.expasy.org/EC/3.6.3.-" xr:uid="{52DA7E37-CF85-A342-BDC2-D631EDA0E5D7}"/>
    <hyperlink ref="D524" r:id="rId12" display="https://enzyme.expasy.org/EC/3.6.3.-" xr:uid="{B1574349-A097-AD4D-9886-2CEA3E7F97C0}"/>
    <hyperlink ref="D560" r:id="rId13" display="https://enzyme.expasy.org/EC/7.6.2.9" xr:uid="{6C0E2C9E-ACDF-F141-843B-A94BE3F612E4}"/>
    <hyperlink ref="D571" r:id="rId14" display="https://enzyme.expasy.org/EC/2.1.1.79" xr:uid="{E0DF5CCE-FF47-5543-ABFB-A7FD8B6F96FF}"/>
    <hyperlink ref="D575" r:id="rId15" display="https://enzyme.expasy.org/EC/2.7.4.3" xr:uid="{4B56FD31-6ACE-964B-878C-467BBEE392DC}"/>
    <hyperlink ref="D576" r:id="rId16" display="https://enzyme.expasy.org/EC/3.4.11.18" xr:uid="{9BF7B485-C12C-8741-8AE1-340196D07ED8}"/>
    <hyperlink ref="D587" r:id="rId17" display="https://enzyme.expasy.org/EC/2.7.7.6" xr:uid="{026BC924-9DA1-B040-B7E7-B0814F23786E}"/>
    <hyperlink ref="D589" r:id="rId18" display="https://enzyme.expasy.org/EC/5.4.99.12" xr:uid="{7F7038C9-A697-5648-87CF-AAC42F9638B0}"/>
    <hyperlink ref="D591" r:id="rId19" display="https://enzyme.expasy.org/EC/3.4.21.62" xr:uid="{16CD5C27-5BFB-7E49-A880-A354B7875A69}"/>
    <hyperlink ref="D601" r:id="rId20" display="https://enzyme.expasy.org/EC/5.4.2.10" xr:uid="{12C05577-8988-2648-8A27-639392534282}"/>
    <hyperlink ref="D606" r:id="rId21" display="https://enzyme.expasy.org/EC/1.-.-.-" xr:uid="{97584ECC-2935-9E45-B394-0C960210DA94}"/>
    <hyperlink ref="D607" r:id="rId22" display="https://enzyme.expasy.org/EC/2.6.1.16" xr:uid="{429CFCD6-1A96-F94B-8494-F466748E7754}"/>
    <hyperlink ref="D608" r:id="rId23" display="https://enzyme.expasy.org/EC/5.1.1.1" xr:uid="{C6332E2D-1A0D-A34B-815C-3848C07202D0}"/>
    <hyperlink ref="D614" r:id="rId24" display="https://enzyme.expasy.org/EC/2.3.1.-" xr:uid="{ED27A0BB-F768-794D-AC29-38AE57533E1F}"/>
    <hyperlink ref="D617" r:id="rId25" display="https://enzyme.expasy.org/EC/2.7.13.3" xr:uid="{91EAC864-043B-C44A-8125-611232571B31}"/>
    <hyperlink ref="D618" r:id="rId26" display="https://enzyme.expasy.org/EC/3.6.3.-" xr:uid="{4493D2ED-985A-A545-8151-49518F7CB5E0}"/>
    <hyperlink ref="D628" r:id="rId27" display="https://enzyme.expasy.org/EC/1.1.1.205" xr:uid="{9C8BCB5E-E3F2-174E-896F-2244F1F35565}"/>
    <hyperlink ref="D629" r:id="rId28" display="https://enzyme.expasy.org/EC/1.-.-.-" xr:uid="{7E222D25-4572-D247-816A-9738E7139ACB}"/>
    <hyperlink ref="D630" r:id="rId29" display="https://enzyme.expasy.org/EC/6.3.5.2" xr:uid="{9BBDFCE0-69F9-5D4A-8A3C-82AD68F7B7FE}"/>
    <hyperlink ref="D638" r:id="rId30" display="https://enzyme.expasy.org/EC/3.6.3.-" xr:uid="{B45E7A2D-6F76-4540-B573-BA8AC382AE39}"/>
    <hyperlink ref="D645" r:id="rId31" display="https://enzyme.expasy.org/EC/2.7.7.7" xr:uid="{3F5ED1FA-83FD-A84F-8F3F-AF0C6FF8F64C}"/>
    <hyperlink ref="D650" r:id="rId32" display="https://enzyme.expasy.org/EC/2.1.1.207" xr:uid="{D47FC308-EDAC-D249-94FF-D3131988ED5E}"/>
    <hyperlink ref="D654" r:id="rId33" display="https://enzyme.expasy.org/EC/2.3.1.31" xr:uid="{30892F41-266A-DF42-9FC0-39EA277E9901}"/>
    <hyperlink ref="D655" r:id="rId34" display="https://enzyme.expasy.org/EC/2.5.1.-" xr:uid="{8463443A-972C-414B-BCEB-3102440A497B}"/>
    <hyperlink ref="D657" r:id="rId35" display="https://enzyme.expasy.org/EC/1.8.-.-" xr:uid="{9BB2CEE8-3D2B-FA42-A2ED-47F4DF5432C7}"/>
    <hyperlink ref="D662" r:id="rId36" display="https://enzyme.expasy.org/EC/1.7.2.5" xr:uid="{FF5BB455-F051-4042-A66F-34703F9F53A5}"/>
    <hyperlink ref="D667" r:id="rId37" display="https://enzyme.expasy.org/EC/4.-.-.-" xr:uid="{57DFFB8D-4707-0E4E-8ED7-E18DC405FEE7}"/>
    <hyperlink ref="D668" r:id="rId38" display="https://enzyme.expasy.org/EC/2.6.-.-" xr:uid="{11312623-D88E-1448-90E0-0AA9EE64319D}"/>
    <hyperlink ref="D669" r:id="rId39" display="https://enzyme.expasy.org/EC/3.4.15.5" xr:uid="{41687205-00C2-8246-90E1-6CCF53A794E9}"/>
    <hyperlink ref="D670" r:id="rId40" display="https://enzyme.expasy.org/EC/3.4.15.5" xr:uid="{04B3EE68-8367-864E-8A0D-89AF3F72C79A}"/>
    <hyperlink ref="D674" r:id="rId41" display="https://enzyme.expasy.org/EC/1.1.1.42" xr:uid="{25C9C3B2-414F-0546-B57D-D070E687AFE6}"/>
    <hyperlink ref="D676" r:id="rId42" display="https://enzyme.expasy.org/EC/3.1.11.2" xr:uid="{EB4C5C45-3AF9-3245-B0FF-A9CBAF815C7A}"/>
    <hyperlink ref="D680" r:id="rId43" display="https://enzyme.expasy.org/EC/6.1.1.2" xr:uid="{1D69A669-A6D0-7F4A-A30D-88920617CF8E}"/>
    <hyperlink ref="D684" r:id="rId44" display="https://enzyme.expasy.org/EC/4.2.1.130" xr:uid="{9A5FC952-BE3C-514A-B5B4-6CAE40D1273F}"/>
    <hyperlink ref="D693" r:id="rId45" display="https://enzyme.expasy.org/EC/3.1.1.1" xr:uid="{E900AE2F-ACEE-384D-80E4-F73C857AD324}"/>
    <hyperlink ref="D695" r:id="rId46" display="https://enzyme.expasy.org/EC/3.4.-.-" xr:uid="{9AAB75CA-9A57-FD4D-BCBC-E5980BCC3E08}"/>
    <hyperlink ref="D697" r:id="rId47" display="https://enzyme.expasy.org/EC/2.4.2.9" xr:uid="{EBA7F998-1C7D-D34D-80F1-4AF0D2FC1DD5}"/>
    <hyperlink ref="D699" r:id="rId48" display="https://enzyme.expasy.org/EC/3.-.-.-" xr:uid="{13224D36-3202-3D49-801E-B721696CBF55}"/>
    <hyperlink ref="D704" r:id="rId49" display="https://enzyme.expasy.org/EC/1.6.5.2" xr:uid="{6993AC20-6C6C-FC4D-BD3B-6729F8BBD607}"/>
    <hyperlink ref="D706" r:id="rId50" display="https://enzyme.expasy.org/EC/4.2.1.79" xr:uid="{BEBC20A8-4C54-8444-8346-995E78ECF3AD}"/>
    <hyperlink ref="D709" r:id="rId51" display="https://enzyme.expasy.org/EC/2.7.8.23" xr:uid="{445B8145-7E51-2C45-A600-6C066A465E99}"/>
    <hyperlink ref="D711" r:id="rId52" display="https://enzyme.expasy.org/EC/6.4.1.7" xr:uid="{DE80F143-1792-4240-ACB2-5CBC15ADC85D}"/>
    <hyperlink ref="D715" r:id="rId53" display="https://enzyme.expasy.org/EC/3.5.4.5" xr:uid="{A5403EC4-C1C4-FF47-BEC2-C7EEDBE492EE}"/>
    <hyperlink ref="D720" r:id="rId54" display="https://enzyme.expasy.org/EC/2.4.2.2" xr:uid="{3A05730F-008A-2F48-8A2B-B6E2F32C5C8D}"/>
    <hyperlink ref="D726" r:id="rId55" display="https://enzyme.expasy.org/EC/2.8.1.1" xr:uid="{2B6B6AB8-D59E-4F47-942E-C7B87D00FFED}"/>
    <hyperlink ref="D732" r:id="rId56" display="https://enzyme.expasy.org/EC/6.4.1.3" xr:uid="{C22CD09F-03CD-4B47-8948-39EC8BA7DD6E}"/>
    <hyperlink ref="D8" r:id="rId57" display="https://enzyme.expasy.org/EC/2.7.7.7" xr:uid="{7723BAB9-8E57-3B4C-B588-ACF043E94920}"/>
    <hyperlink ref="D11" r:id="rId58" display="https://enzyme.expasy.org/EC/5.6.2.2" xr:uid="{3B80C9A3-78A3-B245-94A5-43F539E1AD37}"/>
    <hyperlink ref="D16" r:id="rId59" display="https://enzyme.expasy.org/EC/5.6.2.2" xr:uid="{44BABFC1-D744-404E-ADBE-4D4B24E9CD6B}"/>
    <hyperlink ref="D21" r:id="rId60" display="https://enzyme.expasy.org/EC/7.2.2.8" xr:uid="{4C7CA28A-6665-4344-A2C9-B6B277302770}"/>
    <hyperlink ref="D24" r:id="rId61" display="https://enzyme.expasy.org/EC/3.5.1.-" xr:uid="{BF19223D-5F9A-3C49-9BBC-F2DB323E63D5}"/>
    <hyperlink ref="D26" r:id="rId62" display="https://enzyme.expasy.org/EC/2.3.1.-" xr:uid="{0706D827-A8B6-C142-89A8-33257979A054}"/>
    <hyperlink ref="D30" r:id="rId63" display="https://enzyme.expasy.org/EC/1.5.1.20" xr:uid="{AD1E4C3D-AE77-9C4E-9913-D7CDE8A5739F}"/>
    <hyperlink ref="D32" r:id="rId64" display="https://enzyme.expasy.org/EC/2.1.1.14" xr:uid="{4ED9FE2F-9A8B-0646-99E7-B4B816CB0574}"/>
    <hyperlink ref="D33" r:id="rId65" display="https://enzyme.expasy.org/EC/2.7.-.-" xr:uid="{AA168DF3-F8F5-8642-8469-794B3A687314}"/>
    <hyperlink ref="D35" r:id="rId66" display="https://enzyme.expasy.org/EC/3.4.21.105" xr:uid="{CFFBCC03-E638-424F-8294-9DF4BDBFAC08}"/>
    <hyperlink ref="D39" r:id="rId67" display="https://enzyme.expasy.org/EC/3.5.1.25" xr:uid="{261A1488-6B22-E84D-BFE6-7E627C85F014}"/>
    <hyperlink ref="D40" r:id="rId68" display="https://enzyme.expasy.org/EC/3.5.99.6" xr:uid="{EDB08910-B4E7-3343-8C3E-5C80D6208F49}"/>
    <hyperlink ref="D44" r:id="rId69" display="https://enzyme.expasy.org/EC/2.7.11.1" xr:uid="{EE0DDAC3-4D23-384F-9FF1-09FAE0153626}"/>
    <hyperlink ref="D46" r:id="rId70" display="https://enzyme.expasy.org/EC/2.7.11.1" xr:uid="{594709E6-9B99-2A4C-8B27-777D29F34284}"/>
    <hyperlink ref="D49" r:id="rId71" display="https://enzyme.expasy.org/EC/3.1.3.16" xr:uid="{78A35DA7-6FF7-6641-AD7F-E91D2F0F642A}"/>
    <hyperlink ref="D55" r:id="rId72" display="https://enzyme.expasy.org/EC/7.2.2.8" xr:uid="{CEDDC8B5-8105-9449-9DF6-D0EE9A740156}"/>
    <hyperlink ref="D57" r:id="rId73" display="https://enzyme.expasy.org/EC/2.7.13.3" xr:uid="{C4FA3F4E-F8EB-FC44-904A-833706F52213}"/>
    <hyperlink ref="D69" r:id="rId74" display="https://enzyme.expasy.org/EC/3.5.1.18" xr:uid="{F32C3FF5-6645-3C45-BA00-D407BDD50AFF}"/>
    <hyperlink ref="D70" r:id="rId75" display="https://enzyme.expasy.org/EC/2.8.1.6" xr:uid="{13792076-9082-EF4A-A1F1-83240F19E783}"/>
    <hyperlink ref="D73" r:id="rId76" display="https://enzyme.expasy.org/EC/3.5.1.-" xr:uid="{02378B0D-07A4-864C-9AF8-F360541AB82B}"/>
    <hyperlink ref="D74" r:id="rId77" display="https://enzyme.expasy.org/EC/3.1.1.3" xr:uid="{740FC822-5032-CB4A-B08B-B06DCC602E74}"/>
    <hyperlink ref="D75" r:id="rId78" display="https://enzyme.expasy.org/EC/3.2.2.4" xr:uid="{4D09986E-30DE-EC48-952D-4F9500F4A3D7}"/>
    <hyperlink ref="D78" r:id="rId79" display="https://enzyme.expasy.org/EC/1.16.3.1" xr:uid="{ED0CF5BF-0078-3F4F-9E33-06A1F812544C}"/>
    <hyperlink ref="D80" r:id="rId80" display="https://enzyme.expasy.org/EC/3.1.-.-" xr:uid="{A47E2EB7-3B4D-6040-B7F7-DECBB98AB0EF}"/>
    <hyperlink ref="D88" r:id="rId81" display="https://enzyme.expasy.org/EC/3.6.4.13" xr:uid="{5137936F-EF9E-CE4B-A8C9-B46EF907EA35}"/>
    <hyperlink ref="D89" r:id="rId82" display="https://enzyme.expasy.org/EC/2.3.1.-" xr:uid="{3641AFA2-17DD-F34E-B103-978841ED3282}"/>
    <hyperlink ref="D90" r:id="rId83" display="https://enzyme.expasy.org/EC/1.14.11.33" xr:uid="{F0915572-5A12-F44E-B16A-4E8338C0442C}"/>
    <hyperlink ref="D91" r:id="rId84" display="https://enzyme.expasy.org/EC/1.7.-.-" xr:uid="{B7154DB9-632B-ED42-92C0-2FB1EC203925}"/>
    <hyperlink ref="D92" r:id="rId85" display="https://enzyme.expasy.org/EC/1.1.1.-" xr:uid="{E0DC5016-942E-374D-AEAC-39EC2DC6C203}"/>
    <hyperlink ref="D94" r:id="rId86" display="https://enzyme.expasy.org/EC/1.2.1.8" xr:uid="{4EE2C14A-1C7E-3F45-A904-2CE3C953FC73}"/>
    <hyperlink ref="D96" r:id="rId87" display="https://enzyme.expasy.org/EC/1.1.99.1" xr:uid="{C5A8736B-5651-0647-8754-29DE3D87C96B}"/>
    <hyperlink ref="D112" r:id="rId88" display="https://enzyme.expasy.org/EC/2.1.1.63" xr:uid="{5F64A1FC-BAEC-6C48-BF86-1B70FD3BD443}"/>
    <hyperlink ref="D113" r:id="rId89" display="https://enzyme.expasy.org/EC/3.5.1.91" xr:uid="{D53810BA-57D8-184D-A536-D9098AC72E1B}"/>
    <hyperlink ref="D116" r:id="rId90" display="https://enzyme.expasy.org/EC/2.6.1.48" xr:uid="{EEEBFAE4-571D-CE4E-97FA-015281C296C6}"/>
    <hyperlink ref="D117" r:id="rId91" display="https://enzyme.expasy.org/EC/2.6.1.-" xr:uid="{72205D2F-560B-F847-986D-0422AE1AB8A0}"/>
    <hyperlink ref="D119" r:id="rId92" display="https://enzyme.expasy.org/EC/3.5.-.-" xr:uid="{4A835064-04BB-D040-A57E-F3FABE6E5C5C}"/>
    <hyperlink ref="D127" r:id="rId93" display="https://enzyme.expasy.org/EC/2.2.1.6" xr:uid="{967759D2-34CD-A64C-9917-D8B39CB73412}"/>
    <hyperlink ref="D133" r:id="rId94" display="https://enzyme.expasy.org/EC/3.4.24.-" xr:uid="{3B6DF81B-86B9-E049-A9E9-605A2D9AC6FC}"/>
    <hyperlink ref="D136" r:id="rId95" display="https://enzyme.expasy.org/EC/2.4.2.-" xr:uid="{45344878-12A1-E344-8F0B-F964F456C1DA}"/>
    <hyperlink ref="D137" r:id="rId96" display="https://enzyme.expasy.org/EC/2.4.2.-" xr:uid="{0933E3CB-722F-8744-9A9D-B3F2EEC42B66}"/>
    <hyperlink ref="D139" r:id="rId97" display="https://enzyme.expasy.org/EC/1.1.1.36" xr:uid="{A7AFAA10-F6CF-C54D-A6C4-6D49996EC848}"/>
    <hyperlink ref="D140" r:id="rId98" display="https://enzyme.expasy.org/EC/1.-.-.-" xr:uid="{749050FF-E4D8-364E-95BE-92D5448B7D8E}"/>
    <hyperlink ref="D146" r:id="rId99" display="https://enzyme.expasy.org/EC/2.4.1.287" xr:uid="{BD1ABAFC-9040-FC45-AA2C-63F368C60754}"/>
    <hyperlink ref="D147" r:id="rId100" display="https://enzyme.expasy.org/EC/2.8.3.-" xr:uid="{2C9EE88A-5928-D146-A56B-85ADAE37B250}"/>
    <hyperlink ref="D148" r:id="rId101" display="https://enzyme.expasy.org/EC/7.5.2.4" xr:uid="{188E52E6-39E9-3447-8EA3-61A66A11F483}"/>
    <hyperlink ref="D151" r:id="rId102" display="https://enzyme.expasy.org/EC/1.6.5.5" xr:uid="{4E23F921-5FF8-6A42-A190-841A06F4DFF7}"/>
    <hyperlink ref="D167" r:id="rId103" display="https://enzyme.expasy.org/EC/2.8.1.12" xr:uid="{385A2D30-BF6C-0449-98B8-C6C5F3CCD1EA}"/>
    <hyperlink ref="D169" r:id="rId104" display="https://enzyme.expasy.org/EC/2.10.1.1" xr:uid="{6B3579CB-3AD8-1442-8EAA-1ACB1853A69B}"/>
    <hyperlink ref="D172" r:id="rId105" display="https://enzyme.expasy.org/EC/2.6.1.-" xr:uid="{5F75F6B0-3C05-BD49-B64A-958048CAAD4E}"/>
    <hyperlink ref="D175" r:id="rId106" display="https://enzyme.expasy.org/EC/3.6.1.55" xr:uid="{C6843DAA-83AB-5D45-B9F1-20EAFAD2F4B4}"/>
    <hyperlink ref="D184" r:id="rId107" display="https://enzyme.expasy.org/EC/1.14.14.18" xr:uid="{CCB9BC0B-6412-7641-BBB7-0A2616818002}"/>
    <hyperlink ref="D199" r:id="rId108" display="https://enzyme.expasy.org/EC/3.5.4.33" xr:uid="{B4D6EA25-23BC-E143-8BB7-58B62BA1BC55}"/>
    <hyperlink ref="D206" r:id="rId109" display="https://enzyme.expasy.org/EC/3.6.3.-" xr:uid="{302B4522-52AA-7D4F-BADB-2E0A8B04EBD0}"/>
    <hyperlink ref="D208" r:id="rId110" display="https://enzyme.expasy.org/EC/1.14.14.18" xr:uid="{C9816954-53C8-734B-BEFC-D97E9B399584}"/>
    <hyperlink ref="D211" r:id="rId111" display="https://enzyme.expasy.org/EC/2.4.2.29" xr:uid="{26391919-0373-EC4F-A6CC-E4EF817B0A0F}"/>
    <hyperlink ref="D213" r:id="rId112" display="https://enzyme.expasy.org/EC/6.1.1.-" xr:uid="{24DD841A-80DA-DA45-B96A-95CF316B38D6}"/>
    <hyperlink ref="D227" r:id="rId113" display="https://enzyme.expasy.org/EC/2.7.7.7" xr:uid="{B91F91BB-A4C3-814D-9266-74BA561B03FF}"/>
    <hyperlink ref="D235" r:id="rId114" display="https://enzyme.expasy.org/EC/2.3.3.13" xr:uid="{A39CC7B9-B8C7-3042-8908-7E64EE94EFFC}"/>
    <hyperlink ref="D238" r:id="rId115" display="https://enzyme.expasy.org/EC/2.7.2.4" xr:uid="{243FCF67-5271-1240-8F7C-502A4C193F39}"/>
    <hyperlink ref="D239" r:id="rId116" display="https://enzyme.expasy.org/EC/1.2.1.11" xr:uid="{9BF06DFB-7C3F-8840-A0B4-E776BFA2E37B}"/>
    <hyperlink ref="D244" r:id="rId117" display="https://enzyme.expasy.org/EC/1.11.1.6" xr:uid="{1D223FD1-7080-154D-8638-27BCB161E0CC}"/>
    <hyperlink ref="D254" r:id="rId118" display="https://enzyme.expasy.org/EC/3.5.4.-" xr:uid="{EA9B0180-4C7B-FE4B-9416-21CC31DD6D8C}"/>
    <hyperlink ref="D255" r:id="rId119" display="https://enzyme.expasy.org/EC/3.-.-.-" xr:uid="{9CA4B84A-704F-9446-8F61-7C114DC899F3}"/>
    <hyperlink ref="D261" r:id="rId120" display="https://enzyme.expasy.org/EC/3.4.21.-" xr:uid="{11424412-7D0F-4A4D-B2AB-620B51D67DBD}"/>
    <hyperlink ref="D267" r:id="rId121" display="https://enzyme.expasy.org/EC/3.3.2.10" xr:uid="{A28D1551-121F-9B4F-A03B-BB78190C7ECE}"/>
    <hyperlink ref="D286" r:id="rId122" display="https://enzyme.expasy.org/EC/4.6.1.1" xr:uid="{58357C2D-1F84-4B4A-A12C-522EAB220469}"/>
    <hyperlink ref="D292" r:id="rId123" display="https://enzyme.expasy.org/EC/2.7.7.7" xr:uid="{1FE75F94-2C2A-884B-80D7-03AEEDD77B2E}"/>
    <hyperlink ref="D298" r:id="rId124" display="https://enzyme.expasy.org/EC/6.2.1.3" xr:uid="{E1F69C25-ABD9-7241-92AD-2C33B172A791}"/>
    <hyperlink ref="D301" r:id="rId125" display="https://enzyme.expasy.org/EC/1.1.1.306" xr:uid="{376E2F73-494C-E747-A806-D73E032BDCCC}"/>
    <hyperlink ref="D302" r:id="rId126" display="https://enzyme.expasy.org/EC/3.-.-.-" xr:uid="{9A51D5EA-2C05-7C49-8BFD-CC20E0A21E52}"/>
    <hyperlink ref="D303" r:id="rId127" display="https://enzyme.expasy.org/EC/2.7.7.24" xr:uid="{49844B81-B601-5144-AC14-FE7CA5BC631B}"/>
    <hyperlink ref="D304" r:id="rId128" display="https://enzyme.expasy.org/EC/5.1.3.13" xr:uid="{4A206FC5-C7E1-8D4D-8AAA-A3DF21E07C70}"/>
    <hyperlink ref="D305" r:id="rId129" display="https://enzyme.expasy.org/EC/4.2.1.46" xr:uid="{44699089-E296-A241-864B-063C4CBA30D7}"/>
    <hyperlink ref="D308" r:id="rId130" display="https://enzyme.expasy.org/EC/3.4.11.2" xr:uid="{23ED0B3F-7550-D440-AAEF-9BB772A693F3}"/>
    <hyperlink ref="D310" r:id="rId131" display="https://enzyme.expasy.org/EC/2.3.1.122" xr:uid="{D1AAED58-4F60-884F-A355-04B2F203176E}"/>
    <hyperlink ref="D315" r:id="rId132" display="https://enzyme.expasy.org/EC/1.8.1.4" xr:uid="{D4DBF388-AB0A-1240-BB4E-000FF0D1E86C}"/>
    <hyperlink ref="D318" r:id="rId133" display="https://enzyme.expasy.org/EC/1.3.5.4" xr:uid="{7335C284-A6A6-A047-9278-2BCB9837F332}"/>
    <hyperlink ref="D320" r:id="rId134" display="https://enzyme.expasy.org/EC/1.3.5.1" xr:uid="{866FAB38-5422-C44B-9389-A395B42EDAD1}"/>
    <hyperlink ref="D339" r:id="rId135" display="https://enzyme.expasy.org/EC/1.8.1.4" xr:uid="{2BAA65BD-5516-234A-9600-FA136EB7FD4F}"/>
    <hyperlink ref="D343" r:id="rId136" display="https://enzyme.expasy.org/EC/1.8.1.4" xr:uid="{31192DAF-B487-7845-B62F-33668E371223}"/>
    <hyperlink ref="D348" r:id="rId137" display="https://enzyme.expasy.org/EC/1.3.5.4" xr:uid="{7750F843-2D68-6144-B788-C304F53BCF58}"/>
    <hyperlink ref="D349" r:id="rId138" display="https://enzyme.expasy.org/EC/1.3.5.4" xr:uid="{27E3E4AB-2137-0544-B4EB-30B0D0FE82F5}"/>
    <hyperlink ref="D351" r:id="rId139" display="https://enzyme.expasy.org/EC/1.3.5.1" xr:uid="{00458B41-4CAD-3B49-89BD-3D7305E27848}"/>
    <hyperlink ref="D369" r:id="rId140" display="https://enzyme.expasy.org/EC/6.1.-.-" xr:uid="{34CBB169-AD33-7B4B-A39E-138A194FD368}"/>
    <hyperlink ref="D389" r:id="rId141" display="https://enzyme.expasy.org/EC/1.3.1.98" xr:uid="{9292A1D0-66A9-E646-9E3C-6809A112C391}"/>
    <hyperlink ref="D390" r:id="rId142" display="https://enzyme.expasy.org/EC/4.4.1.21" xr:uid="{A121F4DB-1D4C-5E4B-BC8E-A2E820E18131}"/>
    <hyperlink ref="D393" r:id="rId143" display="https://enzyme.expasy.org/EC/6.2.1.3" xr:uid="{F4E95B13-3F91-624B-9074-F73BAE720A20}"/>
    <hyperlink ref="D395" r:id="rId144" display="https://enzyme.expasy.org/EC/6.2.1.3" xr:uid="{2C8D9A1D-359C-7A42-81CF-4E8190D04E88}"/>
    <hyperlink ref="D396" r:id="rId145" display="https://enzyme.expasy.org/EC/2.1.1.63" xr:uid="{C427871E-1B10-CC40-B41E-CCBD93FF861C}"/>
    <hyperlink ref="D398" r:id="rId146" display="https://enzyme.expasy.org/EC/6.2.1.3" xr:uid="{8AA701BA-3D0B-4D43-9460-D91744134933}"/>
    <hyperlink ref="D399" r:id="rId147" display="https://enzyme.expasy.org/EC/2.4.1.250" xr:uid="{668BCDDB-11CE-A640-924B-FE65966BC2CF}"/>
    <hyperlink ref="D400" r:id="rId148" display="https://enzyme.expasy.org/EC/5.4.2.11" xr:uid="{CB6BC841-E615-0545-AA6F-88F412441A6A}"/>
    <hyperlink ref="D401" r:id="rId149" display="https://enzyme.expasy.org/EC/2.7.13.3" xr:uid="{3373F887-A4C2-8A4A-A277-B1FEDD468399}"/>
    <hyperlink ref="D405" r:id="rId150" display="https://enzyme.expasy.org/EC/3.6.1.11" xr:uid="{93DBD4C4-C694-C141-B65B-F922DD05EE09}"/>
    <hyperlink ref="D410" r:id="rId151" display="https://enzyme.expasy.org/EC/1.5.1.2" xr:uid="{DFC2412E-9E04-9342-82A6-326257692AB9}"/>
    <hyperlink ref="D415" r:id="rId152" display="https://enzyme.expasy.org/EC/3.1.3.3" xr:uid="{96B67FBC-0DDD-5D48-BC5B-00840AF036C3}"/>
    <hyperlink ref="D417" r:id="rId153" display="https://enzyme.expasy.org/EC/1.2.1.70" xr:uid="{8F05EBB3-7722-0040-A753-2EAAA1EE2061}"/>
    <hyperlink ref="D418" r:id="rId154" display="https://enzyme.expasy.org/EC/2.5.1.61" xr:uid="{7639C450-39D1-1B4A-9F11-04EA6CC9C797}"/>
    <hyperlink ref="D422" r:id="rId155" display="https://enzyme.expasy.org/EC/2.1.1.107" xr:uid="{F6E1827C-A5DC-4F49-9F34-7DBE6E7E0B16}"/>
    <hyperlink ref="D423" r:id="rId156" display="https://enzyme.expasy.org/EC/4.2.1.24" xr:uid="{8A131758-CC46-A94F-97BD-8AF21997C285}"/>
    <hyperlink ref="D427" r:id="rId157" display="https://enzyme.expasy.org/EC/4.1.1.37" xr:uid="{57786581-393A-1F4D-AC4F-6FB1B4E3E273}"/>
    <hyperlink ref="D428" r:id="rId158" display="https://enzyme.expasy.org/EC/1.3.3.4" xr:uid="{07BFA6BF-E3CC-F54C-9D09-5095FBA7DD94}"/>
    <hyperlink ref="D431" r:id="rId159" display="https://enzyme.expasy.org/EC/1.1.1.31" xr:uid="{8BD8990D-73CF-C243-94AF-B08A2A341341}"/>
    <hyperlink ref="D432" r:id="rId160" display="https://enzyme.expasy.org/EC/5.4.3.8" xr:uid="{E50F9987-A3E8-0148-B7FC-E7D0E499D2A8}"/>
    <hyperlink ref="D441" r:id="rId161" display="https://enzyme.expasy.org/EC/2.5.1.74" xr:uid="{2AF5222E-DE18-504F-9E49-EAF546084A61}"/>
    <hyperlink ref="D442" r:id="rId162" display="https://enzyme.expasy.org/EC/6.2.1.26" xr:uid="{2394314D-EB6A-0347-97A4-52D44298F199}"/>
    <hyperlink ref="D445" r:id="rId163" display="https://enzyme.expasy.org/EC/4.1.3.36" xr:uid="{5A365CE4-AAC9-8441-96FE-C93C1CA36F7D}"/>
    <hyperlink ref="D447" r:id="rId164" display="https://enzyme.expasy.org/EC/3.1.-.-" xr:uid="{028B271A-C22A-B04A-B901-108090A36FB0}"/>
    <hyperlink ref="D448" r:id="rId165" display="https://enzyme.expasy.org/EC/3.1.-.-" xr:uid="{9D61EDCC-BEA2-1D4A-98CA-8060C69069CB}"/>
    <hyperlink ref="D450" r:id="rId166" display="https://enzyme.expasy.org/EC/5.1.1.-" xr:uid="{E9228DC6-8A54-5543-ABF4-05E1AD459160}"/>
    <hyperlink ref="D452" r:id="rId167" display="https://enzyme.expasy.org/EC/3.6.3.-" xr:uid="{4317867F-BB6C-174F-AF6A-8F6392C69D7F}"/>
    <hyperlink ref="D454" r:id="rId168" display="https://enzyme.expasy.org/EC/3.6.3.-" xr:uid="{D30C1A2F-F88A-4A40-8DEE-05F4694C112F}"/>
    <hyperlink ref="D463" r:id="rId169" display="https://enzyme.expasy.org/EC/2.2.1.9" xr:uid="{78015291-A3DC-A94B-B2CC-A1C30D1E4156}"/>
    <hyperlink ref="D739" r:id="rId170" display="https://enzyme.expasy.org/EC/3.2.1.1" xr:uid="{EBC92B61-B251-614A-A1A1-A94BB401CFF6}"/>
    <hyperlink ref="D744" r:id="rId171" display="https://enzyme.expasy.org/EC/7.6.2.10" xr:uid="{E5E5958B-1F9D-CD4F-B66D-504C12523F11}"/>
    <hyperlink ref="D747" r:id="rId172" display="https://enzyme.expasy.org/EC/6.3.4.15" xr:uid="{5AF0A583-9AB4-D142-AC5A-CFE7CB919BB7}"/>
    <hyperlink ref="D749" r:id="rId173" display="https://enzyme.expasy.org/EC/4.1.1.5" xr:uid="{7A70DC88-0F57-644F-8B94-63E220C4473F}"/>
    <hyperlink ref="D750" r:id="rId174" display="https://enzyme.expasy.org/EC/6.3.4.18" xr:uid="{69A5CCF5-5035-E246-8B64-A012532A3CDB}"/>
    <hyperlink ref="D751" r:id="rId175" display="https://enzyme.expasy.org/EC/5.4.99.18" xr:uid="{998AD0DC-8EFD-8247-94D8-14A7C86BB7C3}"/>
    <hyperlink ref="D754" r:id="rId176" display="https://enzyme.expasy.org/EC/2.7.1.15" xr:uid="{66D28255-4856-ED4C-AB1B-B674EE73B6DB}"/>
    <hyperlink ref="D761" r:id="rId177" display="https://enzyme.expasy.org/EC/5.1.3.3" xr:uid="{FA88B873-8936-FC43-9A2F-F6E96D778231}"/>
    <hyperlink ref="D764" r:id="rId178" display="https://enzyme.expasy.org/EC/2.7.7.12" xr:uid="{FAAA7102-B879-A741-84B7-3916B96EED96}"/>
    <hyperlink ref="D765" r:id="rId179" display="https://enzyme.expasy.org/EC/2.7.1.6" xr:uid="{014E0CE7-1E65-4C4C-A111-3AB983E5F456}"/>
    <hyperlink ref="D772" r:id="rId180" display="https://enzyme.expasy.org/EC/6.3.4.14" xr:uid="{AD4DDD0A-D7CD-D245-97AD-26DC51EE5521}"/>
    <hyperlink ref="D778" r:id="rId181" display="https://enzyme.expasy.org/EC/6.3.5.-" xr:uid="{65E941C9-32AA-CE48-A37F-03CF1CD222A9}"/>
    <hyperlink ref="D779" r:id="rId182" display="https://enzyme.expasy.org/EC/3.2.2.8" xr:uid="{94D62155-480A-A443-96ED-299B4C1B6B47}"/>
    <hyperlink ref="D781" r:id="rId183" display="https://enzyme.expasy.org/EC/3.1.21.-" xr:uid="{DB623320-4C69-DA43-8DB0-2E3F2347EE16}"/>
    <hyperlink ref="D782" r:id="rId184" display="https://enzyme.expasy.org/EC/2.7.1.12" xr:uid="{EF6259C8-145E-DA45-8BB5-1A58D2E56CB7}"/>
    <hyperlink ref="D789" r:id="rId185" display="https://enzyme.expasy.org/EC/7.6.2.9" xr:uid="{0B7D6E0E-8982-544B-9792-13084F375858}"/>
    <hyperlink ref="D794" r:id="rId186" display="https://enzyme.expasy.org/EC/2.4.1.289" xr:uid="{9F023B6B-4AFA-1B43-9F27-DABB80F9C3FA}"/>
    <hyperlink ref="D795" r:id="rId187" display="https://enzyme.expasy.org/EC/2.7.7.71" xr:uid="{D7EA79C4-1A90-3946-8B67-C4B7986A0AE0}"/>
    <hyperlink ref="D799" r:id="rId188" display="https://enzyme.expasy.org/EC/5.4.2.2" xr:uid="{39F741A9-B16C-954E-BC75-19B2CA2F53C0}"/>
    <hyperlink ref="D801" r:id="rId189" display="https://enzyme.expasy.org/EC/1.18.1.2" xr:uid="{9BBABFDF-84D4-4D43-B7DA-AEB1673D9C90}"/>
    <hyperlink ref="D802" r:id="rId190" display="https://enzyme.expasy.org/EC/1.8.7.1" xr:uid="{1E6AAAFF-EABB-374A-B6A9-35413D66C733}"/>
    <hyperlink ref="D811" r:id="rId191" display="https://enzyme.expasy.org/EC/5.3.1.8" xr:uid="{DD4C4E5F-4FAA-B743-96D8-6394DF53C742}"/>
    <hyperlink ref="D809" r:id="rId192" display="https://enzyme.expasy.org/EC/2.1.1.107" xr:uid="{82D25552-2E3C-BB47-A4C6-50BCFA7BF6F8}"/>
    <hyperlink ref="D814" r:id="rId193" display="https://enzyme.expasy.org/EC/2.7.4.9" xr:uid="{4DC176FD-B2BD-D848-919E-A6506B0EC39B}"/>
    <hyperlink ref="D816" r:id="rId194" display="https://enzyme.expasy.org/EC/2.7.13.3" xr:uid="{FB6A0E3E-C130-3644-8F9F-D536AA75405E}"/>
    <hyperlink ref="D824" r:id="rId195" display="https://enzyme.expasy.org/EC/3.6.1.-" xr:uid="{1AB36601-09B0-4A44-B03D-393CC18479F8}"/>
    <hyperlink ref="D825" r:id="rId196" display="https://enzyme.expasy.org/EC/2.5.1.19" xr:uid="{04CE8232-DB20-794F-B521-6F3296BB882D}"/>
    <hyperlink ref="D826" r:id="rId197" display="https://enzyme.expasy.org/EC/3.4.-.-" xr:uid="{63ED5DA1-030E-524F-8E81-4A47A75115E8}"/>
    <hyperlink ref="D827" r:id="rId198" display="https://enzyme.expasy.org/EC/4.2.-.-" xr:uid="{36E74AAA-1C5E-6444-87B7-35B2DD17C9C4}"/>
    <hyperlink ref="D835" r:id="rId199" display="https://enzyme.expasy.org/EC/3.6.4.13" xr:uid="{3FFAC0D6-0A42-9A4A-9C2D-1EEBEF807180}"/>
    <hyperlink ref="D839" r:id="rId200" display="https://enzyme.expasy.org/EC/3.6.4.12" xr:uid="{CCF036BD-ED1B-F64F-8177-A7DD5E813E69}"/>
    <hyperlink ref="D840" r:id="rId201" display="https://enzyme.expasy.org/EC/3.6.4.12" xr:uid="{BC22C2FF-DEBC-8940-B732-A99822A1C7EE}"/>
    <hyperlink ref="D844" r:id="rId202" display="https://enzyme.expasy.org/EC/3.6.1.22" xr:uid="{12CCFBFE-249E-1040-8078-A006DAC951CB}"/>
    <hyperlink ref="D845" r:id="rId203" display="https://enzyme.expasy.org/EC/3.6.4.12" xr:uid="{D2207C4F-9520-5548-A0EC-1E1BAB65A47E}"/>
    <hyperlink ref="D859" r:id="rId204" display="https://enzyme.expasy.org/EC/1.16.1.9" xr:uid="{89781749-C533-874E-BFA8-89D00476FA64}"/>
    <hyperlink ref="D868" r:id="rId205" display="https://enzyme.expasy.org/EC/3.1.3.15" xr:uid="{B4DE4154-40DA-2641-A858-770AF1980B00}"/>
    <hyperlink ref="D872" r:id="rId206" display="https://enzyme.expasy.org/EC/3.1.3.25" xr:uid="{C500081B-C3F9-724D-8AB7-87ABAACE1C5C}"/>
    <hyperlink ref="D882" r:id="rId207" display="https://enzyme.expasy.org/EC/7.2.2.16" xr:uid="{8639D567-8408-8D40-A729-50E497750206}"/>
    <hyperlink ref="D888" r:id="rId208" display="https://enzyme.expasy.org/EC/3.1.-.-" xr:uid="{0D6F456E-7363-3348-AF04-8BAA3496BF35}"/>
    <hyperlink ref="D893" r:id="rId209" display="https://enzyme.expasy.org/EC/3.-.-.-" xr:uid="{9CF9693A-6E09-0A4F-85B5-CE21BABD9A4E}"/>
    <hyperlink ref="D899" r:id="rId210" display="https://enzyme.expasy.org/EC/2.1.1.185" xr:uid="{4815A217-106A-894F-9661-16A3E7478DC8}"/>
    <hyperlink ref="D903" r:id="rId211" display="https://enzyme.expasy.org/EC/2.6.1.52" xr:uid="{A08203FA-0158-1E4C-935E-CD1CEF97ABCB}"/>
    <hyperlink ref="D904" r:id="rId212" display="https://enzyme.expasy.org/EC/2.3.3.1" xr:uid="{E3607F00-A217-C343-9CD7-69424253AEEF}"/>
    <hyperlink ref="D905" r:id="rId213" display="https://enzyme.expasy.org/EC/5.2.1.8" xr:uid="{5F42EDA3-92F9-0542-845C-17CE60BF553B}"/>
    <hyperlink ref="D906" r:id="rId214" display="https://enzyme.expasy.org/EC/1.-.-.-" xr:uid="{FAF53BDD-97D8-5343-A072-EEFFCBF06A6A}"/>
    <hyperlink ref="D923" r:id="rId215" display="https://enzyme.expasy.org/EC/3.6.3.-" xr:uid="{9C52856E-6960-904C-A444-B460AD6A209A}"/>
    <hyperlink ref="D924" r:id="rId216" display="https://enzyme.expasy.org/EC/3.6.3.-" xr:uid="{B2552478-AD3D-F543-8A09-B5CE5154BDB8}"/>
    <hyperlink ref="D925" r:id="rId217" display="https://enzyme.expasy.org/EC/3.6.3.-" xr:uid="{5504A37E-4A3A-D344-89F4-C750DCCF70FF}"/>
    <hyperlink ref="D930" r:id="rId218" display="https://enzyme.expasy.org/EC/1.20.4.3" xr:uid="{627212CC-3F00-AC4B-9929-73AA577E17CF}"/>
    <hyperlink ref="D937" r:id="rId219" display="https://enzyme.expasy.org/EC/1.5.1.3" xr:uid="{9FCCD741-C571-8047-9E69-7A45A087B3B1}"/>
    <hyperlink ref="D938" r:id="rId220" display="https://enzyme.expasy.org/EC/2.1.1.45" xr:uid="{9C7F9366-E750-A14E-AAFF-1EF7543909C9}"/>
    <hyperlink ref="D942" r:id="rId221" display="https://enzyme.expasy.org/EC/3.1.3.7" xr:uid="{65123D3B-95C5-F34A-AE8A-02F7137FE116}"/>
    <hyperlink ref="D944" r:id="rId222" display="https://enzyme.expasy.org/EC/3.2.2.-" xr:uid="{397AD9D3-B4DA-524A-89CD-DD75B62418B4}"/>
    <hyperlink ref="D950" r:id="rId223" display="https://enzyme.expasy.org/EC/5.3.1.9" xr:uid="{617E5F37-0620-E84A-B5A6-F7DBC094F725}"/>
    <hyperlink ref="D952" r:id="rId224" display="https://enzyme.expasy.org/EC/5.4.99.5" xr:uid="{77FA048A-B06B-FB40-8AFE-4F34BF65795A}"/>
    <hyperlink ref="D953" r:id="rId225" display="https://enzyme.expasy.org/EC/3.6.4.12" xr:uid="{B120AAA3-BF85-D04D-8D83-13A95DCF3E7A}"/>
    <hyperlink ref="D954" r:id="rId226" display="https://enzyme.expasy.org/EC/3.4.24.75" xr:uid="{98E0F2CD-8A86-2644-A480-378E9A28D1B3}"/>
    <hyperlink ref="D958" r:id="rId227" display="https://enzyme.expasy.org/EC/2.1.2.2" xr:uid="{66EDB3E6-89B9-F54C-AFB6-0521EF626F0C}"/>
    <hyperlink ref="D964" r:id="rId228" display="https://enzyme.expasy.org/EC/3.4.21.107" xr:uid="{EC19AA3D-CDB8-C34E-A28C-1F603E753FF4}"/>
    <hyperlink ref="D977" r:id="rId229" display="https://enzyme.expasy.org/EC/5.5.1.2" xr:uid="{8F9E2642-947D-CC4C-AF2F-381A4FEEAE29}"/>
    <hyperlink ref="D980" r:id="rId230" display="https://enzyme.expasy.org/EC/2.7.7.9" xr:uid="{2253FA79-D4EF-FE41-89D3-0FD4384A25AD}"/>
    <hyperlink ref="D981" r:id="rId231" display="https://enzyme.expasy.org/EC/2.10.1.1" xr:uid="{16163F42-5ECE-214E-8047-0392D09A968D}"/>
    <hyperlink ref="D982" r:id="rId232" display="https://enzyme.expasy.org/EC/2.3.1.-" xr:uid="{69D4652C-7B55-E647-BB7A-B7D299B2EEFB}"/>
    <hyperlink ref="D984" r:id="rId233" display="https://enzyme.expasy.org/EC/3.2.2.20" xr:uid="{D46868AC-6A89-E349-90AA-EB8F262E2577}"/>
    <hyperlink ref="D985" r:id="rId234" display="https://enzyme.expasy.org/EC/1.-.-.-" xr:uid="{3F089F77-056A-9F4E-84F6-3429F3103243}"/>
    <hyperlink ref="D989" r:id="rId235" display="https://enzyme.expasy.org/EC/2.4.1.109" xr:uid="{4379832C-32AE-B74A-9311-80CC62D7C203}"/>
    <hyperlink ref="D990" r:id="rId236" display="https://enzyme.expasy.org/EC/2.1.1.198" xr:uid="{AE2461A5-06CD-FB4E-9922-29F1739114FE}"/>
    <hyperlink ref="D993" r:id="rId237" display="https://enzyme.expasy.org/EC/6.1.1.10" xr:uid="{22E9A86F-E642-5845-A9E5-8E699F9637F4}"/>
    <hyperlink ref="D994" r:id="rId238" display="https://enzyme.expasy.org/EC/2.3.1.-" xr:uid="{2F0CDB31-FC04-6D4B-BCE8-BBD1CAA9D8B0}"/>
    <hyperlink ref="D995" r:id="rId239" display="https://enzyme.expasy.org/EC/2.3.1.-" xr:uid="{25D1C9C3-5C7B-2E40-8FE5-85901921D5FF}"/>
    <hyperlink ref="D996" r:id="rId240" display="https://enzyme.expasy.org/EC/3.1.21.-" xr:uid="{29AAB1F8-0EA5-A444-9E2B-04388033F109}"/>
    <hyperlink ref="D997" r:id="rId241" display="https://enzyme.expasy.org/EC/3.-.-.-" xr:uid="{5CE95E70-5AF4-BF4C-9E52-9810AC19A18B}"/>
    <hyperlink ref="D998" r:id="rId242" display="https://enzyme.expasy.org/EC/2.1.1.182" xr:uid="{39440158-C444-3B41-A47A-ED62091D546C}"/>
    <hyperlink ref="D999" r:id="rId243" display="https://enzyme.expasy.org/EC/2.7.1.148" xr:uid="{AAE6D0E6-1949-8D42-8230-BAA2BF33B3AF}"/>
    <hyperlink ref="D1005" r:id="rId244" display="https://enzyme.expasy.org/EC/2.3.1.-" xr:uid="{DE55B3B9-1AA9-D44D-BCC6-AB573A85CA35}"/>
    <hyperlink ref="D1006" r:id="rId245" display="https://enzyme.expasy.org/EC/3.1.3.-" xr:uid="{453E1E81-683D-8D4D-ADA1-843B74F6A331}"/>
    <hyperlink ref="D1028" r:id="rId246" display="https://enzyme.expasy.org/EC/4.2.1.17" xr:uid="{1AEFBAAC-8457-7C4F-A1BE-8643C532EAA7}"/>
    <hyperlink ref="D1048" r:id="rId247" display="https://enzyme.expasy.org/EC/1.1.1.100" xr:uid="{9E454EA7-20BC-E84D-8547-B1AFE3969776}"/>
    <hyperlink ref="D1051" r:id="rId248" display="https://enzyme.expasy.org/EC/3.1.1.29" xr:uid="{782004DF-472D-C04C-B8EE-3FA50F798BCB}"/>
    <hyperlink ref="D1053" r:id="rId249" display="https://enzyme.expasy.org/EC/1.2.1.12" xr:uid="{6641796C-F523-3E47-B83E-06AFFA14EAD6}"/>
    <hyperlink ref="D1057" r:id="rId250" display="https://enzyme.expasy.org/EC/3.6.3.-" xr:uid="{FA41056A-ED99-0846-93F7-E1D91F6F53BC}"/>
    <hyperlink ref="D1059" r:id="rId251" display="https://enzyme.expasy.org/EC/2.7.13.3" xr:uid="{A44F162C-FF6E-6140-8676-E307026ECB6D}"/>
    <hyperlink ref="D1061" r:id="rId252" display="https://enzyme.expasy.org/EC/4.3.2.3" xr:uid="{3B9B306A-F334-FF44-9158-CD518664BC07}"/>
    <hyperlink ref="D1062" r:id="rId253" display="https://enzyme.expasy.org/EC/3.1.1.29" xr:uid="{162560AF-8532-DE46-9150-973F6B5E1DB0}"/>
    <hyperlink ref="D1065" r:id="rId254" display="https://enzyme.expasy.org/EC/2.7.6.1" xr:uid="{0C8081EC-DEAC-5A48-A153-1101F2E680E2}"/>
    <hyperlink ref="D1072" r:id="rId255" display="https://enzyme.expasy.org/EC/1.8.1.-" xr:uid="{B90C6951-8E49-5D42-8074-A8A03969BC42}"/>
    <hyperlink ref="D1078" r:id="rId256" display="https://enzyme.expasy.org/EC/3.6.4.-" xr:uid="{D42698F4-5847-D843-93D5-F8D27FAE2CD8}"/>
    <hyperlink ref="D1079" r:id="rId257" display="https://enzyme.expasy.org/EC/2.4.2.19" xr:uid="{B738DCDE-DB72-4C4C-93C8-A294B3925F8A}"/>
    <hyperlink ref="D1080" r:id="rId258" display="https://enzyme.expasy.org/EC/2.5.1.72" xr:uid="{ACF3F570-3E93-0D43-95CB-6C76364AF5C1}"/>
    <hyperlink ref="D1083" r:id="rId259" display="https://enzyme.expasy.org/EC/3.6.1.8" xr:uid="{257747AC-30A8-494D-8810-8328A61B20B6}"/>
    <hyperlink ref="D1086" r:id="rId260" display="https://enzyme.expasy.org/EC/4.2.1.11" xr:uid="{6A1DC1CD-C908-5A47-AA1E-EEE53485E93E}"/>
    <hyperlink ref="D1089" r:id="rId261" display="https://enzyme.expasy.org/EC/3.6.1.40" xr:uid="{6B4E5990-A21A-6E41-885D-61F83050F3FB}"/>
    <hyperlink ref="D1097" r:id="rId262" display="https://enzyme.expasy.org/EC/3.5.1.115" xr:uid="{62BA7612-F2E7-0343-80D6-A6A4E5F1C241}"/>
    <hyperlink ref="D1099" r:id="rId263" display="https://enzyme.expasy.org/EC/2.5.1.68" xr:uid="{C96696E9-5919-6E48-89D1-E7B9A2676666}"/>
    <hyperlink ref="D1102" r:id="rId264" display="https://enzyme.expasy.org/EC/2.7.1.33" xr:uid="{B330CEA8-E5C0-2A4A-B750-AB75D19394FA}"/>
    <hyperlink ref="D1104" r:id="rId265" display="https://enzyme.expasy.org/EC/2.1.2.1" xr:uid="{5135D877-F39A-4841-BDAF-D953E2B80E9D}"/>
    <hyperlink ref="D1109" r:id="rId266" display="https://enzyme.expasy.org/EC/2.3.1.-" xr:uid="{54B2BEF1-DFA3-8548-9951-DAA4C74639DB}"/>
    <hyperlink ref="D1113" r:id="rId267" display="https://enzyme.expasy.org/EC/4.2.1.2" xr:uid="{CB614E5E-9CF9-F848-A8B7-189F7D1D94A5}"/>
    <hyperlink ref="D1116" r:id="rId268" display="https://enzyme.expasy.org/EC/3.1.3.11" xr:uid="{AE009BB8-4998-FC4E-998A-0889D975424F}"/>
    <hyperlink ref="D1120" r:id="rId269" display="https://enzyme.expasy.org/EC/3.1.11.6" xr:uid="{27F29297-B366-804C-B4B6-7FD5890A9116}"/>
    <hyperlink ref="D1122" r:id="rId270" display="https://enzyme.expasy.org/EC/1.17.7.4" xr:uid="{3D06B838-4345-3542-BAB3-2DE444FF4268}"/>
    <hyperlink ref="D1127" r:id="rId271" display="https://enzyme.expasy.org/EC/3.2.-.-" xr:uid="{577D5E90-0CF2-5C4D-86D9-109921ED4CDE}"/>
    <hyperlink ref="D1130" r:id="rId272" display="https://enzyme.expasy.org/EC/3.1.31.1" xr:uid="{267BBDA5-64B7-AB4F-8FB2-3F3306C3CDBB}"/>
    <hyperlink ref="D1131" r:id="rId273" display="https://enzyme.expasy.org/EC/3.4.19.3" xr:uid="{EC46CE61-A9E0-E14D-9A32-652AA8FC9C4B}"/>
    <hyperlink ref="D1132" r:id="rId274" display="https://enzyme.expasy.org/EC/1.17.1.9" xr:uid="{7DEEAC08-1DFC-6C45-A891-8D5ACED0BEF7}"/>
    <hyperlink ref="D1133" r:id="rId275" display="https://enzyme.expasy.org/EC/1.17.5.3" xr:uid="{69D75739-FC89-FD40-8C0F-61AB9AA9E9E4}"/>
    <hyperlink ref="D1137" r:id="rId276" display="https://enzyme.expasy.org/EC/2.7.9.3" xr:uid="{9845F993-135F-2347-A53A-39E38E5A64E8}"/>
    <hyperlink ref="D1139" r:id="rId277" display="https://enzyme.expasy.org/EC/2.9.1.1" xr:uid="{F8EB0B7D-BFDE-FB45-B499-CB9985990524}"/>
    <hyperlink ref="D1150" r:id="rId278" display="https://enzyme.expasy.org/EC/3.5.1.103" xr:uid="{EB0323C7-4867-074B-A206-61F05BA53A37}"/>
    <hyperlink ref="D1153" r:id="rId279" display="https://enzyme.expasy.org/EC/2.6.1.83" xr:uid="{547DD03D-BE99-9E4E-A629-7F82B48DAE9B}"/>
    <hyperlink ref="D1154" r:id="rId280" display="https://enzyme.expasy.org/EC/5.4.99.28" xr:uid="{865752B9-362E-424B-8714-9F2E09F40E6A}"/>
    <hyperlink ref="D1160" r:id="rId281" display="https://enzyme.expasy.org/EC/2.3.1.117" xr:uid="{7C7EA949-DCE0-E740-9742-D263238397CA}"/>
    <hyperlink ref="D1162" r:id="rId282" display="https://enzyme.expasy.org/EC/3.5.1.18" xr:uid="{CCADFE44-CAFF-704A-9D9D-AF9FBBEB8308}"/>
    <hyperlink ref="D1165" r:id="rId283" display="https://enzyme.expasy.org/EC/2.4.1.266" xr:uid="{F7BDA513-1E1E-414A-9651-2D9F4266004C}"/>
    <hyperlink ref="D1168" r:id="rId284" display="https://enzyme.expasy.org/EC/2.1.1.188" xr:uid="{93015129-8AD3-FA46-B0EA-2B1687EB4066}"/>
    <hyperlink ref="D1178" r:id="rId285" display="https://enzyme.expasy.org/EC/3.2.1.26" xr:uid="{C05A1A2F-58B0-EE47-BFCA-1997FF50DB7A}"/>
    <hyperlink ref="D1179" r:id="rId286" display="https://enzyme.expasy.org/EC/2.1.1.-" xr:uid="{C49B9FB3-23A0-2148-92F8-9CF7DE676066}"/>
    <hyperlink ref="D1187" r:id="rId287" display="https://enzyme.expasy.org/EC/3.1.1.-" xr:uid="{908B4BFF-5AD4-4B47-A60F-4B6CDD35B630}"/>
    <hyperlink ref="D1195" r:id="rId288" display="https://enzyme.expasy.org/EC/3.6.1.65" xr:uid="{AA8C73DB-9811-6045-A6F6-08004C0A2358}"/>
    <hyperlink ref="D1197" r:id="rId289" display="https://enzyme.expasy.org/EC/3.5.3.8" xr:uid="{E8DA7B27-2250-F84D-98B2-319A1EDC1C39}"/>
    <hyperlink ref="D1200" r:id="rId290" display="https://enzyme.expasy.org/EC/4.3.1.3" xr:uid="{D5ED1350-F445-F64D-A543-FA36E0B4F8D1}"/>
    <hyperlink ref="D1201" r:id="rId291" display="https://enzyme.expasy.org/EC/3.1.1.3" xr:uid="{9F3175AB-B07B-1444-8E02-3902D5807894}"/>
    <hyperlink ref="D1202" r:id="rId292" display="https://enzyme.expasy.org/EC/4.2.1.49" xr:uid="{26D1002C-14EE-BF42-B39A-E124D011A198}"/>
    <hyperlink ref="D1203" r:id="rId293" display="https://enzyme.expasy.org/EC/3.5.2.7" xr:uid="{F3B4A536-C1D2-9440-A851-5DC22D77600F}"/>
    <hyperlink ref="D1206" r:id="rId294" display="https://enzyme.expasy.org/EC/3.6.4.13" xr:uid="{2FC901C9-D03F-2942-B313-D95E0A395933}"/>
    <hyperlink ref="D1223" r:id="rId295" display="https://enzyme.expasy.org/EC/3.4.14.-" xr:uid="{D49EFCD6-2684-1945-9BB3-8A80A458C2FA}"/>
    <hyperlink ref="D1227" r:id="rId296" display="https://enzyme.expasy.org/EC/6.1.1.19" xr:uid="{0A60D662-A180-3148-A492-6561FB0C25B3}"/>
    <hyperlink ref="D1228" r:id="rId297" display="https://enzyme.expasy.org/EC/4.1.1.20" xr:uid="{80977010-81E3-904E-A539-B7C549328B14}"/>
    <hyperlink ref="D1230" r:id="rId298" display="https://enzyme.expasy.org/EC/1.1.1.3" xr:uid="{5FDE5362-FC02-1141-A4A2-9139006A1017}"/>
    <hyperlink ref="D1231" r:id="rId299" display="https://enzyme.expasy.org/EC/2.7.1.39" xr:uid="{5582D10E-D320-824A-9092-510E2C62F6DD}"/>
    <hyperlink ref="D1241" r:id="rId300" display="https://enzyme.expasy.org/EC/1.7.2.1" xr:uid="{9D600D56-A457-9B46-B980-FFAADAED25DB}"/>
    <hyperlink ref="D1242" r:id="rId301" display="https://enzyme.expasy.org/EC/1.7.99.4" xr:uid="{601C704C-7659-B241-A10F-9E25EB0B89E5}"/>
    <hyperlink ref="D1243" r:id="rId302" display="https://enzyme.expasy.org/EC/1.7.99.4" xr:uid="{CEFDF7B3-A7F1-284A-AE66-10B6E3B55B62}"/>
    <hyperlink ref="D1244" r:id="rId303" display="https://enzyme.expasy.org/EC/1.7.99.4" xr:uid="{F6815F98-4217-994C-A12F-53ECD8D8F8B0}"/>
    <hyperlink ref="D1245" r:id="rId304" display="https://enzyme.expasy.org/EC/1.7.99.4" xr:uid="{513246AC-1D08-A44F-9432-E5B169C29F69}"/>
    <hyperlink ref="D1250" r:id="rId305" display="https://enzyme.expasy.org/EC/2.10.1.1" xr:uid="{030DCD1E-116A-894C-9909-DBBC19DB46DB}"/>
    <hyperlink ref="D1253" r:id="rId306" display="https://enzyme.expasy.org/EC/6.2.1.3" xr:uid="{F93C6A62-F4E0-D348-BCA2-9F6441A91375}"/>
    <hyperlink ref="D1256" r:id="rId307" display="https://enzyme.expasy.org/EC/2.1.1.-" xr:uid="{8C1BB006-0EEC-D143-8DC7-C4357D2369A3}"/>
    <hyperlink ref="D1257" r:id="rId308" display="https://enzyme.expasy.org/EC/2.7.7.87" xr:uid="{626305D8-5767-B74B-81E4-62DF0AE4CCC8}"/>
    <hyperlink ref="D1258" r:id="rId309" display="https://enzyme.expasy.org/EC/2.7.8.35" xr:uid="{661CF1DA-23FF-CF49-A95F-5E2E65E81402}"/>
    <hyperlink ref="D1264" r:id="rId310" display="https://enzyme.expasy.org/EC/7.1.2.2" xr:uid="{02C2D336-F1C0-204E-9458-CB11C6753973}"/>
    <hyperlink ref="D1266" r:id="rId311" display="https://enzyme.expasy.org/EC/7.1.2.2" xr:uid="{A2D52FB4-D97A-8A45-A4CF-C3B867FCCEBC}"/>
    <hyperlink ref="D1272" r:id="rId312" display="https://enzyme.expasy.org/EC/3.6.3.-" xr:uid="{5579CA3D-2F8D-EF46-B7DE-D4300AA59E5B}"/>
    <hyperlink ref="D1279" r:id="rId313" display="https://enzyme.expasy.org/EC/2.8.1.7" xr:uid="{D799A48F-64D6-A34E-8A84-3262B03211EA}"/>
    <hyperlink ref="D1281" r:id="rId314" display="https://enzyme.expasy.org/EC/3.2.1.17" xr:uid="{3FA9AC31-A53C-0D43-8A73-8A716BDBC3C6}"/>
    <hyperlink ref="D1283" r:id="rId315" display="https://enzyme.expasy.org/EC/2.8.1.-" xr:uid="{B0A33927-F13F-0D44-815B-E8EEEF4D6577}"/>
    <hyperlink ref="D1294" r:id="rId316" display="https://enzyme.expasy.org/EC/2.7.7.7" xr:uid="{F934A483-C4A1-6046-9FA7-D08AC85BC808}"/>
    <hyperlink ref="D1295" r:id="rId317" display="https://enzyme.expasy.org/EC/6.5.1.2" xr:uid="{4CA57D76-0FF6-0242-8CB7-1E3A294F46CB}"/>
    <hyperlink ref="D1297" r:id="rId318" display="https://enzyme.expasy.org/EC/6.3.5.-" xr:uid="{69F39E8E-80CB-FD4D-B867-E618ED600B2B}"/>
    <hyperlink ref="D1298" r:id="rId319" display="https://enzyme.expasy.org/EC/6.3.5.-" xr:uid="{9F029AED-4C0C-C941-AA30-2EBE2A312BCB}"/>
    <hyperlink ref="D1311" r:id="rId320" display="https://enzyme.expasy.org/EC/2.7.1.11" xr:uid="{1EDCC122-766B-9340-8376-03BCE97AD99B}"/>
    <hyperlink ref="D1314" r:id="rId321" display="https://enzyme.expasy.org/EC/6.3.5.-" xr:uid="{ECDF1174-09B0-AB4A-B8ED-ED96E8F9F339}"/>
    <hyperlink ref="D1315" r:id="rId322" display="https://enzyme.expasy.org/EC/1.1.1.-" xr:uid="{6051DFA7-6DB3-4348-80AB-EDB909192455}"/>
    <hyperlink ref="D1319" r:id="rId323" display="https://enzyme.expasy.org/EC/1.8.-.-" xr:uid="{32F640A3-D95A-1345-B28A-EAFF782740D7}"/>
    <hyperlink ref="D1323" r:id="rId324" display="https://enzyme.expasy.org/EC/2.4.1.-" xr:uid="{4BC57EA8-7BCB-3841-8C40-924CCB288715}"/>
    <hyperlink ref="D1326" r:id="rId325" display="https://enzyme.expasy.org/EC/4.2.1.9" xr:uid="{07ECA1AA-7538-5F46-91DA-233B547D23BB}"/>
    <hyperlink ref="D1334" r:id="rId326" display="https://enzyme.expasy.org/EC/2.2.1.6" xr:uid="{715FE69B-99EA-264E-B27A-DE7D73632059}"/>
    <hyperlink ref="D1341" r:id="rId327" display="https://enzyme.expasy.org/EC/2.2.1.6" xr:uid="{AE6E8D69-563B-CE47-A414-E869FACB25E2}"/>
    <hyperlink ref="D1347" r:id="rId328" display="https://enzyme.expasy.org/EC/1.1.1.86" xr:uid="{4F0FE1F9-6FAB-034A-8BC4-7656B56370BB}"/>
    <hyperlink ref="D1351" r:id="rId329" display="https://enzyme.expasy.org/EC/1.1.1.95" xr:uid="{C2BD5551-8551-3D41-8E9A-E8EE8E535F54}"/>
    <hyperlink ref="D1355" r:id="rId330" display="https://enzyme.expasy.org/EC/1.1.1.85" xr:uid="{30548A5A-C923-674F-80DC-43A8E6F85898}"/>
    <hyperlink ref="D1356" r:id="rId331" display="https://enzyme.expasy.org/EC/4.3.2.3" xr:uid="{AAD9183E-88B7-A140-ACDF-E4CCA4FBF4F0}"/>
    <hyperlink ref="D1358" r:id="rId332" display="https://enzyme.expasy.org/EC/5.4.4.2" xr:uid="{6E6DF0C9-A71B-1145-9940-7CF25E197500}"/>
    <hyperlink ref="D1362" r:id="rId333" display="https://enzyme.expasy.org/EC/3.6.3.-" xr:uid="{DD65404D-8441-D74A-995C-BE7271654E92}"/>
    <hyperlink ref="D1367" r:id="rId334" display="https://enzyme.expasy.org/EC/6.1.1.17" xr:uid="{D558ED2F-3303-BC4F-9E82-39380AB3162B}"/>
    <hyperlink ref="D1373" r:id="rId335" display="https://enzyme.expasy.org/EC/3.6.4.12" xr:uid="{46D07A26-351C-B640-9EE0-41B32F57A81D}"/>
    <hyperlink ref="D1380" r:id="rId336" display="https://enzyme.expasy.org/EC/4.2.1.33" xr:uid="{F9E1401E-60D9-4D4A-9A41-E348D58512E8}"/>
    <hyperlink ref="D1383" r:id="rId337" display="https://enzyme.expasy.org/EC/4.2.1.33" xr:uid="{E826B7BC-8C9D-D34B-8AD6-3CF521D2A5D3}"/>
    <hyperlink ref="D1385" r:id="rId338" display="https://enzyme.expasy.org/EC/3.6.1.-" xr:uid="{FA782E4D-ED08-214A-B9D2-75B283B437AD}"/>
    <hyperlink ref="D1387" r:id="rId339" display="https://enzyme.expasy.org/EC/1.1.1.94" xr:uid="{C3DE4AD2-70DD-0F46-ADAD-D73A77147532}"/>
    <hyperlink ref="D1388" r:id="rId340" display="https://enzyme.expasy.org/EC/6.3.2.4" xr:uid="{CD104C6F-741F-1449-BA25-53D9D4A4FAFA}"/>
    <hyperlink ref="D1390" r:id="rId341" display="https://enzyme.expasy.org/EC/2.7.4.16" xr:uid="{BEAE9995-EE8C-5441-9CB4-53D02796EF13}"/>
    <hyperlink ref="D1391" r:id="rId342" display="https://enzyme.expasy.org/EC/3.2.2.27" xr:uid="{09314100-99B9-4847-8133-D1C15E428406}"/>
    <hyperlink ref="D1393" r:id="rId343" display="https://enzyme.expasy.org/EC/3.6.4.12" xr:uid="{44ABCECA-97FB-B14D-85E9-C311A4995798}"/>
    <hyperlink ref="D1395" r:id="rId344" display="https://enzyme.expasy.org/EC/2.1.1.171" xr:uid="{7F1E9819-53BB-A745-AB0D-1D7475970170}"/>
    <hyperlink ref="D1396" r:id="rId345" display="https://enzyme.expasy.org/EC/2.7.7.3" xr:uid="{29611164-61FA-AD45-98F5-FD16C05F26EF}"/>
    <hyperlink ref="D1408" r:id="rId346" display="https://enzyme.expasy.org/EC/2.7.7.7" xr:uid="{628D0501-6E4B-D141-97B0-E376028937AA}"/>
    <hyperlink ref="D1415" r:id="rId347" display="https://enzyme.expasy.org/EC/2.7.1.24" xr:uid="{B9AB7188-5621-D74D-8586-0B5BCA1625E8}"/>
    <hyperlink ref="D1420" r:id="rId348" display="https://enzyme.expasy.org/EC/3.6.4.12" xr:uid="{9EBD4AEB-8583-C449-98AB-94A22873F1BB}"/>
    <hyperlink ref="D1422" r:id="rId349" display="https://enzyme.expasy.org/EC/3.-.-.-" xr:uid="{C99BA9C3-1B56-1340-B9B9-0DD8BB388A02}"/>
    <hyperlink ref="D1429" r:id="rId350" display="https://enzyme.expasy.org/EC/2.1.1.-" xr:uid="{8E34B3C4-649E-A24C-A4C6-99B0AE2D9325}"/>
    <hyperlink ref="D1430" r:id="rId351" display="https://enzyme.expasy.org/EC/6.1.1.20" xr:uid="{BAC3593E-4611-024F-B698-9D807D98CB44}"/>
    <hyperlink ref="D1431" r:id="rId352" display="https://enzyme.expasy.org/EC/6.1.1.20" xr:uid="{B0726F56-F533-AE45-8EED-CD8B217AF938}"/>
    <hyperlink ref="D1432" r:id="rId353" display="https://enzyme.expasy.org/EC/1.2.1.38" xr:uid="{F49720C9-5B16-AB4C-9739-0C9E2467C64D}"/>
    <hyperlink ref="D1434" r:id="rId354" display="https://enzyme.expasy.org/EC/2.7.2.8" xr:uid="{D8A24468-786E-4E4D-BDCB-A30A85686F87}"/>
    <hyperlink ref="D1435" r:id="rId355" display="https://enzyme.expasy.org/EC/2.6.1.11" xr:uid="{EA4E78A2-1793-914E-9691-15115A5EE96C}"/>
    <hyperlink ref="D1436" r:id="rId356" display="https://enzyme.expasy.org/EC/2.1.3.3" xr:uid="{F686BCD4-7E63-3F48-ADCB-A41CF63A9623}"/>
    <hyperlink ref="D1438" r:id="rId357" display="https://enzyme.expasy.org/EC/6.3.4.5" xr:uid="{19FBD32E-36F2-454B-B2D6-59C59A9625CC}"/>
    <hyperlink ref="D1439" r:id="rId358" display="https://enzyme.expasy.org/EC/4.3.2.1" xr:uid="{31C03372-1317-234A-8685-0E0E8A38043D}"/>
    <hyperlink ref="D1441" r:id="rId359" display="https://enzyme.expasy.org/EC/4.3.1.28" xr:uid="{0FC11AF8-775E-394C-A24C-F04D0311BB18}"/>
    <hyperlink ref="D1443" r:id="rId360" display="https://enzyme.expasy.org/EC/2.8.1.10" xr:uid="{0A5F2DB2-6194-F944-8131-7416BAD61B0F}"/>
    <hyperlink ref="D1446" r:id="rId361" display="https://enzyme.expasy.org/EC/1.4.99.5" xr:uid="{24F97E6D-A187-1346-9B2D-F4BB99411206}"/>
    <hyperlink ref="D1447" r:id="rId362" display="https://enzyme.expasy.org/EC/2.5.1.3" xr:uid="{5C6AD0DF-08AE-2545-BBFA-8BEF7CC6D5F8}"/>
    <hyperlink ref="D1448" r:id="rId363" display="https://enzyme.expasy.org/EC/4.1.99.17" xr:uid="{D53DF9C4-B9CB-B84F-ADA1-58720D01F417}"/>
    <hyperlink ref="D1450" r:id="rId364" display="https://enzyme.expasy.org/EC/6.1.1.1" xr:uid="{F492463D-723A-7947-9FF4-1B268DA088F0}"/>
    <hyperlink ref="D1462" r:id="rId365" display="https://enzyme.expasy.org/EC/3.-.-.-" xr:uid="{4333D357-487E-5C47-8462-368F46E47312}"/>
    <hyperlink ref="D1464" r:id="rId366" display="https://enzyme.expasy.org/EC/2.1.1.226" xr:uid="{32243229-C8A1-C740-B511-8969D4EE2209}"/>
    <hyperlink ref="D1465" r:id="rId367" display="https://enzyme.expasy.org/EC/2.7.1.23" xr:uid="{9D09DC29-1F8C-3945-8CED-DE3314E02047}"/>
    <hyperlink ref="D1469" r:id="rId368" display="https://enzyme.expasy.org/EC/3.6.1.13" xr:uid="{80F517E9-0758-5A47-B1C1-217BD47D0247}"/>
    <hyperlink ref="D1471" r:id="rId369" display="https://enzyme.expasy.org/EC/3.6.-.-" xr:uid="{8282313E-0B9F-B046-A3A0-AA97623228FA}"/>
    <hyperlink ref="D1474" r:id="rId370" display="https://enzyme.expasy.org/EC/5.4.99.22" xr:uid="{53AE8B87-1DCC-5B46-AEFE-FB73B042132B}"/>
    <hyperlink ref="D1476" r:id="rId371" display="https://enzyme.expasy.org/EC/2.7.4.25" xr:uid="{C5E20B78-BA43-0C4D-BFE8-7A37451E26B5}"/>
    <hyperlink ref="D1478" r:id="rId372" display="https://enzyme.expasy.org/EC/2.3.1.-" xr:uid="{E526488A-2586-C745-A203-ABBB33456BEB}"/>
    <hyperlink ref="D1481" r:id="rId373" display="https://enzyme.expasy.org/EC/3.6.3.-" xr:uid="{2CF56857-AB24-2B44-B765-EE45A4317410}"/>
    <hyperlink ref="D1482" r:id="rId374" display="https://enzyme.expasy.org/EC/7.6.2.2" xr:uid="{D610F3C4-2BC5-B646-8631-F98976049A74}"/>
    <hyperlink ref="D1487" r:id="rId375" display="https://enzyme.expasy.org/EC/2.7.13.3" xr:uid="{E921B951-E7F7-A84A-8B8C-EAE2431C876B}"/>
    <hyperlink ref="D1503" r:id="rId376" display="https://enzyme.expasy.org/EC/3.6.4.13" xr:uid="{27BB4400-12CD-3A4A-B236-62DA7C33D23E}"/>
    <hyperlink ref="D1505" r:id="rId377" display="https://enzyme.expasy.org/EC/1.1.1.44" xr:uid="{DA594DBC-3F47-5947-8D89-33609DB1BB30}"/>
    <hyperlink ref="D1506" r:id="rId378" display="https://enzyme.expasy.org/EC/3.1.2.-" xr:uid="{6C8EAB11-CBFE-2C43-921B-4D14266A864E}"/>
    <hyperlink ref="D1508" r:id="rId379" display="https://enzyme.expasy.org/EC/2.1.1.11" xr:uid="{15800649-A860-144C-A229-B9C8B43E7D3B}"/>
    <hyperlink ref="D1509" r:id="rId380" display="https://enzyme.expasy.org/EC/2.7.1.49" xr:uid="{19E68ED7-2E3D-2C4C-BFE6-DD9750E7C027}"/>
    <hyperlink ref="D1510" r:id="rId381" display="https://enzyme.expasy.org/EC/2.5.1.3" xr:uid="{A4D05FBB-4BD4-C744-A9C0-BBDD763872BF}"/>
    <hyperlink ref="D1511" r:id="rId382" display="https://enzyme.expasy.org/EC/2.7.1.50" xr:uid="{AC6E429F-2D11-864A-80F1-28BF0461D28D}"/>
    <hyperlink ref="D1512" r:id="rId383" display="https://enzyme.expasy.org/EC/1.6.99.-" xr:uid="{10304CAB-1B60-A944-80A0-2D0A03CA2274}"/>
    <hyperlink ref="D1514" r:id="rId384" display="https://enzyme.expasy.org/EC/1.11.1.-" xr:uid="{089C01E5-0397-FB49-A662-B3FE8FFB5A35}"/>
    <hyperlink ref="D1518" r:id="rId385" display="https://enzyme.expasy.org/EC/2.4.1.54" xr:uid="{DC66FC00-4F3C-6748-87DC-3D56B8B1E373}"/>
    <hyperlink ref="D1519" r:id="rId386" display="https://enzyme.expasy.org/EC/2.3.1.-" xr:uid="{F51CB253-EEED-7B45-9C74-3AC39A391246}"/>
    <hyperlink ref="D1522" r:id="rId387" display="https://enzyme.expasy.org/EC/1.-.-.-" xr:uid="{9EC1F86A-ABA5-AB40-8F4C-C7AC522E61BC}"/>
    <hyperlink ref="D1523" r:id="rId388" display="https://enzyme.expasy.org/EC/3.4.13.9" xr:uid="{C542ECC4-A6F2-5141-8423-D2D8C2EF8DF9}"/>
    <hyperlink ref="D1529" r:id="rId389" display="https://enzyme.expasy.org/EC/6.3.2.-" xr:uid="{A9F5FA12-4514-C543-8243-621CD34C98A4}"/>
    <hyperlink ref="D1531" r:id="rId390" display="https://enzyme.expasy.org/EC/3.4.-.-" xr:uid="{6415C54C-C2FF-8C4E-B024-66FF73711C0C}"/>
    <hyperlink ref="D1533" r:id="rId391" display="https://enzyme.expasy.org/EC/2.1.1.220" xr:uid="{7DBE56ED-E67D-8A43-8A8C-72CD252B528F}"/>
    <hyperlink ref="D1534" r:id="rId392" display="https://enzyme.expasy.org/EC/3.4.11.-" xr:uid="{AF803032-EFFF-8046-BE5F-27058DEFDEAF}"/>
    <hyperlink ref="D1536" r:id="rId393" display="https://enzyme.expasy.org/EC/6.3.4.3" xr:uid="{0AFA6C93-890C-9D45-9969-7D5D1689D601}"/>
    <hyperlink ref="D1538" r:id="rId394" display="https://enzyme.expasy.org/EC/4.3.1.1" xr:uid="{77FE2D4A-6A42-F04E-965A-785F28741749}"/>
    <hyperlink ref="D1539" r:id="rId395" display="https://enzyme.expasy.org/EC/2.4.2.17" xr:uid="{E913FD5E-D99A-4A4F-90EE-1AC85454A0FB}"/>
    <hyperlink ref="D1540" r:id="rId396" display="https://enzyme.expasy.org/EC/3.6.1.31" xr:uid="{CF580CA1-9256-124F-9EAA-6BC0634EDB69}"/>
    <hyperlink ref="D1541" r:id="rId397" display="https://enzyme.expasy.org/EC/3.1.3.-" xr:uid="{48FB403B-762A-1340-A49B-4333F5BB2F46}"/>
    <hyperlink ref="D1543" r:id="rId398" display="https://enzyme.expasy.org/EC/6.3.1.13" xr:uid="{0B837D87-1C8D-3949-9942-339B04A76123}"/>
    <hyperlink ref="D1544" r:id="rId399" display="https://enzyme.expasy.org/EC/3.6.1.27" xr:uid="{36AD1F0D-7DFE-2E46-BABE-F7CB11DE3C46}"/>
    <hyperlink ref="D1546" r:id="rId400" display="https://enzyme.expasy.org/EC/1.3.5.2" xr:uid="{28010687-B74D-FD45-A1B1-E8EB3C874297}"/>
    <hyperlink ref="D1558" r:id="rId401" display="https://enzyme.expasy.org/EC/4.2.1.3" xr:uid="{CBBEC382-5D53-EA4C-8C7D-D92FCD7DA4D5}"/>
    <hyperlink ref="D1564" r:id="rId402" display="https://enzyme.expasy.org/EC/3.2.-.-" xr:uid="{08043FFF-0478-4A48-A076-34897787191F}"/>
    <hyperlink ref="D1565" r:id="rId403" display="https://enzyme.expasy.org/EC/4.-.-.-" xr:uid="{93E45027-C50C-7F4D-AC84-B0E6BCA8A628}"/>
    <hyperlink ref="D1574" r:id="rId404" display="https://enzyme.expasy.org/EC/2.8.1.7" xr:uid="{E0F56008-85CB-5D4E-ADE4-19807E2BE329}"/>
    <hyperlink ref="D1580" r:id="rId405" display="https://enzyme.expasy.org/EC/3.6.3.-" xr:uid="{C433D827-980D-DC4B-BE21-E580902F6902}"/>
    <hyperlink ref="D1583" r:id="rId406" display="https://enzyme.expasy.org/EC/1.6.5.5" xr:uid="{B4568E63-D80F-534C-BB0C-3706485F7A0B}"/>
    <hyperlink ref="D1584" r:id="rId407" display="https://enzyme.expasy.org/EC/2.5.1.-" xr:uid="{A144426A-31DD-E84F-A750-C6FDAA7A4D47}"/>
    <hyperlink ref="D1590" r:id="rId408" display="https://enzyme.expasy.org/EC/2.2.1.1" xr:uid="{6BE085A3-D940-624C-B07B-BD2B489AB7AD}"/>
    <hyperlink ref="D1592" r:id="rId409" display="https://enzyme.expasy.org/EC/2.2.1.2" xr:uid="{910E8783-7B14-2E4E-99D4-F23B40E020B4}"/>
    <hyperlink ref="D1594" r:id="rId410" display="https://enzyme.expasy.org/EC/1.1.1.49" xr:uid="{94DBF5A8-34B0-314B-BDE2-F40D2C084ECA}"/>
    <hyperlink ref="D1596" r:id="rId411" display="https://enzyme.expasy.org/EC/3.1.1.31" xr:uid="{06BBFF66-E7C3-5741-9E17-5E5CB396104A}"/>
    <hyperlink ref="D1598" r:id="rId412" display="https://enzyme.expasy.org/EC/5.3.1.1" xr:uid="{D8EDB462-04C3-FA44-AD37-6D3FE8262C1F}"/>
    <hyperlink ref="D1599" r:id="rId413" display="https://enzyme.expasy.org/EC/2.7.2.3" xr:uid="{E546FAAA-5B8B-CD46-82D3-EC46B0CB9E70}"/>
    <hyperlink ref="D1600" r:id="rId414" display="https://enzyme.expasy.org/EC/1.2.1.12" xr:uid="{00D73D19-6938-784F-BC17-8C914986E935}"/>
    <hyperlink ref="D1607" r:id="rId415" display="https://enzyme.expasy.org/EC/2.5.1.78" xr:uid="{80A66528-B201-E24C-9C6A-F15707AFA05A}"/>
    <hyperlink ref="D1609" r:id="rId416" display="https://enzyme.expasy.org/EC/2.5.1.9" xr:uid="{3EA1DFCD-0EE9-3445-92BD-83488306D91E}"/>
    <hyperlink ref="D1611" r:id="rId417" display="https://enzyme.expasy.org/EC/5.1.3.1" xr:uid="{95590D1C-033D-6E48-A47D-BAF2A58156B5}"/>
    <hyperlink ref="D1612" r:id="rId418" display="https://enzyme.expasy.org/EC/2.1.1.176" xr:uid="{5CEB97A9-0303-7A4A-9447-D24B040A7152}"/>
    <hyperlink ref="D1613" r:id="rId419" display="https://enzyme.expasy.org/EC/2.1.2.9" xr:uid="{E727678C-FDA9-B84C-B5CB-D82B06DD6D44}"/>
    <hyperlink ref="D1615" r:id="rId420" display="https://enzyme.expasy.org/EC/3.5.1.88" xr:uid="{1F38B4F1-4DFB-DD47-A064-CEE7860E33A4}"/>
    <hyperlink ref="D1616" r:id="rId421" display="https://enzyme.expasy.org/EC/3.6.4.-" xr:uid="{FF1ACC53-A5DE-B242-AD01-7D89485141F6}"/>
    <hyperlink ref="D1618" r:id="rId422" display="https://enzyme.expasy.org/EC/2.5.1.6" xr:uid="{7DEA2E7F-F21E-0F43-B4D2-D024B1EDC630}"/>
    <hyperlink ref="D1625" r:id="rId423" display="https://enzyme.expasy.org/EC/2.7.7.6" xr:uid="{F5992266-4447-1D42-A8C7-7F5FB33178F5}"/>
    <hyperlink ref="D1628" r:id="rId424" display="https://enzyme.expasy.org/EC/2.7.4.8" xr:uid="{333D474F-7FDE-7446-BF33-A597B61C7618}"/>
    <hyperlink ref="D1636" r:id="rId425" display="https://enzyme.expasy.org/EC/6.3.5.5" xr:uid="{2077D330-E543-8D40-A896-33EE2ABC39E1}"/>
    <hyperlink ref="D1642" r:id="rId426" display="https://enzyme.expasy.org/EC/6.3.5.5" xr:uid="{DAB5D099-785A-1B4E-8A00-6D1D31EA2344}"/>
    <hyperlink ref="D1643" r:id="rId427" display="https://enzyme.expasy.org/EC/3.5.2.3" xr:uid="{DBA45676-BCC9-9B4C-8A2D-A4221E341F1B}"/>
    <hyperlink ref="D1644" r:id="rId428" display="https://enzyme.expasy.org/EC/2.1.3.2" xr:uid="{E4C3EEE0-FE67-8048-8990-9757CF7043F3}"/>
    <hyperlink ref="D1652" r:id="rId429" display="https://enzyme.expasy.org/EC/3.4.13.9" xr:uid="{D677C160-E9A9-6945-B732-8061DE660AF3}"/>
    <hyperlink ref="D1653" r:id="rId430" display="https://enzyme.expasy.org/EC/4.2.1.10" xr:uid="{9EB9F9D9-FAB0-3A4F-A2B4-5DFAFB6E7C7A}"/>
    <hyperlink ref="D1654" r:id="rId431" display="https://enzyme.expasy.org/EC/4.2.3.4" xr:uid="{AFDC2373-CEDA-9E4A-8312-2F755A824BF7}"/>
    <hyperlink ref="D1655" r:id="rId432" display="https://enzyme.expasy.org/EC/2.7.1.71" xr:uid="{A04E4044-0810-4B4D-AB10-BCDF3E14AB07}"/>
    <hyperlink ref="D1656" r:id="rId433" display="https://enzyme.expasy.org/EC/4.2.3.5" xr:uid="{E64C9528-8638-9645-82DE-F68FC42B26C2}"/>
    <hyperlink ref="D1658" r:id="rId434" display="https://enzyme.expasy.org/EC/1.1.1.25" xr:uid="{54CAB47A-7BF1-084C-8630-C450DDDA55F2}"/>
    <hyperlink ref="D1661" r:id="rId435" display="https://enzyme.expasy.org/EC/3.1.-.-" xr:uid="{D9DC5BBA-149E-4147-863A-0FBD7BFBFA2C}"/>
    <hyperlink ref="D1662" r:id="rId436" display="https://enzyme.expasy.org/EC/6.1.1.7" xr:uid="{D9149120-0458-9B4A-9CD9-021814AFFA7C}"/>
    <hyperlink ref="D1665" r:id="rId437" display="https://enzyme.expasy.org/EC/6.1.1.12" xr:uid="{411A64EE-DF34-554A-8EE8-E75877E06044}"/>
    <hyperlink ref="D1667" r:id="rId438" display="https://enzyme.expasy.org/EC/1.14.14.3" xr:uid="{9D4F6075-47F2-B24C-9119-C45E10FEC8DF}"/>
    <hyperlink ref="D1668" r:id="rId439" display="https://enzyme.expasy.org/EC/1.5.1.38" xr:uid="{38EBED44-28C8-244B-BC55-92B5E5B790C1}"/>
    <hyperlink ref="D1673" r:id="rId440" display="https://enzyme.expasy.org/EC/4.3.1.17" xr:uid="{0DCCAF9C-54D5-4F4A-A66A-82256DEC7120}"/>
    <hyperlink ref="D1674" r:id="rId441" display="https://enzyme.expasy.org/EC/6.1.1.21" xr:uid="{A18B7575-63B6-7242-8EF5-EB88AF9CBDF8}"/>
    <hyperlink ref="D1675" r:id="rId442" display="https://enzyme.expasy.org/EC/3.-.-.-" xr:uid="{E84D62BC-CC47-2B43-9932-9A61975D59E4}"/>
    <hyperlink ref="D1676" r:id="rId443" display="https://enzyme.expasy.org/EC/1.11.1.-" xr:uid="{E8F58A62-8A23-4047-A96F-A1891B4C26FA}"/>
    <hyperlink ref="D1677" r:id="rId444" display="https://enzyme.expasy.org/EC/5.2.1.8" xr:uid="{5638CE6E-FFD4-DB4A-9D54-F26C8EBE5657}"/>
    <hyperlink ref="D1678" r:id="rId445" display="https://enzyme.expasy.org/EC/1.15.1.1" xr:uid="{C2019ADD-B1D2-D74D-B0F9-29C01C8CFE06}"/>
    <hyperlink ref="D1683" r:id="rId446" display="https://enzyme.expasy.org/EC/3.1.31.-" xr:uid="{C0FEE0CB-6775-8745-96F2-53E94C509C46}"/>
    <hyperlink ref="D1686" r:id="rId447" display="https://enzyme.expasy.org/EC/2.4.2.7" xr:uid="{82DB2318-07C5-E742-B0C3-3B5E78043D0B}"/>
    <hyperlink ref="D1691" r:id="rId448" display="https://enzyme.expasy.org/EC/3.6.4.12" xr:uid="{9F247A23-F758-9C43-A60B-EBE2B63EA5FD}"/>
    <hyperlink ref="D1692" r:id="rId449" display="https://enzyme.expasy.org/EC/3.6.4.12" xr:uid="{EFD6FD7E-1CEF-2246-B187-84837B901199}"/>
    <hyperlink ref="D1693" r:id="rId450" display="https://enzyme.expasy.org/EC/3.1.22.4" xr:uid="{9DCD6722-D5BA-9C43-BE80-93E4B02B26AA}"/>
    <hyperlink ref="D1695" r:id="rId451" display="https://enzyme.expasy.org/EC/3.1.2.-" xr:uid="{6D669822-181E-FB45-8DE2-2EF100129BE6}"/>
    <hyperlink ref="D1699" r:id="rId452" display="https://enzyme.expasy.org/EC/2.4.1.345" xr:uid="{DF430E08-0063-6F41-A1C2-54CB592FF345}"/>
    <hyperlink ref="D1700" r:id="rId453" display="https://enzyme.expasy.org/EC/2.3.1.-" xr:uid="{94118925-10B5-D44A-BAE2-259F034D4778}"/>
    <hyperlink ref="D1701" r:id="rId454" display="https://enzyme.expasy.org/EC/2.7.8.11" xr:uid="{79DFDD4A-06BB-3A43-AF7F-37331AB9A773}"/>
    <hyperlink ref="D1703" r:id="rId455" display="https://enzyme.expasy.org/EC/2.7.7.53" xr:uid="{3AE1871A-DDDB-6C43-BCEA-B9A467FE4E99}"/>
    <hyperlink ref="D1704" r:id="rId456" display="https://enzyme.expasy.org/EC/6.1.1.3" xr:uid="{E6E23443-06EB-B54B-85E6-38DD0D50FC70}"/>
    <hyperlink ref="D1705" r:id="rId457" display="https://enzyme.expasy.org/EC/1.11.1.-" xr:uid="{840983E8-B703-C046-8E09-AE175D31240C}"/>
    <hyperlink ref="D1717" r:id="rId458" display="https://enzyme.expasy.org/EC/2.4.2.47" xr:uid="{6614FCF4-4AA0-DD43-9A37-9BF5AC6A651C}"/>
    <hyperlink ref="D1718" r:id="rId459" display="https://enzyme.expasy.org/EC/1.8.4.12" xr:uid="{3E7A3E5F-8EB9-3E4B-99D6-94993586D78C}"/>
    <hyperlink ref="D1719" r:id="rId460" display="https://enzyme.expasy.org/EC/1.13.11.49" xr:uid="{9D484504-FED3-744D-BCC7-F7E5F460DF5F}"/>
    <hyperlink ref="D1721" r:id="rId461" display="https://enzyme.expasy.org/EC/3.1.13.5" xr:uid="{5626DECE-640B-BA4B-9DCD-DC5AFBFF1328}"/>
    <hyperlink ref="D1722" r:id="rId462" display="https://enzyme.expasy.org/EC/2.2.1.7" xr:uid="{8F0D00CE-9925-0847-841D-421DF5DE1AD7}"/>
    <hyperlink ref="D1723" r:id="rId463" display="https://enzyme.expasy.org/EC/2.1.1.-" xr:uid="{5A60C774-D72F-3647-A0B0-B80785BFC9A8}"/>
    <hyperlink ref="D1727" r:id="rId464" display="https://enzyme.expasy.org/EC/3.6.1.23" xr:uid="{B9C2A9C7-D227-674E-9A12-A6086A5808BC}"/>
    <hyperlink ref="D1734" r:id="rId465" display="https://enzyme.expasy.org/EC/3.1.3.25" xr:uid="{393A12E7-33E7-7F43-8D3E-37DD8076CDCB}"/>
    <hyperlink ref="D1737" r:id="rId466" display="https://enzyme.expasy.org/EC/2.7.1.63" xr:uid="{6734192D-05CF-5A41-8625-71DE43FEA953}"/>
    <hyperlink ref="D1743" r:id="rId467" display="https://enzyme.expasy.org/EC/3.1.-.-" xr:uid="{0DDE72B5-C7A4-CF4D-BB78-79AF9AD46BE6}"/>
    <hyperlink ref="D1749" r:id="rId468" display="https://enzyme.expasy.org/EC/4.3.1.17" xr:uid="{8406AC70-2063-C446-AC31-363AF00768F2}"/>
    <hyperlink ref="D1755" r:id="rId469" display="https://enzyme.expasy.org/EC/5.1.3.2" xr:uid="{73FBE9F3-19F7-C943-9B86-A44B4E5D0939}"/>
    <hyperlink ref="D1759" r:id="rId470" display="https://enzyme.expasy.org/EC/1.11.1.24" xr:uid="{5A5D3CAC-D794-C74D-A002-9D16AA5ADAA5}"/>
    <hyperlink ref="D1760" r:id="rId471" display="https://enzyme.expasy.org/EC/1.11.1.24" xr:uid="{4285FA09-00EF-D948-B801-01C6AFF6B714}"/>
    <hyperlink ref="D1765" r:id="rId472" display="https://enzyme.expasy.org/EC/3.6.4.13" xr:uid="{BA7D0C00-BCDC-9847-855C-B8887F4C6B55}"/>
    <hyperlink ref="D1768" r:id="rId473" display="https://enzyme.expasy.org/EC/3.4.21.88" xr:uid="{E29C38B0-3B3B-E949-9F25-8C390411F2AE}"/>
    <hyperlink ref="D1770" r:id="rId474" display="https://enzyme.expasy.org/EC/2.7.3.9" xr:uid="{1F482041-EFAD-AB42-A1BE-8D4173D5B317}"/>
    <hyperlink ref="D1771" r:id="rId475" display="https://enzyme.expasy.org/EC/2.7.1.144" xr:uid="{9F55BB42-BCF3-6E48-A0AB-2FFCF03CB92A}"/>
    <hyperlink ref="D1773" r:id="rId476" display="https://enzyme.expasy.org/EC/2.7.11.-" xr:uid="{E01C6DC7-6A93-C94E-A416-9700B103496E}"/>
    <hyperlink ref="D1779" r:id="rId477" display="https://enzyme.expasy.org/EC/5.1.1.7" xr:uid="{AD691195-6151-D14E-9C07-8600866ACA41}"/>
    <hyperlink ref="D1780" r:id="rId478" display="https://enzyme.expasy.org/EC/2.5.1.75" xr:uid="{E8D524A6-E984-044B-AFB9-EF8ECA3D8024}"/>
    <hyperlink ref="D1785" r:id="rId479" display="https://enzyme.expasy.org/EC/2.-.-.-" xr:uid="{138E34ED-264D-C541-9DA8-F20A0E52805E}"/>
    <hyperlink ref="D1790" r:id="rId480" display="https://enzyme.expasy.org/EC/3.6.3.-" xr:uid="{945F1412-20D5-D84A-92B2-5BC1FCB934E9}"/>
    <hyperlink ref="D1795" r:id="rId481" display="https://enzyme.expasy.org/EC/2.7.8.5" xr:uid="{0CAF1FFC-AC61-A244-8C06-C7FDD8EEBFA3}"/>
    <hyperlink ref="D1800" r:id="rId482" display="https://enzyme.expasy.org/EC/3.1.-.-" xr:uid="{57F89D12-AA8B-C948-98CE-D54C722CED7D}"/>
    <hyperlink ref="D1801" r:id="rId483" display="https://enzyme.expasy.org/EC/4.3.3.7" xr:uid="{B5B3761B-D5D3-8F4E-892D-F092589B7E1D}"/>
    <hyperlink ref="D1802" r:id="rId484" display="https://enzyme.expasy.org/EC/2.1.1.148" xr:uid="{623C7ACA-A7D5-5041-BCAD-F7E21322F0BE}"/>
    <hyperlink ref="D1803" r:id="rId485" display="https://enzyme.expasy.org/EC/1.17.1.8" xr:uid="{B3287D29-0E2B-F54E-BD75-1E741C08CA38}"/>
    <hyperlink ref="D1810" r:id="rId486" display="https://enzyme.expasy.org/EC/2.7.7.8" xr:uid="{43F047E1-4DE4-DA45-80C1-4D6BF7196CFB}"/>
    <hyperlink ref="D1812" r:id="rId487" display="https://enzyme.expasy.org/EC/3.2.-.-" xr:uid="{E2455769-5EDE-BF44-B1AE-56CF913AA062}"/>
    <hyperlink ref="D1814" r:id="rId488" display="https://enzyme.expasy.org/EC/5.4.99.25" xr:uid="{B582F243-4407-EF41-B9A4-DA203F0D9DD6}"/>
    <hyperlink ref="D1815" r:id="rId489" display="https://enzyme.expasy.org/EC/2.7.8.7" xr:uid="{7810D912-EFCA-DF47-8ED9-4AC8DA811509}"/>
    <hyperlink ref="D1818" r:id="rId490" display="https://enzyme.expasy.org/EC/3.1.-.-" xr:uid="{4A863486-6781-D94D-B86C-6C9A548F7E26}"/>
    <hyperlink ref="D1825" r:id="rId491" display="https://enzyme.expasy.org/EC/3.-.-.-" xr:uid="{F73334FB-DB30-C94E-A0B0-DBCF4B08E73A}"/>
    <hyperlink ref="D1827" r:id="rId492" display="https://enzyme.expasy.org/EC/6.1.1.15" xr:uid="{61357131-EF22-384D-BC47-C6EB7AC93CA8}"/>
    <hyperlink ref="D1830" r:id="rId493" display="https://enzyme.expasy.org/EC/3.6.3.-" xr:uid="{26D5AD4F-9F92-DC43-9998-B92ACB68D768}"/>
    <hyperlink ref="D1832" r:id="rId494" display="https://enzyme.expasy.org/EC/2.7.13.3" xr:uid="{C002FF8A-6A3E-9744-B967-DB751E429D40}"/>
    <hyperlink ref="D1833" r:id="rId495" display="https://enzyme.expasy.org/EC/5.1.-.-" xr:uid="{358F1FB2-9AA8-8C4B-947A-3F5DB43142DF}"/>
    <hyperlink ref="D1837" r:id="rId496" display="https://enzyme.expasy.org/EC/1.1.5.4" xr:uid="{3785A195-51DF-DA4F-9BF4-0407B100CD96}"/>
    <hyperlink ref="D1842" r:id="rId497" display="https://enzyme.expasy.org/EC/1.8.1.15" xr:uid="{1B1CE44E-A5BD-3A46-B225-AA91CF271073}"/>
    <hyperlink ref="D1843" r:id="rId498" display="https://enzyme.expasy.org/EC/3.4.11.18" xr:uid="{4CC0CD07-8019-CC42-9638-5453BAA5E175}"/>
    <hyperlink ref="D1845" r:id="rId499" display="https://enzyme.expasy.org/EC/1.17.7.1" xr:uid="{C66FCC08-D1EF-C044-9F34-11880B37769E}"/>
    <hyperlink ref="D1846" r:id="rId500" display="https://enzyme.expasy.org/EC/3.4.24.-" xr:uid="{40C73DD0-3E30-1F4F-B832-E7CE796DDEF9}"/>
    <hyperlink ref="D1847" r:id="rId501" display="https://enzyme.expasy.org/EC/1.1.1.267" xr:uid="{DB33B52D-ACBD-2B44-9A89-57BD1E937209}"/>
    <hyperlink ref="D1849" r:id="rId502" display="https://enzyme.expasy.org/EC/2.1.1.-" xr:uid="{C921E214-5895-1D46-B19E-1FCAB4DDDC5F}"/>
    <hyperlink ref="D1851" r:id="rId503" display="https://enzyme.expasy.org/EC/2.7.7.41" xr:uid="{7B2DF165-3316-EF40-862E-69D6C97F1AE2}"/>
    <hyperlink ref="D1853" r:id="rId504" display="https://enzyme.expasy.org/EC/2.7.4.22" xr:uid="{0C7DCEC2-C926-2443-93E4-1A5E9FC82977}"/>
    <hyperlink ref="D1862" r:id="rId505" display="https://enzyme.expasy.org/EC/3.1.26.4" xr:uid="{B1CE9F19-1CCE-104B-AE50-2624951A4C31}"/>
    <hyperlink ref="D1863" r:id="rId506" display="https://enzyme.expasy.org/EC/3.4.21.89" xr:uid="{91E38425-E68B-984B-B768-8FE9780ADF35}"/>
    <hyperlink ref="D1864" r:id="rId507" display="https://enzyme.expasy.org/EC/3.4.21.89" xr:uid="{7934FCD2-0A6C-A647-9F41-8AFF6F813CC8}"/>
    <hyperlink ref="D1870" r:id="rId508" display="https://enzyme.expasy.org/EC/2.1.1.228" xr:uid="{D168A8F0-E992-3C48-9FE2-CFF51E801383}"/>
    <hyperlink ref="D1875" r:id="rId509" display="https://enzyme.expasy.org/EC/2.3.1.-" xr:uid="{C7D8E198-DB8A-CE48-B110-AC7A78BCF78A}"/>
    <hyperlink ref="D1890" r:id="rId510" display="https://enzyme.expasy.org/EC/3.6.1.7" xr:uid="{BF35CF77-719E-DD45-9062-9595D7E9BCD8}"/>
    <hyperlink ref="D1892" r:id="rId511" display="https://enzyme.expasy.org/EC/3.2.2.23" xr:uid="{03BB8E4B-B111-C04D-B192-6EE6FA120C55}"/>
    <hyperlink ref="D1893" r:id="rId512" display="https://enzyme.expasy.org/EC/3.1.26.3" xr:uid="{F8DE5B3A-DAA4-3146-9FEE-A1220F34B773}"/>
    <hyperlink ref="D1899" r:id="rId513" display="https://enzyme.expasy.org/EC/1.4.1.2" xr:uid="{E238ADE1-CC39-F94F-AF86-853F88BD11D7}"/>
    <hyperlink ref="D1900" r:id="rId514" display="https://enzyme.expasy.org/EC/2.7.1.165" xr:uid="{04FB7E0F-A1D3-F34E-AF73-EAE5935591BD}"/>
    <hyperlink ref="D1902" r:id="rId515" display="https://enzyme.expasy.org/EC/3.-.-.-" xr:uid="{85CBBCE3-6B65-DC4F-82C7-37E43F3C10BF}"/>
    <hyperlink ref="D1910" r:id="rId516" display="https://enzyme.expasy.org/EC/2.7.1.40" xr:uid="{FA93E2EF-267D-4E43-9E65-BBBB903B5650}"/>
    <hyperlink ref="D1911" r:id="rId517" display="https://enzyme.expasy.org/EC/2.4.99.-" xr:uid="{B3AC4994-A772-1B47-A4DF-5CF2BB2D1B2E}"/>
    <hyperlink ref="D1912" r:id="rId518" display="https://enzyme.expasy.org/EC/4.1.1.48" xr:uid="{DABBD1FF-06B3-4148-AD8B-E46293F7EAE1}"/>
    <hyperlink ref="D1915" r:id="rId519" display="https://enzyme.expasy.org/EC/4.1.3.-" xr:uid="{CA1B05A3-7B21-B44D-AD09-F5FBC2852992}"/>
    <hyperlink ref="D1919" r:id="rId520" display="https://enzyme.expasy.org/EC/3.1.3.25" xr:uid="{16B40265-57BD-294E-8FB1-FE4E52915E40}"/>
    <hyperlink ref="D1920" r:id="rId521" display="https://enzyme.expasy.org/EC/5.3.1.16" xr:uid="{8141AD54-E918-A045-A27A-5FE0E2E5AFEF}"/>
    <hyperlink ref="D1921" r:id="rId522" display="https://enzyme.expasy.org/EC/2.4.2.-" xr:uid="{BD2F76D5-474E-714C-B451-212ECABB604F}"/>
    <hyperlink ref="D1924" r:id="rId523" display="https://enzyme.expasy.org/EC/4.2.1.19" xr:uid="{B93AE0B8-FB05-9944-9381-6D3A31B9A374}"/>
    <hyperlink ref="D1927" r:id="rId524" display="https://enzyme.expasy.org/EC/2.6.1.9" xr:uid="{D618F667-3CEC-7842-B350-BDBC2A92217D}"/>
    <hyperlink ref="D1930" r:id="rId525" display="https://enzyme.expasy.org/EC/1.1.1.23" xr:uid="{853ADE4B-8058-3245-B863-EFBFDE69D933}"/>
    <hyperlink ref="D1940" r:id="rId526" display="https://enzyme.expasy.org/EC/2.7.7.7" xr:uid="{7A50F141-C736-F547-A613-0FC82AD78F2C}"/>
    <hyperlink ref="D1942" r:id="rId527" display="https://enzyme.expasy.org/EC/2.7.6.5" xr:uid="{4566B5FF-F00A-764A-BAC5-B3FADFC66E50}"/>
    <hyperlink ref="D1950" r:id="rId528" display="https://enzyme.expasy.org/EC/4.3.1.19" xr:uid="{B89E0A33-E481-0443-BB5F-75D44547B34A}"/>
    <hyperlink ref="D1958" r:id="rId529" display="https://enzyme.expasy.org/EC/2.7.7.7" xr:uid="{8824FE8A-4249-4F49-88F3-506F9F7AB79C}"/>
    <hyperlink ref="D1962" r:id="rId530" display="https://enzyme.expasy.org/EC/5.4.99.23" xr:uid="{CB2B3D93-BDAD-FC48-AC4C-75FA69903BAE}"/>
    <hyperlink ref="D1963" r:id="rId531" display="https://enzyme.expasy.org/EC/3.4.23.36" xr:uid="{6D7D4956-914C-CA48-BD61-E9E58ABBBA65}"/>
    <hyperlink ref="D1967" r:id="rId532" display="https://enzyme.expasy.org/EC/3.5.1.1" xr:uid="{F85D6933-8D49-974C-9C05-A3E358472331}"/>
    <hyperlink ref="D1973" r:id="rId533" display="https://enzyme.expasy.org/EC/2.7.7.7" xr:uid="{4F95DFD2-FEE1-534B-920E-0FFF49AE963E}"/>
    <hyperlink ref="D1979" r:id="rId534" display="https://enzyme.expasy.org/EC/6.1.1.5" xr:uid="{F968FA5E-523F-0D42-ABAC-08B533C98260}"/>
    <hyperlink ref="D1989" r:id="rId535" display="https://enzyme.expasy.org/EC/6.3.2.8" xr:uid="{D7964DD9-8594-FD46-9C60-70BFB777B27E}"/>
    <hyperlink ref="D1994" r:id="rId536" display="https://enzyme.expasy.org/EC/2.4.1.227" xr:uid="{B77A9D6D-E489-3B45-A81D-CB5651659723}"/>
    <hyperlink ref="D1996" r:id="rId537" display="https://enzyme.expasy.org/EC/6.3.2.9" xr:uid="{3BBC5533-B19B-354A-9F5A-A2D5E802EB32}"/>
    <hyperlink ref="D1998" r:id="rId538" display="https://enzyme.expasy.org/EC/2.7.8.13" xr:uid="{7DC5A59E-AE26-2B46-83DE-E9CFECD44428}"/>
    <hyperlink ref="D2000" r:id="rId539" display="https://enzyme.expasy.org/EC/6.3.2.10" xr:uid="{660FF8B0-95C0-FC4F-BA50-5A21D44A3E30}"/>
    <hyperlink ref="D2001" r:id="rId540" display="https://enzyme.expasy.org/EC/6.3.2.13" xr:uid="{6AC508B8-DE49-7041-AFF7-46EBD70AF57F}"/>
    <hyperlink ref="D2005" r:id="rId541" display="https://enzyme.expasy.org/EC/2.4.1.129" xr:uid="{C0D70435-2776-AD42-86BA-2F19EA548D99}"/>
    <hyperlink ref="D2007" r:id="rId542" display="https://enzyme.expasy.org/EC/2.1.1.199" xr:uid="{DDA68F66-EA72-E744-9B3F-994CE57F3218}"/>
    <hyperlink ref="D2012" r:id="rId543" display="https://enzyme.expasy.org/EC/2.5.1.10" xr:uid="{536FA6CA-9884-5144-AE00-73406E123C4B}"/>
    <hyperlink ref="D2016" r:id="rId544" display="https://enzyme.expasy.org/EC/2.7.11.1" xr:uid="{A83485CE-0285-3B44-BEF9-85F0BDC7D220}"/>
    <hyperlink ref="D2017" r:id="rId545" display="https://enzyme.expasy.org/EC/2.5.1.54" xr:uid="{D9DF447B-FC14-3A42-B4EB-552C30807558}"/>
    <hyperlink ref="D2018" r:id="rId546" display="https://enzyme.expasy.org/EC/3.1.13.-" xr:uid="{F5263496-2724-A444-8F34-0558A6A2DC1B}"/>
    <hyperlink ref="D2019" r:id="rId547" display="https://enzyme.expasy.org/EC/2.4.1.-" xr:uid="{2C65876B-9DC4-2E48-90C2-5BF45F9534CD}"/>
    <hyperlink ref="D2026" r:id="rId548" display="https://enzyme.expasy.org/EC/2.4.1.345" xr:uid="{9FC90D37-5A89-A441-81A8-E57F372605C6}"/>
    <hyperlink ref="D2027" r:id="rId549" display="https://enzyme.expasy.org/EC/3.4.-.-" xr:uid="{F680DFCB-D7A9-8045-92C5-0F81D6D94DA7}"/>
    <hyperlink ref="D2028" r:id="rId550" display="https://enzyme.expasy.org/EC/3.4.-.-" xr:uid="{19E18617-5A21-0B49-9182-16EE298EEF70}"/>
    <hyperlink ref="D2031" r:id="rId551" display="https://enzyme.expasy.org/EC/1.20.9.1" xr:uid="{99A3B87A-C75C-3C42-A10F-0F6A37AD36A4}"/>
    <hyperlink ref="D2034" r:id="rId552" display="https://enzyme.expasy.org/EC/7.1.1.9" xr:uid="{544B569D-17D3-E142-AB33-B875D4D88373}"/>
    <hyperlink ref="D2036" r:id="rId553" display="https://enzyme.expasy.org/EC/7.1.1.9" xr:uid="{34412B3D-B88F-4647-955E-5CADBEFE5529}"/>
    <hyperlink ref="D2038" r:id="rId554" display="https://enzyme.expasy.org/EC/7.1.1.9" xr:uid="{ABE9CD4D-1725-E448-BC23-5F72099C2852}"/>
    <hyperlink ref="D2041" r:id="rId555" display="https://enzyme.expasy.org/EC/6.3.5.4" xr:uid="{00E3204B-B9C8-984C-ADC1-C055C495D484}"/>
    <hyperlink ref="D2044" r:id="rId556" display="https://enzyme.expasy.org/EC/2.4.2.21" xr:uid="{64854172-0894-6046-9A71-A32D1B92B09F}"/>
    <hyperlink ref="D2048" r:id="rId557" display="https://enzyme.expasy.org/EC/2.6.1.42" xr:uid="{E4B36D4C-C591-EC4C-B28C-0E4A4254A25B}"/>
    <hyperlink ref="D2050" r:id="rId558" display="https://enzyme.expasy.org/EC/3.4.11.1" xr:uid="{6722637C-0A74-F54C-A3D4-E1D015CF3FBE}"/>
    <hyperlink ref="D2053" r:id="rId559" display="https://enzyme.expasy.org/EC/2.3.1.12" xr:uid="{3D9BBE5B-1B81-2542-A7EC-FC6F3B4EB3A1}"/>
    <hyperlink ref="D2054" r:id="rId560" display="https://enzyme.expasy.org/EC/1.4.4.2" xr:uid="{DBC728A1-351C-3348-8034-BF548FE40B1C}"/>
    <hyperlink ref="D2056" r:id="rId561" display="https://enzyme.expasy.org/EC/2.1.2.10" xr:uid="{EBE4BD86-CC4F-A94C-B5DE-EF346D9A6393}"/>
    <hyperlink ref="D2061" r:id="rId562" display="https://enzyme.expasy.org/EC/2.3.1.181" xr:uid="{586364B2-C2D0-5242-B09B-7190A711396C}"/>
    <hyperlink ref="D2064" r:id="rId563" display="https://enzyme.expasy.org/EC/2.8.1.8" xr:uid="{C1F1151E-718E-3745-8486-A372AB891EFD}"/>
    <hyperlink ref="D2067" r:id="rId564" display="https://enzyme.expasy.org/EC/6.3.1.2" xr:uid="{9BDE866A-D7D3-BF4B-8AE2-411BBD7D0583}"/>
    <hyperlink ref="D2075" r:id="rId565" display="https://enzyme.expasy.org/EC/4.2.3.1" xr:uid="{73102194-BF13-8543-963A-6BCECAE90ECF}"/>
    <hyperlink ref="D2077" r:id="rId566" display="https://enzyme.expasy.org/EC/7.6.2.8" xr:uid="{9191B89F-A74E-0746-AE3B-C3272EA54F66}"/>
    <hyperlink ref="D2081" r:id="rId567" display="https://enzyme.expasy.org/EC/2.7.7.42" xr:uid="{46F855D4-F8D6-B742-B566-32A59339C2C9}"/>
    <hyperlink ref="D2082" r:id="rId568" display="https://enzyme.expasy.org/EC/6.3.1.2" xr:uid="{CABCBBF2-29A1-884F-AB57-7E6D7BE66F35}"/>
    <hyperlink ref="D2106" r:id="rId569" display="https://enzyme.expasy.org/EC/1.1.1.1" xr:uid="{647D7F76-FFB7-4648-8A7D-0FA86C692E3C}"/>
    <hyperlink ref="D2108" r:id="rId570" display="https://enzyme.expasy.org/EC/3.1.3.3" xr:uid="{21B5DA82-B605-104C-BBBA-98D6E3B290FF}"/>
    <hyperlink ref="D2114" r:id="rId571" display="https://enzyme.expasy.org/EC/3.5.4.16" xr:uid="{52BC49B5-0956-F34B-A0B2-C39B7A571304}"/>
    <hyperlink ref="D2115" r:id="rId572" display="https://enzyme.expasy.org/EC/3.1.3.48" xr:uid="{2856B837-C84A-E649-A358-C0D21386BE6A}"/>
    <hyperlink ref="D2121" r:id="rId573" display="https://enzyme.expasy.org/EC/1.2.4.1" xr:uid="{B82AF0F0-E86D-8242-AC7C-954BC118B4F9}"/>
    <hyperlink ref="D2137" r:id="rId574" display="https://enzyme.expasy.org/EC/3.1.3.5" xr:uid="{53300D1F-CBF1-E944-B0D6-76DCF634BA1C}"/>
    <hyperlink ref="D2141" r:id="rId575" display="https://enzyme.expasy.org/EC/1.-.-.-" xr:uid="{B4A0973F-2C1C-1344-94EC-5A4B70406085}"/>
    <hyperlink ref="D2147" r:id="rId576" display="https://enzyme.expasy.org/EC/3.1.-.-" xr:uid="{E62EC788-2A5E-0546-885E-0380D0F06070}"/>
    <hyperlink ref="D2148" r:id="rId577" display="https://enzyme.expasy.org/EC/3.1.-.-" xr:uid="{727BA674-96B7-3847-9871-C17F03294744}"/>
    <hyperlink ref="D2153" r:id="rId578" display="https://enzyme.expasy.org/EC/3.1.-.-" xr:uid="{7EDC760F-09E3-CB41-9448-DC2934B97B2F}"/>
    <hyperlink ref="D2161" r:id="rId579" display="https://enzyme.expasy.org/EC/2.3.1.47" xr:uid="{3B352228-F84D-4843-A012-4D8A16AC7E27}"/>
    <hyperlink ref="D2162" r:id="rId580" display="https://enzyme.expasy.org/EC/6.2.1.14" xr:uid="{278C647A-E801-E448-AD8B-D856558679BA}"/>
    <hyperlink ref="D2168" r:id="rId581" display="https://enzyme.expasy.org/EC/1.2.1.79" xr:uid="{85E2F981-A563-764F-9B17-22EB8ED9E73F}"/>
    <hyperlink ref="D2171" r:id="rId582" display="https://enzyme.expasy.org/EC/1.-.-.-" xr:uid="{F6638E07-E0AD-5744-86E9-C7478B551832}"/>
    <hyperlink ref="D2173" r:id="rId583" display="https://enzyme.expasy.org/EC/6.3.4.14" xr:uid="{40D86982-A666-8E45-A266-500C2FC3C9DE}"/>
    <hyperlink ref="D2175" r:id="rId584" display="https://enzyme.expasy.org/EC/6.4.1.7" xr:uid="{7DB55D33-749B-DA4C-99E3-078DA01721C3}"/>
    <hyperlink ref="D2178" r:id="rId585" display="https://enzyme.expasy.org/EC/2.8.3.5" xr:uid="{A8969D09-D0AE-4A40-823A-DD8BECD36000}"/>
    <hyperlink ref="D2180" r:id="rId586" display="https://enzyme.expasy.org/EC/2.8.3.5" xr:uid="{FA8EAADA-7D00-1946-954E-E2E179803807}"/>
    <hyperlink ref="D2184" r:id="rId587" display="https://enzyme.expasy.org/EC/2.3.1.9" xr:uid="{509B2A2F-00F6-1F47-9D46-A95EF4B40926}"/>
    <hyperlink ref="D2187" r:id="rId588" display="https://enzyme.expasy.org/EC/2.7.7.-" xr:uid="{CE548817-8FB1-8641-85C0-4F38DE346F58}"/>
    <hyperlink ref="D2188" r:id="rId589" display="https://enzyme.expasy.org/EC/4.6.1.24" xr:uid="{5229A273-E233-AD42-95A0-8132756AB6F8}"/>
    <hyperlink ref="D2190" r:id="rId590" display="https://enzyme.expasy.org/EC/3.1.5.1" xr:uid="{55270F32-E4A5-7D4C-AFC0-3E102E6E491E}"/>
    <hyperlink ref="D2195" r:id="rId591" display="https://enzyme.expasy.org/EC/6.1.1.14" xr:uid="{DE674719-7B47-0D42-8375-E2DC5219761E}"/>
    <hyperlink ref="D2198" r:id="rId592" display="https://enzyme.expasy.org/EC/2.5.1.88" xr:uid="{4C174087-7CCE-BF44-87F1-8BB8F9F30A88}"/>
    <hyperlink ref="D2202" r:id="rId593" display="https://enzyme.expasy.org/EC/3.5.1.49" xr:uid="{9504586C-A618-0544-81FF-69E22A29DAF3}"/>
    <hyperlink ref="D2205" r:id="rId594" display="https://enzyme.expasy.org/EC/2.7.1.35" xr:uid="{8024EF4F-88D4-224E-8EC2-4181DCC3A047}"/>
    <hyperlink ref="D2206" r:id="rId595" display="https://enzyme.expasy.org/EC/3.1.-.-" xr:uid="{48AFB14A-6095-2542-B3EE-120679FA35A3}"/>
    <hyperlink ref="D2208" r:id="rId596" display="https://enzyme.expasy.org/EC/2.1.1.193" xr:uid="{98F35DD4-0D45-BA45-B569-A46161A3FC57}"/>
    <hyperlink ref="D2211" r:id="rId597" display="https://enzyme.expasy.org/EC/1.3.98.3" xr:uid="{B4CCEDA6-8AF3-A44F-87B2-DFA7E1D8BECD}"/>
    <hyperlink ref="D2218" r:id="rId598" display="https://enzyme.expasy.org/EC/6.2.1.3" xr:uid="{09B68DF6-803B-B54F-BBDF-8ED073BF98EB}"/>
    <hyperlink ref="D2229" r:id="rId599" display="https://enzyme.expasy.org/EC/3.1.1.1" xr:uid="{52186B3F-A987-5C4B-B5E5-47F5B393BE6E}"/>
    <hyperlink ref="D2230" r:id="rId600" display="https://enzyme.expasy.org/EC/5.3.3.2" xr:uid="{A41557E9-B54E-924E-94F8-457C9612DE6B}"/>
    <hyperlink ref="D2232" r:id="rId601" display="https://enzyme.expasy.org/EC/3.6.3.-" xr:uid="{E69A77C0-3BE1-A945-ABEE-A0234790A446}"/>
    <hyperlink ref="D2240" r:id="rId602" display="https://enzyme.expasy.org/EC/4.4.1.8" xr:uid="{264E4D1D-062D-2A4F-A1E5-CE4B7F1ED83C}"/>
    <hyperlink ref="D2245" r:id="rId603" display="https://enzyme.expasy.org/EC/1.14.13.107" xr:uid="{FB86E2E1-C487-DC44-9E94-FBB08F25214A}"/>
    <hyperlink ref="D2249" r:id="rId604" display="https://enzyme.expasy.org/EC/3.6.3.-" xr:uid="{D7F2439F-4C70-6D44-B7FA-AED40DCD521D}"/>
    <hyperlink ref="D2254" r:id="rId605" display="https://enzyme.expasy.org/EC/3.-.-.-" xr:uid="{8D6E662E-D764-BC43-ADF3-25B73317576F}"/>
    <hyperlink ref="D2256" r:id="rId606" display="https://enzyme.expasy.org/EC/1.11.1.-" xr:uid="{1711D2B6-2F50-CD45-8C6C-D690023DE080}"/>
    <hyperlink ref="D2262" r:id="rId607" display="https://enzyme.expasy.org/EC/3.1.4.3" xr:uid="{B0B9BCF6-DCC5-AC4A-9087-C87BDD2E9014}"/>
    <hyperlink ref="D2263" r:id="rId608" display="https://enzyme.expasy.org/EC/3.6.5.-" xr:uid="{A6898353-3D9D-D849-9B55-151136F8E3BE}"/>
    <hyperlink ref="D2267" r:id="rId609" display="https://enzyme.expasy.org/EC/2.1.1.72" xr:uid="{E16B1FCF-2D28-354C-993C-D058F0A169E6}"/>
    <hyperlink ref="D2275" r:id="rId610" display="https://enzyme.expasy.org/EC/3.1.3.-" xr:uid="{6F3AFECA-3284-7A44-8886-BFDCCC775E93}"/>
    <hyperlink ref="D2278" r:id="rId611" display="https://enzyme.expasy.org/EC/2.7.7.18" xr:uid="{7EF48739-9A8F-0E49-B075-7C6A47D1AFEE}"/>
    <hyperlink ref="D2280" r:id="rId612" display="https://enzyme.expasy.org/EC/1.2.1.41" xr:uid="{64837070-B9E7-224D-819A-98DF1B3E9CFC}"/>
    <hyperlink ref="D2282" r:id="rId613" display="https://enzyme.expasy.org/EC/3.6.3.-" xr:uid="{B23F5880-F55D-5040-AB51-4B9DF63F09B1}"/>
    <hyperlink ref="D2288" r:id="rId614" display="https://enzyme.expasy.org/EC/1.1.1.79" xr:uid="{48F1DAF5-C44F-BF4E-88CE-55E777D27FCD}"/>
    <hyperlink ref="D2289" r:id="rId615" display="https://enzyme.expasy.org/EC/2.7.2.11" xr:uid="{FAF04C90-791C-EE48-91F7-8433185E851F}"/>
    <hyperlink ref="D2296" r:id="rId616" display="https://enzyme.expasy.org/EC/3.1.26.12" xr:uid="{C7C3937B-F4FB-0646-B1B0-1B056FD5FF62}"/>
    <hyperlink ref="D2315" r:id="rId617" display="https://enzyme.expasy.org/EC/2.7.4.6" xr:uid="{B2B3C28E-9B0B-DC42-9DEF-6BFDA9623157}"/>
    <hyperlink ref="D2322" r:id="rId618" display="https://enzyme.expasy.org/EC/6.3.2.17" xr:uid="{48BDB652-0ED5-4345-85D2-E86389B630C3}"/>
    <hyperlink ref="D2323" r:id="rId619" display="https://enzyme.expasy.org/EC/6.1.1.9" xr:uid="{43AAF87E-35F7-1D42-8C32-11166EA211C8}"/>
    <hyperlink ref="D2325" r:id="rId620" display="https://enzyme.expasy.org/EC/2.1.2.11" xr:uid="{40C5B7B1-48FF-854C-941B-8581703DF571}"/>
    <hyperlink ref="D2326" r:id="rId621" display="https://enzyme.expasy.org/EC/6.3.2.1" xr:uid="{F41FA97F-9C63-594A-9CA9-A160AA7E3B69}"/>
    <hyperlink ref="D2328" r:id="rId622" display="https://enzyme.expasy.org/EC/1.1.1.37" xr:uid="{56FA024F-616B-DE4C-A9F5-040C71C7F92A}"/>
    <hyperlink ref="D2331" r:id="rId623" display="https://enzyme.expasy.org/EC/1.1.1.311" xr:uid="{B7B45EE5-C1F9-4947-AC45-7185CED9803D}"/>
    <hyperlink ref="D2336" r:id="rId624" display="https://enzyme.expasy.org/EC/3.4.21.92" xr:uid="{3CD6F14A-27AB-414A-A4CC-DB25392AB58F}"/>
    <hyperlink ref="D2337" r:id="rId625" display="https://enzyme.expasy.org/EC/3.4.21.92" xr:uid="{032E8B1D-1F95-C548-BE75-3AAFFEEF499B}"/>
    <hyperlink ref="D2338" r:id="rId626" display="https://enzyme.expasy.org/EC/5.2.1.8" xr:uid="{F52D32E0-A9A7-2546-A731-66777A726BB6}"/>
    <hyperlink ref="D2343" r:id="rId627" display="https://enzyme.expasy.org/EC/1.1.1.346" xr:uid="{D84A5185-5F5D-984C-BB8C-041229743DBE}"/>
    <hyperlink ref="D2345" r:id="rId628" display="https://enzyme.expasy.org/EC/5.3.1.6" xr:uid="{1C3DCE79-B95A-A348-91A7-7BD3CD779DC3}"/>
    <hyperlink ref="D2349" r:id="rId629" display="https://enzyme.expasy.org/EC/3.4.11.2" xr:uid="{65AC514D-A0DF-2D40-BEB0-8E2B5DF258FE}"/>
    <hyperlink ref="D2350" r:id="rId630" display="https://enzyme.expasy.org/EC/1.-.-.-" xr:uid="{98F05C5C-8AFC-C142-8C89-7493C7936C98}"/>
    <hyperlink ref="D2359" r:id="rId631" display="https://enzyme.expasy.org/EC/2.5.1.48" xr:uid="{0E3A01BE-4856-224D-9565-2A2D91F0B6AC}"/>
    <hyperlink ref="D2365" r:id="rId632" display="https://enzyme.expasy.org/EC/1.4.1.1" xr:uid="{A67975CA-F160-A840-B403-9ADB48B1ED2B}"/>
    <hyperlink ref="D2383" r:id="rId633" display="https://enzyme.expasy.org/EC/1.1.1.100" xr:uid="{D4E874CE-F3CE-F64D-AC05-A20264B385E4}"/>
    <hyperlink ref="D2385" r:id="rId634" display="https://enzyme.expasy.org/EC/3.1.-.-" xr:uid="{55EA79BE-FBE4-E548-9D93-C7942B6C69E8}"/>
    <hyperlink ref="D2390" r:id="rId635" display="https://enzyme.expasy.org/EC/1.14.13.107" xr:uid="{FAEAE8B5-07D3-D848-9FEE-2E7FE4174A30}"/>
    <hyperlink ref="D2391" r:id="rId636" display="https://enzyme.expasy.org/EC/2.-.-.-" xr:uid="{2BFD6850-BA14-9D42-875E-491874435534}"/>
    <hyperlink ref="D2393" r:id="rId637" display="https://enzyme.expasy.org/EC/7.2.2.16" xr:uid="{5E5DAC1B-0322-0F49-8B25-0BBECFFA5F51}"/>
    <hyperlink ref="D2398" r:id="rId638" display="https://enzyme.expasy.org/EC/3.5.1.2" xr:uid="{DFF4FAFD-998A-3441-86EB-4BDD1B36394F}"/>
    <hyperlink ref="D2400" r:id="rId639" display="https://enzyme.expasy.org/EC/1.11.1.24" xr:uid="{26CA266F-9F9C-E346-A95F-9756257002F1}"/>
    <hyperlink ref="D2405" r:id="rId640" display="https://enzyme.expasy.org/EC/6.3.3.3" xr:uid="{4C4B5F04-D542-034D-9D67-6ED7E8696ED8}"/>
    <hyperlink ref="D2406" r:id="rId641" display="https://enzyme.expasy.org/EC/2.6.1.62" xr:uid="{78835450-C363-C74A-B3E2-2EF16212FEB2}"/>
    <hyperlink ref="D2409" r:id="rId642" display="https://enzyme.expasy.org/EC/3.4.11.5" xr:uid="{067249FC-A331-B448-A258-F9EF0360CE44}"/>
    <hyperlink ref="D2410" r:id="rId643" display="https://enzyme.expasy.org/EC/1.97.1.4" xr:uid="{1A40A5FD-6A17-EC4E-8DD9-FB68151B2698}"/>
    <hyperlink ref="D2412" r:id="rId644" display="https://enzyme.expasy.org/EC/2.3.1.54" xr:uid="{049D5EC1-59EA-3445-8474-09E5F8152C69}"/>
    <hyperlink ref="D2414" r:id="rId645" display="https://enzyme.expasy.org/EC/2.3.1.54" xr:uid="{28FBC2C6-791B-0240-9C6C-83AD1CB30081}"/>
    <hyperlink ref="D2429" r:id="rId646" display="https://enzyme.expasy.org/EC/3.6.1.9" xr:uid="{891E9BD1-9EAE-A640-852A-2241344BCABF}"/>
    <hyperlink ref="D2430" r:id="rId647" display="https://enzyme.expasy.org/EC/2.7.7.56" xr:uid="{3E689564-76F7-3D4C-89BB-62D980CBFA14}"/>
    <hyperlink ref="D2431" r:id="rId648" display="https://enzyme.expasy.org/EC/3.1.-.-" xr:uid="{E15035C9-3D0C-3D46-8D1D-AB5BB4C87AB1}"/>
    <hyperlink ref="D2432" r:id="rId649" display="https://enzyme.expasy.org/EC/5.1.1.3" xr:uid="{D75F61EC-7B84-8F4F-9C06-36EBE1A55A8C}"/>
    <hyperlink ref="D2437" r:id="rId650" display="https://enzyme.expasy.org/EC/6.3.4.21" xr:uid="{8152AFF1-7EAC-9A4B-B352-6A88392634EC}"/>
    <hyperlink ref="D2438" r:id="rId651" display="https://enzyme.expasy.org/EC/3.6.4.12" xr:uid="{126F4A01-DB88-8247-AF80-7584F67CF049}"/>
    <hyperlink ref="D2441" r:id="rId652" display="https://enzyme.expasy.org/EC/3.1.3.3" xr:uid="{42EE873A-D894-5C4B-BC40-014020D45B2B}"/>
    <hyperlink ref="D2443" r:id="rId653" display="https://enzyme.expasy.org/EC/7.1.1.9" xr:uid="{96B5A3B0-DFD1-3741-8909-E56222F0B99E}"/>
    <hyperlink ref="D2444" r:id="rId654" display="https://enzyme.expasy.org/EC/1.17.4.1" xr:uid="{845E5C16-9FDF-0347-98BC-2B880B979CBE}"/>
    <hyperlink ref="D2453" r:id="rId655" display="https://enzyme.expasy.org/EC/1.17.4.1" xr:uid="{2CA57F84-60CD-0841-89E1-7E718F3574A7}"/>
    <hyperlink ref="D2458" r:id="rId656" display="https://enzyme.expasy.org/EC/6.3.1.5" xr:uid="{ABC72D69-6881-A24C-9AFA-BC555A34B800}"/>
    <hyperlink ref="D2460" r:id="rId657" display="https://enzyme.expasy.org/EC/3.1.1.3" xr:uid="{96E006D6-4E19-CA49-8D43-A3EC55792830}"/>
    <hyperlink ref="D2463" r:id="rId658" display="https://enzyme.expasy.org/EC/2.7.11.1" xr:uid="{57DD8E79-76BC-054C-AA91-BF31094C2E3F}"/>
    <hyperlink ref="D2480" r:id="rId659" display="https://enzyme.expasy.org/EC/2.5.1.7" xr:uid="{E613802A-FEBB-E04A-9D6E-1DE08C1906A2}"/>
    <hyperlink ref="D2485" r:id="rId660" display="https://enzyme.expasy.org/EC/2.5.1.47" xr:uid="{D4B95528-15DB-A946-A439-6A5B81869106}"/>
    <hyperlink ref="D2486" r:id="rId661" display="https://enzyme.expasy.org/EC/2.3.1.30" xr:uid="{B94EBC85-EFE7-8F48-9C85-6DDBC618F149}"/>
    <hyperlink ref="D2494" r:id="rId662" display="https://enzyme.expasy.org/EC/2.8.3.-" xr:uid="{F8E134EE-84D6-7A4B-A314-747C9711B51F}"/>
    <hyperlink ref="D2495" r:id="rId663" display="https://enzyme.expasy.org/EC/1.-.-.-" xr:uid="{F7E5478A-60AF-F44F-ADE6-0DD3676184E8}"/>
    <hyperlink ref="D2497" r:id="rId664" display="https://enzyme.expasy.org/EC/7.3.2.1" xr:uid="{2F2B3B0F-66C5-A943-9160-A840C65CC3AD}"/>
    <hyperlink ref="D2501" r:id="rId665" display="https://enzyme.expasy.org/EC/2.3.1.189" xr:uid="{7B035D32-F7EC-3249-B1D8-144FEDCB3DCF}"/>
    <hyperlink ref="D2503" r:id="rId666" display="https://enzyme.expasy.org/EC/2.7.1.107" xr:uid="{8752579C-A054-9949-A7EB-A0916613777D}"/>
    <hyperlink ref="D2511" r:id="rId667" display="https://enzyme.expasy.org/EC/2.6.1.21" xr:uid="{3BC733C0-7F87-D642-86D5-B895FA56E657}"/>
    <hyperlink ref="D2514" r:id="rId668" display="https://enzyme.expasy.org/EC/6.3.3.1" xr:uid="{5C71AE95-5A79-E948-A5A9-94DB9E91FC13}"/>
    <hyperlink ref="D2515" r:id="rId669" display="https://enzyme.expasy.org/EC/2.4.2.14" xr:uid="{1603B3E5-EEEA-5748-AFBC-77BB0BC8F535}"/>
    <hyperlink ref="D2517" r:id="rId670" display="https://enzyme.expasy.org/EC/3.1.2.-" xr:uid="{31D19213-4D2E-5743-8BB8-DB5A4E168242}"/>
    <hyperlink ref="D2519" r:id="rId671" display="https://enzyme.expasy.org/EC/3.5.1.1" xr:uid="{0975891E-1D81-C549-BB3F-0D4E14C1A93F}"/>
    <hyperlink ref="D2536" r:id="rId672" display="https://enzyme.expasy.org/EC/3.1.1.1" xr:uid="{0B9D50B8-FBF5-DF44-81ED-BEC2F4B51995}"/>
    <hyperlink ref="D2540" r:id="rId673" display="https://enzyme.expasy.org/EC/6.3.5.3" xr:uid="{C2C6AF9D-724A-E547-A332-21815F28680B}"/>
    <hyperlink ref="D2541" r:id="rId674" display="https://enzyme.expasy.org/EC/6.3.5.3" xr:uid="{9B025E0F-8133-C04A-BF82-B9E559A39D58}"/>
    <hyperlink ref="D2546" r:id="rId675" display="https://enzyme.expasy.org/EC/3.4.21.83" xr:uid="{49CBCB1B-063E-7D47-9DFD-4A9F74D5890C}"/>
    <hyperlink ref="D2547" r:id="rId676" display="https://enzyme.expasy.org/EC/6.3.2.6" xr:uid="{B972BEC0-8D8B-6146-9353-07AF5D509460}"/>
    <hyperlink ref="D2550" r:id="rId677" display="https://enzyme.expasy.org/EC/4.3.2.2" xr:uid="{BBAD4F58-63B2-5248-B1B6-A08139E8BC2C}"/>
    <hyperlink ref="D2551" r:id="rId678" display="https://enzyme.expasy.org/EC/6.3.4.13" xr:uid="{C4B10EF8-A0D7-DD47-9543-B3C5AC8888C9}"/>
    <hyperlink ref="D2552" r:id="rId679" display="https://enzyme.expasy.org/EC/3.-.-.-" xr:uid="{9C6EE9DF-6BC5-ED42-8074-15C1E62B6D4B}"/>
    <hyperlink ref="D2553" r:id="rId680" display="https://enzyme.expasy.org/EC/2.7.13.3" xr:uid="{505466CB-5550-8F43-A61A-AB2AC7D18305}"/>
    <hyperlink ref="D2555" r:id="rId681" display="https://enzyme.expasy.org/EC/1.2.5.1" xr:uid="{09A94AE6-E1EC-1E4F-9E18-F079CFD23437}"/>
    <hyperlink ref="D2560" r:id="rId682" display="https://enzyme.expasy.org/EC/2.4.1.-" xr:uid="{01970187-5059-7D49-8CF8-3580504E0EB9}"/>
    <hyperlink ref="D2563" r:id="rId683" display="https://enzyme.expasy.org/EC/3.1.3.12" xr:uid="{05853FBD-384E-3E46-9F2A-623E3DC55DAA}"/>
    <hyperlink ref="D2570" r:id="rId684" display="https://enzyme.expasy.org/EC/2.1.1.-" xr:uid="{F9E49A56-5248-3A46-B606-32D5EE5D1FD2}"/>
    <hyperlink ref="D2571" r:id="rId685" display="https://enzyme.expasy.org/EC/6.1.1.16" xr:uid="{FDD3AC11-FF39-C945-AC02-DEDB2363B129}"/>
    <hyperlink ref="D2572" r:id="rId686" display="https://enzyme.expasy.org/EC/4.6.1.12" xr:uid="{AC1CC9E7-3A50-C344-88BD-02D48F9AA542}"/>
    <hyperlink ref="D2573" r:id="rId687" display="https://enzyme.expasy.org/EC/2.7.7.60" xr:uid="{A471414F-A497-3E4D-866A-A5C2291A7875}"/>
    <hyperlink ref="D2579" r:id="rId688" display="https://enzyme.expasy.org/EC/4.2.1.1" xr:uid="{16868653-D7C6-384B-A16B-B9D0A3CB7785}"/>
    <hyperlink ref="D2580" r:id="rId689" display="https://enzyme.expasy.org/EC/3.2.2.-" xr:uid="{224B9E00-FD1A-AB4E-895B-C5ADF3DA2FA1}"/>
    <hyperlink ref="D2586" r:id="rId690" display="https://enzyme.expasy.org/EC/1.1.1.205" xr:uid="{2F1B54A5-980D-8342-B90A-1E3850A5955B}"/>
    <hyperlink ref="D2591" r:id="rId691" display="https://enzyme.expasy.org/EC/2.5.1.32" xr:uid="{B797EE3C-F542-DB42-A6EE-EC9B8A6381EA}"/>
    <hyperlink ref="D2597" r:id="rId692" display="https://enzyme.expasy.org/EC/1.3.8.2" xr:uid="{B1EF4D6B-5ABD-DF47-ABE7-4C6DB1EBF853}"/>
    <hyperlink ref="D2598" r:id="rId693" display="https://enzyme.expasy.org/EC/6.1.1.6" xr:uid="{E6991CE1-7097-964D-95CD-07271E53E055}"/>
    <hyperlink ref="D2603" r:id="rId694" display="https://enzyme.expasy.org/EC/3.4.22.40" xr:uid="{AD3D2FB2-1880-1840-B5CE-DAB78FA19DCA}"/>
    <hyperlink ref="D2604" r:id="rId695" display="https://enzyme.expasy.org/EC/3.4.22.40" xr:uid="{38D4A0F8-16E5-9740-831B-600B3736E1DD}"/>
    <hyperlink ref="D2606" r:id="rId696" display="https://enzyme.expasy.org/EC/6.3.2.1" xr:uid="{B0B7DC43-952C-A149-AC4C-225335697479}"/>
    <hyperlink ref="D2610" r:id="rId697" display="https://enzyme.expasy.org/EC/2.7.6.3" xr:uid="{4BA20F75-ED06-7544-8328-D41D626A832F}"/>
    <hyperlink ref="D2611" r:id="rId698" display="https://enzyme.expasy.org/EC/4.1.2.25" xr:uid="{0BEB42B5-2DF1-8645-B2BA-DE5ED48DEB33}"/>
    <hyperlink ref="D2613" r:id="rId699" display="https://enzyme.expasy.org/EC/2.5.1.15" xr:uid="{01B7321B-1123-F346-9051-A3C4F0814921}"/>
    <hyperlink ref="D2618" r:id="rId700" display="https://enzyme.expasy.org/EC/3.5.4.16" xr:uid="{DBDED5DF-68A7-794F-91F6-31829339A692}"/>
    <hyperlink ref="D2619" r:id="rId701" display="https://enzyme.expasy.org/EC/3.4.24.-" xr:uid="{833225E5-7D5E-BC4A-8A71-BFD0B0BD888E}"/>
    <hyperlink ref="D2625" r:id="rId702" display="https://enzyme.expasy.org/EC/2.4.2.8" xr:uid="{B0968431-BA72-A74B-97F2-200C9F235E4A}"/>
    <hyperlink ref="D2626" r:id="rId703" display="https://enzyme.expasy.org/EC/6.3.4.19" xr:uid="{07AE4F5A-2724-0642-B8D3-FBDE5B9D4841}"/>
    <hyperlink ref="D2627" r:id="rId704" display="https://enzyme.expasy.org/EC/3.4.16.4" xr:uid="{CB468C2C-0FBD-674A-9CB8-83F054CE0064}"/>
    <hyperlink ref="D2628" r:id="rId705" display="https://enzyme.expasy.org/EC/3.6.1.1" xr:uid="{7D32FFD5-BA6F-7F45-A30D-9ABE89185373}"/>
    <hyperlink ref="D2632" r:id="rId706" display="https://enzyme.expasy.org/EC/2.7.13.3" xr:uid="{4B17006E-46EA-5A47-BE3E-561ED137A5B1}"/>
    <hyperlink ref="D2634" r:id="rId707" display="https://enzyme.expasy.org/EC/2.8.1.1" xr:uid="{139C37B6-8149-2A4C-BFB7-AB077F7C2ACF}"/>
    <hyperlink ref="D2638" r:id="rId708" display="https://enzyme.expasy.org/EC/3.1.1.-" xr:uid="{10E16414-86DD-444D-BB79-5DC5CE2F88C6}"/>
    <hyperlink ref="D2644" r:id="rId709" display="https://enzyme.expasy.org/EC/3.5.1.18" xr:uid="{00E73810-8B3D-B540-9A4F-DA16B155F84E}"/>
    <hyperlink ref="D2651" r:id="rId710" display="https://enzyme.expasy.org/EC/2.4.1.-" xr:uid="{8CF83833-DF77-6844-96A7-AEAAC2912E4A}"/>
    <hyperlink ref="D2652" r:id="rId711" display="https://enzyme.expasy.org/EC/6.3.-.-" xr:uid="{8C15F750-E5E6-3C43-B131-5933BBA278A6}"/>
    <hyperlink ref="D2656" r:id="rId712" display="https://enzyme.expasy.org/EC/3.5.1.88" xr:uid="{856537A0-1C6C-5D43-B2E6-8D5C1B96CD45}"/>
    <hyperlink ref="D2658" r:id="rId713" display="https://enzyme.expasy.org/EC/2.3.1.183" xr:uid="{E3E44CFB-735C-274D-9561-005A1E159045}"/>
    <hyperlink ref="D2659" r:id="rId714" display="https://enzyme.expasy.org/EC/3.1.11.2" xr:uid="{D4885D90-9DB0-C44F-B99D-11E869CEBA56}"/>
    <hyperlink ref="D2660" r:id="rId715" display="https://enzyme.expasy.org/EC/2.7.8.-" xr:uid="{2D731B2A-E8B5-D843-85EC-63FE0B1F543C}"/>
    <hyperlink ref="D2662" r:id="rId716" display="https://enzyme.expasy.org/EC/3.6.3.-" xr:uid="{9F04B3BF-71B9-B549-943E-A116B74B59BB}"/>
    <hyperlink ref="D2667" r:id="rId717" display="https://enzyme.expasy.org/EC/2.7.11.1" xr:uid="{A8EAA381-6529-A343-8230-ED51A906A330}"/>
    <hyperlink ref="D2669" r:id="rId718" display="https://enzyme.expasy.org/EC/2.7.2.1" xr:uid="{188A6214-2C0E-8E4F-99EB-A3FED3CDB3DA}"/>
    <hyperlink ref="D2671" r:id="rId719" display="https://enzyme.expasy.org/EC/2.3.1.8" xr:uid="{CCFF3F15-238B-FE42-9A95-1BB74BF82112}"/>
    <hyperlink ref="D3031" r:id="rId720" display="https://enzyme.expasy.org/EC/2.1.1.-" xr:uid="{93E1F47C-49CD-3E45-B466-1E8F1283560B}"/>
    <hyperlink ref="D3030" r:id="rId721" display="https://enzyme.expasy.org/EC/3.6.-.-" xr:uid="{DF0BEDF8-B52E-8C48-8D7F-05E748ED3262}"/>
    <hyperlink ref="D3027" r:id="rId722" display="https://enzyme.expasy.org/EC/3.5.1.28" xr:uid="{BE15F76D-DDBB-EB48-8BEB-BC6C5EC7F1EB}"/>
    <hyperlink ref="D3025" r:id="rId723" display="https://enzyme.expasy.org/EC/1.8.1.9" xr:uid="{9F1C837E-8CB1-D248-81BE-0644F7A08F6C}"/>
    <hyperlink ref="D3020" r:id="rId724" display="https://enzyme.expasy.org/EC/3.4.11.2" xr:uid="{35608FF4-DEA5-C746-9810-27BEA8FDD726}"/>
    <hyperlink ref="D3014" r:id="rId725" display="https://enzyme.expasy.org/EC/5.1.3.2" xr:uid="{447C2D90-6490-F84A-BFDF-6B6C0A30FE68}"/>
    <hyperlink ref="D3008" r:id="rId726" display="https://enzyme.expasy.org/EC/3.6.1.-" xr:uid="{4892C6EE-9E8C-6346-9C40-FDD4C1A8BA91}"/>
    <hyperlink ref="D3007" r:id="rId727" display="https://enzyme.expasy.org/EC/2.7.7.72" xr:uid="{21BF8536-41F5-5F4B-AAFC-4632A69A9802}"/>
    <hyperlink ref="D2994" r:id="rId728" display="https://enzyme.expasy.org/EC/4.2.1.20" xr:uid="{57DA3D45-46DD-834E-A2C2-3CB581770636}"/>
    <hyperlink ref="D2991" r:id="rId729" display="https://enzyme.expasy.org/EC/4.2.1.20" xr:uid="{429619CE-D809-7F41-8BB9-B428E8E73891}"/>
    <hyperlink ref="D2986" r:id="rId730" display="https://enzyme.expasy.org/EC/4.1.3.27" xr:uid="{075E5AB7-0488-8143-BBD5-85CE76839B9E}"/>
    <hyperlink ref="D2984" r:id="rId731" display="https://enzyme.expasy.org/EC/4.1.3.27" xr:uid="{D156F496-596D-CA42-AE58-68CE2943D3BE}"/>
    <hyperlink ref="D2982" r:id="rId732" display="https://enzyme.expasy.org/EC/1.2.1.79" xr:uid="{9F1ED964-732D-8147-AFAA-BFBFC3244C43}"/>
    <hyperlink ref="D2978" r:id="rId733" display="https://enzyme.expasy.org/EC/3.1.3.1" xr:uid="{20A34CD8-C63C-F743-855D-8BA449B81F8A}"/>
    <hyperlink ref="D2973" r:id="rId734" display="https://enzyme.expasy.org/EC/6.1.1.4" xr:uid="{DF74CE92-6668-4441-9A22-1A64F63B68BF}"/>
    <hyperlink ref="D2970" r:id="rId735" display="https://enzyme.expasy.org/EC/1.17.4.1" xr:uid="{40AB8B7C-6FE2-794E-A8FC-80CB1B05980B}"/>
    <hyperlink ref="D2959" r:id="rId736" display="https://enzyme.expasy.org/EC/1.3.1.84" xr:uid="{9B55BA9A-5E22-5E42-BF71-411AC7AB1934}"/>
    <hyperlink ref="D2958" r:id="rId737" display="https://enzyme.expasy.org/EC/1.-.-.-" xr:uid="{B15A65FB-190B-D043-9E75-A337EDF90099}"/>
    <hyperlink ref="D2956" r:id="rId738" display="https://enzyme.expasy.org/EC/2.7.13.3" xr:uid="{7BC404CA-DECC-B14D-B823-61FEC95BBDEF}"/>
    <hyperlink ref="D2954" r:id="rId739" display="https://enzyme.expasy.org/EC/3.6.3.-" xr:uid="{9D85B4E3-6276-0B4D-9271-AD2394CEFF0D}"/>
    <hyperlink ref="D2952" r:id="rId740" display="https://enzyme.expasy.org/EC/3.2.2.-" xr:uid="{FDDB608C-49D3-964F-8981-A8AF96DA899A}"/>
    <hyperlink ref="D2946" r:id="rId741" display="https://enzyme.expasy.org/EC/5.5.1.4" xr:uid="{DE34ECD1-FFDA-E64E-A97A-088265FF6103}"/>
    <hyperlink ref="D2938" r:id="rId742" display="https://enzyme.expasy.org/EC/3.6.4.12" xr:uid="{670AF69A-7F3C-E54A-9679-FAFA3AAEA390}"/>
    <hyperlink ref="D2935" r:id="rId743" display="https://enzyme.expasy.org/EC/7.2.2.8" xr:uid="{609EF3E7-61DC-5642-8413-FD1137F27FA6}"/>
    <hyperlink ref="D2920" r:id="rId744" display="https://enzyme.expasy.org/EC/5.4.99.28" xr:uid="{CBE0EAF5-8F2B-A944-8DD9-C667DC56D8BC}"/>
    <hyperlink ref="D2912" r:id="rId745" display="https://enzyme.expasy.org/EC/2.7.13.3" xr:uid="{4CF40242-7D5C-5B47-8212-C955CECCA2A8}"/>
    <hyperlink ref="D2905" r:id="rId746" display="https://enzyme.expasy.org/EC/1.15.1.1" xr:uid="{E5B3C7A6-1E2B-984C-B3FC-F48C611A9B32}"/>
    <hyperlink ref="D2904" r:id="rId747" display="https://enzyme.expasy.org/EC/1.8.4.11" xr:uid="{72292458-633D-1443-988E-5FAF4A8A6105}"/>
    <hyperlink ref="D2901" r:id="rId748" display="https://enzyme.expasy.org/EC/1.1.1.27" xr:uid="{5599BF4E-B488-3B48-AB2F-A51002C7295F}"/>
    <hyperlink ref="D2898" r:id="rId749" display="https://enzyme.expasy.org/EC/3.1.4.46" xr:uid="{9DCA777C-35E6-CF40-BA16-6EB561E8273B}"/>
    <hyperlink ref="D2892" r:id="rId750" display="https://enzyme.expasy.org/EC/3.5.1.13" xr:uid="{5EC1B13F-8111-2041-96CB-7307A9B050C2}"/>
    <hyperlink ref="D2891" r:id="rId751" display="https://enzyme.expasy.org/EC/4.2.1.51" xr:uid="{72BF793A-6C67-EB4F-BDD0-B0E4E4F03588}"/>
    <hyperlink ref="D2889" r:id="rId752" display="https://enzyme.expasy.org/EC/3.1.3.73" xr:uid="{70E66508-3BF0-3243-91EC-9A597B18C32C}"/>
    <hyperlink ref="D2884" r:id="rId753" display="https://enzyme.expasy.org/EC/6.1.1.11" xr:uid="{06EDE54B-09B0-0743-AF5C-61B2614DDB8A}"/>
    <hyperlink ref="D2882" r:id="rId754" display="https://enzyme.expasy.org/EC/2.3.1.-" xr:uid="{5D8EDAC2-064D-0448-AD93-0FACDB76AAC9}"/>
    <hyperlink ref="D2881" r:id="rId755" display="https://enzyme.expasy.org/EC/1.1.5.3" xr:uid="{B73F2284-3249-0B47-8C3A-0D47712D89AD}"/>
    <hyperlink ref="D2877" r:id="rId756" display="https://enzyme.expasy.org/EC/2.7.1.30" xr:uid="{F309C045-451E-F141-9989-D6C1BCC4BD17}"/>
    <hyperlink ref="D2876" r:id="rId757" display="https://enzyme.expasy.org/EC/3.1.3.23" xr:uid="{CC372BA3-918E-FB49-8341-E38829D0152D}"/>
    <hyperlink ref="D2874" r:id="rId758" display="https://enzyme.expasy.org/EC/5.4.99.9" xr:uid="{3D329899-C5A7-4E4B-BF54-042B415736AE}"/>
    <hyperlink ref="D2871" r:id="rId759" display="https://enzyme.expasy.org/EC/3.1.1.1" xr:uid="{9CE2CB5D-DAC9-244B-B346-50F75A4D78B5}"/>
    <hyperlink ref="D2861" r:id="rId760" display="https://enzyme.expasy.org/EC/2.6.1.85" xr:uid="{18144CAF-B4E6-CF40-9CAF-768DA7B166D3}"/>
    <hyperlink ref="D2857" r:id="rId761" display="https://enzyme.expasy.org/EC/2.4.1.288" xr:uid="{3C493C20-1800-154F-8867-90D0B2F55658}"/>
    <hyperlink ref="D2855" r:id="rId762" display="https://enzyme.expasy.org/EC/2.4.2.45" xr:uid="{4761E852-4E6A-C34B-81FD-860465010DCF}"/>
    <hyperlink ref="D2853" r:id="rId763" display="https://enzyme.expasy.org/EC/2.3.1.122" xr:uid="{4CCE7A7A-C1BB-B74F-B829-8AA5DE3332C8}"/>
    <hyperlink ref="D2851" r:id="rId764" display="https://enzyme.expasy.org/EC/2.3.1.122" xr:uid="{60F65680-95BA-BB49-B9FD-F7CFB107AAF4}"/>
    <hyperlink ref="D2847" r:id="rId765" display="https://enzyme.expasy.org/EC/6.2.1.-" xr:uid="{A66FEBF4-83EA-604C-802D-91B49800758F}"/>
    <hyperlink ref="D2846" r:id="rId766" display="https://enzyme.expasy.org/EC/2.3.1.41" xr:uid="{47073262-9653-D740-B8BB-AAC932C62D66}"/>
    <hyperlink ref="D2835" r:id="rId767" display="https://enzyme.expasy.org/EC/6.4.1.3" xr:uid="{24DBD6D1-1759-4346-B35F-B77F4DF74E4C}"/>
    <hyperlink ref="D2824" r:id="rId768" display="https://enzyme.expasy.org/EC/2.1.1.33" xr:uid="{94AEB03A-48CE-CF45-A3A3-2B50F15A4290}"/>
    <hyperlink ref="D2823" r:id="rId769" display="https://enzyme.expasy.org/EC/4.1.1.32" xr:uid="{D7E26DB5-409C-9E46-8DCF-DC1CDA41BB80}"/>
    <hyperlink ref="D2817" r:id="rId770" display="https://enzyme.expasy.org/EC/3.5.99.6" xr:uid="{91E89321-F263-444F-97C1-B0DD396EB54F}"/>
    <hyperlink ref="D2816" r:id="rId771" display="https://enzyme.expasy.org/EC/3.5.1.25" xr:uid="{E80EB79A-C871-BD41-926E-1064A5E2E78E}"/>
    <hyperlink ref="D2813" r:id="rId772" display="https://enzyme.expasy.org/EC/5.1.3.9" xr:uid="{D7550DEB-466E-3D43-B150-9F7A8D02A17E}"/>
    <hyperlink ref="D2811" r:id="rId773" display="https://enzyme.expasy.org/EC/2.7.1.2" xr:uid="{04C9F66F-DD4B-E348-B1EF-3B3BCF0B2391}"/>
    <hyperlink ref="D2808" r:id="rId774" display="https://enzyme.expasy.org/EC/4.3.3.7" xr:uid="{A52A49F8-8536-2E4A-A8F9-31C91B756B6B}"/>
    <hyperlink ref="D2804" r:id="rId775" display="https://enzyme.expasy.org/EC/2.7.7.7" xr:uid="{A40E9911-4E9F-EB4A-BCDA-594BCF7C49BE}"/>
    <hyperlink ref="D2798" r:id="rId776" display="https://enzyme.expasy.org/EC/2.7.7.-" xr:uid="{F4A150A9-91D7-DD41-8D8B-A8709004E6C8}"/>
    <hyperlink ref="D2797" r:id="rId777" display="https://enzyme.expasy.org/EC/2.7.1.-" xr:uid="{7C4BBCEF-CAD5-0A43-9892-B0E0D450D331}"/>
    <hyperlink ref="D2793" r:id="rId778" display="https://enzyme.expasy.org/EC/3.5.3.6" xr:uid="{571DDA17-C14E-AA41-B9A1-4310DFC8C046}"/>
    <hyperlink ref="D2788" r:id="rId779" display="https://enzyme.expasy.org/EC/2.1.1.-" xr:uid="{0ECA75F0-241B-C942-8DCD-322B984E2470}"/>
    <hyperlink ref="D2787" r:id="rId780" display="https://enzyme.expasy.org/EC/2.4.1.11" xr:uid="{B6D730B0-550A-8940-A890-EDF1D89D2CDF}"/>
    <hyperlink ref="D2783" r:id="rId781" display="https://enzyme.expasy.org/EC/2.3.1.-" xr:uid="{29C8E752-80C0-0648-933C-C8D080A8374A}"/>
    <hyperlink ref="D2782" r:id="rId782" display="https://enzyme.expasy.org/EC/2.4.2.47" xr:uid="{1EFBAC98-DF3C-0C4D-BFAA-585976F1EA29}"/>
    <hyperlink ref="D2779" r:id="rId783" display="https://enzyme.expasy.org/EC/3.2.1.52" xr:uid="{1BD47076-ED73-4441-9D64-39F50A982B46}"/>
    <hyperlink ref="D2759" r:id="rId784" display="https://enzyme.expasy.org/EC/1.1.1.22" xr:uid="{6AC98BDD-6816-8741-B32C-7DDAE01D274F}"/>
    <hyperlink ref="D2757" r:id="rId785" display="https://enzyme.expasy.org/EC/2.6.1.2" xr:uid="{590FF56F-6C9E-0B4C-87A6-A3E2CE02B5D8}"/>
    <hyperlink ref="D2751" r:id="rId786" display="https://enzyme.expasy.org/EC/1.2.1.79" xr:uid="{ABBE8AB9-3D6C-AA4C-BE00-470D95CC4579}"/>
    <hyperlink ref="D2743" r:id="rId787" display="https://enzyme.expasy.org/EC/1.8.4.8" xr:uid="{914D4329-F7DF-194D-ACDC-C9D648C46718}"/>
    <hyperlink ref="D2742" r:id="rId788" display="https://enzyme.expasy.org/EC/2.7.7.4" xr:uid="{71F1BE5E-0AB4-8241-87E5-4E5B443057FA}"/>
    <hyperlink ref="D2739" r:id="rId789" display="https://enzyme.expasy.org/EC/3.2.2.-" xr:uid="{A9E4B1B5-8F6A-A540-8236-FAE8E40DA8A8}"/>
    <hyperlink ref="D2723" r:id="rId790" display="https://enzyme.expasy.org/EC/1.2.1.3" xr:uid="{E4FEEF54-F076-DF48-BC0D-A6A2D73C5E19}"/>
    <hyperlink ref="D2699" r:id="rId791" display="https://enzyme.expasy.org/EC/3.5.1.111" xr:uid="{6C23F63C-0CBF-7649-A48D-C172E5F8C9A3}"/>
    <hyperlink ref="D2698" r:id="rId792" display="https://enzyme.expasy.org/EC/1.18.1.7" xr:uid="{44F3D2BC-99E6-A749-B5BD-039A0316B64A}"/>
    <hyperlink ref="D2696" r:id="rId793" display="https://enzyme.expasy.org/EC/1.-.-.-" xr:uid="{0C24BB8C-310F-9948-A05E-7765C9CA1C91}"/>
    <hyperlink ref="D2693" r:id="rId794" display="https://enzyme.expasy.org/EC/2.8.1.2" xr:uid="{781FE51A-4144-FB4A-950E-1907B382A70E}"/>
    <hyperlink ref="D2689" r:id="rId795" display="https://enzyme.expasy.org/EC/2.4.2.10" xr:uid="{4AE2CE4D-3FF3-E84E-8003-46713F1830D5}"/>
    <hyperlink ref="D2687" r:id="rId796" display="https://enzyme.expasy.org/EC/2.1.1.34" xr:uid="{1EE9C722-A6F7-2046-A7FC-841D9BC12E49}"/>
    <hyperlink ref="D2678" r:id="rId797" display="https://enzyme.expasy.org/EC/6.3.4.4" xr:uid="{6DBD623E-0D52-514B-BBAA-32AC71EB6BC5}"/>
    <hyperlink ref="D2674" r:id="rId798" display="https://enzyme.expasy.org/EC/2.1.2.-" xr:uid="{B79C4AC5-CB67-ED47-90EC-5682764435D4}"/>
    <hyperlink ref="D2673" r:id="rId799" display="https://enzyme.expasy.org/EC/1.18.1.2" xr:uid="{F7D6971F-8A7A-064A-8073-804B5DAA83B1}"/>
    <hyperlink ref="F8" r:id="rId800" xr:uid="{C82A0FFE-1730-F64E-9CE8-7ED9210DFD68}"/>
    <hyperlink ref="G8" r:id="rId801" xr:uid="{02526787-0EC5-AF43-BBEE-C7E80C67550D}"/>
    <hyperlink ref="F227" r:id="rId802" xr:uid="{35566F8E-6F3F-AF4A-96E5-B875A7F668CA}"/>
    <hyperlink ref="G227" r:id="rId803" xr:uid="{B0409A36-DC89-EA48-91A1-9DC0392EBFCB}"/>
    <hyperlink ref="F292" r:id="rId804" xr:uid="{2A840E22-C6A7-6A41-8351-29F22607DC88}"/>
    <hyperlink ref="G292" r:id="rId805" xr:uid="{DA484B56-3E0D-3643-963F-D61F94E1AEE1}"/>
    <hyperlink ref="F645" r:id="rId806" xr:uid="{B513835D-A544-6F45-A5B6-8291D8C34763}"/>
    <hyperlink ref="G645" r:id="rId807" xr:uid="{6DE8822A-9764-E547-AC5D-266C383E5974}"/>
    <hyperlink ref="F1294" r:id="rId808" xr:uid="{BA41C4B0-12CC-8B46-8977-096174855751}"/>
    <hyperlink ref="F1408" r:id="rId809" xr:uid="{A3FA1D47-2363-9842-8676-95E6B0AC1842}"/>
    <hyperlink ref="G1294" r:id="rId810" xr:uid="{38CB3E7B-FE73-3643-91FA-7919B57F7EFA}"/>
    <hyperlink ref="F1940" r:id="rId811" xr:uid="{12318D8D-92EF-A94E-814B-98C9E372E391}"/>
    <hyperlink ref="F1973" r:id="rId812" xr:uid="{BC986327-E158-734D-8247-FAA83990BFE5}"/>
    <hyperlink ref="F2804" r:id="rId813" xr:uid="{ECB1D4CC-FA60-E241-9BED-08301926280C}"/>
    <hyperlink ref="G1408" r:id="rId814" xr:uid="{A5684A67-C87E-8045-B984-98DC70AA34F5}"/>
    <hyperlink ref="G1940" r:id="rId815" xr:uid="{177190B9-8362-4144-B9FC-4785F1F403E7}"/>
    <hyperlink ref="G1973" r:id="rId816" xr:uid="{69A479DA-74BC-064B-8517-84F3D20AC656}"/>
    <hyperlink ref="G2804" r:id="rId817" xr:uid="{68A746C1-90A2-5443-822E-484FB454B72F}"/>
    <hyperlink ref="F11" r:id="rId818" xr:uid="{B9E83393-5CD1-C040-8C0D-D388525BCF3D}"/>
    <hyperlink ref="G30" r:id="rId819" xr:uid="{58D9AA92-F65D-564C-B4E4-31667473B059}"/>
    <hyperlink ref="G32" r:id="rId820" xr:uid="{712A84BF-C1CA-4D42-87C7-7BCF1C369711}"/>
    <hyperlink ref="F32" r:id="rId821" xr:uid="{925D39F3-44DA-E54F-884B-3ABFA1C9E570}"/>
    <hyperlink ref="D34" r:id="rId822" display="https://enzyme.expasy.org/EC/5.2.1.8" xr:uid="{482CD1F7-7379-4E44-8F4B-D2CF145F774C}"/>
    <hyperlink ref="F34" r:id="rId823" xr:uid="{949385B3-2082-5F47-BAD4-23A91E2461AC}"/>
    <hyperlink ref="F30" r:id="rId824" xr:uid="{2E111DD7-14DF-9B44-A45A-C58504305A73}"/>
    <hyperlink ref="G34" r:id="rId825" xr:uid="{198376C9-E75A-2841-91C1-FA4EB8EB53F6}"/>
    <hyperlink ref="F35" r:id="rId826" xr:uid="{EB7B6702-7271-3A44-9F23-CAE0D6E7E1B3}"/>
    <hyperlink ref="F39" r:id="rId827" xr:uid="{0007EA44-A84C-4E4E-A6DB-5AC8CAE60DC0}"/>
    <hyperlink ref="G39" r:id="rId828" xr:uid="{5654AC52-A3D0-6947-8032-93A1117AC3BF}"/>
    <hyperlink ref="F21" r:id="rId829" xr:uid="{19BD23C1-3DFF-C946-AFBB-7BF9BF6EA659}"/>
    <hyperlink ref="F16" r:id="rId830" xr:uid="{6A8EA217-BAA9-2B44-9AB5-E6CEA86F1666}"/>
    <hyperlink ref="F44" r:id="rId831" display="https://www.genome.jp/dbget-bin/www_bget?ec:2.7.11.1 " xr:uid="{644F8C78-B892-1E45-8720-E0791705C5AD}"/>
    <hyperlink ref="F46" r:id="rId832" xr:uid="{7914D837-E3DA-9443-855A-DE4083ACAFED}"/>
    <hyperlink ref="G44" r:id="rId833" xr:uid="{4F29F90B-26D2-C746-9EBB-E86C7B41B1B0}"/>
    <hyperlink ref="G46" r:id="rId834" xr:uid="{D106A39F-84F6-1843-852B-B97CA6F467D1}"/>
    <hyperlink ref="F2667" r:id="rId835" xr:uid="{E9BCF9ED-95EE-854F-8D77-14CE78E8F0B3}"/>
    <hyperlink ref="F2463" r:id="rId836" xr:uid="{EBB0B6D8-2ABA-BE4A-ACC8-55CF32DB8F0F}"/>
    <hyperlink ref="F2016" r:id="rId837" xr:uid="{F9BEB68A-D6D0-CB42-A2C2-2A119955F750}"/>
    <hyperlink ref="G2463" r:id="rId838" xr:uid="{5E5D342B-75D8-A649-8D2C-A5A2EB03F4C9}"/>
    <hyperlink ref="G2667" r:id="rId839" xr:uid="{A0ED9787-9E81-1D4D-9B3A-F81687A89C0F}"/>
    <hyperlink ref="G2016" r:id="rId840" xr:uid="{E221A45C-BA15-3D4A-9343-E1DE226CCD72}"/>
    <hyperlink ref="F49" r:id="rId841" xr:uid="{5D18536B-7171-7646-900D-2D0314C3F8BE}"/>
    <hyperlink ref="G49" r:id="rId842" xr:uid="{A6FB34F6-5C75-0D4A-9682-4A4F72194388}"/>
    <hyperlink ref="F55" r:id="rId843" xr:uid="{2C48045D-2D4E-1444-B4BF-8F56D8962278}"/>
    <hyperlink ref="F57" r:id="rId844" xr:uid="{E0DADA83-9B26-ED47-A70C-C933A9D14865}"/>
    <hyperlink ref="F401" r:id="rId845" xr:uid="{F32B0688-345B-8541-8B3A-079A7AD9C7C4}"/>
    <hyperlink ref="F617" r:id="rId846" xr:uid="{8ECCEE56-B07D-2640-9348-4FB428436BB4}"/>
    <hyperlink ref="F816" r:id="rId847" xr:uid="{39E6BE9A-3795-8346-BD38-C2AA1221F417}"/>
    <hyperlink ref="F1059" r:id="rId848" xr:uid="{CAEE2E38-7855-7A48-BA18-BAD82DEF6240}"/>
    <hyperlink ref="F1487" r:id="rId849" xr:uid="{D71BFADF-D179-8B42-9F2C-7550C7047C9E}"/>
    <hyperlink ref="F1832" r:id="rId850" xr:uid="{A65FC91E-E0CF-F54E-9ED8-9FBFBB454C4A}"/>
    <hyperlink ref="F2553" r:id="rId851" xr:uid="{FD4B5AE7-2A76-B94D-A686-0910740419C4}"/>
    <hyperlink ref="F2632" r:id="rId852" xr:uid="{D18A7545-2E59-414E-A758-03CAB8BCC3AF}"/>
    <hyperlink ref="F2912" r:id="rId853" xr:uid="{AB70B801-6217-C74E-8776-2FAF5F4704FF}"/>
    <hyperlink ref="F2956" r:id="rId854" xr:uid="{8EF04CEF-266A-6649-8343-4A6560B5AB1C}"/>
    <hyperlink ref="F69" r:id="rId855" xr:uid="{0CA461F0-E986-014D-9628-773C37983B13}"/>
    <hyperlink ref="F1162" r:id="rId856" xr:uid="{CB000B07-5B4D-9047-9CA2-B5DF167015EC}"/>
    <hyperlink ref="F2644" r:id="rId857" xr:uid="{F92CBE98-9E6F-4949-843A-8A1EADCA19A3}"/>
    <hyperlink ref="G69" r:id="rId858" xr:uid="{32FA77C0-B806-0742-8BD9-A913BC8B9FA9}"/>
    <hyperlink ref="G1162" r:id="rId859" xr:uid="{64392B16-62C6-674C-8766-535AA0034A1B}"/>
    <hyperlink ref="G2644" r:id="rId860" xr:uid="{FFD5FC35-D5C9-3440-9A31-3070EC2F4AFB}"/>
    <hyperlink ref="F70" r:id="rId861" xr:uid="{01554E6E-CC85-DF4E-A3AB-17F100237151}"/>
    <hyperlink ref="G70" r:id="rId862" xr:uid="{00DFE438-FEC0-7948-B78D-AD7738696AB0}"/>
    <hyperlink ref="F74" r:id="rId863" xr:uid="{94EBBAD4-32B6-6A47-BE5F-12BDC586CB07}"/>
    <hyperlink ref="F1201" r:id="rId864" xr:uid="{DB84A2B9-1DD0-7540-BD09-269D5E40B7E0}"/>
    <hyperlink ref="F2460" r:id="rId865" xr:uid="{BB96F38A-995F-D44C-BFAB-D751FF33E99A}"/>
    <hyperlink ref="F75" r:id="rId866" xr:uid="{429BEF6A-B435-7047-B924-5EA4D874DE0B}"/>
    <hyperlink ref="G75" r:id="rId867" xr:uid="{4684B7B3-1028-1A42-A682-411B8EBC4A94}"/>
    <hyperlink ref="F78" r:id="rId868" xr:uid="{B90998AE-E518-1846-BB5B-52E70920CA9F}"/>
    <hyperlink ref="G78" r:id="rId869" xr:uid="{91014D16-FFFE-C949-82C2-84E4E768B92D}"/>
    <hyperlink ref="F94" r:id="rId870" xr:uid="{F7D9C02D-33EC-5C4D-9459-F0DED853377A}"/>
    <hyperlink ref="G94" r:id="rId871" xr:uid="{42ACDE73-40EF-4045-9400-F522924E77F6}"/>
    <hyperlink ref="F96" r:id="rId872" xr:uid="{02DAF102-C867-8346-AA72-2580E73074A3}"/>
    <hyperlink ref="G96" r:id="rId873" xr:uid="{29ADB656-D647-224E-AADB-2A51C1CD3A38}"/>
    <hyperlink ref="F112" r:id="rId874" xr:uid="{E2EF443B-033B-7D41-A001-D0BA1B851080}"/>
    <hyperlink ref="G112" r:id="rId875" xr:uid="{1909B13C-5C60-AD4E-9510-5D2BF88A1511}"/>
    <hyperlink ref="F396" r:id="rId876" xr:uid="{9AE4E45F-A0BE-2148-AA93-2873C90D9DDB}"/>
    <hyperlink ref="G396" r:id="rId877" xr:uid="{DE4CA45E-68F6-8241-8FAE-CDA29A974A5C}"/>
    <hyperlink ref="F113" r:id="rId878" xr:uid="{9F6ADF9E-E92C-314B-9D86-167376D3B3D4}"/>
    <hyperlink ref="G113" r:id="rId879" xr:uid="{CBCFBC84-F0E6-1945-ABB4-E306FA601831}"/>
    <hyperlink ref="F116" r:id="rId880" xr:uid="{EE118D9E-5FBC-4E41-955C-711CEFF3B3EF}"/>
    <hyperlink ref="G116" r:id="rId881" xr:uid="{00BC77CD-040F-4741-9910-5D4647574C59}"/>
    <hyperlink ref="F127" r:id="rId882" xr:uid="{2E1C776F-1329-9845-8260-F61BA28B3C6D}"/>
    <hyperlink ref="F1334" r:id="rId883" xr:uid="{7E8B3434-1D36-FD47-B7CB-F95DF0CE9EE2}"/>
    <hyperlink ref="F1341" r:id="rId884" xr:uid="{892C60CC-A2C1-1543-96D6-D382210FD400}"/>
    <hyperlink ref="G127" r:id="rId885" xr:uid="{F794AB78-8F76-7547-B025-D87F627D9D31}"/>
    <hyperlink ref="G1334" r:id="rId886" xr:uid="{982AF9B7-2806-274C-968C-CEC99CD94B42}"/>
    <hyperlink ref="G1341" r:id="rId887" xr:uid="{E6A69C81-A823-914A-B1A5-1CF8CA8B7892}"/>
    <hyperlink ref="F139" r:id="rId888" xr:uid="{DB5AF143-799D-1A42-B8F9-0E1670AFE990}"/>
    <hyperlink ref="G139" r:id="rId889" xr:uid="{4D0F89BE-54EE-5744-8AC8-6A9DE54330A6}"/>
    <hyperlink ref="F146" r:id="rId890" xr:uid="{00C5A171-1D1F-2F43-8843-4C74F93CEA7B}"/>
    <hyperlink ref="G146" r:id="rId891" xr:uid="{571E7C1E-6E6A-454C-9FE1-5666328AD57D}"/>
    <hyperlink ref="F151" r:id="rId892" xr:uid="{46D0F746-B735-994D-8722-0D65D9095E3C}"/>
    <hyperlink ref="F1583" r:id="rId893" xr:uid="{B0A5C5EE-159D-2F4F-8B9C-E5903977293C}"/>
    <hyperlink ref="G151" r:id="rId894" xr:uid="{6710832D-D29B-0A4D-AFBB-0607DF7F6406}"/>
    <hyperlink ref="G1583" r:id="rId895" xr:uid="{FAC98886-FF81-3845-B91E-F6F0E253280E}"/>
    <hyperlink ref="F167" r:id="rId896" xr:uid="{4B3AC198-4AA4-1C4B-915D-D4D3DE5B3381}"/>
    <hyperlink ref="G167" r:id="rId897" xr:uid="{E3ED0962-A060-7141-BEEA-83800F119C05}"/>
    <hyperlink ref="F169" r:id="rId898" xr:uid="{2BCC6C7A-3C3B-7049-8DD6-275B94937686}"/>
    <hyperlink ref="G169" r:id="rId899" xr:uid="{950CF249-4762-BE45-AE51-DD09870DEE1E}"/>
    <hyperlink ref="F981" r:id="rId900" xr:uid="{85379C25-706D-1347-991B-DDCF3F8E59E0}"/>
    <hyperlink ref="G981" r:id="rId901" xr:uid="{73D704D8-C80D-C84E-8350-10E764389DE1}"/>
    <hyperlink ref="F1250" r:id="rId902" xr:uid="{B9ED7346-D519-6449-9C9B-43B9A2076883}"/>
    <hyperlink ref="G1250" r:id="rId903" xr:uid="{513B2825-ABAA-A14E-89F0-6CAA2EB1790E}"/>
    <hyperlink ref="F175" r:id="rId904" xr:uid="{5ED70DF6-51B5-EF43-8DB1-6B3DDBA31C61}"/>
    <hyperlink ref="G175" r:id="rId905" xr:uid="{D5C50661-B7DD-F748-93D2-9CBBC119BEA0}"/>
    <hyperlink ref="F184" r:id="rId906" xr:uid="{0DEB9AD2-9146-8B42-A7DD-416673ADED7D}"/>
    <hyperlink ref="G184" r:id="rId907" xr:uid="{50DA9B78-4C02-1C43-8AD8-7C6CE21C98F4}"/>
    <hyperlink ref="F208" r:id="rId908" xr:uid="{E3542BB4-09EB-9946-B038-75084B7CE07F}"/>
    <hyperlink ref="G208" r:id="rId909" xr:uid="{72109008-E3AD-2D4F-8280-19C6801DF819}"/>
    <hyperlink ref="F199" r:id="rId910" xr:uid="{77D0EFE7-3D1C-EF44-8CFD-69612D5F0015}"/>
    <hyperlink ref="G199" r:id="rId911" xr:uid="{6D0D753A-704E-1A41-9F18-7BDF15594D04}"/>
    <hyperlink ref="F211" r:id="rId912" xr:uid="{D5770961-6D1B-ED49-80E7-BDC13BB4CEC1}"/>
    <hyperlink ref="G211" r:id="rId913" xr:uid="{0EE69673-6EE2-4943-882B-38FEE3B7DFAA}"/>
    <hyperlink ref="F235" r:id="rId914" xr:uid="{CB34E89D-A465-B247-BF92-95DBE21A0A4F}"/>
    <hyperlink ref="G235" r:id="rId915" xr:uid="{5D6AE0BA-4DB0-6142-8A20-3333AD634807}"/>
    <hyperlink ref="F238" r:id="rId916" xr:uid="{95E541F5-3C68-7849-B909-3F32BFB113F5}"/>
    <hyperlink ref="G238" r:id="rId917" xr:uid="{F44CBC27-3FEC-604C-B052-C65C9C31287A}"/>
    <hyperlink ref="F239" r:id="rId918" xr:uid="{0BAF0A9E-F50A-2947-8E8B-CEB5DFE33481}"/>
    <hyperlink ref="G239" r:id="rId919" xr:uid="{622DB36A-1CB8-5C4F-B239-D69B23CABA50}"/>
    <hyperlink ref="F244" r:id="rId920" xr:uid="{8DEF6583-BF74-654C-9ACB-1E34C5A47D0F}"/>
    <hyperlink ref="G244" r:id="rId921" xr:uid="{F950877E-63F1-A74C-B72E-7A9F67016D01}"/>
    <hyperlink ref="F286" r:id="rId922" xr:uid="{1994B53D-6ED8-054A-B794-24E14CB8CDBE}"/>
    <hyperlink ref="G286" r:id="rId923" xr:uid="{850C398F-D408-4F4B-B5FC-A1F029B8DBE5}"/>
    <hyperlink ref="F298" r:id="rId924" xr:uid="{79518A6B-DDC9-5045-A23C-F6068E5B8AF2}"/>
    <hyperlink ref="F393" r:id="rId925" xr:uid="{EDDFC8E7-404E-BF46-BABE-A86E40969898}"/>
    <hyperlink ref="F395" r:id="rId926" xr:uid="{13E8227B-81A8-004E-A9DB-F43E11D9CC88}"/>
    <hyperlink ref="G393" r:id="rId927" xr:uid="{D9C545D4-7FA2-2E40-82A2-0F9D970A3FDF}"/>
    <hyperlink ref="G395" r:id="rId928" xr:uid="{D6A00674-DC62-B344-BC52-4196BE325AB0}"/>
    <hyperlink ref="G298" r:id="rId929" xr:uid="{254502DF-7C5D-DE4E-93F7-4168FEB90440}"/>
    <hyperlink ref="F301" r:id="rId930" xr:uid="{0FEEBB34-7EB0-E744-948C-34E50B30ACAD}"/>
    <hyperlink ref="G301" r:id="rId931" xr:uid="{BF52C16B-1A6F-954D-ADE5-97FE9A29E48C}"/>
    <hyperlink ref="F303" r:id="rId932" xr:uid="{D622287D-44E8-7342-9372-31CFA2CE0A17}"/>
    <hyperlink ref="G303" r:id="rId933" xr:uid="{2E3BE1EA-2B50-4145-8544-4F78B4A402AE}"/>
    <hyperlink ref="F304" r:id="rId934" xr:uid="{2FE19DF6-086C-1C41-B142-A75F0AF0CC7A}"/>
    <hyperlink ref="G304" r:id="rId935" xr:uid="{0FBA5B56-5CD1-7C42-BC5D-414A87E06BD2}"/>
    <hyperlink ref="F305" r:id="rId936" xr:uid="{6D31502E-AD54-A047-A79D-4E792FEDE27F}"/>
    <hyperlink ref="G305" r:id="rId937" xr:uid="{90F66DAE-F072-204D-9E54-B52C11D23071}"/>
    <hyperlink ref="F308" r:id="rId938" xr:uid="{4465B7D3-FD6A-9240-8C49-C30C49563828}"/>
    <hyperlink ref="F2349" r:id="rId939" xr:uid="{D864775E-7E41-4E4B-B5CB-796CD7278380}"/>
    <hyperlink ref="F3020" r:id="rId940" xr:uid="{6F5C2C57-D2D3-B345-BF38-E6C7D37167C3}"/>
    <hyperlink ref="G308" r:id="rId941" xr:uid="{F1527558-81B1-2948-8603-E3CA7B3F2634}"/>
    <hyperlink ref="G2349" r:id="rId942" xr:uid="{A27EE7A1-70E7-F04E-9715-39CAF4758648}"/>
    <hyperlink ref="G3020" r:id="rId943" xr:uid="{53EC69CD-BBE2-3F43-9B62-E651DF0B4F9C}"/>
    <hyperlink ref="F310" r:id="rId944" xr:uid="{39EFECE1-0917-0F4F-B790-D7A2CC4EA067}"/>
    <hyperlink ref="F2851" r:id="rId945" xr:uid="{6746EDDD-BD9C-ED46-9DA3-68233B7223A9}"/>
    <hyperlink ref="G310" r:id="rId946" xr:uid="{C797314A-20D0-654F-8C8B-7E228E40FA3B}"/>
    <hyperlink ref="G2851" r:id="rId947" xr:uid="{5A443C96-2850-7042-9694-665B18E9051C}"/>
    <hyperlink ref="F2853" r:id="rId948" xr:uid="{99C3D8B7-D74B-6D44-BA41-311BC899660B}"/>
    <hyperlink ref="G2853" r:id="rId949" xr:uid="{C28E8A45-9E91-4543-B048-4528480B21F5}"/>
    <hyperlink ref="F315" r:id="rId950" xr:uid="{D8520DF4-D9BF-1847-8ECF-D3A40F2FEC7C}"/>
    <hyperlink ref="F339" r:id="rId951" xr:uid="{CD1E8554-B5C3-514B-AAB9-72B21B593175}"/>
    <hyperlink ref="F343" r:id="rId952" xr:uid="{F2C44514-866C-4949-9F93-9878C85B3CB1}"/>
    <hyperlink ref="G315" r:id="rId953" xr:uid="{F63C9F53-E225-C248-A65B-4B1441102091}"/>
    <hyperlink ref="G339" r:id="rId954" xr:uid="{364201EE-CDC7-514A-B58A-EEA6F5BE8892}"/>
    <hyperlink ref="G343" r:id="rId955" xr:uid="{2BBCC3BF-2FC4-F546-AE35-3F328A057D3D}"/>
    <hyperlink ref="F318" r:id="rId956" xr:uid="{05C8AB6F-1178-FC4B-A997-5B774E5D8DD9}"/>
    <hyperlink ref="F348" r:id="rId957" xr:uid="{F196D10C-611A-B646-895D-6097B2B603B8}"/>
    <hyperlink ref="F349" r:id="rId958" xr:uid="{2F266CE3-0705-1440-A149-1AC3F7956722}"/>
    <hyperlink ref="F320" r:id="rId959" xr:uid="{7F009B8C-33CA-5F4C-81F4-78BA7248ABB0}"/>
    <hyperlink ref="F351" r:id="rId960" xr:uid="{1808C5E9-635E-DD48-AD62-2956937DC56E}"/>
    <hyperlink ref="G351" r:id="rId961" xr:uid="{BED2B32F-1D6A-8B40-AB79-79C04DD27472}"/>
    <hyperlink ref="G320" r:id="rId962" xr:uid="{FC831DA4-3C2C-0A47-90F2-55BE99315F11}"/>
    <hyperlink ref="F389" r:id="rId963" xr:uid="{2D37E862-D174-144C-96A9-A4641B634249}"/>
    <hyperlink ref="G389" r:id="rId964" xr:uid="{A5CD66A8-B46E-A84A-A448-CD04C0E7F0DE}"/>
    <hyperlink ref="F390" r:id="rId965" xr:uid="{BD9AFB1D-E443-5348-8189-1FE136D446E0}"/>
    <hyperlink ref="G390" r:id="rId966" xr:uid="{94D9BE8E-5BBA-BE4C-A390-0C6E1A01E2CF}"/>
    <hyperlink ref="F398" r:id="rId967" xr:uid="{CB15CE29-657D-F241-9327-ADA981FE0700}"/>
    <hyperlink ref="G398" r:id="rId968" xr:uid="{5CB27D42-1690-DA4F-A82A-726154A68198}"/>
    <hyperlink ref="F399" r:id="rId969" xr:uid="{44896200-B088-9141-814A-B82407B998C4}"/>
    <hyperlink ref="G399" r:id="rId970" xr:uid="{0BAB3B0D-7599-344D-862C-9AF6C3034B53}"/>
    <hyperlink ref="F405" r:id="rId971" xr:uid="{EB739642-5AD2-6D44-B6FD-0AF485CFA491}"/>
    <hyperlink ref="G405" r:id="rId972" xr:uid="{E493AD8A-9365-704A-8E86-89C97D738ED1}"/>
    <hyperlink ref="F410" r:id="rId973" xr:uid="{8F914AD0-B06A-D548-9049-2FAC0AA01703}"/>
    <hyperlink ref="G410" r:id="rId974" xr:uid="{4F7979C3-B965-DF42-8419-F875BDA9F35C}"/>
    <hyperlink ref="F415" r:id="rId975" xr:uid="{DFF155CD-434B-374A-A632-15C518FC1527}"/>
    <hyperlink ref="F2108" r:id="rId976" xr:uid="{07E4D208-8250-2E4D-BBFE-3164FDB2E918}"/>
    <hyperlink ref="F2441" r:id="rId977" xr:uid="{52612122-7BC8-FC4C-9941-45F390A08DB5}"/>
    <hyperlink ref="G415" r:id="rId978" xr:uid="{9B3CF889-954A-5245-BDA0-278FE5069C2B}"/>
    <hyperlink ref="G2108" r:id="rId979" xr:uid="{763C5B81-D704-D441-926E-018456A236B0}"/>
    <hyperlink ref="G2441" r:id="rId980" xr:uid="{58786D2D-B50A-8F43-A3BE-37A5D8CF5BC1}"/>
    <hyperlink ref="F417" r:id="rId981" xr:uid="{BA52CD6E-6CCC-994C-A00E-F6E52FC77C19}"/>
    <hyperlink ref="G417" r:id="rId982" xr:uid="{32605CF2-078E-0D48-AC34-1A609A87754B}"/>
    <hyperlink ref="F418" r:id="rId983" xr:uid="{207EB16D-9FF3-4645-974F-7F7514B7F46C}"/>
    <hyperlink ref="G418" r:id="rId984" xr:uid="{9E04CD46-33DC-3645-B1F5-395BCF6BD279}"/>
    <hyperlink ref="F422" r:id="rId985" xr:uid="{4159ECCD-25EA-4D41-B863-697A4312A9B0}"/>
    <hyperlink ref="F809" r:id="rId986" xr:uid="{FE6E1261-A246-D540-A248-37DCFBBB1BC5}"/>
    <hyperlink ref="G422" r:id="rId987" xr:uid="{D0F65D71-4D0B-1543-95BE-4522A487C304}"/>
    <hyperlink ref="G809" r:id="rId988" xr:uid="{CF88E0A4-BAF6-1241-9678-FD4F9C33B4ED}"/>
    <hyperlink ref="F423" r:id="rId989" xr:uid="{367D9D45-5C36-6B48-B3C7-83B72C536007}"/>
    <hyperlink ref="G423" r:id="rId990" xr:uid="{7AE984C5-C638-694B-B22E-067935D45208}"/>
    <hyperlink ref="H423" r:id="rId991" display="https://www.genome.jp/entry/C00430" xr:uid="{2CDDABBE-EBD1-7849-9F48-6B0D1D4E7B64}"/>
    <hyperlink ref="F427" r:id="rId992" xr:uid="{89102F1F-29A5-0A42-B019-778692B506F7}"/>
    <hyperlink ref="G427" r:id="rId993" xr:uid="{ABE01995-CC7F-7A48-9989-F014FDF68C90}"/>
    <hyperlink ref="F428" r:id="rId994" xr:uid="{DCBC991A-61EF-544E-800E-912C0DEECA42}"/>
    <hyperlink ref="G428" r:id="rId995" xr:uid="{95550241-1D23-8942-9884-0AB80518D154}"/>
    <hyperlink ref="F431" r:id="rId996" xr:uid="{AA7DB661-F694-0B4A-98C3-6C96EE1DB28C}"/>
    <hyperlink ref="G431" r:id="rId997" xr:uid="{F4AB8DD0-70EB-0541-925D-266BE9D874B3}"/>
    <hyperlink ref="F432" r:id="rId998" xr:uid="{D6A01643-193D-F449-A50C-86FEE15A5ABD}"/>
    <hyperlink ref="G432" r:id="rId999" xr:uid="{4DBEDF29-C1C7-424C-9597-4E8EB0A5DFA6}"/>
    <hyperlink ref="F441" r:id="rId1000" xr:uid="{ABF45ED2-835F-D441-B628-E0C20D22653A}"/>
    <hyperlink ref="G441" r:id="rId1001" xr:uid="{365470C8-8077-4A49-B70A-70B43116B5EE}"/>
    <hyperlink ref="F442" r:id="rId1002" xr:uid="{1C731BE6-BB1A-4440-9710-BC3121D65BE0}"/>
    <hyperlink ref="G442" r:id="rId1003" xr:uid="{20115393-9E19-C541-9BC8-454D15F9B66D}"/>
    <hyperlink ref="F445" r:id="rId1004" xr:uid="{C1EA3CAA-B04C-2E4B-9517-79E08E772EBD}"/>
    <hyperlink ref="G445" r:id="rId1005" xr:uid="{FA92DF76-B947-624A-842B-7FDA22A36178}"/>
    <hyperlink ref="F463" r:id="rId1006" xr:uid="{5D693A8A-EFB1-CE46-908E-B002CCF46C66}"/>
    <hyperlink ref="G463" r:id="rId1007" xr:uid="{3F24FCEE-7066-EF4F-91A5-34903E4DC19C}"/>
    <hyperlink ref="F466" r:id="rId1008" xr:uid="{EF63BCB8-5AE1-6F4A-A58A-E34A5FB2D3D0}"/>
    <hyperlink ref="G466" r:id="rId1009" xr:uid="{EC46B575-A79B-A948-8577-02FBAE658447}"/>
    <hyperlink ref="F468" r:id="rId1010" xr:uid="{61400356-980D-5747-A614-96E3619ED762}"/>
    <hyperlink ref="G468" r:id="rId1011" xr:uid="{AD48DCC8-CF5D-D04D-8C34-A0CBF5FABBFF}"/>
    <hyperlink ref="F479" r:id="rId1012" xr:uid="{920E503A-D712-8246-A27A-8355B1D65288}"/>
    <hyperlink ref="G479" r:id="rId1013" xr:uid="{A0111B8A-0BB2-3E48-848F-9EEF8B89963D}"/>
    <hyperlink ref="F482" r:id="rId1014" xr:uid="{9122CDE4-A409-5348-80CB-1D27B4E8C3A4}"/>
    <hyperlink ref="G482" r:id="rId1015" xr:uid="{041C9ECE-EC86-4E4A-A22A-0ADFEDE3B697}"/>
    <hyperlink ref="F492" r:id="rId1016" xr:uid="{E2EEA56A-17DE-7B4D-9DA0-606A412DCF1C}"/>
    <hyperlink ref="G492" r:id="rId1017" xr:uid="{646B03A1-AEB1-B84D-9251-15E28999BC0C}"/>
    <hyperlink ref="F505" r:id="rId1018" xr:uid="{63687637-3A20-6B4C-939D-40C2CE5D46D6}"/>
    <hyperlink ref="F511" r:id="rId1019" xr:uid="{397D7AED-3C7C-BB41-A825-14DF629E3E27}"/>
    <hyperlink ref="F587" r:id="rId1020" xr:uid="{803C388C-5E47-9649-946C-D9FEE8FE0069}"/>
    <hyperlink ref="F1625" r:id="rId1021" xr:uid="{D5669219-7355-E44A-97E8-3EECA30588B7}"/>
    <hyperlink ref="G505" r:id="rId1022" xr:uid="{27FDBEAB-FCE8-324A-89C5-474D4150FD07}"/>
    <hyperlink ref="G511" r:id="rId1023" xr:uid="{01CC342A-1A1C-5642-9C5D-5A69A85F7360}"/>
    <hyperlink ref="G587" r:id="rId1024" xr:uid="{83709B58-047B-2143-B703-85193C36FC05}"/>
    <hyperlink ref="G1625" r:id="rId1025" xr:uid="{1C095356-C6EC-3B45-A40D-A9B44AFDA942}"/>
    <hyperlink ref="F560" r:id="rId1026" xr:uid="{99907471-1AB1-CA4B-B709-B79B32DF8A00}"/>
    <hyperlink ref="F789" r:id="rId1027" xr:uid="{29DC4A3A-B3A0-D941-B2E8-63E8DC05E33D}"/>
    <hyperlink ref="F571" r:id="rId1028" xr:uid="{FEE9E130-D294-F942-B7B3-A214A7348F64}"/>
    <hyperlink ref="G571" r:id="rId1029" xr:uid="{4E4E016F-B79A-2645-B1E9-B0D7A70DDA73}"/>
    <hyperlink ref="F575" r:id="rId1030" xr:uid="{9E27528B-600B-C64D-94DC-313EDE21C827}"/>
    <hyperlink ref="G575" r:id="rId1031" xr:uid="{E880436F-994C-CC4C-9ECD-49AB0D8DB35B}"/>
    <hyperlink ref="F576" r:id="rId1032" xr:uid="{E50D530C-0848-1F4B-8838-0652007ABF6C}"/>
    <hyperlink ref="F1843" r:id="rId1033" xr:uid="{C8D21970-3495-6541-8608-E070F3090E09}"/>
    <hyperlink ref="F589" r:id="rId1034" xr:uid="{13B0C9A6-BDF3-3D42-9F44-7C81ABF9B09F}"/>
    <hyperlink ref="G589" r:id="rId1035" xr:uid="{3C5FA336-6C86-0043-AABC-D9521A0E8A98}"/>
    <hyperlink ref="F591" r:id="rId1036" xr:uid="{E6AFB496-2CB9-2F41-BD60-7EEDA03CE015}"/>
    <hyperlink ref="F601" r:id="rId1037" xr:uid="{B6C1A817-0988-ED48-8755-880D40427680}"/>
    <hyperlink ref="G601" r:id="rId1038" xr:uid="{2D8119C2-93B8-F34D-9868-F1BF13FA7289}"/>
    <hyperlink ref="F607" r:id="rId1039" xr:uid="{C7D09759-5BBB-F34F-BD41-9723C1E1B56B}"/>
    <hyperlink ref="G607" r:id="rId1040" xr:uid="{20C2BE7A-E535-C64D-9ED1-D61C9A958FC4}"/>
    <hyperlink ref="F608" r:id="rId1041" xr:uid="{629A7816-03CC-9B4C-A37D-7B288FA05365}"/>
    <hyperlink ref="G608" r:id="rId1042" xr:uid="{10EEA113-241B-B54D-97BF-CC0247566B2B}"/>
    <hyperlink ref="F628" r:id="rId1043" xr:uid="{2A2D5559-BA92-DA43-B6E4-0249D76A76D6}"/>
    <hyperlink ref="G628" r:id="rId1044" xr:uid="{92ECCC5A-BC9A-A849-B4A2-92AE0D9134CF}"/>
    <hyperlink ref="F2586" r:id="rId1045" xr:uid="{48B916EE-106E-9C4F-BB37-D864B392224E}"/>
    <hyperlink ref="G2586" r:id="rId1046" xr:uid="{E5C3D1B6-57F9-9C4C-8EFB-D17C28B0ECA4}"/>
    <hyperlink ref="F650" r:id="rId1047" xr:uid="{1B45F949-F14B-4247-BF8D-5CB30FA1C437}"/>
    <hyperlink ref="F654" r:id="rId1048" xr:uid="{BA67A66D-4912-4244-B090-3DCD755916B9}"/>
    <hyperlink ref="G654" r:id="rId1049" xr:uid="{5322ED8C-9484-3745-9BCC-4B29E50DEC06}"/>
    <hyperlink ref="F669" r:id="rId1050" xr:uid="{224DF51C-DA34-6D46-BDB9-BD88D5963F16}"/>
    <hyperlink ref="F670" r:id="rId1051" xr:uid="{C2267168-790E-6C47-859C-3FF1BDD0F11D}"/>
    <hyperlink ref="F674" r:id="rId1052" xr:uid="{CE737A63-76F9-4C41-B3C5-DCF89995951B}"/>
    <hyperlink ref="G674" r:id="rId1053" xr:uid="{5089C7D9-BBCC-6548-AEDC-312B701DB785}"/>
    <hyperlink ref="F676" r:id="rId1054" xr:uid="{00534D18-1BDD-F841-A752-3849B6E613DF}"/>
    <hyperlink ref="F2659" r:id="rId1055" xr:uid="{D39B5DBF-B27C-2048-A02B-A2BB483E1FA2}"/>
    <hyperlink ref="F680" r:id="rId1056" xr:uid="{01B77CFD-87EF-0742-BD68-1299007F5AE0}"/>
    <hyperlink ref="G680" r:id="rId1057" xr:uid="{0B588D2B-6324-5C45-BC99-70350C0074E5}"/>
    <hyperlink ref="F684" r:id="rId1058" xr:uid="{69777955-695F-BE4A-8600-045BE2418866}"/>
    <hyperlink ref="G684" r:id="rId1059" xr:uid="{ADB3BC8C-0FED-9C40-A176-67A71D564F94}"/>
    <hyperlink ref="F693" r:id="rId1060" xr:uid="{DA492910-0D05-164D-ADD8-866278A0852B}"/>
    <hyperlink ref="F2229" r:id="rId1061" xr:uid="{9D99345B-4B8D-A845-A6C4-84D270885F1F}"/>
    <hyperlink ref="F2536" r:id="rId1062" xr:uid="{78353EA3-86E4-7D43-93DC-DF4BFF3F0089}"/>
    <hyperlink ref="F2871" r:id="rId1063" xr:uid="{BD6AFA42-56C7-6240-965D-AB748BAAD4B7}"/>
    <hyperlink ref="G693" r:id="rId1064" xr:uid="{B81F3D04-AFC0-BE4D-A880-32412F5B8BD4}"/>
    <hyperlink ref="G2229" r:id="rId1065" xr:uid="{21653F88-A7BC-1B4A-8D9C-E060D078BFA2}"/>
    <hyperlink ref="G2536" r:id="rId1066" xr:uid="{0A332D54-3115-6A41-84DC-6B0D234F48F1}"/>
    <hyperlink ref="G2871" r:id="rId1067" xr:uid="{7767DF57-3F8E-7A49-96F6-EC94CC23871D}"/>
    <hyperlink ref="F697" r:id="rId1068" xr:uid="{DD8330F6-9107-0B44-9B30-BE5DDAC1035C}"/>
    <hyperlink ref="G697" r:id="rId1069" xr:uid="{F78BABA8-E8D9-0742-B0CB-BD4205E73A6A}"/>
    <hyperlink ref="F704" r:id="rId1070" xr:uid="{BF4C83B6-1336-2644-89F3-CF97D3210F97}"/>
    <hyperlink ref="G704" r:id="rId1071" xr:uid="{01B9FA12-6442-3346-9A5D-FC26EF8DC9C6}"/>
    <hyperlink ref="F706" r:id="rId1072" xr:uid="{A3026D69-0D11-3B43-98A0-438693BFB990}"/>
    <hyperlink ref="G706" r:id="rId1073" xr:uid="{E2AB3070-6C16-534F-83AB-D52A05DA2D1B}"/>
    <hyperlink ref="F709" r:id="rId1074" xr:uid="{81AEAF0E-C4BD-AF4D-A886-6FF1169A83CB}"/>
    <hyperlink ref="G709" r:id="rId1075" xr:uid="{F21B8DF3-FCA4-E545-830A-B8241A7E33FC}"/>
    <hyperlink ref="F711" r:id="rId1076" xr:uid="{D616AB7A-C488-574B-B7F8-AC74574378A9}"/>
    <hyperlink ref="G711" r:id="rId1077" xr:uid="{04E6A029-F157-A741-A69A-18D270EC29BA}"/>
    <hyperlink ref="F2175" r:id="rId1078" xr:uid="{F81B9D37-34D1-5643-8D7D-F748794EEA7A}"/>
    <hyperlink ref="G2175" r:id="rId1079" xr:uid="{F50556DF-382D-9342-A976-E08B48DB5B57}"/>
    <hyperlink ref="F715" r:id="rId1080" xr:uid="{331072B0-8BD1-FB46-A674-F02BF4E1CAAD}"/>
    <hyperlink ref="G715" r:id="rId1081" xr:uid="{5C2BC5BA-5947-4547-B5FA-8C5295E7C146}"/>
    <hyperlink ref="F720" r:id="rId1082" xr:uid="{8ECE9482-6A38-374B-A8BA-7CE847930319}"/>
    <hyperlink ref="G720" r:id="rId1083" xr:uid="{0BC857A5-E6C3-E44E-8808-876814E98B7B}"/>
    <hyperlink ref="F726" r:id="rId1084" xr:uid="{563C17C8-D88E-DF4A-A2BE-79D0D7E18200}"/>
    <hyperlink ref="G726" r:id="rId1085" xr:uid="{7DB9B354-77F6-C84B-8735-BC6838DC7A62}"/>
    <hyperlink ref="F732" r:id="rId1086" xr:uid="{CC539C8F-ACE5-354B-B81A-20B961E0AE81}"/>
    <hyperlink ref="G732" r:id="rId1087" xr:uid="{C9F23B2D-B5A9-BD4E-A228-0411CBD054E6}"/>
    <hyperlink ref="F2835" r:id="rId1088" xr:uid="{CF1485E2-0077-4440-8C7D-88B255D0D336}"/>
    <hyperlink ref="G2835" r:id="rId1089" xr:uid="{84396AF4-16FB-5C42-82D1-2A334DEC214F}"/>
    <hyperlink ref="F739" r:id="rId1090" xr:uid="{A81845F8-4C14-0046-8B39-8C0C90FF5E1D}"/>
    <hyperlink ref="G739" r:id="rId1091" xr:uid="{997275D9-1CCB-CA41-AF56-EE8E0B148BF1}"/>
    <hyperlink ref="F744" r:id="rId1092" xr:uid="{E90032D8-C566-1C4E-B4E8-83CE762773FE}"/>
    <hyperlink ref="F747" r:id="rId1093" xr:uid="{73087F3C-A61B-6C43-9FA4-8E2339E65636}"/>
    <hyperlink ref="G747" r:id="rId1094" xr:uid="{E099331C-EC8F-F143-AB78-4421ECE9CFD1}"/>
    <hyperlink ref="F749" r:id="rId1095" xr:uid="{DC01FBD5-0D86-0B40-AACA-9731EBFE983A}"/>
    <hyperlink ref="G749" r:id="rId1096" xr:uid="{1C398E77-D89A-1B44-91EA-CCE5F9DF9C7C}"/>
    <hyperlink ref="F750" r:id="rId1097" xr:uid="{95BAC468-E6E0-AE4F-AE55-D33F394273EA}"/>
    <hyperlink ref="G750" r:id="rId1098" xr:uid="{96D43D10-F42D-354E-8616-1D92E4DB3CF4}"/>
    <hyperlink ref="G754" r:id="rId1099" xr:uid="{6510261D-44BC-5F40-BAE5-667B1395312F}"/>
    <hyperlink ref="F761" r:id="rId1100" xr:uid="{2920E986-7194-1C43-8D5F-416A1D87E8B3}"/>
    <hyperlink ref="G761" r:id="rId1101" xr:uid="{4266607E-023A-5040-BC0D-FE899E7FD978}"/>
    <hyperlink ref="F764" r:id="rId1102" xr:uid="{1CD6C148-E8E4-D241-966D-F034078FBBA9}"/>
    <hyperlink ref="G764" r:id="rId1103" xr:uid="{11CF6207-4252-CA47-8500-5F978733756A}"/>
    <hyperlink ref="F765" r:id="rId1104" xr:uid="{223EAEDC-2D4A-E845-8FCC-C8F988727B52}"/>
    <hyperlink ref="G765" r:id="rId1105" xr:uid="{F01C0352-1498-844B-B122-4E3488CABF57}"/>
    <hyperlink ref="F772" r:id="rId1106" xr:uid="{839726EE-5DFC-054B-B173-47C5ABA01E11}"/>
    <hyperlink ref="G772" r:id="rId1107" xr:uid="{660337B3-5013-D449-BB41-46985EECD15E}"/>
    <hyperlink ref="G2173" r:id="rId1108" xr:uid="{1A5D3EB5-A526-6A47-BCB5-78BD7416DE74}"/>
    <hyperlink ref="F2173" r:id="rId1109" xr:uid="{6F64AEEE-87BF-3C4C-A316-C0D792728773}"/>
    <hyperlink ref="F825" r:id="rId1110" xr:uid="{0567EB99-F7EE-9642-9227-D7A568B12CAE}"/>
    <hyperlink ref="G825" r:id="rId1111" xr:uid="{A81692B3-5A18-614E-869E-535FEB239FFD}"/>
    <hyperlink ref="F839" r:id="rId1112" xr:uid="{858313CE-3454-0049-A9B1-A5A4C09CDBF2}"/>
    <hyperlink ref="F840" r:id="rId1113" xr:uid="{28EFEAEE-D913-8E4F-9C7C-0F5532E9BCE1}"/>
    <hyperlink ref="F845" r:id="rId1114" xr:uid="{3901AC5F-57FA-184E-94A8-837F2849DD8B}"/>
    <hyperlink ref="F953" r:id="rId1115" xr:uid="{AA585F82-F677-8144-83A7-84B568623A20}"/>
    <hyperlink ref="F1373" r:id="rId1116" xr:uid="{04D68F99-0243-C745-B68F-F6140F4153C2}"/>
    <hyperlink ref="F1393" r:id="rId1117" xr:uid="{9BBB9602-2175-6B44-A6D4-DCB2A0E3D89D}"/>
    <hyperlink ref="F1420" r:id="rId1118" xr:uid="{E6476563-22EE-014B-B1DE-13A882605D1E}"/>
    <hyperlink ref="F1691" r:id="rId1119" xr:uid="{6981A6B5-F64F-004F-9BF8-FBFB7E2EC7EE}"/>
    <hyperlink ref="F2438" r:id="rId1120" xr:uid="{0003E815-A9FB-CC40-AC02-60BFFFE757F5}"/>
    <hyperlink ref="F2938" r:id="rId1121" xr:uid="{7A88A513-564C-8541-A5EF-B6662E6BC9A4}"/>
    <hyperlink ref="F844" r:id="rId1122" xr:uid="{874DA90A-C046-F840-8FD2-3FC64122FE0E}"/>
    <hyperlink ref="G844" r:id="rId1123" xr:uid="{46E85D10-229E-6346-80FF-D7ABAADB573B}"/>
    <hyperlink ref="F868" r:id="rId1124" xr:uid="{F2748E9C-60BD-654D-91E6-9B32EAD6581F}"/>
    <hyperlink ref="G868" r:id="rId1125" xr:uid="{6C9F03A1-0B72-6647-8470-8A4A5FB608E3}"/>
    <hyperlink ref="F872" r:id="rId1126" xr:uid="{241F2FBE-C4CC-CE40-AB76-6C85BB0AFC19}"/>
    <hyperlink ref="F1734" r:id="rId1127" xr:uid="{0650E83B-E9CF-3C47-944E-60710042CCE2}"/>
    <hyperlink ref="F1919" r:id="rId1128" xr:uid="{6BADF0D1-D4D2-324C-9CBB-B1D666592726}"/>
    <hyperlink ref="G872" r:id="rId1129" xr:uid="{811BBADA-C548-F647-AB64-64B7452F30B7}"/>
    <hyperlink ref="G1734" r:id="rId1130" xr:uid="{BB67F5A4-F528-9D4C-86B5-741896BA402D}"/>
    <hyperlink ref="G1919" r:id="rId1131" xr:uid="{C3524D2D-9B49-844F-BC28-26AE63345A5C}"/>
    <hyperlink ref="F882" r:id="rId1132" xr:uid="{331F282F-FA3C-4245-8971-BDA6C2EAB89D}"/>
    <hyperlink ref="F899" r:id="rId1133" xr:uid="{9F39B58E-CE08-1A4C-9E48-9090B835D6C6}"/>
    <hyperlink ref="F903" r:id="rId1134" xr:uid="{AB77F9A7-1A4D-E14D-AC00-F438F200855F}"/>
    <hyperlink ref="G903" r:id="rId1135" xr:uid="{129503ED-CD0B-3A46-B7B5-3D79152B57A7}"/>
    <hyperlink ref="F904" r:id="rId1136" xr:uid="{2554D2CE-F862-394D-997B-7B42F0F49979}"/>
    <hyperlink ref="G904" r:id="rId1137" xr:uid="{6A4AF2A9-E3A6-C74E-9A14-078450A6706F}"/>
    <hyperlink ref="F905" r:id="rId1138" xr:uid="{E50039DE-6E95-5D4C-9711-EEEC2CDA02B4}"/>
    <hyperlink ref="F1677" r:id="rId1139" xr:uid="{BD235BDA-D6D0-E944-982F-02C107D63A13}"/>
    <hyperlink ref="F2338" r:id="rId1140" xr:uid="{9C18C27A-58FA-AC46-894C-9D6130861AD8}"/>
    <hyperlink ref="G905" r:id="rId1141" xr:uid="{3BCAE751-2D07-5A44-9686-80F831628C94}"/>
    <hyperlink ref="G1677" r:id="rId1142" xr:uid="{4DB79F2B-7B4A-AC48-A708-477C15319F38}"/>
    <hyperlink ref="G2338" r:id="rId1143" xr:uid="{79D0A74E-A347-0349-A2E3-D76C6CB9BC8A}"/>
    <hyperlink ref="F937" r:id="rId1144" xr:uid="{AC5705E4-FFA3-1149-A0BE-237CFD076E33}"/>
    <hyperlink ref="G937" r:id="rId1145" xr:uid="{A4F850FF-A9CC-DE44-9CC0-75AEF006782F}"/>
    <hyperlink ref="F938" r:id="rId1146" xr:uid="{6B482414-6941-3E41-9A61-09F6FD95FF4F}"/>
    <hyperlink ref="G938" r:id="rId1147" xr:uid="{53357B76-7A47-0E4E-8B76-12AC66F2D42F}"/>
    <hyperlink ref="F942" r:id="rId1148" xr:uid="{6F4D9DF7-31A4-CF4C-9F49-1EBC1B953121}"/>
    <hyperlink ref="G942" r:id="rId1149" xr:uid="{011D390F-99D4-A549-9C1C-10E72F483CA0}"/>
    <hyperlink ref="F950" r:id="rId1150" xr:uid="{EB5C7724-1ECF-174A-8781-FD3CB07064AF}"/>
    <hyperlink ref="G950" r:id="rId1151" xr:uid="{43E9F1BA-090B-F545-A308-819AFC44CFC1}"/>
    <hyperlink ref="F952" r:id="rId1152" xr:uid="{B0980421-15A3-E647-A091-FE0D46239642}"/>
    <hyperlink ref="G952" r:id="rId1153" xr:uid="{F3147E54-4265-E446-AA50-7181662FAD66}"/>
    <hyperlink ref="F954" r:id="rId1154" xr:uid="{885A7E11-72CB-1F40-9CD5-63B068107F16}"/>
    <hyperlink ref="F958" r:id="rId1155" xr:uid="{1693129B-EEC3-A14C-AFC8-63C73286F99A}"/>
    <hyperlink ref="G958" r:id="rId1156" xr:uid="{ABB0B1CB-199B-2841-A78D-BE8B40404BF5}"/>
    <hyperlink ref="F964" r:id="rId1157" xr:uid="{A2D6E0AE-6054-5D4C-AE94-920FAF77708F}"/>
    <hyperlink ref="F977" r:id="rId1158" xr:uid="{F1007F0E-90C6-B34C-BE3D-5BB7E1ADF54E}"/>
    <hyperlink ref="G977" r:id="rId1159" xr:uid="{BFF86CE4-C18E-3641-8DD6-27C89EA2ABDF}"/>
    <hyperlink ref="H977" r:id="rId1160" display="https://www.genome.jp/entry/C01278" xr:uid="{C0C69895-BEAC-B340-AA2D-D1C1F34A08CC}"/>
    <hyperlink ref="F980" r:id="rId1161" xr:uid="{BE85A728-A4CE-5947-86B6-362E13B16AFD}"/>
    <hyperlink ref="G980" r:id="rId1162" xr:uid="{72B4AF95-EDFF-5B41-9DC0-F5BA928F0103}"/>
    <hyperlink ref="F984" r:id="rId1163" xr:uid="{3919652A-AB77-F348-BE9D-4BE82830EFB0}"/>
    <hyperlink ref="F989" r:id="rId1164" xr:uid="{89071291-8DBB-7140-B957-F06D770F8B39}"/>
    <hyperlink ref="G989" r:id="rId1165" xr:uid="{C456D02F-4472-4249-BCD7-17423FEA3E1A}"/>
    <hyperlink ref="F990" r:id="rId1166" xr:uid="{AFE16052-D2A6-1041-A440-1374E9EE0A2F}"/>
    <hyperlink ref="F993" r:id="rId1167" xr:uid="{22A25A79-1456-8E45-92D9-09626D0C1618}"/>
    <hyperlink ref="G993" r:id="rId1168" xr:uid="{869EC683-F6C5-3946-8CF4-B88FFC3F098E}"/>
    <hyperlink ref="F998" r:id="rId1169" xr:uid="{5F15EF7F-9A0B-D74F-9A27-ACF544107C42}"/>
    <hyperlink ref="G998" r:id="rId1170" xr:uid="{3B09EDF6-8C2A-D54F-B0ED-5F9A77A8A6A1}"/>
    <hyperlink ref="F999" r:id="rId1171" xr:uid="{569C32BB-9182-A649-B644-7F18732B4919}"/>
    <hyperlink ref="G999" r:id="rId1172" xr:uid="{7C306025-08FD-7B4F-B326-D7FD9F8308D7}"/>
    <hyperlink ref="F1028" r:id="rId1173" xr:uid="{54E8FCAF-B2A6-354B-B0A7-3D8009466AD7}"/>
    <hyperlink ref="G1028" r:id="rId1174" xr:uid="{38069BAE-9E78-7F4B-B04A-81C2BFF43AC8}"/>
    <hyperlink ref="F1048" r:id="rId1175" xr:uid="{3D557DA3-A55B-D840-94E4-65F335E90205}"/>
    <hyperlink ref="G1048" r:id="rId1176" xr:uid="{F297AAB5-AB3F-1440-BB05-E1298A0B0F11}"/>
    <hyperlink ref="F1051" r:id="rId1177" xr:uid="{CA2AC503-0887-F94D-B922-729BCA71667F}"/>
    <hyperlink ref="F1062" r:id="rId1178" xr:uid="{5D28BCD3-2DE1-204C-A42A-EF102D41DCF7}"/>
    <hyperlink ref="G1051" r:id="rId1179" xr:uid="{226FDA28-3E35-6641-944C-BE5DE836294D}"/>
    <hyperlink ref="G1062" r:id="rId1180" xr:uid="{202284FB-C0F1-E040-8869-E6FC433656A6}"/>
    <hyperlink ref="F1061" r:id="rId1181" xr:uid="{A7414098-FEBD-824B-8494-419479C046D5}"/>
    <hyperlink ref="G1061" r:id="rId1182" xr:uid="{96FE2113-A1D8-4C40-B69B-8D2809DDD4A8}"/>
    <hyperlink ref="F1356" r:id="rId1183" xr:uid="{ACA5C857-CE7F-C947-983B-2CCFABD2B143}"/>
    <hyperlink ref="G1356" r:id="rId1184" xr:uid="{8753FC35-7BBC-834C-AA31-2F264418EF06}"/>
    <hyperlink ref="F1065" r:id="rId1185" xr:uid="{95F8BCA1-370B-E143-86EC-62C1A07E0F66}"/>
    <hyperlink ref="G1065" r:id="rId1186" xr:uid="{8FE0F9FD-1E04-0343-8D6F-93C973681503}"/>
    <hyperlink ref="F1079" r:id="rId1187" xr:uid="{E1632677-766F-184A-A6FB-CC4DB2DEFA75}"/>
    <hyperlink ref="G1079" r:id="rId1188" xr:uid="{D101F48A-971B-3C41-8356-A0601645DFD8}"/>
    <hyperlink ref="F1080" r:id="rId1189" xr:uid="{174465AD-33B3-5F4E-BAA0-87F757D1298B}"/>
    <hyperlink ref="G1080" r:id="rId1190" xr:uid="{80240DAF-C3B1-7B40-88F5-1826D78B3DDB}"/>
    <hyperlink ref="F1083" r:id="rId1191" xr:uid="{BA30A4F8-72DC-0244-854D-02D49E3D0A2B}"/>
    <hyperlink ref="G1083" r:id="rId1192" xr:uid="{40E31056-712C-9340-9DED-E961D2DDBA36}"/>
    <hyperlink ref="F1086" r:id="rId1193" xr:uid="{0BCE1BE2-F6C6-D54F-AFB4-5850A2E9D8AC}"/>
    <hyperlink ref="G1086" r:id="rId1194" xr:uid="{62A4BB47-4181-3A49-9939-B52DDCFD1B15}"/>
    <hyperlink ref="F1089" r:id="rId1195" xr:uid="{4FC76D8B-959D-AA4F-94F8-A503622D5DE6}"/>
    <hyperlink ref="G1089" r:id="rId1196" xr:uid="{19C06EEB-5E67-2944-8DDF-2A1929B09D07}"/>
    <hyperlink ref="F1097" r:id="rId1197" xr:uid="{347B41AF-FBA3-9344-AD99-CB1241252C8F}"/>
    <hyperlink ref="G1097" r:id="rId1198" xr:uid="{283EA808-C5AC-7947-ADAA-0449C4E14837}"/>
    <hyperlink ref="F1099" r:id="rId1199" xr:uid="{370318DC-3023-9048-BCC0-5EA58EBE9BE5}"/>
    <hyperlink ref="G1099" r:id="rId1200" xr:uid="{34FA019A-3659-444F-AA0B-CAD7F15F3581}"/>
    <hyperlink ref="F1102" r:id="rId1201" xr:uid="{309A2EC5-58F3-DD45-BCB6-D3B08B2A26D6}"/>
    <hyperlink ref="G1102" r:id="rId1202" xr:uid="{32A234D4-413A-404C-B8F7-B0FB284E687F}"/>
    <hyperlink ref="F1104" r:id="rId1203" xr:uid="{E83DF21B-B2FF-9546-85FA-A1D7D1D1B3BD}"/>
    <hyperlink ref="G1104" r:id="rId1204" xr:uid="{AB3E8A1F-F639-1245-AD0C-19C30BA01203}"/>
    <hyperlink ref="F1113" r:id="rId1205" xr:uid="{23F35E86-18CA-C04D-8957-ABDB182BA255}"/>
    <hyperlink ref="G1113" r:id="rId1206" xr:uid="{3BFDE0F3-8BA9-3E4D-ABA8-EFBB71B9F2AE}"/>
    <hyperlink ref="F1116" r:id="rId1207" xr:uid="{147FB1A2-D568-314A-B75C-998B3F4D28B4}"/>
    <hyperlink ref="G1116" r:id="rId1208" xr:uid="{DA56A7AB-6AA8-0340-A8FE-B56162062E6C}"/>
    <hyperlink ref="F1120" r:id="rId1209" xr:uid="{91A95A81-DE81-7A45-A50C-F76BD327AC6E}"/>
    <hyperlink ref="F1122" r:id="rId1210" xr:uid="{BB42E861-6EA7-D64D-950E-972C4C8ED0B7}"/>
    <hyperlink ref="G1122" r:id="rId1211" xr:uid="{6D24CDB4-BCC8-AB4B-86EE-C369316BEE3F}"/>
    <hyperlink ref="F1131" r:id="rId1212" xr:uid="{BA5A9F36-41A1-304D-9085-1F7BC22F0117}"/>
    <hyperlink ref="F1132" r:id="rId1213" xr:uid="{36D6DE44-19DF-B44D-87E8-02CCAE391514}"/>
    <hyperlink ref="G1132" r:id="rId1214" xr:uid="{6A1765EB-F3E1-E84E-8D58-6B68FED277B0}"/>
    <hyperlink ref="F1133" r:id="rId1215" xr:uid="{9FED9328-4831-FC4D-B47B-9AA926E73417}"/>
    <hyperlink ref="G1133" r:id="rId1216" xr:uid="{8E637B68-E602-FE42-8963-8E48F780A178}"/>
    <hyperlink ref="F1137" r:id="rId1217" xr:uid="{887E92A6-9EFA-ED4E-8B6A-571127205503}"/>
    <hyperlink ref="G1137" r:id="rId1218" xr:uid="{951F55CC-7E39-2B4C-8B28-14FF155048D1}"/>
    <hyperlink ref="F1139" r:id="rId1219" xr:uid="{26629C7E-67EC-3A4A-A18C-89516A35D856}"/>
    <hyperlink ref="G1139" r:id="rId1220" xr:uid="{C1845266-F654-AD44-8F2E-BD0744F51127}"/>
    <hyperlink ref="F1150" r:id="rId1221" xr:uid="{2222C297-E468-C54D-BCFD-6C987B4716B4}"/>
    <hyperlink ref="G1150" r:id="rId1222" xr:uid="{AD294FDA-3EB0-674A-A1D9-304134A73802}"/>
    <hyperlink ref="F1153" r:id="rId1223" xr:uid="{902AF55D-BFDE-F247-9995-6198C2647CBA}"/>
    <hyperlink ref="G1153" r:id="rId1224" xr:uid="{DE25747B-E963-8747-A651-685E921692F4}"/>
    <hyperlink ref="F1154" r:id="rId1225" xr:uid="{0E521BFD-4395-A541-88A8-191D69FE2DC6}"/>
    <hyperlink ref="F2920" r:id="rId1226" xr:uid="{455558B1-481C-6F41-BFF1-E77E5F8186F1}"/>
    <hyperlink ref="F1160" r:id="rId1227" xr:uid="{BD2C92DD-BDED-3A47-BCCE-F6F6E328D9CB}"/>
    <hyperlink ref="G1160" r:id="rId1228" xr:uid="{10E982E7-9F4C-6A4B-BC06-1FC9AEA3F0A6}"/>
    <hyperlink ref="F1168" r:id="rId1229" xr:uid="{D0C714B1-AB2A-1243-A9F1-B9D7ACF6E82F}"/>
    <hyperlink ref="G1168" r:id="rId1230" xr:uid="{104B0F6D-35D0-B842-BE75-8425CA9E0CC2}"/>
    <hyperlink ref="F1178" r:id="rId1231" xr:uid="{AA15059A-88E9-7248-B18D-EF91F734384F}"/>
    <hyperlink ref="G1178" r:id="rId1232" xr:uid="{5B7F85EE-9CF6-7849-B60F-0B05B6EB6E9F}"/>
    <hyperlink ref="F1195" r:id="rId1233" xr:uid="{78C0CF6B-BD68-F643-BA5B-9273C221BC2A}"/>
    <hyperlink ref="G1195" r:id="rId1234" xr:uid="{F92CECAC-1999-0A47-AFA5-1FF84DB650E1}"/>
    <hyperlink ref="F1197" r:id="rId1235" xr:uid="{2EC28F07-B2A4-E045-8547-DD4638779990}"/>
    <hyperlink ref="G1197" r:id="rId1236" xr:uid="{536782F2-F0E5-CB42-87B1-87FEEC08E7B8}"/>
    <hyperlink ref="F1200" r:id="rId1237" xr:uid="{EC4D6C16-A3BA-B24A-A0CB-EC5BCC1A5196}"/>
    <hyperlink ref="G1200" r:id="rId1238" xr:uid="{22C25749-139A-7D49-910A-D997FCF7CDF4}"/>
    <hyperlink ref="F1202" r:id="rId1239" xr:uid="{E4031D6E-6CBE-BB4A-A25E-C0780B091D2C}"/>
    <hyperlink ref="G1202" r:id="rId1240" xr:uid="{623B7B9D-E322-6149-8200-01B1793A7E89}"/>
    <hyperlink ref="F1203" r:id="rId1241" xr:uid="{D9BC15B1-30AF-674B-A09B-5EBD412108CD}"/>
    <hyperlink ref="G1203" r:id="rId1242" xr:uid="{DA6B29CA-70BD-954E-8064-EE801A293775}"/>
    <hyperlink ref="F1227" r:id="rId1243" xr:uid="{45F47958-ADB4-6741-B7AF-1730D41385B3}"/>
    <hyperlink ref="G1227" r:id="rId1244" xr:uid="{A8606FA0-D528-5643-BDED-19A156002D25}"/>
    <hyperlink ref="F1228" r:id="rId1245" xr:uid="{674F8F70-BB08-9545-A195-44E564A2193B}"/>
    <hyperlink ref="G1228" r:id="rId1246" xr:uid="{CBEB5649-3F8C-1949-A73F-6DD03047DEB3}"/>
    <hyperlink ref="F1230" r:id="rId1247" xr:uid="{CDFC53AB-C75C-5146-A894-1329F6C57EED}"/>
    <hyperlink ref="G1230" r:id="rId1248" xr:uid="{1D630A04-FBF0-FC46-B0B8-79364F7B5D0F}"/>
    <hyperlink ref="F1231" r:id="rId1249" xr:uid="{FE359DE1-2378-004F-AF5D-07B83653E50B}"/>
    <hyperlink ref="G1231" r:id="rId1250" xr:uid="{535FF975-82D0-874F-B00D-6ABDE7DE4358}"/>
    <hyperlink ref="F1241" r:id="rId1251" xr:uid="{AD5DF355-2A99-4344-8058-F9AC37C0028B}"/>
    <hyperlink ref="G1241" r:id="rId1252" xr:uid="{E3B369A9-0C00-7D4C-9ACD-F469F1A1343A}"/>
    <hyperlink ref="F1242" r:id="rId1253" xr:uid="{7694A4DF-6B34-D845-A9FD-D03CEEDC3A68}"/>
    <hyperlink ref="F1243" r:id="rId1254" xr:uid="{DCCAEA1B-B6B8-134B-AF94-39F2422BC139}"/>
    <hyperlink ref="F1244" r:id="rId1255" xr:uid="{6EF6D111-4A79-8F4B-AA00-0217CBAC7C43}"/>
    <hyperlink ref="F1245" r:id="rId1256" xr:uid="{3739F64B-3F9D-3D4E-B543-62AD5CBFB036}"/>
    <hyperlink ref="F1253" r:id="rId1257" xr:uid="{8D8ACFA0-06AC-4643-9D0F-E4D19778CA5C}"/>
    <hyperlink ref="F2218" r:id="rId1258" xr:uid="{0E198D45-DDAF-884D-8CBC-D4C1343B5EDB}"/>
    <hyperlink ref="G1253" r:id="rId1259" xr:uid="{1F59C73F-80DB-FC49-A4E8-FDF49C0E14F9}"/>
    <hyperlink ref="G2218" r:id="rId1260" xr:uid="{2FEFEADC-CA05-C348-8FEE-ACE8F22C4917}"/>
    <hyperlink ref="F1257" r:id="rId1261" xr:uid="{23F4D4B2-9741-BA44-87E3-0CA00EFE8B97}"/>
    <hyperlink ref="G1257" r:id="rId1262" xr:uid="{A64DD43F-BA66-B644-B19A-5F95E71BE753}"/>
    <hyperlink ref="F1264" r:id="rId1263" xr:uid="{38526D70-3C12-DD4C-8B2C-21E74DC6F8DA}"/>
    <hyperlink ref="F1266" r:id="rId1264" xr:uid="{402F79ED-A5F6-A640-8DAB-E0D82FD4F4C6}"/>
    <hyperlink ref="G1264" r:id="rId1265" xr:uid="{80BE6D0D-604B-E04E-8B07-582DB4FFBCE0}"/>
    <hyperlink ref="G1266" r:id="rId1266" xr:uid="{186BA2C0-3AD8-0D46-B49F-0C9AC8E66EA7}"/>
    <hyperlink ref="F1279" r:id="rId1267" xr:uid="{CFC20C1C-69F9-6D4B-BA95-00544716AEC9}"/>
    <hyperlink ref="F1574" r:id="rId1268" xr:uid="{2A1ACDF3-727B-D149-A794-5BD91D9E55F6}"/>
    <hyperlink ref="G1279" r:id="rId1269" xr:uid="{9374DED0-7FD1-D848-A07E-45665C94FDF9}"/>
    <hyperlink ref="G1574" r:id="rId1270" xr:uid="{ECFDB1EF-C54D-6E44-A0AE-4DC7B3CBDF39}"/>
    <hyperlink ref="F1281" r:id="rId1271" xr:uid="{0A21DDB7-ADF8-4D4F-91FE-DAC0EC0FA1F5}"/>
    <hyperlink ref="F1295" r:id="rId1272" xr:uid="{2720CB4F-CA82-894A-A4E8-6913913CC686}"/>
    <hyperlink ref="G1295" r:id="rId1273" xr:uid="{66FAF17D-4AC8-E04C-B526-E12A3DCA7583}"/>
    <hyperlink ref="F1311" r:id="rId1274" xr:uid="{3A087F2A-1AD2-6A4A-898B-D7D43B5D0CCB}"/>
    <hyperlink ref="G1311" r:id="rId1275" xr:uid="{99F78937-99AB-CC48-B87A-0F5FD549EAFF}"/>
    <hyperlink ref="F1326" r:id="rId1276" xr:uid="{9A0A9ECB-652F-EA4B-A87D-975583680C04}"/>
    <hyperlink ref="G1326" r:id="rId1277" xr:uid="{231D4DC8-323B-5E4B-A59B-F5C7CBCCA5C1}"/>
    <hyperlink ref="F1347" r:id="rId1278" xr:uid="{77F07B2E-A1FE-C141-A55B-12C783A5B8FC}"/>
    <hyperlink ref="G1347" r:id="rId1279" xr:uid="{C948668A-FE0E-4649-8146-1DA3A831180B}"/>
    <hyperlink ref="F1351" r:id="rId1280" xr:uid="{14CA72CC-84E3-554E-9ED1-424D52E17699}"/>
    <hyperlink ref="G1351" r:id="rId1281" xr:uid="{62D81193-05C0-B446-83EC-7FEE3C177413}"/>
    <hyperlink ref="F1355" r:id="rId1282" xr:uid="{055AD66A-55CB-BB44-9216-CE37778DC638}"/>
    <hyperlink ref="G1355" r:id="rId1283" xr:uid="{BA42ECEF-73DA-B447-AF2C-8CF6DD294B44}"/>
    <hyperlink ref="F1358" r:id="rId1284" xr:uid="{6FEFCA48-1067-5D49-9DC0-337F66E03C0A}"/>
    <hyperlink ref="G1358" r:id="rId1285" xr:uid="{D283B78C-1403-C24C-9407-282FCA39CF60}"/>
    <hyperlink ref="F1367" r:id="rId1286" xr:uid="{472F3320-2F26-A648-9ED8-3978B3EEACF9}"/>
    <hyperlink ref="G1367" r:id="rId1287" xr:uid="{429F1462-23FF-2343-82B2-C8D2E1547D65}"/>
    <hyperlink ref="F1380" r:id="rId1288" xr:uid="{6FD2C9AF-601A-154C-A519-41E2FDACACB0}"/>
    <hyperlink ref="F1383" r:id="rId1289" xr:uid="{4C6E1CDE-4D48-EB4E-8DDB-5108E0B294DA}"/>
    <hyperlink ref="G1380" r:id="rId1290" xr:uid="{615D4AD7-9CF6-1E41-925E-58D703FCB8CC}"/>
    <hyperlink ref="G1383" r:id="rId1291" xr:uid="{2B079C4C-E833-D947-8D9F-25A8D2A1AC2B}"/>
    <hyperlink ref="F1388" r:id="rId1292" xr:uid="{A563C444-CA2C-C946-A86B-0D0790CA7557}"/>
    <hyperlink ref="G1388" r:id="rId1293" xr:uid="{1C66C4EF-2054-1141-8E89-CDE1FA561A6E}"/>
    <hyperlink ref="F1390" r:id="rId1294" xr:uid="{426EA6D3-849F-5E48-8458-1FFB669BC966}"/>
    <hyperlink ref="G1390" r:id="rId1295" xr:uid="{425BBAA7-C1A1-9148-9B29-9ADF9D39BEF8}"/>
    <hyperlink ref="F1391" r:id="rId1296" xr:uid="{24EB3398-4C8C-2248-8B47-948772AB2F69}"/>
    <hyperlink ref="F1692" r:id="rId1297" xr:uid="{80AE8711-7BDA-F54A-85C9-5352541D98B2}"/>
    <hyperlink ref="F1395" r:id="rId1298" xr:uid="{E74F8CD0-80D5-F849-B149-AEF6148028ED}"/>
    <hyperlink ref="G1395" r:id="rId1299" xr:uid="{97EF9E94-072C-B84C-8446-AE2A4A3A7188}"/>
    <hyperlink ref="F1396" r:id="rId1300" xr:uid="{87DA2046-3C11-5140-8B35-67830B9F87BA}"/>
    <hyperlink ref="G1396" r:id="rId1301" xr:uid="{EC147470-C319-3A45-B654-FC3B2014B515}"/>
    <hyperlink ref="F1415" r:id="rId1302" xr:uid="{FB5E971C-D956-1D4D-B5EE-946074F725AE}"/>
    <hyperlink ref="G1415" r:id="rId1303" xr:uid="{C213A83E-5592-E340-A9E7-C7BCE252D8A9}"/>
    <hyperlink ref="F1430" r:id="rId1304" xr:uid="{5A07329C-ADFA-D144-A8D6-AEF1B34370E4}"/>
    <hyperlink ref="F1431" r:id="rId1305" xr:uid="{E88F70F4-C717-5F4B-8F50-D923360D29B1}"/>
    <hyperlink ref="G1430" r:id="rId1306" xr:uid="{1A8BD944-DA52-F545-ADDC-DFABA1851EC2}"/>
    <hyperlink ref="G1431" r:id="rId1307" xr:uid="{C7D82AF3-4280-A246-8063-4BC4851F4756}"/>
    <hyperlink ref="F1432" r:id="rId1308" xr:uid="{2ED2F493-9840-8546-B54A-BAC88FC9EA8A}"/>
    <hyperlink ref="G1432" r:id="rId1309" xr:uid="{86A2AC70-770E-504C-8B52-806808C5B152}"/>
    <hyperlink ref="F1434" r:id="rId1310" xr:uid="{1772C53C-589C-E740-81B2-34E06F15B0F2}"/>
    <hyperlink ref="G1434" r:id="rId1311" xr:uid="{867F604D-6F58-1844-8D27-387239FD6961}"/>
    <hyperlink ref="F1435" r:id="rId1312" xr:uid="{5A404274-9AE3-3149-8AA3-941005F8243F}"/>
    <hyperlink ref="G1435" r:id="rId1313" xr:uid="{FCEF67BE-1927-614E-902B-9B6925CCF066}"/>
    <hyperlink ref="F1436" r:id="rId1314" xr:uid="{B070D8B1-20CC-1444-90DE-76CB13EF180B}"/>
    <hyperlink ref="G1436" r:id="rId1315" xr:uid="{73FFC42C-79CA-1648-B981-8A0777E65AC0}"/>
    <hyperlink ref="F1438" r:id="rId1316" xr:uid="{07C33BA3-080E-3E42-89C9-F3AA571E85B2}"/>
    <hyperlink ref="G1438" r:id="rId1317" xr:uid="{455C392D-8F60-E64F-9991-8D96DC88531E}"/>
    <hyperlink ref="F1439" r:id="rId1318" xr:uid="{72A5A5FB-771D-8D45-8B97-0E607A2DCA40}"/>
    <hyperlink ref="G1439" r:id="rId1319" xr:uid="{281FB251-5CA2-894E-B4A4-FF79FE091ADF}"/>
    <hyperlink ref="F1441" r:id="rId1320" xr:uid="{558EF808-7E97-2940-98D1-250586AACD9B}"/>
    <hyperlink ref="G1441" r:id="rId1321" xr:uid="{49430875-E30B-6342-9126-58DCE3395B82}"/>
    <hyperlink ref="F1443" r:id="rId1322" xr:uid="{971E06C6-B042-274B-8547-8988E4667EBC}"/>
    <hyperlink ref="G1443" r:id="rId1323" xr:uid="{9EB570DC-3041-FF42-BC22-7FE10090DE14}"/>
    <hyperlink ref="F1446" r:id="rId1324" xr:uid="{1516B290-4D75-E24C-B961-B2EE99862946}"/>
    <hyperlink ref="G1446" r:id="rId1325" xr:uid="{2D769183-4D20-6748-80DA-C71EE044E067}"/>
    <hyperlink ref="F1448" r:id="rId1326" xr:uid="{492B48AA-C520-4D49-9137-48CA1AA979B9}"/>
    <hyperlink ref="G1448" r:id="rId1327" xr:uid="{A9277358-BCBE-894D-A22A-69351DFAE678}"/>
    <hyperlink ref="F1450" r:id="rId1328" xr:uid="{5F0DFE42-F444-FB47-BB67-658BBFA86912}"/>
    <hyperlink ref="G1450" r:id="rId1329" xr:uid="{C3443FFB-97BF-D94D-8534-9AAB9946E4F3}"/>
    <hyperlink ref="F1464" r:id="rId1330" xr:uid="{C5EAE206-861A-B641-9111-CFECCC51D7A9}"/>
    <hyperlink ref="F1465" r:id="rId1331" xr:uid="{B817A269-B4E6-9246-A41D-952AC30BF41B}"/>
    <hyperlink ref="G1465" r:id="rId1332" xr:uid="{ADF9A34F-EFFF-AB46-9374-9A41669185C1}"/>
    <hyperlink ref="F1469" r:id="rId1333" xr:uid="{0D29A9C3-52EC-454C-9EAE-A016C0BD5E7F}"/>
    <hyperlink ref="G1469" r:id="rId1334" xr:uid="{FA2E3D8B-9082-A142-B5A0-34285401FB66}"/>
    <hyperlink ref="F1476" r:id="rId1335" xr:uid="{823FC7A3-EA6E-6443-8749-8F7E78BAE04C}"/>
    <hyperlink ref="G1476" r:id="rId1336" xr:uid="{97651DE1-02C7-AE4F-B6EB-29AC9121583A}"/>
    <hyperlink ref="F1482" r:id="rId1337" xr:uid="{0273CCFA-2A27-3F47-BF23-D3CB89B5571B}"/>
    <hyperlink ref="F1505" r:id="rId1338" xr:uid="{8CF08D4A-BB8D-0240-B538-6354B4F9BB13}"/>
    <hyperlink ref="G1505" r:id="rId1339" xr:uid="{110EA2D3-481C-F34C-B1AC-4CB36D963028}"/>
    <hyperlink ref="F1508" r:id="rId1340" xr:uid="{9A1C5D84-6377-9A4F-AFD6-2E516C6836E0}"/>
    <hyperlink ref="G1508" r:id="rId1341" xr:uid="{A02A9784-A510-4644-8CF4-310CBCB86710}"/>
    <hyperlink ref="F1509" r:id="rId1342" xr:uid="{2BB8CCC3-FBF2-E947-BF20-3EDCF1C4A117}"/>
    <hyperlink ref="G1509" r:id="rId1343" xr:uid="{305099E6-A059-FE46-8C49-94DCB82A4B9F}"/>
    <hyperlink ref="F1511" r:id="rId1344" xr:uid="{2D1CC86D-45D1-2D4D-A338-66DE69E90AA9}"/>
    <hyperlink ref="G1511" r:id="rId1345" xr:uid="{61EA4341-C2F3-3F43-8441-DA8E940BDF4A}"/>
    <hyperlink ref="F1518" r:id="rId1346" xr:uid="{7F38E50F-B412-2A40-A543-A0E664AC33FF}"/>
    <hyperlink ref="G1518" r:id="rId1347" xr:uid="{EA26D86E-F46C-574C-97C8-3F41E786EAE4}"/>
    <hyperlink ref="F1523" r:id="rId1348" xr:uid="{D343B416-4616-624A-9AC2-0FC2598BC934}"/>
    <hyperlink ref="F1652" r:id="rId1349" xr:uid="{C58BC999-B97D-B24E-BA4C-B63F1EF3E57C}"/>
    <hyperlink ref="F1533" r:id="rId1350" xr:uid="{8BDA736D-732B-3F41-B403-FE19D7B27B79}"/>
    <hyperlink ref="F1536" r:id="rId1351" xr:uid="{62C1CADE-B8E8-F947-9003-8F1D1E747EC4}"/>
    <hyperlink ref="G1536" r:id="rId1352" xr:uid="{C91A4103-144F-EF46-9E72-CCFE7298535C}"/>
    <hyperlink ref="F1538" r:id="rId1353" xr:uid="{89CFBAF9-E0BD-8741-A02A-1DF042B921A6}"/>
    <hyperlink ref="G1538" r:id="rId1354" xr:uid="{2C8B58F0-9F01-6047-A2F1-A9D6171E4DC4}"/>
    <hyperlink ref="F1539" r:id="rId1355" xr:uid="{22EE7B3D-F3DA-C645-BC8F-3CFF9EF6774B}"/>
    <hyperlink ref="G1539" r:id="rId1356" xr:uid="{DB4AE1C1-87F8-A345-937B-2F6F051DCF19}"/>
    <hyperlink ref="F1543" r:id="rId1357" xr:uid="{63D2E5A5-6CFE-0C49-8737-E2B68C092530}"/>
    <hyperlink ref="G1543" r:id="rId1358" xr:uid="{7E114C32-95C0-FA40-907B-521EFAC6CBEB}"/>
    <hyperlink ref="F1544" r:id="rId1359" xr:uid="{D9CA0DA7-4DFF-A641-A3A6-F19EF9375B9D}"/>
    <hyperlink ref="G1544" r:id="rId1360" xr:uid="{16D4A6EA-2B2D-5648-B088-40A716832EDE}"/>
    <hyperlink ref="F1546" r:id="rId1361" xr:uid="{6F0DD4C2-1E4D-5347-9CB2-6662EE31D3D1}"/>
    <hyperlink ref="G1546" r:id="rId1362" xr:uid="{CC91800A-7477-5546-8F3C-D70AEAF2A151}"/>
    <hyperlink ref="F1558" r:id="rId1363" xr:uid="{F4C561A8-FC80-7D48-AB12-0EC08D257C20}"/>
    <hyperlink ref="G1558" r:id="rId1364" xr:uid="{2C036F3F-E7FB-4646-AAB6-8EB8C8C52AA9}"/>
    <hyperlink ref="F1554" r:id="rId1365" xr:uid="{7D6D196D-4A0A-C94A-AF78-FBFCC0168F76}"/>
    <hyperlink ref="D1554" r:id="rId1366" display="https://enzyme.expasy.org/EC/4.99.1.1" xr:uid="{324D31C3-5CC1-7D49-8B61-AA249292EA3F}"/>
    <hyperlink ref="D1555" r:id="rId1367" display="https://enzyme.expasy.org/EC/3.4.-.-" xr:uid="{D3B42D34-73F3-034F-BA78-BF08E2F693F1}"/>
    <hyperlink ref="D1560" r:id="rId1368" display="https://enzyme.expasy.org/EC/4.2.1.3" xr:uid="{F1367EDC-1A10-3D42-8BED-2CCBFED02145}"/>
    <hyperlink ref="F1560" r:id="rId1369" xr:uid="{70F5C841-34E9-A34D-97DA-A5E6D300A039}"/>
    <hyperlink ref="G1560" r:id="rId1370" xr:uid="{B551B406-0993-0645-A8D5-A7D2F3C5D736}"/>
    <hyperlink ref="D1561" r:id="rId1371" display="https://enzyme.expasy.org/EC/3.6.3.-" xr:uid="{7901D65F-F1B3-A743-8B8B-21584874C21E}"/>
    <hyperlink ref="D1559" r:id="rId1372" display="https://enzyme.expasy.org/EC/4.2.1.3" xr:uid="{41484117-8492-3F41-92C1-5E7DD5354109}"/>
    <hyperlink ref="F1559" r:id="rId1373" xr:uid="{C830A14E-C773-D74F-83BA-A6E0163C80C5}"/>
    <hyperlink ref="G1559" r:id="rId1374" xr:uid="{53C86995-B4F9-B145-9D7C-D5477BEB3954}"/>
    <hyperlink ref="F1590" r:id="rId1375" xr:uid="{1AA32854-EC2E-184C-9DF1-05AA70FA91EC}"/>
    <hyperlink ref="G1590" r:id="rId1376" xr:uid="{8E5BB82E-9B41-5746-9D03-3291454B272F}"/>
    <hyperlink ref="D1589" r:id="rId1377" display="https://enzyme.expasy.org/EC/2.2.1.1" xr:uid="{4248B1A8-18BF-6146-A7A7-F17A60C88DF8}"/>
    <hyperlink ref="F1589" r:id="rId1378" xr:uid="{70CE0214-36C7-404A-863B-F85A9D450EDE}"/>
    <hyperlink ref="G1589" r:id="rId1379" xr:uid="{DA297EE2-C4A0-AC4F-8DB1-E44C39D522FE}"/>
    <hyperlink ref="D1588" r:id="rId1380" display="https://enzyme.expasy.org/EC/2.2.1.1" xr:uid="{CAEDD554-5D0B-BA4A-AD62-3078F345A507}"/>
    <hyperlink ref="F1588" r:id="rId1381" xr:uid="{C1ABA2D5-86C9-6F42-A35D-70A9102A32B6}"/>
    <hyperlink ref="G1588" r:id="rId1382" xr:uid="{04D78832-E838-5947-BF5F-43D5BF8DE8D8}"/>
    <hyperlink ref="D1587" r:id="rId1383" display="https://enzyme.expasy.org/EC/2.2.1.1" xr:uid="{6A7607F9-066A-4447-B76E-DA1F2A651EEA}"/>
    <hyperlink ref="F1587" r:id="rId1384" xr:uid="{84F7A581-5124-EF47-B52B-503167B47798}"/>
    <hyperlink ref="G1587" r:id="rId1385" xr:uid="{6C9F1E19-2D3A-F240-8781-C1B48CEB3656}"/>
    <hyperlink ref="D1586" r:id="rId1386" display="https://enzyme.expasy.org/EC/2.2.1.1" xr:uid="{3737B0A8-FA85-D043-BC3A-B6E54EA66FCB}"/>
    <hyperlink ref="F1586" r:id="rId1387" xr:uid="{BF4A5149-9739-C844-AE1F-CD962A264879}"/>
    <hyperlink ref="G1586" r:id="rId1388" xr:uid="{C55E5307-7CDB-0A42-AD95-F25CEA9481E3}"/>
    <hyperlink ref="D1585" r:id="rId1389" display="https://enzyme.expasy.org/EC/2.2.1.1" xr:uid="{62AC794B-65C4-C147-BE43-DE7CE818DED0}"/>
    <hyperlink ref="F1585" r:id="rId1390" xr:uid="{4BF5864B-ECFD-5044-ACD4-0AF840BA7AE3}"/>
    <hyperlink ref="G1585" r:id="rId1391" xr:uid="{BEBAFD21-E3AD-F643-BF9F-6F0EDBF1FB66}"/>
    <hyperlink ref="F1592" r:id="rId1392" xr:uid="{00D90C51-750E-6D42-8CD6-56421D0B68EC}"/>
    <hyperlink ref="G1592" r:id="rId1393" xr:uid="{E0051C2F-C878-8149-896E-066F28896310}"/>
    <hyperlink ref="D1591" r:id="rId1394" display="https://enzyme.expasy.org/EC/2.2.1.2" xr:uid="{64C714A1-83F4-604B-BDBB-9BBB66C6ABA5}"/>
    <hyperlink ref="F1591" r:id="rId1395" xr:uid="{B714973B-F4E2-554C-B624-947D7D9404BF}"/>
    <hyperlink ref="G1591" r:id="rId1396" xr:uid="{673903F6-9E4A-534E-92F1-9A0C289E85C9}"/>
    <hyperlink ref="F1596" r:id="rId1397" xr:uid="{233A7255-8646-8540-87EB-ECBEA90CEC10}"/>
    <hyperlink ref="G1596" r:id="rId1398" xr:uid="{328B2ABB-AFC4-3F4C-8EB9-585ADBA9CC16}"/>
    <hyperlink ref="D1593" r:id="rId1399" display="https://enzyme.expasy.org/EC/1.1.1.49" xr:uid="{156CDEA8-BB3F-584E-BD9B-D6F8F9D55F73}"/>
    <hyperlink ref="F1593" r:id="rId1400" xr:uid="{62EDED89-AD1B-8C48-807B-6FA9FEF87FA4}"/>
    <hyperlink ref="F1594" r:id="rId1401" xr:uid="{FE023D28-087E-BB4B-8E8D-A3D67DF6E8BB}"/>
    <hyperlink ref="G1593" r:id="rId1402" xr:uid="{D7B7CB5E-76BF-7944-993A-490FABAB1B1A}"/>
    <hyperlink ref="G1594" r:id="rId1403" xr:uid="{2A5B8C3A-1233-2B44-BBE4-BA70ACD68993}"/>
    <hyperlink ref="F1598" r:id="rId1404" xr:uid="{6AC3E771-27C9-2946-94B3-17DC5B67D347}"/>
    <hyperlink ref="G1598" r:id="rId1405" xr:uid="{C2EC931B-00B6-8C4B-9AAB-8CA84F78701D}"/>
    <hyperlink ref="F1599" r:id="rId1406" xr:uid="{2521B231-EED7-1847-B3E8-F902BB69F492}"/>
    <hyperlink ref="G1599" r:id="rId1407" xr:uid="{5194E3B8-3293-F942-BEBF-D1C9BA1518CB}"/>
    <hyperlink ref="F1053" r:id="rId1408" xr:uid="{68308BF8-04E1-7D48-ADFB-8E24D765AF53}"/>
    <hyperlink ref="F1600" r:id="rId1409" xr:uid="{BC1A2D9B-0EEA-A848-B227-152F08C94EA3}"/>
    <hyperlink ref="G1600" r:id="rId1410" xr:uid="{9080467F-BFA2-0C4B-89F7-97B4BFA06EA8}"/>
    <hyperlink ref="G1053" r:id="rId1411" xr:uid="{E103EE0D-87EF-884A-A253-490B19A68A07}"/>
    <hyperlink ref="F3027" r:id="rId1412" xr:uid="{FF7D0B44-5204-F443-9B62-88C3D597333D}"/>
    <hyperlink ref="G3027" r:id="rId1413" xr:uid="{31408541-726C-134E-B5F0-B058A0447729}"/>
    <hyperlink ref="F3025" r:id="rId1414" xr:uid="{E2D98C78-4332-2040-A301-B24A1B17B1A6}"/>
    <hyperlink ref="G3025" r:id="rId1415" xr:uid="{84D0DC59-7F1C-A14F-ABED-C3A2D78FB91E}"/>
    <hyperlink ref="F1755" r:id="rId1416" xr:uid="{C5D9FB2E-1621-A942-A059-60BF1EC2015C}"/>
    <hyperlink ref="G1755" r:id="rId1417" xr:uid="{890B7C71-33A6-1C4D-B559-493E198A2F47}"/>
    <hyperlink ref="D1754" r:id="rId1418" display="https://enzyme.expasy.org/EC/5.1.3.2" xr:uid="{A0C45B95-B288-0444-BC30-CD26995233F4}"/>
    <hyperlink ref="F1754" r:id="rId1419" xr:uid="{1FB585C4-B53E-2843-B727-9B2222D08780}"/>
    <hyperlink ref="G1754" r:id="rId1420" xr:uid="{0BB5AC0B-5B76-6C49-8450-6641E9B83109}"/>
    <hyperlink ref="D1753" r:id="rId1421" display="https://enzyme.expasy.org/EC/5.1.3.2" xr:uid="{DCDC695E-0F53-A34A-84B3-F39C36076E69}"/>
    <hyperlink ref="F1753" r:id="rId1422" xr:uid="{994AA7D5-79D2-E74D-A445-B70CD00A69B7}"/>
    <hyperlink ref="G1753" r:id="rId1423" xr:uid="{1DF1AFCC-3632-4E40-BA2E-80E778C9DA04}"/>
    <hyperlink ref="D3013" r:id="rId1424" display="https://enzyme.expasy.org/EC/5.1.3.2" xr:uid="{7DB0EAC4-FE4E-7B47-A10D-812A62210023}"/>
    <hyperlink ref="D3012" r:id="rId1425" display="https://enzyme.expasy.org/EC/5.1.3.2" xr:uid="{43845865-85C3-6848-BA94-644A4FA04D15}"/>
    <hyperlink ref="G3012" r:id="rId1426" xr:uid="{2B9540C1-27AA-0C4C-9E3F-DA84ECF74E83}"/>
    <hyperlink ref="G3014" r:id="rId1427" xr:uid="{E1693688-9FE7-A741-B497-067BFEBD3B28}"/>
    <hyperlink ref="G3013" r:id="rId1428" xr:uid="{99822CCD-218B-4D48-A0CB-8BCA2249F166}"/>
    <hyperlink ref="F3012" r:id="rId1429" xr:uid="{1FD1C001-CAAD-F841-B26B-B5769664E9CC}"/>
    <hyperlink ref="F3013" r:id="rId1430" xr:uid="{9893FBBC-04E1-E847-B063-4E5053A1AFC0}"/>
    <hyperlink ref="F3014" r:id="rId1431" xr:uid="{9E6C0998-8C43-044A-855C-74136EF9E849}"/>
    <hyperlink ref="F1607" r:id="rId1432" xr:uid="{2905C9E7-F8B2-E84D-A7B3-DF1740EEDAB4}"/>
    <hyperlink ref="G1607" r:id="rId1433" xr:uid="{2F03AE1C-2E9C-BC4F-8E41-347C24BD476B}"/>
    <hyperlink ref="F1609" r:id="rId1434" xr:uid="{A93C46D6-0B2F-4D42-BB80-F69B1EB276F6}"/>
    <hyperlink ref="G1609" r:id="rId1435" xr:uid="{63117002-0CD9-BB45-B8BF-1A6748AD468B}"/>
    <hyperlink ref="F1611" r:id="rId1436" xr:uid="{20FE261E-ED97-D446-90D7-6712A239AC88}"/>
    <hyperlink ref="G1611" r:id="rId1437" xr:uid="{D330B213-0813-6245-B31C-7D77DA5A84BB}"/>
    <hyperlink ref="F1612" r:id="rId1438" xr:uid="{7899F85F-AA62-FD4D-B9B9-B67A6B3780A7}"/>
    <hyperlink ref="F1613" r:id="rId1439" xr:uid="{338155C5-5F46-B64B-AC5E-287CEEBCB023}"/>
    <hyperlink ref="G1613" r:id="rId1440" xr:uid="{EBB916F9-7FF5-074D-970E-16B7E807E97A}"/>
    <hyperlink ref="D1614" r:id="rId1441" display="https://enzyme.expasy.org/EC/3.5.1.88" xr:uid="{387165D0-F26B-CE45-BB08-A57C2FAEDACB}"/>
    <hyperlink ref="F1614" r:id="rId1442" xr:uid="{40AF1CCA-68EF-8E43-ABBC-1688CD602487}"/>
    <hyperlink ref="F1615" r:id="rId1443" xr:uid="{BB1B2D0C-A337-B34C-A769-B6AEAF160F2C}"/>
    <hyperlink ref="G1614" r:id="rId1444" xr:uid="{CEBF9FEE-8F76-8B40-ADA3-7B6C0DD7A357}"/>
    <hyperlink ref="G1615" r:id="rId1445" xr:uid="{6687535D-1785-B445-B318-2D781BE85D69}"/>
    <hyperlink ref="F1618" r:id="rId1446" xr:uid="{13440166-A0E4-4242-939A-0F9E82F1B94F}"/>
    <hyperlink ref="G1618" r:id="rId1447" xr:uid="{5A649E55-46BB-0746-9942-62CF1DDC8C78}"/>
    <hyperlink ref="D1617" r:id="rId1448" display="https://enzyme.expasy.org/EC/2.5.1.6" xr:uid="{889298C5-597D-7147-B81D-67992771899B}"/>
    <hyperlink ref="F1617" r:id="rId1449" xr:uid="{74B7B508-D73B-2F47-A48B-0065E3EBF908}"/>
    <hyperlink ref="G1617" r:id="rId1450" xr:uid="{AD7D5F1B-76DB-A54E-81C3-C4E98A621E61}"/>
    <hyperlink ref="F1628" r:id="rId1451" xr:uid="{0C2E4DF9-1887-6045-B629-EF8DA7950AF9}"/>
    <hyperlink ref="G1628" r:id="rId1452" xr:uid="{1C53746B-82E3-C74F-AD5D-A5145327991C}"/>
    <hyperlink ref="D1627" r:id="rId1453" display="https://enzyme.expasy.org/EC/2.7.4.8" xr:uid="{A994BC2B-82CD-CF47-B280-47A0753E3D86}"/>
    <hyperlink ref="F1627" r:id="rId1454" xr:uid="{BD186C46-710F-154B-A532-F8AB56EB1803}"/>
    <hyperlink ref="G1627" r:id="rId1455" xr:uid="{324F5455-465F-A34A-AEE1-77C4A788FFC4}"/>
    <hyperlink ref="D1626" r:id="rId1456" display="https://enzyme.expasy.org/EC/2.7.4.8" xr:uid="{9470DB6B-D2BD-E84A-BE56-60577E622EB9}"/>
    <hyperlink ref="F1626" r:id="rId1457" xr:uid="{CB1EAAF4-4433-854F-B227-942532C07A41}"/>
    <hyperlink ref="G1626" r:id="rId1458" xr:uid="{ED29B59F-2CF1-A846-92EB-2877E9CBEDD4}"/>
    <hyperlink ref="F1636" r:id="rId1459" xr:uid="{51BF76C0-4D2A-AB48-9CF6-C223AE3789B6}"/>
    <hyperlink ref="G1636" r:id="rId1460" xr:uid="{76F4FA0A-40BD-CC42-8364-F4AD7DD525DD}"/>
    <hyperlink ref="G1642" r:id="rId1461" xr:uid="{C74DE7F9-384E-7C44-9267-1820451BD144}"/>
    <hyperlink ref="F1642" r:id="rId1462" xr:uid="{DC72967C-73BA-1548-A342-D28634791C8F}"/>
    <hyperlink ref="D1635" r:id="rId1463" display="https://enzyme.expasy.org/EC/6.3.5.5" xr:uid="{4EF47CD2-D29B-CB4F-B681-705809522974}"/>
    <hyperlink ref="F1635" r:id="rId1464" xr:uid="{7A4E2CE8-D064-3145-BE04-8405DB2368ED}"/>
    <hyperlink ref="G1635" r:id="rId1465" xr:uid="{9860A663-84EA-1240-8BDF-781D4C3630AA}"/>
    <hyperlink ref="D1634" r:id="rId1466" display="https://enzyme.expasy.org/EC/6.3.5.5" xr:uid="{04F1609E-8502-6D4D-8B67-182AA2B8CC20}"/>
    <hyperlink ref="F1634" r:id="rId1467" xr:uid="{1C7BAD4E-D9B7-764B-AF2E-172B287502BE}"/>
    <hyperlink ref="G1634" r:id="rId1468" xr:uid="{F8D1A852-D107-994D-A7F7-61B8FCF1CF39}"/>
    <hyperlink ref="D1633" r:id="rId1469" display="https://enzyme.expasy.org/EC/6.3.5.5" xr:uid="{25628047-35FD-A54C-BAB3-FF3AE2911FDF}"/>
    <hyperlink ref="F1633" r:id="rId1470" xr:uid="{B7E46AA5-7A7B-8747-86C1-E508E8B44719}"/>
    <hyperlink ref="G1633" r:id="rId1471" xr:uid="{7D733573-18D6-694B-86B9-DE9D52EB59BA}"/>
    <hyperlink ref="D1632" r:id="rId1472" display="https://enzyme.expasy.org/EC/6.3.5.5" xr:uid="{51F56E03-2171-B14C-AC4A-428A633DD556}"/>
    <hyperlink ref="F1632" r:id="rId1473" xr:uid="{557E6E84-79CE-1A47-831B-3C3964D5727A}"/>
    <hyperlink ref="G1632" r:id="rId1474" xr:uid="{C60F2026-D59F-594B-ADDA-27EA1D494DBC}"/>
    <hyperlink ref="D1631" r:id="rId1475" display="https://enzyme.expasy.org/EC/6.3.5.5" xr:uid="{F024E9C5-84F9-2C4C-BAC2-77A66477E965}"/>
    <hyperlink ref="F1631" r:id="rId1476" xr:uid="{02573C4C-062B-D143-86BB-F2627C3887F0}"/>
    <hyperlink ref="G1631" r:id="rId1477" xr:uid="{69C7DFFF-025A-9D48-BF9A-B471178350A9}"/>
    <hyperlink ref="D1641" r:id="rId1478" display="https://enzyme.expasy.org/EC/6.3.5.5" xr:uid="{BD4FD84C-5564-CD40-9812-BC3C5527B83D}"/>
    <hyperlink ref="G1641" r:id="rId1479" xr:uid="{581F556B-E3D4-4A4A-B191-4151C7EF4E6F}"/>
    <hyperlink ref="F1641" r:id="rId1480" xr:uid="{F5A7E584-FD1F-2D48-A572-26D1B12A9186}"/>
    <hyperlink ref="D1640" r:id="rId1481" display="https://enzyme.expasy.org/EC/6.3.5.5" xr:uid="{5C8D5BA1-D7A2-9D46-9712-3EA47445BA0A}"/>
    <hyperlink ref="G1640" r:id="rId1482" xr:uid="{211E79DD-B1B0-0741-80B2-9B9CED874CC7}"/>
    <hyperlink ref="F1640" r:id="rId1483" xr:uid="{C9C06235-873D-6849-82CC-67C9121CFC95}"/>
    <hyperlink ref="D1639" r:id="rId1484" display="https://enzyme.expasy.org/EC/6.3.5.5" xr:uid="{5A0B8773-283E-DC4F-A071-AE41695DB19A}"/>
    <hyperlink ref="G1639" r:id="rId1485" xr:uid="{2A4CDD49-2E92-3D4B-A5AA-EC32E67A4924}"/>
    <hyperlink ref="F1639" r:id="rId1486" xr:uid="{DA8C3F6E-B9FF-3A46-BC54-CDCD63442D5D}"/>
    <hyperlink ref="D1638" r:id="rId1487" display="https://enzyme.expasy.org/EC/6.3.5.5" xr:uid="{5BCC83B1-EB40-304E-B348-0CCE9F91E71D}"/>
    <hyperlink ref="G1638" r:id="rId1488" xr:uid="{8F083496-83BE-AB4A-9F9A-2AFB6DD3F2B2}"/>
    <hyperlink ref="F1638" r:id="rId1489" xr:uid="{C9EBE42F-F4C2-8F4E-B26C-CBF2E39CE779}"/>
    <hyperlink ref="D1637" r:id="rId1490" display="https://enzyme.expasy.org/EC/6.3.5.5" xr:uid="{4496A216-36EA-C945-A59A-8D923F54F1EC}"/>
    <hyperlink ref="G1637" r:id="rId1491" xr:uid="{91BDE7A2-2E1E-5042-866E-190554163CA6}"/>
    <hyperlink ref="F1637" r:id="rId1492" xr:uid="{0244FB67-4CD3-7D4E-AB99-F2216E544B2A}"/>
    <hyperlink ref="F1643" r:id="rId1493" xr:uid="{10DDC72C-12EB-DC47-986D-BCD3F20BA1F9}"/>
    <hyperlink ref="G1643" r:id="rId1494" xr:uid="{7909397F-5610-0A40-B2C9-064C916D6728}"/>
    <hyperlink ref="F1644" r:id="rId1495" xr:uid="{93DD3D77-E278-4A47-B976-E899A0142524}"/>
    <hyperlink ref="G1644" r:id="rId1496" xr:uid="{C38BC6C1-40B0-CC40-A064-35A7DEC713ED}"/>
    <hyperlink ref="F1653" r:id="rId1497" xr:uid="{AD26A38A-74AA-0F4C-A026-B62544859BE6}"/>
    <hyperlink ref="G1653" r:id="rId1498" xr:uid="{886D0438-0261-D243-9289-5E7FDC5F8854}"/>
    <hyperlink ref="F1654" r:id="rId1499" xr:uid="{09E5C7F7-64CA-F049-BA60-9DC53E7894CC}"/>
    <hyperlink ref="G1654" r:id="rId1500" xr:uid="{B731CF6E-F0B1-6C44-8CEF-C675C4E60DF3}"/>
    <hyperlink ref="F1655" r:id="rId1501" xr:uid="{CE562B31-A72E-FF4C-AAB7-A961271C9BA6}"/>
    <hyperlink ref="G1655" r:id="rId1502" xr:uid="{F2F81555-0E1E-0743-A011-9EC9F6276F1C}"/>
    <hyperlink ref="F1656" r:id="rId1503" xr:uid="{82BD4535-05DA-D547-AF1D-C37353485C09}"/>
    <hyperlink ref="G1656" r:id="rId1504" xr:uid="{892DF1BD-0335-8849-9BBE-31229B260386}"/>
    <hyperlink ref="F1658" r:id="rId1505" xr:uid="{94A308DE-13E2-824C-A93A-D17271BD55B0}"/>
    <hyperlink ref="G1658" r:id="rId1506" xr:uid="{D4F4656F-7464-DA47-9F2D-8F7AEB5D863C}"/>
    <hyperlink ref="D1657" r:id="rId1507" display="https://enzyme.expasy.org/EC/1.1.1.25" xr:uid="{A60CB5C6-E9C2-A14F-B5FD-5AEA509A0405}"/>
    <hyperlink ref="F1657" r:id="rId1508" xr:uid="{612F9F19-8C4F-6645-B1CF-9A8B9014AB02}"/>
    <hyperlink ref="G1657" r:id="rId1509" xr:uid="{C602853E-D72C-204F-BF39-CDF24F6F58A1}"/>
    <hyperlink ref="F1662" r:id="rId1510" xr:uid="{7323793E-7790-AD44-9280-81E36E03748E}"/>
    <hyperlink ref="G1662" r:id="rId1511" xr:uid="{469453D1-E9F5-2A46-A094-5B33D2585705}"/>
    <hyperlink ref="F1665" r:id="rId1512" xr:uid="{36376744-4B33-634C-8B8E-1EEDBAD14E05}"/>
    <hyperlink ref="G1665" r:id="rId1513" xr:uid="{9F2D5D1F-3011-C641-B41C-DEC158E9DD05}"/>
    <hyperlink ref="F1667" r:id="rId1514" xr:uid="{A549E2D4-8A7E-6042-B95A-A3B1AE7FB7C8}"/>
    <hyperlink ref="G1667" r:id="rId1515" xr:uid="{232AFB64-A5CE-3F43-A805-0F3E059F4FF4}"/>
    <hyperlink ref="F1668" r:id="rId1516" xr:uid="{62D565A7-7B50-7844-B2A4-D34833A5E038}"/>
    <hyperlink ref="G1668" r:id="rId1517" xr:uid="{06AB379A-095F-6F49-A3E1-F90E210C9DD7}"/>
    <hyperlink ref="F1673" r:id="rId1518" xr:uid="{5CEB4C0B-9FD0-8341-A4C9-73C2AAAA7259}"/>
    <hyperlink ref="G1673" r:id="rId1519" xr:uid="{5BFD6E1D-5C17-064A-917F-6651B93C5E00}"/>
    <hyperlink ref="D1672" r:id="rId1520" display="https://enzyme.expasy.org/EC/4.3.1.17" xr:uid="{9171E1BC-E3BA-C84C-95E9-875B6078A14E}"/>
    <hyperlink ref="F1672" r:id="rId1521" xr:uid="{78C2AA1E-EAC8-AF46-BDDF-D43DD199B3E9}"/>
    <hyperlink ref="G1672" r:id="rId1522" xr:uid="{46D0B16B-4D84-D84C-ADF0-CF8CEF84DE65}"/>
    <hyperlink ref="D1671" r:id="rId1523" display="https://enzyme.expasy.org/EC/4.3.1.17" xr:uid="{49609918-548D-6043-9651-8FBE7581D746}"/>
    <hyperlink ref="F1671" r:id="rId1524" xr:uid="{2E650240-9884-584B-8003-51E32AE18214}"/>
    <hyperlink ref="G1671" r:id="rId1525" xr:uid="{F4463205-A0E5-C14B-B640-CE2471CDEC16}"/>
    <hyperlink ref="D1670" r:id="rId1526" display="https://enzyme.expasy.org/EC/4.3.1.17" xr:uid="{61DB89B0-48CD-8B4B-A55F-445070AAFF4E}"/>
    <hyperlink ref="F1670" r:id="rId1527" xr:uid="{30E0B0C7-1EF3-484D-8671-6A2B5AD46721}"/>
    <hyperlink ref="G1670" r:id="rId1528" xr:uid="{3E6CA1B1-B176-9148-8950-D011803F0A41}"/>
    <hyperlink ref="D1669" r:id="rId1529" display="https://enzyme.expasy.org/EC/4.3.1.17" xr:uid="{22C0C2AA-80E2-CF4C-A879-F500BA76867F}"/>
    <hyperlink ref="F1669" r:id="rId1530" xr:uid="{FEFD1CDA-8391-DC4C-B369-9DDF0896F283}"/>
    <hyperlink ref="G1669" r:id="rId1531" xr:uid="{7650B3C1-1F4C-4E49-B100-6624E72DA977}"/>
    <hyperlink ref="F1745" r:id="rId1532" xr:uid="{B0235C93-C25D-3C41-B0F4-2C041345B331}"/>
    <hyperlink ref="G1745" r:id="rId1533" xr:uid="{C2350513-28AE-6E4A-867D-E036E173141F}"/>
    <hyperlink ref="F1746" r:id="rId1534" xr:uid="{D44F85D5-BF10-3940-B10D-7E988D632BA3}"/>
    <hyperlink ref="G1746" r:id="rId1535" xr:uid="{7A51DBEF-563A-3E4C-BC97-8273FFECB179}"/>
    <hyperlink ref="F1747" r:id="rId1536" xr:uid="{F74A26E1-05D4-DB46-855D-7B43BA5D5E84}"/>
    <hyperlink ref="G1747" r:id="rId1537" xr:uid="{CDA10DF8-B217-7841-83FB-F662656B405A}"/>
    <hyperlink ref="F1748" r:id="rId1538" xr:uid="{861818DA-FD2A-0E41-82D0-A3E5EF84D7F8}"/>
    <hyperlink ref="G1748" r:id="rId1539" xr:uid="{6DCC1C9E-6071-4C49-B181-32AB47F7065E}"/>
    <hyperlink ref="F1749" r:id="rId1540" xr:uid="{02EC2F96-5F82-5B49-B362-F23EDBAEB0E7}"/>
    <hyperlink ref="G1749" r:id="rId1541" xr:uid="{5319E3B1-FA44-8C4F-AD42-7F9227B23C26}"/>
    <hyperlink ref="D1748" r:id="rId1542" display="https://enzyme.expasy.org/EC/4.3.1.17" xr:uid="{D3E56FE0-F465-E647-B87B-97DBA77F3E11}"/>
    <hyperlink ref="D1747" r:id="rId1543" display="https://enzyme.expasy.org/EC/4.3.1.17" xr:uid="{5587DB51-36D6-9B49-88A8-731895F8A1E0}"/>
    <hyperlink ref="D1746" r:id="rId1544" display="https://enzyme.expasy.org/EC/4.3.1.17" xr:uid="{78A808E8-40F5-9543-92CD-EFCB5E58F4BC}"/>
    <hyperlink ref="D1745" r:id="rId1545" display="https://enzyme.expasy.org/EC/4.3.1.17" xr:uid="{CA78A03A-4B96-DF4F-8780-0BC846CEE7D6}"/>
    <hyperlink ref="F1674" r:id="rId1546" xr:uid="{50DA15F3-829B-BD42-90E4-EA714BA45CDA}"/>
    <hyperlink ref="G1674" r:id="rId1547" xr:uid="{D566D725-C987-1942-B3E4-E4BB33625B3F}"/>
    <hyperlink ref="F1678" r:id="rId1548" xr:uid="{D40A819C-FAE8-FB4F-992C-F00CFEDD5619}"/>
    <hyperlink ref="G1678" r:id="rId1549" xr:uid="{31A1CC03-EA6C-EE42-B882-A43E76043F3F}"/>
    <hyperlink ref="G2905" r:id="rId1550" xr:uid="{1A701D62-CE40-FB4A-8AA1-B435E77CD388}"/>
    <hyperlink ref="F2905" r:id="rId1551" xr:uid="{2F31554C-0D3D-564B-9E2F-9E9E3F2F4E22}"/>
    <hyperlink ref="F1686" r:id="rId1552" xr:uid="{CC1C9D27-894C-8B47-B78B-94B473591F25}"/>
    <hyperlink ref="G1686" r:id="rId1553" xr:uid="{2173689D-812C-0645-8E71-C900DD85AED7}"/>
    <hyperlink ref="D1685" r:id="rId1554" display="https://enzyme.expasy.org/EC/2.4.2.7" xr:uid="{69FEC1BB-12B4-4B46-AC09-F7A9B37AA89A}"/>
    <hyperlink ref="F1685" r:id="rId1555" xr:uid="{35A33B92-4E9A-AE43-9ACC-74D46E3B29E6}"/>
    <hyperlink ref="G1685" r:id="rId1556" xr:uid="{9BC86621-6AE3-6A4B-8329-A390C6E63F52}"/>
    <hyperlink ref="F1693" r:id="rId1557" xr:uid="{892D29A2-BA78-D045-A597-348713A42919}"/>
    <hyperlink ref="F1699" r:id="rId1558" xr:uid="{D5BF0D08-222A-CE4F-9300-163172DDB424}"/>
    <hyperlink ref="G1699" r:id="rId1559" xr:uid="{EAA35F10-61A9-784E-8023-E775E073C6FB}"/>
    <hyperlink ref="D1698" r:id="rId1560" display="https://enzyme.expasy.org/EC/2.4.1.345" xr:uid="{E68487B7-95E4-6B48-82C3-513F04C683C4}"/>
    <hyperlink ref="F1698" r:id="rId1561" xr:uid="{3A47148A-11D1-8E49-AA38-891A5CA92B01}"/>
    <hyperlink ref="G1698" r:id="rId1562" xr:uid="{A3551369-4B75-7341-864A-092647AD00C8}"/>
    <hyperlink ref="D2025" r:id="rId1563" display="https://enzyme.expasy.org/EC/2.4.1.345" xr:uid="{B3B5B312-8A9C-A140-B072-8EA7F59A6D01}"/>
    <hyperlink ref="F2025" r:id="rId1564" xr:uid="{031B9D6A-DC52-394D-B2DE-607D5129C88C}"/>
    <hyperlink ref="G2025" r:id="rId1565" xr:uid="{033D5AA2-4828-E245-84A9-0BC60E5EAA2F}"/>
    <hyperlink ref="F2026" r:id="rId1566" xr:uid="{527139DB-6263-9447-8128-0C7C257CD909}"/>
    <hyperlink ref="G2026" r:id="rId1567" xr:uid="{8C976F1B-06E8-A440-886D-366E643F88A8}"/>
    <hyperlink ref="F2031" r:id="rId1568" xr:uid="{3D0E066B-1238-314E-8AC5-57568A594C83}"/>
    <hyperlink ref="G2031" r:id="rId1569" xr:uid="{93328AAF-81EB-BE4A-8F58-02E5F7A29F08}"/>
    <hyperlink ref="D2030" r:id="rId1570" display="https://enzyme.expasy.org/EC/1.20.9.1" xr:uid="{27DE4E66-E1A8-C147-85DE-DFE64E2ED20A}"/>
    <hyperlink ref="F2030" r:id="rId1571" xr:uid="{71671380-870E-DF43-8734-F24F91EC12E7}"/>
    <hyperlink ref="G2030" r:id="rId1572" xr:uid="{CF75D0BB-62FC-8E49-B546-F011B7F80187}"/>
    <hyperlink ref="F1759" r:id="rId1573" xr:uid="{36BE8E11-0D2D-2049-B8B8-61F3635A365D}"/>
    <hyperlink ref="F1760" r:id="rId1574" xr:uid="{AF94B930-887A-3E40-8C76-C839B6DBCA0B}"/>
    <hyperlink ref="G1759" r:id="rId1575" xr:uid="{5A044B54-4D8A-0D41-917E-82CB37386406}"/>
    <hyperlink ref="G1760" r:id="rId1576" xr:uid="{AA952385-659A-D947-9B41-B072C06D78C8}"/>
    <hyperlink ref="F2400" r:id="rId1577" xr:uid="{1E829858-E756-884E-AFA8-19E87824C9E6}"/>
    <hyperlink ref="G2400" r:id="rId1578" xr:uid="{5F3EF09E-504D-2341-9DE5-E6DB511FA0F5}"/>
    <hyperlink ref="D1764" r:id="rId1579" display="https://enzyme.expasy.org/EC/3.6.4.13" xr:uid="{55AA861F-F486-344C-BC3D-09F6F538984B}"/>
    <hyperlink ref="F1764" r:id="rId1580" xr:uid="{29EE30DB-1652-964F-914E-4508AB64E88F}"/>
    <hyperlink ref="F1765" r:id="rId1581" xr:uid="{9CF9879C-19BC-BF4E-B954-BC94B2330801}"/>
    <hyperlink ref="D834" r:id="rId1582" display="https://enzyme.expasy.org/EC/3.6.4.13" xr:uid="{FEF43243-BC3B-3842-BBE1-6486F077DA11}"/>
    <hyperlink ref="D87" r:id="rId1583" display="https://enzyme.expasy.org/EC/3.6.4.13" xr:uid="{D201DEFF-C83D-474E-9C03-F04710F36220}"/>
    <hyperlink ref="F834" r:id="rId1584" xr:uid="{234367AE-C7C3-5C47-93D3-B8C51DBAB5A2}"/>
    <hyperlink ref="F835" r:id="rId1585" xr:uid="{CF3E20FC-37BB-5345-92FF-5D717CC4FDB8}"/>
    <hyperlink ref="F87" r:id="rId1586" xr:uid="{5E697A95-AD6A-1C49-8235-FB4D96C8FC87}"/>
    <hyperlink ref="F88" r:id="rId1587" xr:uid="{33FD52EC-FDAB-454D-9459-BA94E9B63DF3}"/>
    <hyperlink ref="F1503" r:id="rId1588" xr:uid="{5ACF0A70-1FF3-F24F-AB10-7E7E2819176B}"/>
    <hyperlink ref="F1502" r:id="rId1589" xr:uid="{F0EEC20D-B048-4944-94F0-CE37E7EAE414}"/>
    <hyperlink ref="D1502" r:id="rId1590" display="https://enzyme.expasy.org/EC/3.6.4.13" xr:uid="{62DDCD57-252E-CA4D-8140-79BAF05354EE}"/>
    <hyperlink ref="D1205" r:id="rId1591" display="https://enzyme.expasy.org/EC/3.6.4.13" xr:uid="{701AE002-1F85-4C48-9C65-3329E9ECEE8E}"/>
    <hyperlink ref="F1205" r:id="rId1592" xr:uid="{6DB049CB-2C77-3B4D-8640-7A452A9F5765}"/>
    <hyperlink ref="F1206" r:id="rId1593" xr:uid="{0C460CBF-2940-114F-9E5C-6A508CB16E03}"/>
    <hyperlink ref="F1701" r:id="rId1594" xr:uid="{E4C6841F-2DEE-6145-A05A-514516E268F6}"/>
    <hyperlink ref="G1701" r:id="rId1595" xr:uid="{A416E7A4-AB04-FE4F-A9C2-2623CF8569C2}"/>
    <hyperlink ref="F1703" r:id="rId1596" xr:uid="{2E4D5A4A-E38D-B347-8039-95AA6CD11E4F}"/>
    <hyperlink ref="G1703" r:id="rId1597" xr:uid="{EC06929B-77D6-D54D-BDAD-514DCE6611AF}"/>
    <hyperlink ref="D1702" r:id="rId1598" display="https://enzyme.expasy.org/EC/2.7.7.53" xr:uid="{B7EC4A48-468D-154B-8BA3-E06A51F70311}"/>
    <hyperlink ref="F1702" r:id="rId1599" xr:uid="{66775D95-2F7C-9940-85F7-6BE41B4D8FA9}"/>
    <hyperlink ref="G1702" r:id="rId1600" xr:uid="{B049419F-4A60-4C43-917D-48DF20A27CC4}"/>
    <hyperlink ref="F1704" r:id="rId1601" xr:uid="{A18B8D92-6E60-2348-8C37-B80222A45058}"/>
    <hyperlink ref="G1704" r:id="rId1602" xr:uid="{7918DA53-8FBE-CB4B-8148-57F6E1621DE6}"/>
    <hyperlink ref="F1717" r:id="rId1603" xr:uid="{B2CDE204-4832-9844-820F-76BD4233DF9D}"/>
    <hyperlink ref="D1501" r:id="rId1604" display="https://enzyme.expasy.org/EC/3.6.4.13" xr:uid="{8DF71465-0491-684B-9178-0C7FE1D44C0F}"/>
    <hyperlink ref="F1501" r:id="rId1605" xr:uid="{D4855734-E8F7-1D4E-9AEF-81D6EA7F0CD5}"/>
    <hyperlink ref="D1763" r:id="rId1606" display="https://enzyme.expasy.org/EC/3.6.4.13" xr:uid="{B3D2AD4C-BEA1-4A47-82B3-3ABF4AD01536}"/>
    <hyperlink ref="F1763" r:id="rId1607" xr:uid="{51C7844C-76F2-9047-9FAA-5582A208B6C4}"/>
    <hyperlink ref="D86" r:id="rId1608" display="https://enzyme.expasy.org/EC/3.6.4.13" xr:uid="{189F9313-13F9-8D4E-9A18-23FFE5330324}"/>
    <hyperlink ref="F86" r:id="rId1609" xr:uid="{D5D32A57-68DE-C64F-A4ED-ADCCFD812F85}"/>
    <hyperlink ref="D833" r:id="rId1610" display="https://enzyme.expasy.org/EC/3.6.4.13" xr:uid="{FCD4325E-AAA7-EA43-BB5F-9F2278CC2190}"/>
    <hyperlink ref="F833" r:id="rId1611" xr:uid="{D2B965D7-C2AD-E448-BD15-743339647D6B}"/>
    <hyperlink ref="D1204" r:id="rId1612" display="https://enzyme.expasy.org/EC/3.6.4.13" xr:uid="{13C58C6A-984D-8748-A794-F07C6785DB3B}"/>
    <hyperlink ref="F1204" r:id="rId1613" xr:uid="{9CEBAA01-0786-444D-990C-5B306D804977}"/>
    <hyperlink ref="F1718" r:id="rId1614" xr:uid="{BD0120EA-8D15-3943-921B-314FA84787ED}"/>
    <hyperlink ref="G1718" r:id="rId1615" xr:uid="{83ABD621-6AE7-9E48-ACDC-F992CA29A7CE}"/>
    <hyperlink ref="F1719" r:id="rId1616" xr:uid="{C17344DE-4E96-F049-835E-0349251037C3}"/>
    <hyperlink ref="G1719" r:id="rId1617" xr:uid="{12434AEB-1E37-954C-A125-92639EBBD3DE}"/>
    <hyperlink ref="F1721" r:id="rId1618" xr:uid="{BD2F2F9A-24DF-1C45-B55E-3F0822FCB4DB}"/>
    <hyperlink ref="F1722" r:id="rId1619" xr:uid="{B87604E0-B184-B240-BF80-C31A3F845557}"/>
    <hyperlink ref="G1722" r:id="rId1620" xr:uid="{4ABFCF29-A313-0646-AE5A-18AE2E6409EC}"/>
    <hyperlink ref="F1727" r:id="rId1621" xr:uid="{A7309DBF-762A-5743-97A4-B6E74F3E982E}"/>
    <hyperlink ref="G1727" r:id="rId1622" xr:uid="{9DB95898-3B77-9D4B-9DA8-C9B6D74E0AB6}"/>
    <hyperlink ref="D1726" r:id="rId1623" display="https://enzyme.expasy.org/EC/3.6.1.23" xr:uid="{93A5C835-774F-B145-8124-034021C23796}"/>
    <hyperlink ref="F1726" r:id="rId1624" xr:uid="{5BF3F2FE-3915-064B-B472-C44E0035278E}"/>
    <hyperlink ref="G1726" r:id="rId1625" xr:uid="{6F5DF51F-E47D-AA42-994C-B42BB695737C}"/>
    <hyperlink ref="F1737" r:id="rId1626" xr:uid="{B5309A28-2578-2F40-AC66-B9DF89971806}"/>
    <hyperlink ref="G1737" r:id="rId1627" xr:uid="{20B419C4-9900-A948-B8DE-F523C222C8D5}"/>
    <hyperlink ref="D1735" r:id="rId1628" display="https://enzyme.expasy.org/EC/2.7.1.63" xr:uid="{173970C1-2677-8845-9021-47D52A753888}"/>
    <hyperlink ref="F1735" r:id="rId1629" xr:uid="{64D78FC9-9826-AD4C-BB97-A7F330F9DBB2}"/>
    <hyperlink ref="G1735" r:id="rId1630" xr:uid="{FB8A06A2-7B1A-FC4E-A2DA-A76D0DE3F180}"/>
    <hyperlink ref="D1736" r:id="rId1631" display="https://enzyme.expasy.org/EC/2.7.1.63" xr:uid="{42C129F8-54C2-754C-A335-016DAEF3E89B}"/>
    <hyperlink ref="F1736" r:id="rId1632" xr:uid="{4F255C20-0D25-6640-8208-2FB200CF0651}"/>
    <hyperlink ref="G1736" r:id="rId1633" xr:uid="{77E3B23E-EFE9-334D-A85A-CBEC2F71B037}"/>
    <hyperlink ref="F1768" r:id="rId1634" xr:uid="{4560A09F-DB0D-E94F-B31B-79DAD3468B0B}"/>
    <hyperlink ref="F1770" r:id="rId1635" xr:uid="{EE932668-9AEB-7349-AA47-00BB901ABCA0}"/>
    <hyperlink ref="G1770" r:id="rId1636" xr:uid="{65FF4716-2FB3-9747-9F04-E3B47B759F3B}"/>
    <hyperlink ref="F1771" r:id="rId1637" xr:uid="{EEFF5A43-3298-5E48-8692-529D4A649B79}"/>
    <hyperlink ref="G1771" r:id="rId1638" xr:uid="{7EEA576C-E12A-6449-BFE4-CE32F3467108}"/>
    <hyperlink ref="F1779" r:id="rId1639" xr:uid="{287F62BA-19B5-AB4D-BEAE-38240E6E7A3F}"/>
    <hyperlink ref="G1779" r:id="rId1640" xr:uid="{A0584138-430A-B14D-B72E-BEC94AE18928}"/>
    <hyperlink ref="F1780" r:id="rId1641" xr:uid="{6CD4C5CC-C18A-9F4B-AAC8-846906F62586}"/>
    <hyperlink ref="G1780" r:id="rId1642" xr:uid="{0B789EFA-1369-3C44-8AAA-514729E88895}"/>
    <hyperlink ref="F1795" r:id="rId1643" xr:uid="{8805FA9E-33C9-574C-B08C-2A10EDF598A1}"/>
    <hyperlink ref="G1795" r:id="rId1644" xr:uid="{84F9B59C-78F9-B74B-9065-BBF25A860F20}"/>
    <hyperlink ref="F1801" r:id="rId1645" xr:uid="{1C2CD4EA-58A6-0740-B814-D2FC6CEC7583}"/>
    <hyperlink ref="F2808" r:id="rId1646" xr:uid="{997FD472-E5D8-C84D-9B78-03E21C614D84}"/>
    <hyperlink ref="G1801" r:id="rId1647" xr:uid="{F755F3B6-EA98-434B-A450-F0AE33061FCC}"/>
    <hyperlink ref="G2808" r:id="rId1648" xr:uid="{17B82829-B9A4-B344-AEAD-B957AB4FE32A}"/>
    <hyperlink ref="F2811" r:id="rId1649" xr:uid="{02E7EB07-2D7D-1645-BEB5-4510483E8FD5}"/>
    <hyperlink ref="G2024" r:id="rId1650" xr:uid="{6CF1F5E1-B725-A240-A56E-887B6B934A21}"/>
    <hyperlink ref="F2024" r:id="rId1651" xr:uid="{DE9B7A15-60EF-AF40-A9FD-5004CBEADCE9}"/>
    <hyperlink ref="D2024" r:id="rId1652" display="https://enzyme.expasy.org/EC/2.7.1.2" xr:uid="{8360CF88-1B3E-C644-B0B9-C81CB1C63463}"/>
    <hyperlink ref="G2022" r:id="rId1653" xr:uid="{8C5ACBBC-8944-5C4F-AB0A-C98F2C0EF6C8}"/>
    <hyperlink ref="F2022" r:id="rId1654" xr:uid="{16BFFBC0-2F92-B44D-95C5-F8C670F32094}"/>
    <hyperlink ref="D2022" r:id="rId1655" display="https://enzyme.expasy.org/EC/2.7.1.2" xr:uid="{239AA759-0465-F244-84F9-AD3B7E713297}"/>
    <hyperlink ref="G2023" r:id="rId1656" xr:uid="{4FBCF171-FC58-3840-AB52-22FD783047BA}"/>
    <hyperlink ref="F2023" r:id="rId1657" xr:uid="{4F79AE51-7198-0B45-A539-A2B0E2524C32}"/>
    <hyperlink ref="D2023" r:id="rId1658" display="https://enzyme.expasy.org/EC/2.7.1.2" xr:uid="{1F91FD23-713A-174E-BECF-EE247FD4BF49}"/>
    <hyperlink ref="D2810" r:id="rId1659" display="https://enzyme.expasy.org/EC/2.7.1.2" xr:uid="{603A5E10-B71A-BC4C-8C01-E7E9EC2A4B1B}"/>
    <hyperlink ref="F2810" r:id="rId1660" xr:uid="{70DBBFAE-7782-5840-B1AD-3BAA1EEA3636}"/>
    <hyperlink ref="D2809" r:id="rId1661" display="https://enzyme.expasy.org/EC/2.7.1.2" xr:uid="{3C841C20-F748-9F44-8126-46D75161931D}"/>
    <hyperlink ref="F2809" r:id="rId1662" xr:uid="{8FD6CB8F-C4FA-EF41-8953-AB1DEA74EEC7}"/>
    <hyperlink ref="G2809" r:id="rId1663" xr:uid="{F68B77B4-25A1-3849-AAC3-9265E0303AEE}"/>
    <hyperlink ref="G2810" r:id="rId1664" xr:uid="{74A441C2-BE91-8449-B56A-551F236BA5C1}"/>
    <hyperlink ref="G2811" r:id="rId1665" xr:uid="{310FE17C-52B5-0A42-A82E-284BA81C4B9F}"/>
    <hyperlink ref="F2816" r:id="rId1666" xr:uid="{D97617ED-508C-4F4D-803A-C7D7C3862426}"/>
    <hyperlink ref="G2816" r:id="rId1667" xr:uid="{294F373B-E5AB-3E42-81D7-D8AE15570ACD}"/>
    <hyperlink ref="F40" r:id="rId1668" xr:uid="{5E88A1CF-BC91-9E49-AD86-852C1E368CEA}"/>
    <hyperlink ref="F2817" r:id="rId1669" xr:uid="{DD861B42-E477-104B-A7BC-5F6F436E1B81}"/>
    <hyperlink ref="G2817" r:id="rId1670" xr:uid="{51152ABE-B172-474E-87A5-F35F55A40FF8}"/>
    <hyperlink ref="G40" r:id="rId1671" xr:uid="{F3BEE2C3-CFC3-B841-A0AF-410D047CE295}"/>
    <hyperlink ref="F2823" r:id="rId1672" xr:uid="{CF3D3CDD-EC33-DA45-9595-2B7BD386CBA5}"/>
    <hyperlink ref="G2823" r:id="rId1673" xr:uid="{37BAB865-5F4D-5149-8A59-1B4036FF4A48}"/>
    <hyperlink ref="D2822" r:id="rId1674" display="https://enzyme.expasy.org/EC/4.1.1.32" xr:uid="{27A4EBB2-4831-7844-8DF7-5ED47A19410D}"/>
    <hyperlink ref="F2822" r:id="rId1675" xr:uid="{41BC512E-7A7D-9340-A959-9FD163BD35EB}"/>
    <hyperlink ref="G2822" r:id="rId1676" xr:uid="{DA1B6376-3AC7-7844-AC33-35C959654ADB}"/>
    <hyperlink ref="F2824" r:id="rId1677" xr:uid="{2202D976-9C37-ED4D-9192-B8D00D177F74}"/>
    <hyperlink ref="G2824" r:id="rId1678" xr:uid="{5A4E2BD6-62C6-A24A-B6AC-A7A8879BA431}"/>
    <hyperlink ref="F2846" r:id="rId1679" xr:uid="{F5DCD0FD-CA30-8C4D-B19E-34D20744ED34}"/>
    <hyperlink ref="G2846" r:id="rId1680" xr:uid="{879EF2AA-78F2-A345-B34A-C4C9CD539108}"/>
    <hyperlink ref="D2836" r:id="rId1681" display="https://enzyme.expasy.org/EC/2.3.1.41" xr:uid="{FDD93C7A-7382-A24A-8021-B7518058AB15}"/>
    <hyperlink ref="F2836" r:id="rId1682" xr:uid="{A88E8173-8B1B-984C-A395-AF134F52D910}"/>
    <hyperlink ref="G2836" r:id="rId1683" xr:uid="{9C3BE290-8D3F-8A48-95D9-32671EEE65DE}"/>
    <hyperlink ref="D2837" r:id="rId1684" display="https://enzyme.expasy.org/EC/2.3.1.41" xr:uid="{BA22BDF5-9F5E-304F-BD6F-D25FFE0FD4BA}"/>
    <hyperlink ref="F2837" r:id="rId1685" xr:uid="{5C05553D-3C04-2D44-969F-000CE861B14D}"/>
    <hyperlink ref="G2837" r:id="rId1686" xr:uid="{52B96E2F-DD38-F242-ACB0-0F1B38DA44D7}"/>
    <hyperlink ref="D2845" r:id="rId1687" display="https://enzyme.expasy.org/EC/2.3.1.41" xr:uid="{69BB9A50-8412-4745-AC0C-9C64E3542D1D}"/>
    <hyperlink ref="F2845" r:id="rId1688" xr:uid="{37D82923-F50B-5947-A153-F04DD0BC2873}"/>
    <hyperlink ref="G2845" r:id="rId1689" xr:uid="{48433FAC-C3D8-0149-8835-4236440D0399}"/>
    <hyperlink ref="D2844" r:id="rId1690" display="https://enzyme.expasy.org/EC/2.3.1.41" xr:uid="{1AA55185-05DB-264D-B6A1-0217518F4A6E}"/>
    <hyperlink ref="F2844" r:id="rId1691" xr:uid="{13F6E2D3-B31B-F64A-8009-8DEDF36E9092}"/>
    <hyperlink ref="G2844" r:id="rId1692" xr:uid="{0A1542CA-7319-9D4C-B083-2EDBA4647112}"/>
    <hyperlink ref="D2843" r:id="rId1693" display="https://enzyme.expasy.org/EC/2.3.1.41" xr:uid="{3F7DF6D3-8A2D-504C-9F2F-92166D960C7F}"/>
    <hyperlink ref="F2843" r:id="rId1694" xr:uid="{9DE52AE6-3177-2546-B013-5C8DF2A5CA5C}"/>
    <hyperlink ref="G2843" r:id="rId1695" xr:uid="{55D2492C-E17D-004C-8B65-48AC42C1CC18}"/>
    <hyperlink ref="D2842" r:id="rId1696" display="https://enzyme.expasy.org/EC/2.3.1.41" xr:uid="{7DBFAB1D-E0EA-6545-9912-6E98EBEBE58A}"/>
    <hyperlink ref="F2842" r:id="rId1697" xr:uid="{D8FD2D4C-1368-854B-991E-F66C5E7C5700}"/>
    <hyperlink ref="G2842" r:id="rId1698" xr:uid="{406C5A71-41EA-314D-9BB5-00798584A76E}"/>
    <hyperlink ref="D2841" r:id="rId1699" display="https://enzyme.expasy.org/EC/2.3.1.41" xr:uid="{76AC9ABF-02D7-A242-8838-01575F2F64B7}"/>
    <hyperlink ref="F2841" r:id="rId1700" xr:uid="{295A0F82-4446-474E-92A0-F92099CC3E08}"/>
    <hyperlink ref="G2841" r:id="rId1701" xr:uid="{7AB45358-4634-4E40-BBAF-3F47CCE27748}"/>
    <hyperlink ref="D2840" r:id="rId1702" display="https://enzyme.expasy.org/EC/2.3.1.41" xr:uid="{BB224430-708E-994B-81B7-B7985F1827BD}"/>
    <hyperlink ref="F2840" r:id="rId1703" xr:uid="{AAEFFEB4-FB28-1044-A684-4F9A3F969B5F}"/>
    <hyperlink ref="G2840" r:id="rId1704" xr:uid="{B0DD0521-8592-284B-8DF1-A27B4A77BBC3}"/>
    <hyperlink ref="D2839" r:id="rId1705" display="https://enzyme.expasy.org/EC/2.3.1.41" xr:uid="{33297543-703F-714B-884E-1C70ADC62880}"/>
    <hyperlink ref="F2839" r:id="rId1706" xr:uid="{F7040D00-0935-D743-A949-522853322F90}"/>
    <hyperlink ref="G2839" r:id="rId1707" xr:uid="{F26A74A9-387C-6848-BDE0-A0D33456C993}"/>
    <hyperlink ref="D2838" r:id="rId1708" display="https://enzyme.expasy.org/EC/2.3.1.41" xr:uid="{4D132C8B-6456-964C-8D91-62F4E8F8DDF8}"/>
    <hyperlink ref="F2838" r:id="rId1709" xr:uid="{AED8C19B-0054-1E4D-A16A-624E12341A77}"/>
    <hyperlink ref="G2838" r:id="rId1710" xr:uid="{51F840FF-CE95-CE4D-9607-9A23B1D93714}"/>
    <hyperlink ref="F2855" r:id="rId1711" xr:uid="{7F60B4DF-6D28-1D49-B13C-ECF26B66E8B7}"/>
    <hyperlink ref="G2855" r:id="rId1712" xr:uid="{C4521C7C-DDF1-5C47-BDB6-A26D8628E96B}"/>
    <hyperlink ref="F1814" r:id="rId1713" xr:uid="{476B11C2-DF05-BB49-B7E8-CA157C21C5FC}"/>
    <hyperlink ref="F1810" r:id="rId1714" xr:uid="{AA6A1973-115A-F149-9714-03B310099520}"/>
    <hyperlink ref="G1810" r:id="rId1715" xr:uid="{FA98321A-6E13-4445-90DE-54C091DD674B}"/>
    <hyperlink ref="D1809" r:id="rId1716" display="https://enzyme.expasy.org/EC/2.7.7.8" xr:uid="{238D0312-BEDD-CF4B-9B25-6F03C6DC98F8}"/>
    <hyperlink ref="F1809" r:id="rId1717" xr:uid="{0AB00A41-8050-6A4E-8F9B-041D715478E9}"/>
    <hyperlink ref="G1809" r:id="rId1718" xr:uid="{1F478DA5-EBC0-2745-A5F0-F1D7C0931824}"/>
    <hyperlink ref="D1808" r:id="rId1719" display="https://enzyme.expasy.org/EC/2.7.7.8" xr:uid="{955E1EE5-8CDE-8947-A0DB-70D2E4BBE6FB}"/>
    <hyperlink ref="F1808" r:id="rId1720" xr:uid="{6F9C64B9-3834-FD40-9A5F-50430A81586F}"/>
    <hyperlink ref="G1808" r:id="rId1721" xr:uid="{CC27AACC-157E-9D4A-A0A6-22A66C76EB16}"/>
    <hyperlink ref="D1807" r:id="rId1722" display="https://enzyme.expasy.org/EC/2.7.7.8" xr:uid="{F58E5318-86A2-8D4D-973B-0CD3FE52C0B4}"/>
    <hyperlink ref="F1807" r:id="rId1723" xr:uid="{1EDD000B-7497-6B4D-B8DD-05458FE90EE1}"/>
    <hyperlink ref="G1807" r:id="rId1724" xr:uid="{CA1375AC-156B-1349-844B-1261D05BF133}"/>
    <hyperlink ref="D1806" r:id="rId1725" display="https://enzyme.expasy.org/EC/2.7.7.8" xr:uid="{D12EA853-1981-004C-85DD-37C7B2ADBFDC}"/>
    <hyperlink ref="F1806" r:id="rId1726" xr:uid="{FDB113C5-CB27-1942-85D9-39272BA1DA44}"/>
    <hyperlink ref="G1806" r:id="rId1727" xr:uid="{141E9F64-8F76-6F4E-8B2E-78D7E1AC8F24}"/>
    <hyperlink ref="F1815" r:id="rId1728" xr:uid="{192F85C5-8A7F-7E40-B41F-DFD431051F7A}"/>
    <hyperlink ref="G1815" r:id="rId1729" xr:uid="{D8C5946D-2AF4-F04E-A783-B24B29E99ADD}"/>
    <hyperlink ref="F1827" r:id="rId1730" xr:uid="{D93851D9-E7CA-F946-98D8-0FB5843DCD4E}"/>
    <hyperlink ref="G1827" r:id="rId1731" xr:uid="{401BE88C-13BB-3F4A-9F4C-C7644DDA3640}"/>
    <hyperlink ref="F1837" r:id="rId1732" xr:uid="{0BA17B0D-9E0D-6C4B-B9BE-10AF795E553C}"/>
    <hyperlink ref="G1837" r:id="rId1733" xr:uid="{04150CD8-4A5B-5140-84AD-15B92BE2C016}"/>
    <hyperlink ref="D1836" r:id="rId1734" display="https://enzyme.expasy.org/EC/1.1.5.4" xr:uid="{0B3A5F94-ACEB-254D-B35A-4585213F1663}"/>
    <hyperlink ref="F1836" r:id="rId1735" xr:uid="{B1B2DA73-C219-2044-8295-BA1E9C763558}"/>
    <hyperlink ref="G1836" r:id="rId1736" xr:uid="{BBE7FA27-5D9A-9C47-AE2D-17DC6EFE1F24}"/>
    <hyperlink ref="D1835" r:id="rId1737" display="https://enzyme.expasy.org/EC/1.1.5.4" xr:uid="{B0FE28D5-B0DC-8C4B-92D1-39254F960911}"/>
    <hyperlink ref="F1835" r:id="rId1738" xr:uid="{AF532190-D782-5D47-BA14-E5E69C8106C3}"/>
    <hyperlink ref="G1835" r:id="rId1739" xr:uid="{DE87416D-EE5E-074E-9CF6-D730DBFF597C}"/>
    <hyperlink ref="F1842" r:id="rId1740" xr:uid="{5995098F-45EA-1A4B-B04D-F421281D6C67}"/>
    <hyperlink ref="D1841" r:id="rId1741" display="https://enzyme.expasy.org/EC/1.8.1.15" xr:uid="{6BA32186-F1DB-B049-B165-EE70523186DE}"/>
    <hyperlink ref="F1841" r:id="rId1742" xr:uid="{D3C3B5C0-2B9C-CB4F-A72D-C2A543A0DDE8}"/>
    <hyperlink ref="D1840" r:id="rId1743" display="https://enzyme.expasy.org/EC/1.8.1.15" xr:uid="{9300C71D-E3B6-844D-ABDE-55B0A8B315EC}"/>
    <hyperlink ref="F1840" r:id="rId1744" xr:uid="{D6EC7394-5D20-4D44-B56B-40B65E931DE6}"/>
    <hyperlink ref="D1839" r:id="rId1745" display="https://enzyme.expasy.org/EC/1.8.1.15" xr:uid="{B0D6862D-72C3-CE4F-A2CB-82984C60DA6F}"/>
    <hyperlink ref="F1839" r:id="rId1746" xr:uid="{8C250697-F5F1-1C49-8509-E5A30A664A0F}"/>
    <hyperlink ref="F1845" r:id="rId1747" xr:uid="{0F85DB8F-21DA-9146-8176-1DE30E91C288}"/>
    <hyperlink ref="G1845" r:id="rId1748" xr:uid="{13496E1F-434C-6B4A-8F86-96C65285E153}"/>
    <hyperlink ref="F1847" r:id="rId1749" xr:uid="{B42E4A74-06EA-8C46-8863-19B9DBD29A2E}"/>
    <hyperlink ref="G1847" r:id="rId1750" xr:uid="{55D15016-BDBB-904D-9634-1C8E7787FD4E}"/>
    <hyperlink ref="F1851" r:id="rId1751" xr:uid="{4FF02E96-C96F-0940-A6A1-BB00CE4CEE6B}"/>
    <hyperlink ref="G1851" r:id="rId1752" xr:uid="{43F374DB-38AE-864F-9114-0DAC98FF21DB}"/>
    <hyperlink ref="F1853" r:id="rId1753" xr:uid="{170C9288-CBAF-304D-AC68-D82A6B205819}"/>
    <hyperlink ref="G1853" r:id="rId1754" xr:uid="{AB50BB6C-8AE6-1545-8D20-4F8FA6181AEF}"/>
    <hyperlink ref="F1862" r:id="rId1755" xr:uid="{16985314-ED92-8541-8BC2-6DF47440500A}"/>
    <hyperlink ref="F1863" r:id="rId1756" xr:uid="{78809A85-C6CE-2F4E-BCDB-36F86A529293}"/>
    <hyperlink ref="F1864" r:id="rId1757" xr:uid="{DA7A31A8-5DE7-2D42-8A3B-0A3EBF87F6B5}"/>
    <hyperlink ref="F1870" r:id="rId1758" xr:uid="{463F0E42-6BDE-A345-831B-922751E196D3}"/>
    <hyperlink ref="G1870" r:id="rId1759" xr:uid="{941B0884-7850-3C47-A502-8ABFEF45FA44}"/>
    <hyperlink ref="F1890" r:id="rId1760" xr:uid="{489F43FA-256C-7A4D-BA03-FE68059F31E1}"/>
    <hyperlink ref="G1890" r:id="rId1761" xr:uid="{7051CD3E-AE39-5D47-B28F-96F18F866FF5}"/>
    <hyperlink ref="D1889" r:id="rId1762" display="https://enzyme.expasy.org/EC/3.6.1.7" xr:uid="{F1374BE7-69B1-F04D-A9CA-3EF3D0D015B8}"/>
    <hyperlink ref="F1889" r:id="rId1763" xr:uid="{E74FA160-0FE9-F145-99CB-A598FF6C266D}"/>
    <hyperlink ref="G1889" r:id="rId1764" xr:uid="{7F33B9A8-FA8E-D14B-87E4-413CC0B92954}"/>
    <hyperlink ref="D1888" r:id="rId1765" display="https://enzyme.expasy.org/EC/3.6.1.7" xr:uid="{C44DB305-4605-4A4B-8D56-B5203F416703}"/>
    <hyperlink ref="F1888" r:id="rId1766" xr:uid="{001759C6-39EA-8F4C-975D-A8E8994D6EF2}"/>
    <hyperlink ref="G1888" r:id="rId1767" xr:uid="{65C03CEA-8F6A-854E-81AE-7C05CBCE2B74}"/>
    <hyperlink ref="D1887" r:id="rId1768" display="https://enzyme.expasy.org/EC/3.6.1.7" xr:uid="{1AC0CB8B-5D04-F143-BD26-8D43ABD28CA8}"/>
    <hyperlink ref="F1887" r:id="rId1769" xr:uid="{CE18AF4F-214A-514B-87C1-FB92310DF95E}"/>
    <hyperlink ref="G1887" r:id="rId1770" xr:uid="{D5491D60-EAEC-1144-A098-D2AEF56D989B}"/>
    <hyperlink ref="F1892" r:id="rId1771" xr:uid="{9BB296B3-1EEE-944C-9429-226C91725664}"/>
    <hyperlink ref="F1893" r:id="rId1772" xr:uid="{22059962-86A4-6942-8C41-E87D5020D33F}"/>
    <hyperlink ref="F1899" r:id="rId1773" xr:uid="{61EC4D6E-FFBE-CF4C-B3B3-AF3B109DBB83}"/>
    <hyperlink ref="G1899" r:id="rId1774" xr:uid="{62A7746D-CB4E-B543-B733-D0BF455A8233}"/>
    <hyperlink ref="D1898" r:id="rId1775" display="https://enzyme.expasy.org/EC/1.4.1.2" xr:uid="{E7F6F7F5-5AD6-CA47-9103-6A4B1FE7E6E9}"/>
    <hyperlink ref="F1898" r:id="rId1776" xr:uid="{5427E143-0A84-754A-AAD8-63DF8619808F}"/>
    <hyperlink ref="G1898" r:id="rId1777" xr:uid="{522D6F50-0F9D-3F4C-A34F-0D08BB63E2F4}"/>
    <hyperlink ref="D1897" r:id="rId1778" display="https://enzyme.expasy.org/EC/1.4.1.2" xr:uid="{9D5C42CF-D620-3846-8D68-064485EA52E5}"/>
    <hyperlink ref="F1897" r:id="rId1779" xr:uid="{1C5C8AE4-70D4-394B-83C6-EB34A86FC2AA}"/>
    <hyperlink ref="G1897" r:id="rId1780" xr:uid="{ECBAEDD3-1C65-5A44-A471-E0B27355A0F5}"/>
    <hyperlink ref="F1900" r:id="rId1781" xr:uid="{55991580-4C2E-4C49-9CD9-3E239E0F2996}"/>
    <hyperlink ref="G1900" r:id="rId1782" xr:uid="{D16A29F1-971A-EB4C-B0C8-6A3397D40EC8}"/>
    <hyperlink ref="F1910" r:id="rId1783" xr:uid="{DD4B362C-1EAF-4543-B976-D245D6DCBA58}"/>
    <hyperlink ref="G1910" r:id="rId1784" xr:uid="{0F9BCA1D-920F-F247-95A1-7C400EC6F624}"/>
    <hyperlink ref="D1909" r:id="rId1785" display="https://enzyme.expasy.org/EC/2.7.1.40" xr:uid="{2FFD8E04-7D9C-E94A-9CED-66144736EEB5}"/>
    <hyperlink ref="F1909" r:id="rId1786" xr:uid="{946749B4-5373-384C-84A2-322D2FD5004E}"/>
    <hyperlink ref="G1909" r:id="rId1787" xr:uid="{4F048E06-A849-4046-AA6B-90AA4050FADA}"/>
    <hyperlink ref="D1908" r:id="rId1788" display="https://enzyme.expasy.org/EC/2.7.1.40" xr:uid="{D7C93ACA-981F-8C4A-83D8-6CE50D808703}"/>
    <hyperlink ref="F1908" r:id="rId1789" xr:uid="{9CD3A752-5E67-2A45-8FAC-1A090790E319}"/>
    <hyperlink ref="G1908" r:id="rId1790" xr:uid="{9705BDB3-92E1-1D4C-B702-381E228326EE}"/>
    <hyperlink ref="D1907" r:id="rId1791" display="https://enzyme.expasy.org/EC/2.7.1.40" xr:uid="{A7716337-164C-894F-9A4A-1DDCAB817726}"/>
    <hyperlink ref="F1907" r:id="rId1792" xr:uid="{2EF693E6-DB10-A442-AFCB-B053E7D4ACE5}"/>
    <hyperlink ref="G1907" r:id="rId1793" xr:uid="{7BD02577-A0C8-E946-B486-24B5A2F965D8}"/>
    <hyperlink ref="D1906" r:id="rId1794" display="https://enzyme.expasy.org/EC/2.7.1.40" xr:uid="{7377B161-B6A9-9F43-9932-EE05C106FB1D}"/>
    <hyperlink ref="F1906" r:id="rId1795" xr:uid="{C9A81BAF-634A-CE40-AAB5-4604C5F4A127}"/>
    <hyperlink ref="G1906" r:id="rId1796" xr:uid="{3E9C891F-12AF-6B4D-BE31-E550B63DD4A9}"/>
    <hyperlink ref="D1905" r:id="rId1797" display="https://enzyme.expasy.org/EC/2.7.1.40" xr:uid="{7DD3BB7F-0412-E74F-9243-251DB025D933}"/>
    <hyperlink ref="F1905" r:id="rId1798" xr:uid="{B2162703-4612-EF4A-A031-F07D69056B5D}"/>
    <hyperlink ref="G1905" r:id="rId1799" xr:uid="{E4F54668-07D3-B34B-9368-0887462484CF}"/>
    <hyperlink ref="D1904" r:id="rId1800" display="https://enzyme.expasy.org/EC/2.7.1.40" xr:uid="{C934CF28-CBA3-DD49-88AC-7AC9840A8042}"/>
    <hyperlink ref="F1904" r:id="rId1801" xr:uid="{AFBC8486-1AFE-9C40-B6E2-66954482F6FE}"/>
    <hyperlink ref="G1904" r:id="rId1802" xr:uid="{C2F9FA43-A89E-914A-93D8-95F2249C3356}"/>
    <hyperlink ref="D1903" r:id="rId1803" display="https://enzyme.expasy.org/EC/2.7.1.40" xr:uid="{C73DA1EA-63F8-224F-B48E-FC465219C7DE}"/>
    <hyperlink ref="F1903" r:id="rId1804" xr:uid="{6C2EA0D7-C628-2A4D-A55C-815CC0266570}"/>
    <hyperlink ref="G1903" r:id="rId1805" xr:uid="{7CF046DF-C7A0-434C-93C8-67C925F3EDE6}"/>
    <hyperlink ref="F1912" r:id="rId1806" xr:uid="{6C0192B4-4BF7-354D-B1F9-A52A445E1EE1}"/>
    <hyperlink ref="G1912" r:id="rId1807" xr:uid="{57EB2295-4CCA-F641-AF10-021B8D4B5810}"/>
    <hyperlink ref="F1920" r:id="rId1808" xr:uid="{13CE4EDE-CE0F-7A41-A4D1-BBB01E62A33F}"/>
    <hyperlink ref="G1920" r:id="rId1809" xr:uid="{98861BF5-AA19-3D42-9E08-23CE6F4D3887}"/>
    <hyperlink ref="F1924" r:id="rId1810" xr:uid="{79ADC786-6D0F-0649-8BAD-F5DF7A201C80}"/>
    <hyperlink ref="G1924" r:id="rId1811" xr:uid="{0CFBE376-34DC-4F4E-BE13-B1D11AFB59C0}"/>
    <hyperlink ref="F1927" r:id="rId1812" xr:uid="{83911DF6-C0C1-394F-A639-C66590589C05}"/>
    <hyperlink ref="G1927" r:id="rId1813" xr:uid="{DF9B1B92-6E72-A741-A3E4-FDBF363E38B3}"/>
    <hyperlink ref="D1926" r:id="rId1814" display="https://enzyme.expasy.org/EC/2.6.1.9" xr:uid="{CC66EBF6-CB29-1946-B7A6-4CDD5333E0C9}"/>
    <hyperlink ref="F1926" r:id="rId1815" xr:uid="{EF172C93-B270-F345-AE90-BE9C406D4CDF}"/>
    <hyperlink ref="G1926" r:id="rId1816" xr:uid="{840B2E9C-72CF-2B46-8183-B8DE4BC66095}"/>
    <hyperlink ref="D1925" r:id="rId1817" display="https://enzyme.expasy.org/EC/2.6.1.9" xr:uid="{C1E9074E-4032-AC4A-8D92-9E473C4887AB}"/>
    <hyperlink ref="F1925" r:id="rId1818" xr:uid="{39D63526-6A43-0E40-94D4-ED7A64DED7F9}"/>
    <hyperlink ref="G1925" r:id="rId1819" xr:uid="{2427E47C-BB3A-EE47-B9C4-258E0E18D013}"/>
    <hyperlink ref="F1930" r:id="rId1820" xr:uid="{2519DA2B-79F1-EF44-B5FB-6EE624D41773}"/>
    <hyperlink ref="G1930" r:id="rId1821" xr:uid="{57EF1B16-A38C-7E43-BE0D-21C6E7088DE0}"/>
    <hyperlink ref="D1929" r:id="rId1822" display="https://enzyme.expasy.org/EC/1.1.1.23" xr:uid="{24AAB8C8-3887-A24F-8CD3-FE2C87BB033F}"/>
    <hyperlink ref="F1929" r:id="rId1823" xr:uid="{24C8D30E-7145-AF4E-B0CB-53DA61CD6A86}"/>
    <hyperlink ref="G1929" r:id="rId1824" xr:uid="{8A4BBF46-ACB1-F04A-9881-D4F85D7ABDB1}"/>
    <hyperlink ref="D1928" r:id="rId1825" display="https://enzyme.expasy.org/EC/1.1.1.23" xr:uid="{FF5A7884-AAA6-8B49-9F59-CF7669335C4D}"/>
    <hyperlink ref="F1928" r:id="rId1826" xr:uid="{506F8BE9-74DD-2E4A-98F6-A7E5F5C5D374}"/>
    <hyperlink ref="G1928" r:id="rId1827" xr:uid="{2FB9873C-7127-1645-89EB-DB6A17816B1B}"/>
    <hyperlink ref="F1942" r:id="rId1828" xr:uid="{0F4B7DB6-A5DB-A747-870A-AE631CD5871D}"/>
    <hyperlink ref="G1942" r:id="rId1829" xr:uid="{D0B4E3B2-E0AA-D24F-8C95-E0C5B95DF0F4}"/>
    <hyperlink ref="F1950" r:id="rId1830" xr:uid="{F1D92BC9-63A3-B045-8596-02F489B98ACE}"/>
    <hyperlink ref="G1950" r:id="rId1831" xr:uid="{6755E841-B6AF-B942-9766-D05A4E816387}"/>
    <hyperlink ref="D1949" r:id="rId1832" display="https://enzyme.expasy.org/EC/4.3.1.19" xr:uid="{D9E7B42D-0F7C-1143-B449-38417D8C61B5}"/>
    <hyperlink ref="F1949" r:id="rId1833" xr:uid="{BAE0C981-C423-8940-9F54-141D3E63C29F}"/>
    <hyperlink ref="G1949" r:id="rId1834" xr:uid="{2E739C85-7FD3-5B4F-AA02-B71AFAD2E6E2}"/>
    <hyperlink ref="D1948" r:id="rId1835" display="https://enzyme.expasy.org/EC/4.3.1.19" xr:uid="{9BB49135-77F8-0649-973C-2C12F95B9D72}"/>
    <hyperlink ref="F1948" r:id="rId1836" xr:uid="{8EF4E830-2F5C-CB40-8AE5-4597E3B40F3B}"/>
    <hyperlink ref="G1948" r:id="rId1837" xr:uid="{B7ECEADF-75A7-2C4F-ADAB-EAB19C867765}"/>
    <hyperlink ref="D1947" r:id="rId1838" display="https://enzyme.expasy.org/EC/4.3.1.19" xr:uid="{2667AD0E-24F2-9C42-9F7C-CD848B93C99D}"/>
    <hyperlink ref="F1947" r:id="rId1839" xr:uid="{06E1C3E8-D273-6445-BB72-6619E5405507}"/>
    <hyperlink ref="G1947" r:id="rId1840" xr:uid="{43048CDD-A153-7E47-A6E7-DBFCFFEA12AD}"/>
    <hyperlink ref="D1946" r:id="rId1841" display="https://enzyme.expasy.org/EC/4.3.1.19" xr:uid="{73EACD84-42EA-DD4B-9ED7-9D23B8DC8E04}"/>
    <hyperlink ref="F1946" r:id="rId1842" xr:uid="{613D6A6D-0548-C24B-8489-4743B188E738}"/>
    <hyperlink ref="G1946" r:id="rId1843" xr:uid="{FEBA6025-411F-9542-8AFF-B1358DA823FA}"/>
    <hyperlink ref="F1963" r:id="rId1844" xr:uid="{3F4D97CD-79EE-674B-A43F-C4040F352262}"/>
    <hyperlink ref="F1967" r:id="rId1845" xr:uid="{132F77FC-F822-A24C-9170-8A11EB1C354E}"/>
    <hyperlink ref="G1967" r:id="rId1846" xr:uid="{6EE39F94-FFA5-8747-86E3-0163B1BFB995}"/>
    <hyperlink ref="D1966" r:id="rId1847" display="https://enzyme.expasy.org/EC/3.5.1.1" xr:uid="{A73983F8-D0BB-654A-A26C-5C391660B90F}"/>
    <hyperlink ref="F1966" r:id="rId1848" xr:uid="{FDAD4114-EED7-9F42-837F-2B36B019A033}"/>
    <hyperlink ref="G1966" r:id="rId1849" xr:uid="{5960FACD-BD49-D248-B417-722FC322EE14}"/>
    <hyperlink ref="F2519" r:id="rId1850" xr:uid="{FE1F2E4C-68A2-9940-AA70-1B76730D593F}"/>
    <hyperlink ref="G2519" r:id="rId1851" xr:uid="{7AC81BBA-495C-A143-8E52-3A875449E133}"/>
    <hyperlink ref="D2518" r:id="rId1852" display="https://enzyme.expasy.org/EC/3.5.1.1" xr:uid="{8F9145E3-BA43-354B-BA25-24CEEED162F4}"/>
    <hyperlink ref="F2518" r:id="rId1853" xr:uid="{5EF5FB46-DED8-D941-BFF2-E9ED51D4869B}"/>
    <hyperlink ref="G2518" r:id="rId1854" xr:uid="{6AA6E65A-4E29-3B4A-8502-CFA08C26C37E}"/>
    <hyperlink ref="F1979" r:id="rId1855" xr:uid="{2D2845B8-71F6-0248-9511-DEFA076C6914}"/>
    <hyperlink ref="G1979" r:id="rId1856" xr:uid="{C8E55D9C-3178-3246-B525-C358BFA82EAA}"/>
    <hyperlink ref="F1996" r:id="rId1857" xr:uid="{E0E95EDA-BC76-7940-8EB4-7B32E6CA18EB}"/>
    <hyperlink ref="G1996" r:id="rId1858" xr:uid="{8A4C68F6-3B41-2940-B806-318BC86F6108}"/>
    <hyperlink ref="F1989" r:id="rId1859" xr:uid="{8EC96542-49DE-A24F-B3D5-C71E9065EB31}"/>
    <hyperlink ref="G1989" r:id="rId1860" xr:uid="{F25896B8-2CD4-F14D-8E77-4FAFB3FFD9B3}"/>
    <hyperlink ref="F1994" r:id="rId1861" xr:uid="{31AC25C5-776B-D54A-A3CC-E519101443D3}"/>
    <hyperlink ref="G1994" r:id="rId1862" xr:uid="{44A2280B-566B-5D4A-A398-92956D27F476}"/>
    <hyperlink ref="D1993" r:id="rId1863" display="https://enzyme.expasy.org/EC/2.4.1.227" xr:uid="{FFAD23FD-C383-DE4C-98FE-87B8D2E9F451}"/>
    <hyperlink ref="F1993" r:id="rId1864" xr:uid="{E547E7CE-E997-0544-8C8F-DB086AC8E444}"/>
    <hyperlink ref="G1993" r:id="rId1865" xr:uid="{402DC334-93EF-514A-ABE9-8C6DD67DA3A8}"/>
    <hyperlink ref="D1992" r:id="rId1866" display="https://enzyme.expasy.org/EC/2.4.1.227" xr:uid="{89A7D686-0C63-3B4B-9D31-E86F12E143A7}"/>
    <hyperlink ref="F1992" r:id="rId1867" xr:uid="{97CF3DF8-B944-4A4C-B163-CE8F955D5C58}"/>
    <hyperlink ref="G1992" r:id="rId1868" xr:uid="{A3036C67-274A-074C-A3EC-04DBBFB8E06F}"/>
    <hyperlink ref="D1991" r:id="rId1869" display="https://enzyme.expasy.org/EC/2.4.1.227" xr:uid="{98D3A647-2B41-1B40-A486-EF56C5A4C722}"/>
    <hyperlink ref="F1991" r:id="rId1870" xr:uid="{51FF8F14-D59F-8849-80C9-731298213BD9}"/>
    <hyperlink ref="G1991" r:id="rId1871" xr:uid="{A365237B-953B-4345-A9B0-3C1984161B8C}"/>
    <hyperlink ref="D1990" r:id="rId1872" display="https://enzyme.expasy.org/EC/2.4.1.227" xr:uid="{9434CF14-3368-DB47-8B16-364FB7065F60}"/>
    <hyperlink ref="F1990" r:id="rId1873" xr:uid="{54402046-DF86-CD4A-A855-5A26979468D1}"/>
    <hyperlink ref="G1990" r:id="rId1874" xr:uid="{7D91A323-2C0C-1E4E-8261-E12CF8EDFAB6}"/>
    <hyperlink ref="F1998" r:id="rId1875" xr:uid="{559FE5A5-308F-8648-990A-72632047C32D}"/>
    <hyperlink ref="G1998" r:id="rId1876" xr:uid="{23FEE98A-41B6-B44C-8CA8-4CD32C1FEE1A}"/>
    <hyperlink ref="D1997" r:id="rId1877" display="https://enzyme.expasy.org/EC/2.7.8.13" xr:uid="{9A76BFBC-BC72-3E44-B18B-6136E9357009}"/>
    <hyperlink ref="F1997" r:id="rId1878" xr:uid="{3CFB4ECB-BA49-004C-B606-0F4630C282DE}"/>
    <hyperlink ref="G1997" r:id="rId1879" xr:uid="{A4D2D1E0-832B-9A42-96C4-F2C170460BA7}"/>
    <hyperlink ref="F2000" r:id="rId1880" xr:uid="{B42F3876-FBC2-8844-9F00-3E6D13EBF61E}"/>
    <hyperlink ref="G2000" r:id="rId1881" xr:uid="{199F24A8-59EA-A34E-9F4E-96DF442D413B}"/>
    <hyperlink ref="D1999" r:id="rId1882" display="https://enzyme.expasy.org/EC/6.3.2.10" xr:uid="{134D8B45-D15E-A94B-9066-0C207B6E1AFB}"/>
    <hyperlink ref="F1999" r:id="rId1883" xr:uid="{2679893B-DAF0-B54A-AE90-8CDD0FB1C0BF}"/>
    <hyperlink ref="G1999" r:id="rId1884" xr:uid="{26A72FD0-7C4E-1245-BE8A-8451B108837F}"/>
    <hyperlink ref="F2001" r:id="rId1885" xr:uid="{E8F3C3E5-B6DD-6A47-945D-DAC02B98242E}"/>
    <hyperlink ref="G2001" r:id="rId1886" xr:uid="{12BC59DE-D8CA-EB4B-BAF5-9C0207AE4C81}"/>
    <hyperlink ref="F2005" r:id="rId1887" xr:uid="{5C2CC486-D976-954F-9B6F-DD50E8DC6073}"/>
    <hyperlink ref="G2005" r:id="rId1888" xr:uid="{1C189EA9-0C20-E14F-9D10-E405A6B6E845}"/>
    <hyperlink ref="D2004" r:id="rId1889" display="https://enzyme.expasy.org/EC/2.4.1.129" xr:uid="{9B6209B5-0C4D-3444-A36B-C2FC455DB81D}"/>
    <hyperlink ref="F2004" r:id="rId1890" xr:uid="{37CE2880-FD81-B243-93F2-CF321BC9B5E1}"/>
    <hyperlink ref="G2004" r:id="rId1891" xr:uid="{1A65479B-1AE4-7E46-BE24-31954D2C52CE}"/>
    <hyperlink ref="D2003" r:id="rId1892" display="https://enzyme.expasy.org/EC/2.4.1.129" xr:uid="{B4EC25DA-F6BE-5D44-BA45-254A3D74C8D8}"/>
    <hyperlink ref="F2003" r:id="rId1893" xr:uid="{BB12448C-B2E8-2C42-B43E-509590A48673}"/>
    <hyperlink ref="G2003" r:id="rId1894" xr:uid="{26D9A3A7-4D7E-4044-B2CF-9C9DF5E15EE5}"/>
    <hyperlink ref="D2002" r:id="rId1895" display="https://enzyme.expasy.org/EC/2.4.1.129" xr:uid="{16CCECAE-7A42-9149-BF2C-10D6E5D4AAFD}"/>
    <hyperlink ref="F2002" r:id="rId1896" xr:uid="{C7FA720F-E13B-544D-B37C-A8E192FCD081}"/>
    <hyperlink ref="G2002" r:id="rId1897" xr:uid="{8EA28B1A-8FE6-6442-A733-FB53DDBD7FFC}"/>
    <hyperlink ref="F2007" r:id="rId1898" xr:uid="{24CB5AE6-C4F4-C945-8170-B9B7BD801F7E}"/>
    <hyperlink ref="F2012" r:id="rId1899" xr:uid="{6C89CB93-3289-3544-8868-0BC3ED5F716C}"/>
    <hyperlink ref="G2012" r:id="rId1900" xr:uid="{F9B40C1A-3706-7943-A0FA-04CFA60BC1B1}"/>
    <hyperlink ref="F2017" r:id="rId1901" xr:uid="{9EF27CA3-474B-4942-B329-F4F71FBBF88D}"/>
    <hyperlink ref="G2017" r:id="rId1902" xr:uid="{1A1E4051-C892-C74C-B721-3D7227C2BEA4}"/>
    <hyperlink ref="F2034" r:id="rId1903" xr:uid="{37366FB8-4215-DD40-8C5F-185E83A3D46F}"/>
    <hyperlink ref="G2034" r:id="rId1904" xr:uid="{BA5FB162-2408-5B43-BF07-341FB9EEA640}"/>
    <hyperlink ref="D2033" r:id="rId1905" display="https://enzyme.expasy.org/EC/7.1.1.9" xr:uid="{0A13125E-7446-2C43-BF49-3BA8E5B0E1FD}"/>
    <hyperlink ref="F2033" r:id="rId1906" xr:uid="{E22378D6-27B7-4340-B97F-AD692FECF75F}"/>
    <hyperlink ref="G2033" r:id="rId1907" xr:uid="{DEFB3BD4-1B60-024A-B481-7FB7AC8305D0}"/>
    <hyperlink ref="D2035" r:id="rId1908" display="https://enzyme.expasy.org/EC/7.1.1.9" xr:uid="{F4D10BE0-7193-A348-A044-6E1A748FD9C0}"/>
    <hyperlink ref="D2037" r:id="rId1909" display="https://enzyme.expasy.org/EC/7.1.1.9" xr:uid="{B9FE0DF0-FB9C-0644-AC5E-5F233D4DED95}"/>
    <hyperlink ref="F2035" r:id="rId1910" xr:uid="{C7C3E542-A6CF-6C4D-A35D-40558ECF1184}"/>
    <hyperlink ref="F2036" r:id="rId1911" xr:uid="{978D88EC-92DB-5441-8A5A-3697D6B9033C}"/>
    <hyperlink ref="F2037" r:id="rId1912" xr:uid="{E95891B8-1CC3-A944-9872-4CB42AA6D833}"/>
    <hyperlink ref="F2038" r:id="rId1913" xr:uid="{A80A027F-750B-E449-94F1-94307445B686}"/>
    <hyperlink ref="G2035" r:id="rId1914" xr:uid="{045A2C02-0C07-0E44-8183-C626E7A41E88}"/>
    <hyperlink ref="G2036" r:id="rId1915" xr:uid="{EE0D35F8-506A-594C-B738-2D43F5EB1E6B}"/>
    <hyperlink ref="G2037" r:id="rId1916" xr:uid="{578A2C2C-AF6D-464D-9360-22B8A64D8831}"/>
    <hyperlink ref="G2038" r:id="rId1917" xr:uid="{D9232E74-D701-5F40-B45A-2A6D04741EB3}"/>
    <hyperlink ref="F2443" r:id="rId1918" xr:uid="{D53E57F9-12ED-AE46-8DE7-DC2108D1C328}"/>
    <hyperlink ref="G2443" r:id="rId1919" xr:uid="{94DF58D0-69B2-D841-B27D-8E9F93E76D85}"/>
    <hyperlink ref="D2442" r:id="rId1920" display="https://enzyme.expasy.org/EC/7.1.1.9" xr:uid="{FCC590B2-2832-4945-8DD9-008932098CD8}"/>
    <hyperlink ref="F2442" r:id="rId1921" xr:uid="{B2554A88-6F6C-134F-BF35-3347CE347D3B}"/>
    <hyperlink ref="G2442" r:id="rId1922" xr:uid="{8548D262-BFFB-7C44-BAE6-239D5868D2D4}"/>
    <hyperlink ref="F2041" r:id="rId1923" xr:uid="{15A91B89-AD10-F945-A734-4D48B4EE367A}"/>
    <hyperlink ref="G2041" r:id="rId1924" xr:uid="{5EA53D5C-6B32-904B-A49D-73CA27C93165}"/>
    <hyperlink ref="D2040" r:id="rId1925" display="https://enzyme.expasy.org/EC/6.3.5.4" xr:uid="{662EE592-90BD-F640-8860-AC6A63BEBB77}"/>
    <hyperlink ref="F2040" r:id="rId1926" xr:uid="{3B24562B-09FE-F847-B573-FC6B68F59178}"/>
    <hyperlink ref="G2040" r:id="rId1927" xr:uid="{8EC672C5-1A04-F641-AEC6-57F93DC058AC}"/>
    <hyperlink ref="D2039" r:id="rId1928" display="https://enzyme.expasy.org/EC/6.3.5.4" xr:uid="{4D2A5407-4E62-C64F-8AB8-9999D2B8B4E7}"/>
    <hyperlink ref="F2039" r:id="rId1929" xr:uid="{23098959-9727-DC44-8C97-BCAF739FE8E7}"/>
    <hyperlink ref="G2039" r:id="rId1930" xr:uid="{CFDE3FD2-024D-0145-B39D-0FCD633599CF}"/>
    <hyperlink ref="F2044" r:id="rId1931" xr:uid="{A83238F7-369D-144E-8EA1-38FE884C549F}"/>
    <hyperlink ref="G2044" r:id="rId1932" xr:uid="{14094127-286E-DE4B-A041-76F6AF8A9962}"/>
    <hyperlink ref="F2048" r:id="rId1933" xr:uid="{789BDA4C-0FCC-BC43-A41E-8116D4A43F9E}"/>
    <hyperlink ref="G2048" r:id="rId1934" xr:uid="{854A5E63-7937-7148-8996-CBEC3FB76ED6}"/>
    <hyperlink ref="D2047" r:id="rId1935" display="https://enzyme.expasy.org/EC/2.6.1.42" xr:uid="{610C2D7F-F5D2-5C43-93CA-201C1D1D35B8}"/>
    <hyperlink ref="F2047" r:id="rId1936" xr:uid="{1AAAB3CD-144F-DF49-9DB3-0BD2AC898CA5}"/>
    <hyperlink ref="G2047" r:id="rId1937" xr:uid="{1CE763FF-3E6B-9C40-A123-D846F950CFC4}"/>
    <hyperlink ref="D2046" r:id="rId1938" display="https://enzyme.expasy.org/EC/2.6.1.42" xr:uid="{7FD821BE-72D1-664F-987B-9D17CA53A36D}"/>
    <hyperlink ref="F2046" r:id="rId1939" xr:uid="{3F204D55-6CCE-1B41-A585-8CDCA73CAB22}"/>
    <hyperlink ref="G2046" r:id="rId1940" xr:uid="{FFBCB797-3692-3544-9EB8-A3A5D0C622A4}"/>
    <hyperlink ref="D2045" r:id="rId1941" display="https://enzyme.expasy.org/EC/2.6.1.42" xr:uid="{4F2E5AD3-9A07-1D4D-8D96-A85CECE77E0E}"/>
    <hyperlink ref="F2045" r:id="rId1942" xr:uid="{D338F616-6166-7B4E-BA3F-FED5AE4E6316}"/>
    <hyperlink ref="G2045" r:id="rId1943" xr:uid="{1BC545F0-B558-FF43-BA16-30F25ED06711}"/>
    <hyperlink ref="F2050" r:id="rId1944" xr:uid="{5F30DE6F-865E-5040-B18A-C882F6A0E2F0}"/>
    <hyperlink ref="G2050" r:id="rId1945" xr:uid="{18FC1633-80A4-7E4D-9714-2E285A14C8AE}"/>
    <hyperlink ref="D2049" r:id="rId1946" display="https://enzyme.expasy.org/EC/3.4.11.1" xr:uid="{77F7C21A-8524-B243-80F8-2B9D89B7E3DC}"/>
    <hyperlink ref="F2049" r:id="rId1947" xr:uid="{3966CAE3-8B2B-3642-BA95-99060C9C3BE4}"/>
    <hyperlink ref="G2049" r:id="rId1948" xr:uid="{E05736B4-98E6-1B43-BF8C-A84C05ACAE31}"/>
    <hyperlink ref="F2053" r:id="rId1949" xr:uid="{3A2B7EBA-6D80-0D4A-8415-7F84AD3FFD40}"/>
    <hyperlink ref="G2053" r:id="rId1950" xr:uid="{23E3522F-862E-0441-BE03-BB9E4E7FC25E}"/>
    <hyperlink ref="F2054" r:id="rId1951" xr:uid="{DCAD0845-EB28-1246-B1C4-74A89232271D}"/>
    <hyperlink ref="G2054" r:id="rId1952" xr:uid="{E6894FDD-4D62-8549-ABDA-CF4DE81D3A51}"/>
    <hyperlink ref="F2056" r:id="rId1953" xr:uid="{BCE34530-4C48-8447-888B-1C3EA3D175E9}"/>
    <hyperlink ref="G2056" r:id="rId1954" xr:uid="{02EDF9B6-E66A-0A46-8D96-D842EFCCE5E6}"/>
    <hyperlink ref="D2055" r:id="rId1955" display="https://enzyme.expasy.org/EC/2.1.2.10" xr:uid="{573F4E01-435E-F249-9EB3-06B7A3AB87C8}"/>
    <hyperlink ref="F2055" r:id="rId1956" xr:uid="{7A81D83B-8C74-9A4A-9C12-D1E79F970327}"/>
    <hyperlink ref="G2055" r:id="rId1957" xr:uid="{0205E9DD-96EE-3345-B4EF-A26EBD8B15AC}"/>
    <hyperlink ref="F2061" r:id="rId1958" xr:uid="{9C784FE8-D16A-2345-A4F6-37AED8453E15}"/>
    <hyperlink ref="G2061" r:id="rId1959" xr:uid="{EC7F9A6F-A4CD-AC46-8FAD-88A4E3B465EA}"/>
    <hyperlink ref="D2060" r:id="rId1960" display="https://enzyme.expasy.org/EC/2.3.1.181" xr:uid="{F47014B8-8F45-B148-B62C-68AAE1835006}"/>
    <hyperlink ref="F2060" r:id="rId1961" xr:uid="{62BA1A9C-D233-C448-AD52-9B7227E5ADE5}"/>
    <hyperlink ref="G2060" r:id="rId1962" xr:uid="{A7631F83-FD30-6A41-83B0-208A4CAA3A63}"/>
    <hyperlink ref="D2059" r:id="rId1963" display="https://enzyme.expasy.org/EC/2.3.1.181" xr:uid="{C82CCD9F-5FA3-7642-8B49-35580DCD4F3A}"/>
    <hyperlink ref="F2059" r:id="rId1964" xr:uid="{934B7C8A-9857-814D-B30C-CDB2E0C8DCD0}"/>
    <hyperlink ref="G2059" r:id="rId1965" xr:uid="{CEAC38AA-2635-C747-B640-C767871C6527}"/>
    <hyperlink ref="D2058" r:id="rId1966" display="https://enzyme.expasy.org/EC/2.3.1.181" xr:uid="{92191ADD-224F-F541-B7A9-E20C62790141}"/>
    <hyperlink ref="F2058" r:id="rId1967" xr:uid="{F7F1E6F4-3CC9-C14E-8516-A0CAA6577D09}"/>
    <hyperlink ref="G2058" r:id="rId1968" xr:uid="{6B7CED9F-75C0-6A4C-878C-F4791748225F}"/>
    <hyperlink ref="F2064" r:id="rId1969" xr:uid="{B1890ECE-A82C-054A-8FCC-9BBA67F5AABA}"/>
    <hyperlink ref="G2064" r:id="rId1970" xr:uid="{DCC47D86-5654-2844-9CA5-A192D241C569}"/>
    <hyperlink ref="D2063" r:id="rId1971" display="https://enzyme.expasy.org/EC/2.8.1.8" xr:uid="{61152E37-6E86-FD4C-8972-CD3D64A41CDE}"/>
    <hyperlink ref="F2063" r:id="rId1972" xr:uid="{28006BB3-7A10-5D42-99DB-FDF79B0025BE}"/>
    <hyperlink ref="G2063" r:id="rId1973" xr:uid="{89543224-6A7E-B244-8B09-8553A85632B3}"/>
    <hyperlink ref="D2062" r:id="rId1974" display="https://enzyme.expasy.org/EC/2.8.1.8" xr:uid="{A086777D-B74D-334E-A8D3-6831A2EF6B91}"/>
    <hyperlink ref="F2062" r:id="rId1975" xr:uid="{0A953903-2CDE-FB47-B21F-67A599FDA965}"/>
    <hyperlink ref="G2062" r:id="rId1976" xr:uid="{89CAB580-4E7C-3643-9BC3-F3E24E7BDB1A}"/>
    <hyperlink ref="F2067" r:id="rId1977" xr:uid="{D1BA439D-8357-874D-9AB0-CADA3F1E1E34}"/>
    <hyperlink ref="F2082" r:id="rId1978" xr:uid="{A7E1AC9E-2DD8-FF4E-A7D3-6635DCA79FEE}"/>
    <hyperlink ref="G2067" r:id="rId1979" xr:uid="{F4AF9782-C4D5-564B-8A7C-FCE393C310CB}"/>
    <hyperlink ref="G2082" r:id="rId1980" xr:uid="{CAECBEF0-B627-534D-B989-B2A09993F2EA}"/>
    <hyperlink ref="F2075" r:id="rId1981" xr:uid="{6EE66F0D-1858-4843-8065-575439EBDF7F}"/>
    <hyperlink ref="G2075" r:id="rId1982" xr:uid="{60EECF5F-CD3A-2E42-BF30-FC3868B60188}"/>
    <hyperlink ref="D2074" r:id="rId1983" display="https://enzyme.expasy.org/EC/4.2.3.1" xr:uid="{01E9E2E1-D3CA-AE41-AE17-C0FB3C78023D}"/>
    <hyperlink ref="F2074" r:id="rId1984" xr:uid="{51B8B1E0-B8FD-1441-9228-166227FF2D60}"/>
    <hyperlink ref="G2074" r:id="rId1985" xr:uid="{BBF5F719-6B4B-ED4C-B9A6-A13F0D508792}"/>
    <hyperlink ref="F2077" r:id="rId1986" xr:uid="{C938FD96-730F-4C4A-95FA-CE3F0B01D723}"/>
    <hyperlink ref="F2081" r:id="rId1987" xr:uid="{577325FE-8FD4-9341-974F-A5EEAC0DCF59}"/>
    <hyperlink ref="G2081" r:id="rId1988" xr:uid="{DB6D7F45-F8C8-A840-A19A-A353693B17F4}"/>
    <hyperlink ref="F2106" r:id="rId1989" xr:uid="{F58771CF-7330-1543-BDA0-D9929F5F8ABA}"/>
    <hyperlink ref="G2106" r:id="rId1990" xr:uid="{72160176-C2EB-A043-953D-97A41C4AD192}"/>
    <hyperlink ref="D2105" r:id="rId1991" display="https://enzyme.expasy.org/EC/1.1.1.1" xr:uid="{B042E29B-FBDB-7F45-A7C5-9CE47C6A4545}"/>
    <hyperlink ref="F2105" r:id="rId1992" xr:uid="{3E7EF58F-1595-3044-B50D-5AA3C127834F}"/>
    <hyperlink ref="G2105" r:id="rId1993" xr:uid="{44AAB5D6-2ACB-B647-AC20-F18440B2A60F}"/>
    <hyperlink ref="D2104" r:id="rId1994" display="https://enzyme.expasy.org/EC/1.1.1.1" xr:uid="{ADC18DAD-03B4-2F4E-9AF9-D80B94236BF6}"/>
    <hyperlink ref="F2104" r:id="rId1995" xr:uid="{C75173A7-A84C-1B45-9279-F9B91CD69124}"/>
    <hyperlink ref="G2104" r:id="rId1996" xr:uid="{F87BDE31-0DD5-4243-8EFF-D3569C04E2CC}"/>
    <hyperlink ref="D2103" r:id="rId1997" display="https://enzyme.expasy.org/EC/1.1.1.1" xr:uid="{7738AB93-2E25-C54E-878F-E0D1F7F6B328}"/>
    <hyperlink ref="F2103" r:id="rId1998" xr:uid="{00DAF2A3-35C0-8044-BF87-31B80A770B1C}"/>
    <hyperlink ref="G2103" r:id="rId1999" xr:uid="{550D9948-A42D-D743-8964-2DAFA2A57F1F}"/>
    <hyperlink ref="D2102" r:id="rId2000" display="https://enzyme.expasy.org/EC/1.1.1.1" xr:uid="{54A429E1-1B68-5946-8ADC-D212C5EF37F8}"/>
    <hyperlink ref="F2102" r:id="rId2001" xr:uid="{D9E857B0-FF69-AA4F-A2C7-7F23AACCD7AB}"/>
    <hyperlink ref="G2102" r:id="rId2002" xr:uid="{357410A3-8516-BD45-BE65-2CEA8F2A6D41}"/>
    <hyperlink ref="D2101" r:id="rId2003" display="https://enzyme.expasy.org/EC/1.1.1.1" xr:uid="{CE9013F3-5129-4E4E-BF2B-1CE16C3F6B0E}"/>
    <hyperlink ref="F2101" r:id="rId2004" xr:uid="{DEBAB23E-AF42-F147-9576-7C416C260B10}"/>
    <hyperlink ref="G2101" r:id="rId2005" xr:uid="{5393CFCF-84DF-E24B-AAF0-20DAF9526043}"/>
    <hyperlink ref="D2100" r:id="rId2006" display="https://enzyme.expasy.org/EC/1.1.1.1" xr:uid="{205F8EE3-D055-E14F-8D82-11696AE7CEE7}"/>
    <hyperlink ref="F2100" r:id="rId2007" xr:uid="{BD4F30A0-FA58-6947-8E3E-B465461D5259}"/>
    <hyperlink ref="G2100" r:id="rId2008" xr:uid="{7D3C4816-4642-4C43-9C8A-3C1C1C0A0AF9}"/>
    <hyperlink ref="D2099" r:id="rId2009" display="https://enzyme.expasy.org/EC/1.1.1.1" xr:uid="{5A1E68E6-ACE2-204E-B850-AB00BE323AA7}"/>
    <hyperlink ref="F2099" r:id="rId2010" xr:uid="{F5DF401E-5996-7145-81BB-1CFD93BC9B72}"/>
    <hyperlink ref="G2099" r:id="rId2011" xr:uid="{1AAE8167-6739-4C40-89EA-486396F230BA}"/>
    <hyperlink ref="D2098" r:id="rId2012" display="https://enzyme.expasy.org/EC/1.1.1.1" xr:uid="{438B9843-CEF3-C94B-A13A-5490D56A6D91}"/>
    <hyperlink ref="F2098" r:id="rId2013" xr:uid="{6D6AF81F-F57C-3849-A143-7E0AAE1D6809}"/>
    <hyperlink ref="G2098" r:id="rId2014" xr:uid="{B0679EB6-181E-8249-ADD0-47D8C348C86B}"/>
    <hyperlink ref="D2097" r:id="rId2015" display="https://enzyme.expasy.org/EC/1.1.1.1" xr:uid="{9AB5DBDD-01D4-7641-BE25-85BDF68A478F}"/>
    <hyperlink ref="F2097" r:id="rId2016" xr:uid="{02FEF8A2-EBBA-234F-95F4-FFF04438A25A}"/>
    <hyperlink ref="G2097" r:id="rId2017" xr:uid="{716A4159-3A92-164A-870B-2EBBA36C4537}"/>
    <hyperlink ref="D2096" r:id="rId2018" display="https://enzyme.expasy.org/EC/1.1.1.1" xr:uid="{08D9879D-14DA-A64E-B110-29F58A2D1236}"/>
    <hyperlink ref="F2096" r:id="rId2019" xr:uid="{1F5789A3-4866-BE49-ABC0-BBC23E934259}"/>
    <hyperlink ref="G2096" r:id="rId2020" xr:uid="{444FF72E-BF3E-4C40-9B43-CA71A9AA321A}"/>
    <hyperlink ref="D2095" r:id="rId2021" display="https://enzyme.expasy.org/EC/1.1.1.1" xr:uid="{69BB162E-46F1-BC47-A9DC-8E3D08EAECF9}"/>
    <hyperlink ref="F2095" r:id="rId2022" xr:uid="{B100EA89-7509-A54C-9566-71DC0BC2C55C}"/>
    <hyperlink ref="G2095" r:id="rId2023" xr:uid="{BD33A244-C4C5-194D-8C88-637E3E7F8A12}"/>
    <hyperlink ref="D2094" r:id="rId2024" display="https://enzyme.expasy.org/EC/1.1.1.1" xr:uid="{210BB373-C449-B548-A15F-C7BAC9883779}"/>
    <hyperlink ref="F2094" r:id="rId2025" xr:uid="{45A4E48C-0313-A843-B95B-A01502F1B3A1}"/>
    <hyperlink ref="G2094" r:id="rId2026" xr:uid="{B9CBB42C-BA53-E34F-8F7F-D1EB274AB626}"/>
    <hyperlink ref="D2093" r:id="rId2027" display="https://enzyme.expasy.org/EC/1.1.1.1" xr:uid="{8DF96D1C-8B61-E74E-8E93-D900609DEE21}"/>
    <hyperlink ref="F2093" r:id="rId2028" xr:uid="{4CFD3652-1DFA-364D-8166-294D9EC59B2E}"/>
    <hyperlink ref="G2093" r:id="rId2029" xr:uid="{8BBDD71F-9C79-B348-B3EF-056660EE4B2B}"/>
    <hyperlink ref="D2092" r:id="rId2030" display="https://enzyme.expasy.org/EC/1.1.1.1" xr:uid="{7DC67420-D13A-9847-BFDC-5383579CE81C}"/>
    <hyperlink ref="F2092" r:id="rId2031" xr:uid="{A6E95058-F2F8-3B43-A649-05381B735EAC}"/>
    <hyperlink ref="G2092" r:id="rId2032" xr:uid="{68505A82-5D71-4340-B6ED-C1A6F1742D53}"/>
    <hyperlink ref="D2091" r:id="rId2033" display="https://enzyme.expasy.org/EC/1.1.1.1" xr:uid="{987B1EAB-1AE0-7946-8076-ABC0C6D81EAD}"/>
    <hyperlink ref="F2091" r:id="rId2034" xr:uid="{F3D58D9F-A367-8B45-94FD-39DB94543AA9}"/>
    <hyperlink ref="G2091" r:id="rId2035" xr:uid="{7A770842-A11E-7048-9446-BC586E125894}"/>
    <hyperlink ref="D2090" r:id="rId2036" display="https://enzyme.expasy.org/EC/1.1.1.1" xr:uid="{D2D85DCC-555C-CB4A-8737-4DDAB6E4745E}"/>
    <hyperlink ref="F2090" r:id="rId2037" xr:uid="{CF34FA0D-4E09-5E47-A667-38866F03F4A3}"/>
    <hyperlink ref="G2090" r:id="rId2038" xr:uid="{E46A2F90-27FA-0A46-95AC-7E0FDD4F0E78}"/>
    <hyperlink ref="D2089" r:id="rId2039" display="https://enzyme.expasy.org/EC/1.1.1.1" xr:uid="{37C6CFF4-584E-524C-9A81-C3262F14ECD3}"/>
    <hyperlink ref="F2089" r:id="rId2040" xr:uid="{CA450ADE-A2BD-364C-89E1-EF4FB0D8947C}"/>
    <hyperlink ref="G2089" r:id="rId2041" xr:uid="{392A8841-88CF-1944-9499-4B246F0B8094}"/>
    <hyperlink ref="D2088" r:id="rId2042" display="https://enzyme.expasy.org/EC/1.1.1.1" xr:uid="{E6EC7DED-F0D1-5148-A990-96F777125C26}"/>
    <hyperlink ref="F2088" r:id="rId2043" xr:uid="{1D695B22-E499-A245-A430-54E029139CF0}"/>
    <hyperlink ref="G2088" r:id="rId2044" xr:uid="{45B7BF21-05F3-4744-8ACD-7CDEBDF13DB9}"/>
    <hyperlink ref="F2114" r:id="rId2045" xr:uid="{744CF144-2335-E548-ABBE-D5C3C2C9E462}"/>
    <hyperlink ref="G2114" r:id="rId2046" xr:uid="{7277CDCA-FEEF-544F-8677-66F857DBABCA}"/>
    <hyperlink ref="D2113" r:id="rId2047" display="https://enzyme.expasy.org/EC/3.5.4.16" xr:uid="{9D063EE4-87AB-B841-93F3-7A405006C17A}"/>
    <hyperlink ref="F2113" r:id="rId2048" xr:uid="{A691FCF4-3C93-A746-9005-CDA4E4BAEE18}"/>
    <hyperlink ref="G2113" r:id="rId2049" xr:uid="{6079E722-CEF1-1A49-8A2C-36C0B49997A3}"/>
    <hyperlink ref="D2112" r:id="rId2050" display="https://enzyme.expasy.org/EC/3.5.4.16" xr:uid="{6B717950-3F7E-524B-8DB9-61C6CDCBF4E4}"/>
    <hyperlink ref="F2112" r:id="rId2051" xr:uid="{002E899D-59EC-2F42-931B-F8EB1D44CBF6}"/>
    <hyperlink ref="G2112" r:id="rId2052" xr:uid="{DB5B45C2-DEB8-DE40-8116-C54A94F4B751}"/>
    <hyperlink ref="D2111" r:id="rId2053" display="https://enzyme.expasy.org/EC/3.5.4.16" xr:uid="{AA6D4CFC-B260-BE49-A677-C508165E54D4}"/>
    <hyperlink ref="F2111" r:id="rId2054" xr:uid="{7D91036F-DD54-934C-9FA1-3C73C46C5743}"/>
    <hyperlink ref="G2111" r:id="rId2055" xr:uid="{51E3EAEA-B5D7-324E-A17C-4CD48298BF45}"/>
    <hyperlink ref="D2110" r:id="rId2056" display="https://enzyme.expasy.org/EC/3.5.4.16" xr:uid="{25D5C12C-767E-1049-9BFA-DBFF50543EC6}"/>
    <hyperlink ref="F2110" r:id="rId2057" xr:uid="{4D1CDA3C-114E-274C-A5D0-2EBA2874E0AB}"/>
    <hyperlink ref="G2110" r:id="rId2058" xr:uid="{5D12EB5C-9FB3-C948-B7B4-B49F6B442340}"/>
    <hyperlink ref="F2618" r:id="rId2059" xr:uid="{AE8B3F4C-ED02-B14D-B2C7-61DDC4C16A13}"/>
    <hyperlink ref="G2618" r:id="rId2060" xr:uid="{13585618-8BC2-004F-9FB9-405D86388852}"/>
    <hyperlink ref="D2617" r:id="rId2061" display="https://enzyme.expasy.org/EC/3.5.4.16" xr:uid="{C31E459D-D3F7-D441-A36D-4C22ABD901E2}"/>
    <hyperlink ref="F2617" r:id="rId2062" xr:uid="{D35077E3-FA12-4B46-A5A1-0E69B03A43EC}"/>
    <hyperlink ref="G2617" r:id="rId2063" xr:uid="{770F4D04-FD98-E649-8C67-FB1167B09DD3}"/>
    <hyperlink ref="D2616" r:id="rId2064" display="https://enzyme.expasy.org/EC/3.5.4.16" xr:uid="{09AB30E8-5EBD-764A-A366-6C2DBA4CCBA9}"/>
    <hyperlink ref="F2616" r:id="rId2065" xr:uid="{96C877FC-5D3E-6C47-AC65-093C08BEB04E}"/>
    <hyperlink ref="G2616" r:id="rId2066" xr:uid="{52457EDF-26E4-D148-A132-EAA9569D0003}"/>
    <hyperlink ref="D2615" r:id="rId2067" display="https://enzyme.expasy.org/EC/3.5.4.16" xr:uid="{5E9A38EA-0325-A44E-B791-D1DF90CF1E94}"/>
    <hyperlink ref="F2615" r:id="rId2068" xr:uid="{6C62FD97-1102-A047-9727-1433BCFB2668}"/>
    <hyperlink ref="G2615" r:id="rId2069" xr:uid="{4C584DF4-400A-774B-9DEC-E21018587F39}"/>
    <hyperlink ref="D2614" r:id="rId2070" display="https://enzyme.expasy.org/EC/3.5.4.16" xr:uid="{FA6EC5C3-9731-5A42-A33B-91821B7D3EF7}"/>
    <hyperlink ref="F2614" r:id="rId2071" xr:uid="{AC6667A6-69A6-4041-8E63-BA5B2C35BC5F}"/>
    <hyperlink ref="G2614" r:id="rId2072" xr:uid="{2845368C-C218-5D4D-8B3C-CA34369E9529}"/>
    <hyperlink ref="F2121" r:id="rId2073" xr:uid="{9B7DEF68-45FA-3348-A5BA-02486DA1EFC4}"/>
    <hyperlink ref="G2121" r:id="rId2074" xr:uid="{F5174B89-EBB2-C54D-9AFB-BA7C9FEC079E}"/>
    <hyperlink ref="D2120" r:id="rId2075" display="https://enzyme.expasy.org/EC/1.2.4.1" xr:uid="{EAC34DC0-E71D-C841-8D32-48BAD0EBF2A2}"/>
    <hyperlink ref="F2120" r:id="rId2076" xr:uid="{B9477A1F-AB2C-254E-A356-2DF2E8F58839}"/>
    <hyperlink ref="G2120" r:id="rId2077" xr:uid="{BF7A0F22-7C01-814E-BB21-E3C201BDCFFA}"/>
    <hyperlink ref="D2119" r:id="rId2078" display="https://enzyme.expasy.org/EC/1.2.4.1" xr:uid="{908D4CD4-70BB-8E4B-B43A-CACB51ED349B}"/>
    <hyperlink ref="F2119" r:id="rId2079" xr:uid="{FB5E072C-217B-7E4F-8326-D0C6F2C83A0A}"/>
    <hyperlink ref="G2119" r:id="rId2080" xr:uid="{2318BD12-D139-764A-94F1-2CA53D58D6DF}"/>
    <hyperlink ref="F2137" r:id="rId2081" xr:uid="{85ED2A2A-B0BA-C047-A4F7-B900821CAE01}"/>
    <hyperlink ref="G2137" r:id="rId2082" xr:uid="{649387F6-9B9F-3E47-B02E-D7E2ED43B8E5}"/>
    <hyperlink ref="D2136" r:id="rId2083" display="https://enzyme.expasy.org/EC/3.1.3.5" xr:uid="{11837454-7C51-634F-8E7A-C52980061FCF}"/>
    <hyperlink ref="F2136" r:id="rId2084" xr:uid="{4FE04D68-EECA-414F-A7A7-8C9BA0C9B6C7}"/>
    <hyperlink ref="G2136" r:id="rId2085" xr:uid="{B722C5A0-67A7-E541-AEDA-D7751EBB9078}"/>
    <hyperlink ref="D2135" r:id="rId2086" display="https://enzyme.expasy.org/EC/3.1.3.5" xr:uid="{45696DDE-29A4-3B42-A3AC-E4D77EB045AB}"/>
    <hyperlink ref="F2135" r:id="rId2087" xr:uid="{D8140A59-9D80-5B46-BB28-917FF381BAC8}"/>
    <hyperlink ref="G2135" r:id="rId2088" xr:uid="{FB8E7F96-F14D-4543-BFE0-D1B4A7DFD24A}"/>
    <hyperlink ref="D2134" r:id="rId2089" display="https://enzyme.expasy.org/EC/3.1.3.5" xr:uid="{608C225F-6699-364C-9305-5AEC9BC917FC}"/>
    <hyperlink ref="F2134" r:id="rId2090" xr:uid="{821569B5-DF5A-0042-A8F3-FFFA2658ADEB}"/>
    <hyperlink ref="G2134" r:id="rId2091" xr:uid="{7123C5BB-2679-8349-87E5-60448680AB59}"/>
    <hyperlink ref="D2133" r:id="rId2092" display="https://enzyme.expasy.org/EC/3.1.3.5" xr:uid="{5F7A76E5-C23A-104B-9702-FA7912C808B6}"/>
    <hyperlink ref="F2133" r:id="rId2093" xr:uid="{D732D014-84FD-AB46-8C88-DC1B7797807C}"/>
    <hyperlink ref="G2133" r:id="rId2094" xr:uid="{EE3CCA9C-95CA-4C47-A25A-CC7C69BE963B}"/>
    <hyperlink ref="D2132" r:id="rId2095" display="https://enzyme.expasy.org/EC/3.1.3.5" xr:uid="{920ED840-AF1D-D14D-8363-7F0142176FD6}"/>
    <hyperlink ref="F2132" r:id="rId2096" xr:uid="{10C1CBA5-2172-F94D-9B92-408C7DF5C68C}"/>
    <hyperlink ref="G2132" r:id="rId2097" xr:uid="{45713DDE-997A-D14D-8CA4-66EFB4C5283E}"/>
    <hyperlink ref="D2131" r:id="rId2098" display="https://enzyme.expasy.org/EC/3.1.3.5" xr:uid="{17878F43-0F1E-4B4E-8C3D-36FC96A1519A}"/>
    <hyperlink ref="F2131" r:id="rId2099" xr:uid="{7F939C13-1F19-874D-9C05-6B47F73E60E0}"/>
    <hyperlink ref="G2131" r:id="rId2100" xr:uid="{18E5C929-C36B-B54A-BECD-53F4A7BD6A9C}"/>
    <hyperlink ref="D2130" r:id="rId2101" display="https://enzyme.expasy.org/EC/3.1.3.5" xr:uid="{126DDEC8-2D75-124D-B60C-5422EA94B687}"/>
    <hyperlink ref="F2130" r:id="rId2102" xr:uid="{1ECD290C-B889-2F45-BED1-E4874C0B412E}"/>
    <hyperlink ref="G2130" r:id="rId2103" xr:uid="{D7A62945-C8A7-CC48-BEEC-A403C562B4F4}"/>
    <hyperlink ref="D2129" r:id="rId2104" display="https://enzyme.expasy.org/EC/3.1.3.5" xr:uid="{B3EB7F23-E2D4-F847-9803-AF99AF5087B9}"/>
    <hyperlink ref="F2129" r:id="rId2105" xr:uid="{A8CD7C67-5E17-8D48-8CF0-42163A815A48}"/>
    <hyperlink ref="G2129" r:id="rId2106" xr:uid="{6F8CECA5-E125-5444-9635-839980763F23}"/>
    <hyperlink ref="D2128" r:id="rId2107" display="https://enzyme.expasy.org/EC/3.1.3.5" xr:uid="{0A422043-3A16-F641-9B0B-D2592D531EC2}"/>
    <hyperlink ref="F2128" r:id="rId2108" xr:uid="{0C730691-CD71-1147-A4D9-74CBA752DD13}"/>
    <hyperlink ref="G2128" r:id="rId2109" xr:uid="{4364A217-DC4D-CB49-868F-FED840AB3821}"/>
    <hyperlink ref="D2127" r:id="rId2110" display="https://enzyme.expasy.org/EC/3.1.3.5" xr:uid="{C74FA786-E1E5-5B4C-B565-F2D4E4D702DD}"/>
    <hyperlink ref="F2127" r:id="rId2111" xr:uid="{BE54BAF2-B37B-2642-BEBB-8012FE7D4FAA}"/>
    <hyperlink ref="G2127" r:id="rId2112" xr:uid="{41BE7EC5-C8C5-894B-911D-3B95C72676A5}"/>
    <hyperlink ref="D2126" r:id="rId2113" display="https://enzyme.expasy.org/EC/3.1.3.5" xr:uid="{B86F6CEF-FFB7-5846-85B4-02155C3F3010}"/>
    <hyperlink ref="F2126" r:id="rId2114" xr:uid="{0677A651-BE2A-744F-AB8B-5F7C3B3B3122}"/>
    <hyperlink ref="G2126" r:id="rId2115" xr:uid="{20049978-502A-EB4A-B1AB-0ECAFD297F3B}"/>
    <hyperlink ref="D2125" r:id="rId2116" display="https://enzyme.expasy.org/EC/3.1.3.5" xr:uid="{9F2C55C5-80D3-F347-98BF-FB64F7644291}"/>
    <hyperlink ref="F2125" r:id="rId2117" xr:uid="{9E697B5D-7649-5B4F-B74E-EDE6774938AE}"/>
    <hyperlink ref="G2125" r:id="rId2118" xr:uid="{1A9990CA-E81A-174D-8FE9-E343436B3FA4}"/>
    <hyperlink ref="D2124" r:id="rId2119" display="https://enzyme.expasy.org/EC/3.1.3.5" xr:uid="{83512412-80D5-3645-A948-1E388A22F687}"/>
    <hyperlink ref="F2124" r:id="rId2120" xr:uid="{91392F9A-A6B0-0442-90D0-9DAE5E740CCB}"/>
    <hyperlink ref="G2124" r:id="rId2121" xr:uid="{011D2B07-911B-B149-BE34-C07DDDACFE35}"/>
    <hyperlink ref="D2123" r:id="rId2122" display="https://enzyme.expasy.org/EC/3.1.3.5" xr:uid="{54F51460-5EE8-B045-AE49-8408EDCF16C0}"/>
    <hyperlink ref="F2123" r:id="rId2123" xr:uid="{42149DE9-BB66-6D4E-BC97-55766570426A}"/>
    <hyperlink ref="G2123" r:id="rId2124" xr:uid="{3CAD96E9-9C65-AB47-ABDB-89CBD7AB366F}"/>
    <hyperlink ref="F2161" r:id="rId2125" xr:uid="{7D3FB619-3EAD-884E-88CB-95B5EFC6B54B}"/>
    <hyperlink ref="G2161" r:id="rId2126" xr:uid="{384330C7-0D2B-B944-BB39-A89CED120183}"/>
    <hyperlink ref="D2160" r:id="rId2127" display="https://enzyme.expasy.org/EC/2.3.1.47" xr:uid="{73F1254C-6FF1-D147-B24E-19A12C331FE2}"/>
    <hyperlink ref="F2160" r:id="rId2128" xr:uid="{A48CC32F-8B49-CE4D-BCF4-8A29C63052DB}"/>
    <hyperlink ref="G2160" r:id="rId2129" xr:uid="{E76B177E-7A37-1844-B6CA-DD5DE48C07CB}"/>
    <hyperlink ref="F2162" r:id="rId2130" xr:uid="{12BF4723-145B-B749-835E-62DD60788F8F}"/>
    <hyperlink ref="G2162" r:id="rId2131" xr:uid="{C0B0F436-F507-F84B-97B8-FAE0EEEED426}"/>
    <hyperlink ref="F2168" r:id="rId2132" xr:uid="{F883CC4D-FA66-5743-A04E-5540089E0AC8}"/>
    <hyperlink ref="G2168" r:id="rId2133" xr:uid="{C25B4EBD-0F82-0047-87CC-3EAA4F855BAB}"/>
    <hyperlink ref="F2751" r:id="rId2134" xr:uid="{A593FABC-D0C1-6E4F-9FB9-A3B200697F46}"/>
    <hyperlink ref="G2751" r:id="rId2135" xr:uid="{DDE18009-6371-8F49-85B7-7DEE105ED5CF}"/>
    <hyperlink ref="F2178" r:id="rId2136" xr:uid="{59736790-D1EA-F14C-8E93-DE1328049C4C}"/>
    <hyperlink ref="F2180" r:id="rId2137" xr:uid="{5F147017-DD07-3C44-8E95-E03D6D924B95}"/>
    <hyperlink ref="G2178" r:id="rId2138" xr:uid="{2A7AF790-F058-244B-86DF-DC47E80B26A0}"/>
    <hyperlink ref="G2180" r:id="rId2139" xr:uid="{DABB8A74-9521-AA4F-A9E3-754D46CB31FD}"/>
    <hyperlink ref="D2177" r:id="rId2140" display="https://enzyme.expasy.org/EC/2.8.3.5" xr:uid="{029C5DE3-A6FE-6E4B-BAF7-BCB30961F6A0}"/>
    <hyperlink ref="F2177" r:id="rId2141" xr:uid="{10F9C2F6-427B-454D-B9DB-7E13E7460D86}"/>
    <hyperlink ref="G2177" r:id="rId2142" xr:uid="{F7A64199-6C19-F341-A21C-3C785897FA83}"/>
    <hyperlink ref="D2179" r:id="rId2143" display="https://enzyme.expasy.org/EC/2.8.3.5" xr:uid="{1697C9D7-2516-6841-8B6D-E3895B615DFC}"/>
    <hyperlink ref="F2179" r:id="rId2144" xr:uid="{C79DAE21-9211-DC4B-8AEE-4863514971D9}"/>
    <hyperlink ref="G2179" r:id="rId2145" xr:uid="{B709572B-9AE2-6B48-AA4C-CAD8CE375222}"/>
    <hyperlink ref="F2184" r:id="rId2146" xr:uid="{B353D463-91B2-8E47-A4DC-0186F6AC86BC}"/>
    <hyperlink ref="G2184" r:id="rId2147" xr:uid="{4A7F83D0-ADA2-8948-AD5A-49DC3F285F1B}"/>
    <hyperlink ref="D2183" r:id="rId2148" display="https://enzyme.expasy.org/EC/2.3.1.9" xr:uid="{378DDEB0-AA04-1C4F-BDB2-EE320392F1D9}"/>
    <hyperlink ref="F2183" r:id="rId2149" xr:uid="{E9A30082-3FE9-3D40-8701-A96D16BA71C5}"/>
    <hyperlink ref="G2183" r:id="rId2150" xr:uid="{F75934C7-721A-954D-9B9B-0F1D3AB6D884}"/>
    <hyperlink ref="D2182" r:id="rId2151" display="https://enzyme.expasy.org/EC/2.3.1.9" xr:uid="{FD3986DA-7496-394B-8AE3-18F4BCB34AF2}"/>
    <hyperlink ref="F2182" r:id="rId2152" xr:uid="{5AEA18D8-1C06-5244-8056-950892160DD0}"/>
    <hyperlink ref="G2182" r:id="rId2153" xr:uid="{D113EA26-792A-3F4B-9385-C70BCA11D420}"/>
    <hyperlink ref="F2188" r:id="rId2154" xr:uid="{CC11D319-61E1-784F-A9A8-892C1E513B63}"/>
    <hyperlink ref="F2190" r:id="rId2155" xr:uid="{11906ADC-EB9E-4148-AF9E-487307ECEE63}"/>
    <hyperlink ref="G2190" r:id="rId2156" xr:uid="{F41ADE0A-823F-4742-B265-4A838FE8A0B0}"/>
    <hyperlink ref="F2195" r:id="rId2157" xr:uid="{181121AD-ABB5-9244-9EEF-E9606B956593}"/>
    <hyperlink ref="G2195" r:id="rId2158" xr:uid="{1D19FA7A-3512-694B-A778-CEEA9FD34E67}"/>
    <hyperlink ref="F2198" r:id="rId2159" xr:uid="{F31CCD2F-76AE-8949-B4B2-514BB75FB238}"/>
    <hyperlink ref="G2198" r:id="rId2160" xr:uid="{FFF44782-0AEA-7B4D-B3E3-8DF928D9C908}"/>
    <hyperlink ref="F2656" r:id="rId2161" xr:uid="{0189FD6C-28D1-734C-8EAA-8B31A316D159}"/>
    <hyperlink ref="G2656" r:id="rId2162" xr:uid="{40157465-7457-E443-9C77-6A76B057550B}"/>
    <hyperlink ref="D2655" r:id="rId2163" display="https://enzyme.expasy.org/EC/3.5.1.88" xr:uid="{50047D9B-DE1E-E946-A844-C93B8F4262C1}"/>
    <hyperlink ref="F2655" r:id="rId2164" xr:uid="{4235C211-507D-B34A-B4A1-A7A242DD85DB}"/>
    <hyperlink ref="G2655" r:id="rId2165" xr:uid="{EAAEABD8-BC90-7647-B233-E9F8CC72F761}"/>
    <hyperlink ref="G2658" r:id="rId2166" xr:uid="{320E6F06-3DF7-694F-A602-56E05D5C14C6}"/>
    <hyperlink ref="D2657" r:id="rId2167" display="https://enzyme.expasy.org/EC/2.3.1.183" xr:uid="{B7B95F38-BF7F-7C4A-8347-E0A507E17F3D}"/>
    <hyperlink ref="G2657" r:id="rId2168" xr:uid="{FD386C30-E26B-3F44-BDDC-9282B167F32F}"/>
    <hyperlink ref="F2669" r:id="rId2169" xr:uid="{B5F9F007-29FC-E245-90D2-19AEF62299E6}"/>
    <hyperlink ref="G2669" r:id="rId2170" xr:uid="{BBF7FD36-9219-6B40-8073-077792FD0C86}"/>
    <hyperlink ref="D2668" r:id="rId2171" display="https://enzyme.expasy.org/EC/2.7.2.1" xr:uid="{21134D49-1DF3-F646-93A6-C8EEA7527E6A}"/>
    <hyperlink ref="F2668" r:id="rId2172" xr:uid="{BC7AA77C-ACD9-2440-9B77-6115B21B7345}"/>
    <hyperlink ref="G2668" r:id="rId2173" xr:uid="{98B36FEA-699F-0B45-9878-FC30FBEEFEBC}"/>
    <hyperlink ref="F2671" r:id="rId2174" xr:uid="{51B69301-A0D9-564D-B27A-200498833E6C}"/>
    <hyperlink ref="G2671" r:id="rId2175" xr:uid="{3B86391C-E4F8-714B-85AF-F8FB717C59E7}"/>
    <hyperlink ref="D2670" r:id="rId2176" display="https://enzyme.expasy.org/EC/2.3.1.8" xr:uid="{6F4966E3-30B5-C041-ABE5-67CB53214FC1}"/>
    <hyperlink ref="F2670" r:id="rId2177" xr:uid="{8224F877-FBCC-6745-B9B6-B5533D7F7864}"/>
    <hyperlink ref="G2670" r:id="rId2178" xr:uid="{DC77DACA-F3D8-B641-8850-E41E2764F415}"/>
    <hyperlink ref="F801" r:id="rId2179" xr:uid="{A10B4D86-E46C-984B-8389-24051252C2E4}"/>
    <hyperlink ref="G801" r:id="rId2180" xr:uid="{797A4D5E-BAEF-7B4B-8F43-E5501BF42B85}"/>
    <hyperlink ref="D800" r:id="rId2181" display="https://enzyme.expasy.org/EC/1.18.1.2" xr:uid="{650397E5-36B0-1743-A172-86E97C8DDFBD}"/>
    <hyperlink ref="F800" r:id="rId2182" xr:uid="{FFC0F7C1-DFC1-1145-8B10-3672386548B3}"/>
    <hyperlink ref="G800" r:id="rId2183" xr:uid="{841C642B-778B-0D4A-B4F7-FA4CDD52DE3B}"/>
    <hyperlink ref="F2673" r:id="rId2184" xr:uid="{CFBEDAC3-4224-6142-ADCE-629D90E20909}"/>
    <hyperlink ref="D2672" r:id="rId2185" display="https://enzyme.expasy.org/EC/1.18.1.2" xr:uid="{FAD715E2-41FE-8A45-A9F9-D9BAE83A1F13}"/>
    <hyperlink ref="F2672" r:id="rId2186" xr:uid="{9DEC9CC6-DCF3-7A47-9EA8-8864EFFD3BA7}"/>
    <hyperlink ref="F2678" r:id="rId2187" xr:uid="{40149076-B4B8-FA4E-813E-CF36147981CD}"/>
    <hyperlink ref="G2678" r:id="rId2188" xr:uid="{59258203-9FFC-3146-8629-A0762666CA3F}"/>
    <hyperlink ref="F2202" r:id="rId2189" xr:uid="{AB8112CC-F847-554C-B714-034BD6537A80}"/>
    <hyperlink ref="G2202" r:id="rId2190" xr:uid="{444B2C6F-F03A-984A-9EDA-15FC14A4FB3F}"/>
    <hyperlink ref="F2205" r:id="rId2191" xr:uid="{7C3ACAE9-B357-3546-8282-F7662B19CC94}"/>
    <hyperlink ref="G2205" r:id="rId2192" xr:uid="{AB407605-7424-8548-A263-52279598FDF6}"/>
    <hyperlink ref="D2204" r:id="rId2193" display="https://enzyme.expasy.org/EC/2.7.1.35" xr:uid="{C7E7A97B-D6DC-1345-A422-AAED2E67A051}"/>
    <hyperlink ref="F2204" r:id="rId2194" xr:uid="{C6FFA108-3AFF-8947-9C6D-FE81ABB32872}"/>
    <hyperlink ref="G2204" r:id="rId2195" xr:uid="{F256CC82-9BDB-5640-9714-BEB70AA741FB}"/>
    <hyperlink ref="D2203" r:id="rId2196" display="https://enzyme.expasy.org/EC/2.7.1.35" xr:uid="{6691C7A2-0790-EA49-AF5A-6113C9B9E760}"/>
    <hyperlink ref="F2203" r:id="rId2197" xr:uid="{57B4EF0E-A409-394C-8384-8DB41609C5BE}"/>
    <hyperlink ref="G2203" r:id="rId2198" xr:uid="{C52842F1-60B3-2D48-A308-B10684CAF02B}"/>
    <hyperlink ref="F2208" r:id="rId2199" xr:uid="{649463F9-7594-C940-890A-2570339E09A5}"/>
    <hyperlink ref="F2211" r:id="rId2200" xr:uid="{E2777223-2EA7-FC4F-97F9-413B2ED9E1FD}"/>
    <hyperlink ref="G2211" r:id="rId2201" xr:uid="{D8B05336-6C96-5744-A728-D92623495934}"/>
    <hyperlink ref="F2230" r:id="rId2202" xr:uid="{925FD5BC-1068-0F4F-93D4-96C4CB1FE575}"/>
    <hyperlink ref="G2230" r:id="rId2203" xr:uid="{3E05CF07-A448-0D4F-81C1-E4E28A876618}"/>
    <hyperlink ref="D692" r:id="rId2204" display="https://enzyme.expasy.org/EC/3.1.1.1" xr:uid="{0F090974-B2E3-7840-9413-28A34195FFEF}"/>
    <hyperlink ref="F692" r:id="rId2205" xr:uid="{5A128A71-88C7-234F-8E62-AD2DF10A24BA}"/>
    <hyperlink ref="G692" r:id="rId2206" xr:uid="{603012EB-30A5-3245-8ADD-82C460D1BF93}"/>
    <hyperlink ref="D691" r:id="rId2207" display="https://enzyme.expasy.org/EC/3.1.1.1" xr:uid="{B8C52DD2-EC63-864C-AB69-B52E51FC881A}"/>
    <hyperlink ref="F691" r:id="rId2208" xr:uid="{5DF376D3-AD4B-D14D-B96D-856BB3144F93}"/>
    <hyperlink ref="G691" r:id="rId2209" xr:uid="{51470191-B0E0-DA4A-9A0E-2A54BEB9FA54}"/>
    <hyperlink ref="D690" r:id="rId2210" display="https://enzyme.expasy.org/EC/3.1.1.1" xr:uid="{BDC480E9-B9E0-524F-BD25-A0E28F451509}"/>
    <hyperlink ref="F690" r:id="rId2211" xr:uid="{19EB2BC0-C6DD-434E-A50A-AC93E1D76472}"/>
    <hyperlink ref="G690" r:id="rId2212" xr:uid="{DC3C2A55-DD21-6F46-88EC-362EFB872AB3}"/>
    <hyperlink ref="D689" r:id="rId2213" display="https://enzyme.expasy.org/EC/3.1.1.1" xr:uid="{CA48876D-8D0A-4A4A-847E-68C2916B139A}"/>
    <hyperlink ref="F689" r:id="rId2214" xr:uid="{A505D8E9-0006-A244-8128-CD5A833E2A1E}"/>
    <hyperlink ref="G689" r:id="rId2215" xr:uid="{BE348546-153F-2845-B81C-4AA9B692608C}"/>
    <hyperlink ref="D688" r:id="rId2216" display="https://enzyme.expasy.org/EC/3.1.1.1" xr:uid="{81514CB0-484B-D144-80C6-A3D8081FB3F2}"/>
    <hyperlink ref="F688" r:id="rId2217" xr:uid="{04AB043E-9D7A-724B-94C3-BEA5AE311D82}"/>
    <hyperlink ref="G688" r:id="rId2218" xr:uid="{A9C5501A-7975-1842-9408-ED749DE99E48}"/>
    <hyperlink ref="D687" r:id="rId2219" display="https://enzyme.expasy.org/EC/3.1.1.1" xr:uid="{22CAF820-D927-AF47-9CEA-965FC7772649}"/>
    <hyperlink ref="F687" r:id="rId2220" xr:uid="{EA410880-D254-2643-81D4-CE9AEB87EA90}"/>
    <hyperlink ref="G687" r:id="rId2221" xr:uid="{F81F8DAD-DED1-2C4F-9945-621E5EE25AF5}"/>
    <hyperlink ref="D686" r:id="rId2222" display="https://enzyme.expasy.org/EC/3.1.1.1" xr:uid="{8A91D551-CE1E-E14C-BA2F-0D4830965BF9}"/>
    <hyperlink ref="F686" r:id="rId2223" xr:uid="{447028DA-8D62-264B-BFCB-17BD861D6DBB}"/>
    <hyperlink ref="G686" r:id="rId2224" xr:uid="{341F429A-631E-6E40-A40D-BE3F9937D4E9}"/>
    <hyperlink ref="D685" r:id="rId2225" display="https://enzyme.expasy.org/EC/3.1.1.1" xr:uid="{1EC03BA9-E6BE-8341-BEB8-4DC15B60CBA1}"/>
    <hyperlink ref="F685" r:id="rId2226" xr:uid="{E5CDEE4B-B816-7D47-BDC8-FCD924785110}"/>
    <hyperlink ref="G685" r:id="rId2227" xr:uid="{64E8B086-62D1-AC42-8F35-A5F1E1F8C017}"/>
    <hyperlink ref="D2228" r:id="rId2228" display="https://enzyme.expasy.org/EC/3.1.1.1" xr:uid="{B5101D36-006B-244C-B5A8-72CA53ED8783}"/>
    <hyperlink ref="F2228" r:id="rId2229" xr:uid="{827717B7-B2F1-EE43-9110-B97ED9FA7F6B}"/>
    <hyperlink ref="G2228" r:id="rId2230" xr:uid="{37210DA6-699C-9046-90FF-6C10341F3C35}"/>
    <hyperlink ref="D2227" r:id="rId2231" display="https://enzyme.expasy.org/EC/3.1.1.1" xr:uid="{1541BEE4-7381-E343-B83F-9EAF957FAF2F}"/>
    <hyperlink ref="F2227" r:id="rId2232" xr:uid="{8273FDE0-F511-A547-9944-51860FD6FB47}"/>
    <hyperlink ref="G2227" r:id="rId2233" xr:uid="{6DCC4F56-59D4-9C46-BC26-FE193EDDEDAD}"/>
    <hyperlink ref="D2226" r:id="rId2234" display="https://enzyme.expasy.org/EC/3.1.1.1" xr:uid="{BB99DED3-DFE1-6348-80E7-18FC476E971A}"/>
    <hyperlink ref="F2226" r:id="rId2235" xr:uid="{2965EDE3-1FE9-2A48-AECC-5F2288D801C4}"/>
    <hyperlink ref="G2226" r:id="rId2236" xr:uid="{D127C268-0D65-4B4F-9F5C-05BC0BE76690}"/>
    <hyperlink ref="D2225" r:id="rId2237" display="https://enzyme.expasy.org/EC/3.1.1.1" xr:uid="{5F4B4D21-800F-7541-895E-A1485A3E22BA}"/>
    <hyperlink ref="F2225" r:id="rId2238" xr:uid="{C255FEE0-4DAE-D545-9C34-411F440A6D2E}"/>
    <hyperlink ref="G2225" r:id="rId2239" xr:uid="{07931450-2E84-2343-977D-C60E0AB81D66}"/>
    <hyperlink ref="D2224" r:id="rId2240" display="https://enzyme.expasy.org/EC/3.1.1.1" xr:uid="{CB7C893D-8FC5-6C41-BC66-255E7D7AB4A6}"/>
    <hyperlink ref="F2224" r:id="rId2241" xr:uid="{BC93A028-1BAA-F64F-9E46-3C61D0F04634}"/>
    <hyperlink ref="G2224" r:id="rId2242" xr:uid="{DA10F507-3560-354A-9350-8C5F20C23BA7}"/>
    <hyperlink ref="D2223" r:id="rId2243" display="https://enzyme.expasy.org/EC/3.1.1.1" xr:uid="{BA3B80DB-7BBD-604D-BD8D-1A85BA6735BD}"/>
    <hyperlink ref="F2223" r:id="rId2244" xr:uid="{4A44BAA9-D58C-9D46-9289-41B0CDB22615}"/>
    <hyperlink ref="G2223" r:id="rId2245" xr:uid="{7B82781F-1893-C746-8B22-B29ED1E7ED07}"/>
    <hyperlink ref="D2222" r:id="rId2246" display="https://enzyme.expasy.org/EC/3.1.1.1" xr:uid="{BA94610B-13F7-A943-8CB7-249C0DD37771}"/>
    <hyperlink ref="F2222" r:id="rId2247" xr:uid="{4DF90D66-36B2-4A45-9E9E-64613041D960}"/>
    <hyperlink ref="G2222" r:id="rId2248" xr:uid="{57CE965E-7DCC-8740-803E-B4AB7F7377A9}"/>
    <hyperlink ref="D2221" r:id="rId2249" display="https://enzyme.expasy.org/EC/3.1.1.1" xr:uid="{065ECE83-A66B-134F-AA27-53E475DA3AD1}"/>
    <hyperlink ref="F2221" r:id="rId2250" xr:uid="{5EA1F9C1-166F-1F48-9D8B-0183A71EE17B}"/>
    <hyperlink ref="G2221" r:id="rId2251" xr:uid="{DDEE6C20-56E4-B442-9E70-A0C9D4E71DFE}"/>
    <hyperlink ref="F2240" r:id="rId2252" xr:uid="{5FA40AAD-537B-A640-B2BB-B3853535FFAA}"/>
    <hyperlink ref="D2239" r:id="rId2253" display="https://enzyme.expasy.org/EC/4.4.1.8" xr:uid="{F19EE47B-058C-4D4C-BE6C-0626420D8AA8}"/>
    <hyperlink ref="F2239" r:id="rId2254" xr:uid="{B0DBE218-6C38-2A4B-960C-B5C13A85C682}"/>
    <hyperlink ref="D2238" r:id="rId2255" display="https://enzyme.expasy.org/EC/4.4.1.8" xr:uid="{FDA934AD-592D-A14F-AEDC-9FF4667198AF}"/>
    <hyperlink ref="F2238" r:id="rId2256" xr:uid="{8E44759F-94C7-9249-B0C0-6A67273E4EF7}"/>
    <hyperlink ref="D2237" r:id="rId2257" display="https://enzyme.expasy.org/EC/4.4.1.8" xr:uid="{08DD79F4-340A-3444-83E3-3E2DD605ABA4}"/>
    <hyperlink ref="F2237" r:id="rId2258" xr:uid="{9101320A-ECB4-DB4A-A0FA-7E3E459303CD}"/>
    <hyperlink ref="D2236" r:id="rId2259" display="https://enzyme.expasy.org/EC/4.4.1.8" xr:uid="{4F5088EC-D74C-C643-8ADD-8FBEB933FAD2}"/>
    <hyperlink ref="F2236" r:id="rId2260" xr:uid="{1A3BD007-DAED-F74E-86C2-D01BCEEA3148}"/>
    <hyperlink ref="D2235" r:id="rId2261" display="https://enzyme.expasy.org/EC/4.4.1.8" xr:uid="{81F44448-ADAF-6042-9942-4EE5D22A1CB5}"/>
    <hyperlink ref="F2235" r:id="rId2262" xr:uid="{47031BED-4E38-3148-847D-25E775CB3511}"/>
    <hyperlink ref="D2234" r:id="rId2263" display="https://enzyme.expasy.org/EC/4.4.1.8" xr:uid="{835D0777-6A53-8A4E-8135-BF137DCB597D}"/>
    <hyperlink ref="F2234" r:id="rId2264" xr:uid="{F16C3DE8-D160-6145-AB74-354AEFF1EC93}"/>
    <hyperlink ref="D2233" r:id="rId2265" display="https://enzyme.expasy.org/EC/4.4.1.8" xr:uid="{7209CAE8-7D6C-3749-B305-276CDFE4A4AC}"/>
    <hyperlink ref="F2233" r:id="rId2266" xr:uid="{E859EA48-D64D-0E4D-9458-764A78F1DB87}"/>
    <hyperlink ref="G2233" r:id="rId2267" xr:uid="{F1A0F350-01DB-7641-B58F-66A1E0B58E97}"/>
    <hyperlink ref="G2234" r:id="rId2268" xr:uid="{3474DDFE-D441-5844-8DFE-FE49D6340236}"/>
    <hyperlink ref="G2235" r:id="rId2269" xr:uid="{0333E6AC-B7BB-F140-8AFF-4EA17A27D2D3}"/>
    <hyperlink ref="G2236" r:id="rId2270" xr:uid="{21D3F495-7031-6041-A0E4-504F145B1B18}"/>
    <hyperlink ref="G2237" r:id="rId2271" xr:uid="{CF8D964F-48F2-7B4F-A704-B2925EF21B30}"/>
    <hyperlink ref="G2238" r:id="rId2272" xr:uid="{7F6FAE9F-7316-E043-B4FA-C302BC6BD2B1}"/>
    <hyperlink ref="G2239" r:id="rId2273" xr:uid="{363339F6-02F2-AC4F-B501-E5874CFF0638}"/>
    <hyperlink ref="G2240" r:id="rId2274" xr:uid="{C7F57A36-E0CE-2D48-A4C5-6E9911349B55}"/>
    <hyperlink ref="F2245" r:id="rId2275" xr:uid="{587FA13A-3CCF-D74F-8996-DDF09EA11FDB}"/>
    <hyperlink ref="G2245" r:id="rId2276" xr:uid="{FFE6385B-DF7F-2F43-AA76-C654078B4A2E}"/>
    <hyperlink ref="D2244" r:id="rId2277" display="https://enzyme.expasy.org/EC/1.14.13.107" xr:uid="{702DA6AC-131F-E14B-9FC9-5FC59F5CDF52}"/>
    <hyperlink ref="F2244" r:id="rId2278" xr:uid="{87AB4EB4-7EDF-AA42-945B-C09AE3695CA8}"/>
    <hyperlink ref="G2244" r:id="rId2279" xr:uid="{98D0D067-5AC7-4F4A-83E7-167E5458F462}"/>
    <hyperlink ref="D2243" r:id="rId2280" display="https://enzyme.expasy.org/EC/1.14.13.107" xr:uid="{D9FB3693-0CD1-4F49-9849-115BCA7B9217}"/>
    <hyperlink ref="F2243" r:id="rId2281" xr:uid="{7548D48D-A505-7C43-8EFD-A3E0DC5D3770}"/>
    <hyperlink ref="G2243" r:id="rId2282" xr:uid="{EB9B4BE9-F838-504A-A41B-A25759AD1BD8}"/>
    <hyperlink ref="D2242" r:id="rId2283" display="https://enzyme.expasy.org/EC/1.14.13.107" xr:uid="{73136355-5804-344A-AC09-C903051110A0}"/>
    <hyperlink ref="F2242" r:id="rId2284" xr:uid="{3C00D307-9629-014E-8859-3F8456F0CE97}"/>
    <hyperlink ref="G2242" r:id="rId2285" xr:uid="{E2BC90C6-468F-FD42-9FB7-FBA0A13E3198}"/>
    <hyperlink ref="F2390" r:id="rId2286" xr:uid="{9C962D4C-D2BA-6245-AC9B-E3300F6C449A}"/>
    <hyperlink ref="G2390" r:id="rId2287" xr:uid="{041436C9-A8A4-164D-B3BA-FE9BAAA6829F}"/>
    <hyperlink ref="D2389" r:id="rId2288" display="https://enzyme.expasy.org/EC/1.14.13.107" xr:uid="{70D96F39-F965-4C4B-BCB3-3094323E5B1E}"/>
    <hyperlink ref="F2389" r:id="rId2289" xr:uid="{BC20681A-FFB0-AF4E-84E3-D93185B316FD}"/>
    <hyperlink ref="G2389" r:id="rId2290" xr:uid="{9839BC70-4A98-5B40-807A-85BF17183F9A}"/>
    <hyperlink ref="D2388" r:id="rId2291" display="https://enzyme.expasy.org/EC/1.14.13.107" xr:uid="{E497028E-FC68-DF4F-A7A1-AE906B0525DF}"/>
    <hyperlink ref="F2388" r:id="rId2292" xr:uid="{4E43F738-5194-EE4A-BC69-1440DED8238B}"/>
    <hyperlink ref="G2388" r:id="rId2293" xr:uid="{35401E5D-3E1A-E74C-B2C3-9E63283A97DA}"/>
    <hyperlink ref="D2387" r:id="rId2294" display="https://enzyme.expasy.org/EC/1.14.13.107" xr:uid="{5DF2974A-3BA6-EC47-9933-3BAED7874B82}"/>
    <hyperlink ref="F2387" r:id="rId2295" xr:uid="{D1DDC752-13C6-F94A-BBC8-F8B10BABC862}"/>
    <hyperlink ref="G2387" r:id="rId2296" xr:uid="{AC6A51BA-8B26-B947-A89C-05328470BF2E}"/>
    <hyperlink ref="F2262" r:id="rId2297" xr:uid="{76ACF40A-7182-AF4A-9100-3D06CEAD0F6D}"/>
    <hyperlink ref="G2262" r:id="rId2298" xr:uid="{F3440517-DA9E-6448-B0B3-8DFDD39E1BF3}"/>
    <hyperlink ref="D2261" r:id="rId2299" display="https://enzyme.expasy.org/EC/3.1.4.3" xr:uid="{87B5D31A-F52E-524C-8176-81F0E01D0D10}"/>
    <hyperlink ref="F2261" r:id="rId2300" xr:uid="{85A1106D-DF5B-7B41-9290-60A623AB7958}"/>
    <hyperlink ref="G2261" r:id="rId2301" xr:uid="{76269394-A425-E04A-9CA8-80CB619F0414}"/>
    <hyperlink ref="D2260" r:id="rId2302" display="https://enzyme.expasy.org/EC/3.1.4.3" xr:uid="{E292C53D-2645-0C4F-B298-01C6B2ECE40A}"/>
    <hyperlink ref="F2260" r:id="rId2303" xr:uid="{1E414441-88F4-2849-AD0A-7A20670D735D}"/>
    <hyperlink ref="G2260" r:id="rId2304" xr:uid="{8B12BF8B-A966-7542-8CCB-B5573C008B08}"/>
    <hyperlink ref="D2259" r:id="rId2305" display="https://enzyme.expasy.org/EC/3.1.4.3" xr:uid="{5EF2C909-0DE8-BD43-8EAE-F114B788B777}"/>
    <hyperlink ref="F2259" r:id="rId2306" xr:uid="{0C6FAD8D-78CA-5B45-AF95-8D4BC578FDAF}"/>
    <hyperlink ref="G2259" r:id="rId2307" xr:uid="{E8F46A17-99C9-B747-9DB6-34286B7F1915}"/>
    <hyperlink ref="D2258" r:id="rId2308" display="https://enzyme.expasy.org/EC/3.1.4.3" xr:uid="{7A6BBAFA-0282-E54D-8336-CCD07F9C57C5}"/>
    <hyperlink ref="F2258" r:id="rId2309" xr:uid="{9A5C8248-CA12-2741-9A17-A946E7EA7533}"/>
    <hyperlink ref="G2258" r:id="rId2310" xr:uid="{BA3BFF42-9439-D248-9D76-FBB7B8CBA436}"/>
    <hyperlink ref="F2267" r:id="rId2311" xr:uid="{5E9D2F2C-8899-904A-8A08-19F418BBAE55}"/>
    <hyperlink ref="G2267" r:id="rId2312" xr:uid="{225A7E7F-1F89-ED42-AF0D-053CB7793F80}"/>
    <hyperlink ref="F2278" r:id="rId2313" xr:uid="{9FFE90EE-9A1E-334F-BF32-4AE49A58D632}"/>
    <hyperlink ref="G2278" r:id="rId2314" xr:uid="{976DC16B-CFAB-F74B-A9B8-BE36677FD15B}"/>
    <hyperlink ref="D2277" r:id="rId2315" display="https://enzyme.expasy.org/EC/2.7.7.18" xr:uid="{26B356FA-9BC6-7845-96A3-96F635AD1019}"/>
    <hyperlink ref="F2277" r:id="rId2316" xr:uid="{2C9ED5E4-19EC-0F42-8A49-6DE653C1C306}"/>
    <hyperlink ref="G2277" r:id="rId2317" xr:uid="{D54A6CFA-A11D-344E-BC87-74C2653DF207}"/>
    <hyperlink ref="F2280" r:id="rId2318" xr:uid="{065F92BA-86A7-5A4A-8116-583437717104}"/>
    <hyperlink ref="G2280" r:id="rId2319" xr:uid="{4101F378-F245-E64E-8E71-BCC9EF5B1630}"/>
    <hyperlink ref="F2288" r:id="rId2320" xr:uid="{AA0F1D84-77EE-0748-A9A3-508486987C29}"/>
    <hyperlink ref="G2288" r:id="rId2321" xr:uid="{32E8CCF4-2C96-AA4D-8283-FBDBC9D0B7F8}"/>
    <hyperlink ref="D2287" r:id="rId2322" display="https://enzyme.expasy.org/EC/1.1.1.79" xr:uid="{F14BB925-276E-514A-825A-DC29DC436883}"/>
    <hyperlink ref="F2287" r:id="rId2323" xr:uid="{E2F20B72-755B-3446-BB3E-7DFF06A106C8}"/>
    <hyperlink ref="G2287" r:id="rId2324" xr:uid="{1D4BB41F-6EE2-0F44-AFA7-2742D477C3E4}"/>
    <hyperlink ref="D2286" r:id="rId2325" display="https://enzyme.expasy.org/EC/1.1.1.79" xr:uid="{52F8D0AF-3BB4-A44C-9297-DCBA2FFDFC3C}"/>
    <hyperlink ref="F2286" r:id="rId2326" xr:uid="{604AF6DF-3D01-4D49-A576-F97492675A0E}"/>
    <hyperlink ref="G2286" r:id="rId2327" xr:uid="{FF57C448-A7AE-5B46-AFD2-4C5960AC6073}"/>
    <hyperlink ref="F2289" r:id="rId2328" xr:uid="{DAABDFDE-49F2-3044-856B-F5BBD403B713}"/>
    <hyperlink ref="G2289" r:id="rId2329" xr:uid="{459727DF-A056-0E4E-ACD4-7F90968E958D}"/>
    <hyperlink ref="F2874" r:id="rId2330" xr:uid="{9611244B-B7A6-6249-99C1-A173CCD051A4}"/>
    <hyperlink ref="G2874" r:id="rId2331" xr:uid="{FFE6F838-B0D3-2E45-AA0C-19CBDA332CC2}"/>
    <hyperlink ref="D2873" r:id="rId2332" display="https://enzyme.expasy.org/EC/5.4.99.9" xr:uid="{1317C7B6-D279-9449-82D5-5C8D697D4954}"/>
    <hyperlink ref="F2873" r:id="rId2333" xr:uid="{E9BF944D-95A5-3C46-827C-BCC3F4B7DB41}"/>
    <hyperlink ref="G2873" r:id="rId2334" xr:uid="{93997C79-7DB4-954F-8D81-66E9EBCF49A0}"/>
    <hyperlink ref="F2876" r:id="rId2335" xr:uid="{EB638A3F-B25B-0C44-96FE-F1B4EFFE3928}"/>
    <hyperlink ref="G2876" r:id="rId2336" xr:uid="{3E74FF81-F7B6-FC4D-A3D8-A6F9C2D263EF}"/>
    <hyperlink ref="F2877" r:id="rId2337" xr:uid="{F132B6D7-C0EE-C14F-851B-6E775A2F45E9}"/>
    <hyperlink ref="G2877" r:id="rId2338" xr:uid="{520F0A10-6B1C-BA4B-B92E-AD00DBA21E25}"/>
    <hyperlink ref="F2881" r:id="rId2339" xr:uid="{F5E63513-5A36-944A-985C-5CD00406A335}"/>
    <hyperlink ref="G2881" r:id="rId2340" xr:uid="{D29AEDB7-DEBB-804A-8E75-0547276BD60E}"/>
    <hyperlink ref="D2880" r:id="rId2341" display="https://enzyme.expasy.org/EC/1.1.5.3" xr:uid="{B4B896BD-0CF3-AC4E-B4A2-664C04C54648}"/>
    <hyperlink ref="F2880" r:id="rId2342" xr:uid="{0C931F88-FDE9-C941-AD37-3264799028DC}"/>
    <hyperlink ref="G2880" r:id="rId2343" xr:uid="{F3EF9FF7-FE62-6B49-B626-7B6B59C3C6E8}"/>
    <hyperlink ref="D2879" r:id="rId2344" display="https://enzyme.expasy.org/EC/1.1.5.3" xr:uid="{7EAD2460-7D56-0449-BF22-1EDEECE72C16}"/>
    <hyperlink ref="F2879" r:id="rId2345" xr:uid="{2F3BB9C9-2970-8E41-B44A-46C58E9A18ED}"/>
    <hyperlink ref="G2879" r:id="rId2346" xr:uid="{0EFB3D54-5C85-C442-8DEE-498C0DFFAA92}"/>
    <hyperlink ref="F2884" r:id="rId2347" xr:uid="{15F4055D-55E0-EC4F-A400-C69DB6D1FE44}"/>
    <hyperlink ref="G2884" r:id="rId2348" xr:uid="{739DE235-236E-1A4F-8FBC-BD2C0E2D32A5}"/>
    <hyperlink ref="D2883" r:id="rId2349" display="https://enzyme.expasy.org/EC/6.1.1.11" xr:uid="{0B02D28D-54DF-1A43-8379-6C141D1610F5}"/>
    <hyperlink ref="F2883" r:id="rId2350" xr:uid="{8CBE4A3D-C021-4242-A9AE-656389D41C9D}"/>
    <hyperlink ref="G2883" r:id="rId2351" xr:uid="{2FFAFA49-8989-B24B-BF83-BD1DA14190CD}"/>
    <hyperlink ref="F2889" r:id="rId2352" xr:uid="{D45FADD2-5678-0448-AABD-C99489BD9F39}"/>
    <hyperlink ref="G2889" r:id="rId2353" xr:uid="{76BDD1A1-C76F-D645-8602-F1F6F8D12797}"/>
    <hyperlink ref="D2888" r:id="rId2354" display="https://enzyme.expasy.org/EC/3.1.3.73" xr:uid="{10EF82F2-2ACC-494F-B502-A4C7C36F3B60}"/>
    <hyperlink ref="F2888" r:id="rId2355" xr:uid="{D4C3FE70-83DE-F642-B3E2-FD17DD032879}"/>
    <hyperlink ref="G2888" r:id="rId2356" xr:uid="{DEA73282-5E2D-CE4A-A1C2-E3FC0F892D92}"/>
    <hyperlink ref="F2891" r:id="rId2357" xr:uid="{CDAE11E2-6E54-4E4A-9446-453B7931D1A7}"/>
    <hyperlink ref="G2891" r:id="rId2358" xr:uid="{DEDDA465-4D39-6B42-BD60-5AF40A5A9F28}"/>
    <hyperlink ref="D2890" r:id="rId2359" display="https://enzyme.expasy.org/EC/4.2.1.51" xr:uid="{79E96FDF-592C-C44A-896E-F1D58FC1AC4D}"/>
    <hyperlink ref="F2890" r:id="rId2360" xr:uid="{8F0667F6-2889-3B41-BE6B-00EC720507FB}"/>
    <hyperlink ref="G2890" r:id="rId2361" xr:uid="{D13D8191-7E91-9E4E-9B1B-2EC84E2ED799}"/>
    <hyperlink ref="F2892" r:id="rId2362" xr:uid="{988F4CDC-2CBF-7D49-BACE-05F897BB0EA0}"/>
    <hyperlink ref="G2892" r:id="rId2363" xr:uid="{04BF59BE-356C-4A48-8BAD-B340937AFF0B}"/>
    <hyperlink ref="F2898" r:id="rId2364" xr:uid="{764233D2-5D43-A54A-AE44-37F81C1B60E5}"/>
    <hyperlink ref="G2898" r:id="rId2365" xr:uid="{D8F33DEA-3411-914A-B361-95088A44D387}"/>
    <hyperlink ref="D2897" r:id="rId2366" display="https://enzyme.expasy.org/EC/3.1.4.46" xr:uid="{FA552708-13C5-9A4A-97B6-EC56A2D9AD0B}"/>
    <hyperlink ref="F2897" r:id="rId2367" xr:uid="{B6BEA2F3-3753-DB49-82AD-8C45F40885E2}"/>
    <hyperlink ref="G2897" r:id="rId2368" xr:uid="{4694BBBF-F057-1240-9586-82D26C79B9B9}"/>
    <hyperlink ref="D2896" r:id="rId2369" display="https://enzyme.expasy.org/EC/3.1.4.46" xr:uid="{CF6B12D9-DAFB-8A48-9FB5-2C6B1C8E9CE0}"/>
    <hyperlink ref="F2896" r:id="rId2370" xr:uid="{2B058F7B-A84E-F24E-90E7-5545D64CAF43}"/>
    <hyperlink ref="G2896" r:id="rId2371" xr:uid="{F1872F91-0EBF-2449-8655-A81AFDEA0E73}"/>
    <hyperlink ref="F2901" r:id="rId2372" xr:uid="{4F574113-EF2E-AD4A-962A-B6AD6170A44C}"/>
    <hyperlink ref="G2901" r:id="rId2373" xr:uid="{64F31895-708A-D74C-973A-6D737A92EECF}"/>
    <hyperlink ref="D2900" r:id="rId2374" display="https://enzyme.expasy.org/EC/1.1.1.27" xr:uid="{C29010BA-1ED7-5B4C-806F-94888719C8F6}"/>
    <hyperlink ref="F2900" r:id="rId2375" xr:uid="{2244FECC-A958-3C4E-B056-5AD5C99B1E3F}"/>
    <hyperlink ref="G2900" r:id="rId2376" xr:uid="{4A45EE33-2639-3A4F-B998-122E1582CA96}"/>
    <hyperlink ref="D2899" r:id="rId2377" display="https://enzyme.expasy.org/EC/1.1.1.27" xr:uid="{34CD974D-EE77-844D-90DC-AAA6CB2B7255}"/>
    <hyperlink ref="F2899" r:id="rId2378" xr:uid="{BFDB03DC-6196-8D46-83D5-1880FA533791}"/>
    <hyperlink ref="G2899" r:id="rId2379" xr:uid="{0CA29720-6899-EC4A-85E5-4DC140EDEF1D}"/>
    <hyperlink ref="F2904" r:id="rId2380" xr:uid="{6D2D6546-2D49-2343-8925-63F4A4D7EC27}"/>
    <hyperlink ref="G2904" r:id="rId2381" xr:uid="{00B9AE73-4722-DE40-A46A-306B13B9AEF1}"/>
    <hyperlink ref="D2903" r:id="rId2382" display="https://enzyme.expasy.org/EC/1.8.4.11" xr:uid="{CCFEB29F-115B-A44A-89C0-566A8AF6DCEB}"/>
    <hyperlink ref="F2903" r:id="rId2383" xr:uid="{498E6B2B-B05A-A744-9C5D-5996C9DCB087}"/>
    <hyperlink ref="G2903" r:id="rId2384" xr:uid="{897BEB08-663C-9340-85FB-AB342EF66779}"/>
    <hyperlink ref="F2935" r:id="rId2385" xr:uid="{9BA6DCD8-002F-2F4F-83E8-A0DBB13CB1AF}"/>
    <hyperlink ref="F2946" r:id="rId2386" xr:uid="{251697CC-B182-564A-B9E5-E749540FB6E7}"/>
    <hyperlink ref="G2946" r:id="rId2387" xr:uid="{34F5DF44-F37F-3E44-81FC-016038D86B09}"/>
    <hyperlink ref="F2453" r:id="rId2388" xr:uid="{02029670-9E09-5E40-8493-F863EB0D0B30}"/>
    <hyperlink ref="G2453" r:id="rId2389" xr:uid="{A0BDDC19-5D2D-C64C-B837-BD3029A56AE5}"/>
    <hyperlink ref="D2452" r:id="rId2390" display="https://enzyme.expasy.org/EC/1.17.4.1" xr:uid="{08F1C3FF-B387-8E48-AAAE-A2073A95575A}"/>
    <hyperlink ref="F2452" r:id="rId2391" xr:uid="{0BA8F305-A3D7-1B45-9C8D-981D43BAA574}"/>
    <hyperlink ref="G2452" r:id="rId2392" xr:uid="{BA8B04CD-4CE3-B74F-9AB6-A0626FBDF16B}"/>
    <hyperlink ref="D2451" r:id="rId2393" display="https://enzyme.expasy.org/EC/1.17.4.1" xr:uid="{DEC46442-1BFC-BF4E-8D8F-909CFF6E281B}"/>
    <hyperlink ref="F2451" r:id="rId2394" xr:uid="{E18CC1D9-2590-3040-86F8-6B6836170948}"/>
    <hyperlink ref="G2451" r:id="rId2395" xr:uid="{F58C1BC6-0E6C-454D-A387-0779EE72F0E9}"/>
    <hyperlink ref="D2450" r:id="rId2396" display="https://enzyme.expasy.org/EC/1.17.4.1" xr:uid="{E2C01B44-6B59-3940-A96B-94680D8C2B7D}"/>
    <hyperlink ref="F2450" r:id="rId2397" xr:uid="{45C910E5-1EF6-6240-A6EF-A19F6F0FD9D3}"/>
    <hyperlink ref="G2450" r:id="rId2398" xr:uid="{3C077A51-3D3F-2042-8AD8-A49DEDDDEB33}"/>
    <hyperlink ref="D2449" r:id="rId2399" display="https://enzyme.expasy.org/EC/1.17.4.1" xr:uid="{9498D4B8-585E-D148-A567-98C136504608}"/>
    <hyperlink ref="F2449" r:id="rId2400" xr:uid="{D2B0BCE8-4C92-AB4E-A08A-4058DF463300}"/>
    <hyperlink ref="G2449" r:id="rId2401" xr:uid="{51CC8BF5-0FFC-AD43-9EEC-5421EDF1EEE1}"/>
    <hyperlink ref="D2448" r:id="rId2402" display="https://enzyme.expasy.org/EC/1.17.4.1" xr:uid="{69F2E386-D57E-9F44-999F-DF1E7C4D8B58}"/>
    <hyperlink ref="F2448" r:id="rId2403" xr:uid="{7D803826-9AAE-494B-BCAF-8979030F594F}"/>
    <hyperlink ref="G2448" r:id="rId2404" xr:uid="{2629F709-1D63-284A-9BC4-1C5B80AB89D9}"/>
    <hyperlink ref="D2447" r:id="rId2405" display="https://enzyme.expasy.org/EC/1.17.4.1" xr:uid="{113EE89C-7D61-5748-93EB-0E23AB0810E6}"/>
    <hyperlink ref="F2447" r:id="rId2406" xr:uid="{F2B0F0E9-08BC-3742-A9D7-29F117C00FFE}"/>
    <hyperlink ref="G2447" r:id="rId2407" xr:uid="{CB256943-5C6F-B348-A5B3-B74016788671}"/>
    <hyperlink ref="D2446" r:id="rId2408" display="https://enzyme.expasy.org/EC/1.17.4.1" xr:uid="{7C8C2B83-E40A-424C-B2C3-923DED7BCEFE}"/>
    <hyperlink ref="F2446" r:id="rId2409" xr:uid="{78B9E352-10CC-894F-ABE3-74509B12455A}"/>
    <hyperlink ref="G2446" r:id="rId2410" xr:uid="{3F79F322-CD83-6143-9CA2-D1326DEB3702}"/>
    <hyperlink ref="F2970" r:id="rId2411" xr:uid="{55E16B5F-4389-544B-913F-3FD16CF17437}"/>
    <hyperlink ref="G2970" r:id="rId2412" xr:uid="{1D52B69B-D449-DF47-91EF-F5B00DAA9F77}"/>
    <hyperlink ref="D2969" r:id="rId2413" display="https://enzyme.expasy.org/EC/1.17.4.1" xr:uid="{53D9FFDE-3E44-9449-B55C-DD620D44FBF6}"/>
    <hyperlink ref="F2969" r:id="rId2414" xr:uid="{A6F85684-0401-8D4D-A522-C7D8A698D6A6}"/>
    <hyperlink ref="G2969" r:id="rId2415" xr:uid="{BBB4B9A4-0A72-B44B-9B1B-57A8877A07E7}"/>
    <hyperlink ref="D2968" r:id="rId2416" display="https://enzyme.expasy.org/EC/1.17.4.1" xr:uid="{0E8886F8-ED21-CD4B-8735-DAC52A257D03}"/>
    <hyperlink ref="F2968" r:id="rId2417" xr:uid="{935D6733-7D77-B945-B5CA-0407C7E80BFB}"/>
    <hyperlink ref="G2968" r:id="rId2418" xr:uid="{F2E316BB-7844-5845-8A6C-CA315171097E}"/>
    <hyperlink ref="D2967" r:id="rId2419" display="https://enzyme.expasy.org/EC/1.17.4.1" xr:uid="{C2725AA7-FB62-4D43-A3A7-0FCC67697A4C}"/>
    <hyperlink ref="F2967" r:id="rId2420" xr:uid="{9E6C8468-57F6-FF4B-9754-06414D7ADEB6}"/>
    <hyperlink ref="G2967" r:id="rId2421" xr:uid="{C674F4E7-D59C-6D42-A6DC-C920C8E561E2}"/>
    <hyperlink ref="D2966" r:id="rId2422" display="https://enzyme.expasy.org/EC/1.17.4.1" xr:uid="{F9F0A4D6-A4F7-DA4D-9440-D77A438B7E50}"/>
    <hyperlink ref="F2966" r:id="rId2423" xr:uid="{19DBB12B-7967-AF40-9857-4766E78705DF}"/>
    <hyperlink ref="G2966" r:id="rId2424" xr:uid="{EB576DED-B83E-F545-836A-87EF0ADEDAD8}"/>
    <hyperlink ref="D2965" r:id="rId2425" display="https://enzyme.expasy.org/EC/1.17.4.1" xr:uid="{9FFA121A-2A72-BE4E-92CE-08E58D7603E8}"/>
    <hyperlink ref="F2965" r:id="rId2426" xr:uid="{70E64531-C96D-FF49-A2DA-19BD0C85BC7C}"/>
    <hyperlink ref="G2965" r:id="rId2427" xr:uid="{D259F67B-3037-0140-936E-C2490AB7310F}"/>
    <hyperlink ref="D2964" r:id="rId2428" display="https://enzyme.expasy.org/EC/1.17.4.1" xr:uid="{B097E5B3-502C-AB4C-AA65-19F3E6CD5D37}"/>
    <hyperlink ref="F2964" r:id="rId2429" xr:uid="{694209CC-A7DB-4B4A-B93F-9AAC47AB5C88}"/>
    <hyperlink ref="G2964" r:id="rId2430" xr:uid="{C13D2CEC-87F0-0249-9703-795C2939E9EE}"/>
    <hyperlink ref="D2963" r:id="rId2431" display="https://enzyme.expasy.org/EC/1.17.4.1" xr:uid="{556445C6-4DF7-1142-84A5-F084F4E2037B}"/>
    <hyperlink ref="F2963" r:id="rId2432" xr:uid="{A3B18549-15B7-6C42-A49E-5692260258FB}"/>
    <hyperlink ref="G2963" r:id="rId2433" xr:uid="{CB30A494-32D4-4F4C-8EC7-3FCFA2FB0C28}"/>
    <hyperlink ref="F2973" r:id="rId2434" xr:uid="{DE647687-98DC-4A45-87DE-EBCC790D2095}"/>
    <hyperlink ref="G2973" r:id="rId2435" xr:uid="{A9E52DDE-782C-354B-819A-93A07EFF2FF4}"/>
    <hyperlink ref="F2978" r:id="rId2436" xr:uid="{ECE6C7F6-9AD8-6E44-9389-4A1DB2F26A31}"/>
    <hyperlink ref="G2978" r:id="rId2437" xr:uid="{61307CB1-8507-1A41-BA5F-60C9BFC34B4D}"/>
    <hyperlink ref="D2977" r:id="rId2438" display="https://enzyme.expasy.org/EC/3.1.3.1" xr:uid="{398980F1-44D0-B841-AF1D-F2101A93C232}"/>
    <hyperlink ref="F2977" r:id="rId2439" xr:uid="{EF6D6C62-B27A-A144-B39F-D745290FE4A1}"/>
    <hyperlink ref="G2977" r:id="rId2440" xr:uid="{8C1EB751-19D3-B24C-9FCE-310D30C97074}"/>
    <hyperlink ref="D2976" r:id="rId2441" display="https://enzyme.expasy.org/EC/3.1.3.1" xr:uid="{9AF86E24-5342-E547-AB1E-D50CAC91CFC9}"/>
    <hyperlink ref="F2976" r:id="rId2442" xr:uid="{EFE306BB-C784-AD44-92A8-C1538CCE3394}"/>
    <hyperlink ref="G2976" r:id="rId2443" xr:uid="{A6211E54-6DA2-A444-975A-540C27B027DE}"/>
    <hyperlink ref="D2975" r:id="rId2444" display="https://enzyme.expasy.org/EC/3.1.3.1" xr:uid="{75602F9A-5C41-BA47-89E0-31776611008E}"/>
    <hyperlink ref="F2975" r:id="rId2445" xr:uid="{50340ECB-CDF6-6241-B671-3CFF6E38C365}"/>
    <hyperlink ref="G2975" r:id="rId2446" xr:uid="{A55059E5-1D6C-8648-861F-4133AE0DB8B4}"/>
    <hyperlink ref="D2974" r:id="rId2447" display="https://enzyme.expasy.org/EC/3.1.3.1" xr:uid="{737B8F11-F798-EB49-BA3C-CC08AB9DB104}"/>
    <hyperlink ref="F2974" r:id="rId2448" xr:uid="{C59D4C2D-D4CC-2B43-BD8A-03BF939CA466}"/>
    <hyperlink ref="G2974" r:id="rId2449" xr:uid="{761AF631-6A54-C04B-8626-822E57D6381A}"/>
    <hyperlink ref="F2982" r:id="rId2450" xr:uid="{85DB5C48-E175-EF4D-B55D-4B3A1DC2784C}"/>
    <hyperlink ref="G2982" r:id="rId2451" xr:uid="{32162DF5-AF30-F647-8D49-B3D4604C9D46}"/>
    <hyperlink ref="F2984" r:id="rId2452" xr:uid="{BD2D0266-BBDE-9D41-A142-F4545E8304D7}"/>
    <hyperlink ref="F2986" r:id="rId2453" xr:uid="{1AA7E232-8888-FA46-B886-D4BD23147E7A}"/>
    <hyperlink ref="G2984" r:id="rId2454" xr:uid="{64860BCE-4ED5-4246-A210-23645A8D54C8}"/>
    <hyperlink ref="G2986" r:id="rId2455" xr:uid="{C08380B5-7DB3-DE4D-824D-18F9FE98A2FB}"/>
    <hyperlink ref="D2983" r:id="rId2456" display="https://enzyme.expasy.org/EC/4.1.3.27" xr:uid="{28B3954C-188C-1149-94EA-39451F36427A}"/>
    <hyperlink ref="F2983" r:id="rId2457" xr:uid="{5D72DA74-784B-D245-ACEE-6D8EBB813DE6}"/>
    <hyperlink ref="G2983" r:id="rId2458" xr:uid="{B5D7267D-7D6F-6E4C-B34A-60163BC8E1FC}"/>
    <hyperlink ref="D2985" r:id="rId2459" display="https://enzyme.expasy.org/EC/4.1.3.27" xr:uid="{00F44350-1E53-3F42-9BE0-6B46173DE6A5}"/>
    <hyperlink ref="F2985" r:id="rId2460" xr:uid="{5AAC49C9-36B0-F74A-BEFF-97959DFAEE0A}"/>
    <hyperlink ref="G2985" r:id="rId2461" xr:uid="{ABDF0BA7-7226-5745-9B09-77983B28E9D1}"/>
    <hyperlink ref="F2991" r:id="rId2462" xr:uid="{C409A34B-3FFB-864A-8E47-B0B8D97E40D9}"/>
    <hyperlink ref="F2994" r:id="rId2463" xr:uid="{31564088-CD19-1740-82F5-0F297A3DD1A1}"/>
    <hyperlink ref="G2991" r:id="rId2464" xr:uid="{4654B382-718E-6643-80A9-9286E2EEEE6A}"/>
    <hyperlink ref="G2994" r:id="rId2465" xr:uid="{062F040F-B31C-FF4D-97C1-B12BF1D4986D}"/>
    <hyperlink ref="D2990" r:id="rId2466" display="https://enzyme.expasy.org/EC/4.2.1.20" xr:uid="{FFE12D48-426F-6D4D-8FDE-7BC188C5E57E}"/>
    <hyperlink ref="F2990" r:id="rId2467" xr:uid="{A0990234-B154-4E4B-9C65-05D5D0DB0926}"/>
    <hyperlink ref="G2990" r:id="rId2468" xr:uid="{381D733B-91F1-E542-9F88-D805B5A45CAE}"/>
    <hyperlink ref="D2989" r:id="rId2469" display="https://enzyme.expasy.org/EC/4.2.1.20" xr:uid="{911C2243-6599-0A4B-BE6B-2F6B1CC48478}"/>
    <hyperlink ref="F2989" r:id="rId2470" xr:uid="{37B17216-80ED-BC4E-9A81-16D4ACB8B624}"/>
    <hyperlink ref="G2989" r:id="rId2471" xr:uid="{F284803C-0D2E-4744-9A21-63D7818C2CAF}"/>
    <hyperlink ref="D2993" r:id="rId2472" display="https://enzyme.expasy.org/EC/4.2.1.20" xr:uid="{165A361D-B2ED-3D4B-9709-22482F457F97}"/>
    <hyperlink ref="F2993" r:id="rId2473" xr:uid="{748D54FC-1FDE-8D4C-9C21-56364D251888}"/>
    <hyperlink ref="G2993" r:id="rId2474" xr:uid="{7501388D-F9B9-6F4E-AFC6-28FB568F4EC2}"/>
    <hyperlink ref="D2992" r:id="rId2475" display="https://enzyme.expasy.org/EC/4.2.1.20" xr:uid="{70857E78-88C0-6944-B2D1-C4F1D8DD45C4}"/>
    <hyperlink ref="F2992" r:id="rId2476" xr:uid="{E2C75956-1D2B-0143-A9F8-338765280302}"/>
    <hyperlink ref="G2992" r:id="rId2477" xr:uid="{1843CE4D-9826-544A-B70A-A35CA14810FC}"/>
    <hyperlink ref="F3007" r:id="rId2478" xr:uid="{87A93565-072B-2744-B926-6FA7F1D5E24D}"/>
    <hyperlink ref="G3007" r:id="rId2479" xr:uid="{EAAF34D5-569A-9340-866E-83DDEAED65DD}"/>
    <hyperlink ref="D3006" r:id="rId2480" display="https://enzyme.expasy.org/EC/2.7.7.72" xr:uid="{5AC0B864-B09C-ED47-B74B-582C229CDBE5}"/>
    <hyperlink ref="F3006" r:id="rId2481" xr:uid="{E8287E5A-2422-BA4E-9BD7-8E1AAFA9A95F}"/>
    <hyperlink ref="G3006" r:id="rId2482" xr:uid="{E9A52AFB-71AC-1048-AF76-927BC15948A8}"/>
    <hyperlink ref="D3005" r:id="rId2483" display="https://enzyme.expasy.org/EC/2.7.7.72" xr:uid="{1A070C7F-E206-304C-A1BA-D876D528DBEE}"/>
    <hyperlink ref="F3005" r:id="rId2484" xr:uid="{B304A2E1-215E-A84B-B185-E6A6A6DA9BD2}"/>
    <hyperlink ref="G3005" r:id="rId2485" xr:uid="{AB51580A-88F1-BE4A-B42F-EC2F2FFB7072}"/>
    <hyperlink ref="D3004" r:id="rId2486" display="https://enzyme.expasy.org/EC/2.7.7.72" xr:uid="{6105E82E-169E-7E42-B602-271F76E54038}"/>
    <hyperlink ref="F3004" r:id="rId2487" xr:uid="{B099233C-87C9-F842-9524-A1CB1FA04294}"/>
    <hyperlink ref="G3004" r:id="rId2488" xr:uid="{543D050F-02B2-A049-BC14-60C78A1856BB}"/>
    <hyperlink ref="D3024" r:id="rId2489" display="https://enzyme.expasy.org/EC/1.8.1.9" xr:uid="{C6644E56-B625-5442-BE7C-3F122C04B71C}"/>
    <hyperlink ref="F3024" r:id="rId2490" xr:uid="{6F429D5C-74FC-8649-9769-DA02AC86AF04}"/>
    <hyperlink ref="G3024" r:id="rId2491" xr:uid="{AE96D714-F3DF-EC45-82CD-4417EBB07837}"/>
    <hyperlink ref="D3023" r:id="rId2492" display="https://enzyme.expasy.org/EC/1.8.1.9" xr:uid="{6507261F-7C2B-9E4C-98FE-A508754B0EAE}"/>
    <hyperlink ref="F3023" r:id="rId2493" xr:uid="{8729AAD4-EFBD-1245-87F0-8E0900FB409B}"/>
    <hyperlink ref="G3023" r:id="rId2494" xr:uid="{8B66D58F-C720-6442-91B7-069CD2AA6C9A}"/>
    <hyperlink ref="D3022" r:id="rId2495" display="https://enzyme.expasy.org/EC/1.8.1.9" xr:uid="{C329B91F-4D06-5B4D-9A59-D7A8CCA744E2}"/>
    <hyperlink ref="F3022" r:id="rId2496" xr:uid="{ABB7E32D-31F5-CD42-9AD7-0D9B622A84D8}"/>
    <hyperlink ref="G3022" r:id="rId2497" xr:uid="{C9C0CE97-F165-9541-98D5-7F9658A35690}"/>
    <hyperlink ref="F2296" r:id="rId2498" xr:uid="{60D15CD9-8836-6741-B71C-65248ACAC79F}"/>
    <hyperlink ref="F2315" r:id="rId2499" xr:uid="{6B365AD7-27E8-B649-B4E2-F33D46ADB1B0}"/>
    <hyperlink ref="G2315" r:id="rId2500" xr:uid="{537BB8DA-F658-4C4E-A9EB-493210FC64F9}"/>
    <hyperlink ref="D2314" r:id="rId2501" display="https://enzyme.expasy.org/EC/2.7.4.6" xr:uid="{8AD20F1A-7B90-9844-B89C-FC823A720FE0}"/>
    <hyperlink ref="F2314" r:id="rId2502" xr:uid="{C94E0CB4-EEC7-0A45-8623-868A54307D94}"/>
    <hyperlink ref="G2314" r:id="rId2503" xr:uid="{F339301C-9F90-4C4C-B1BB-2801B2D6CB63}"/>
    <hyperlink ref="D2313" r:id="rId2504" display="https://enzyme.expasy.org/EC/2.7.4.6" xr:uid="{742578EA-582F-2042-A944-651C18EBD038}"/>
    <hyperlink ref="F2313" r:id="rId2505" xr:uid="{579774E5-2E7A-8D4C-AE43-AEABE7046653}"/>
    <hyperlink ref="G2313" r:id="rId2506" xr:uid="{0270F67B-A6DB-D445-8C07-BEB2942BD9DC}"/>
    <hyperlink ref="D2312" r:id="rId2507" display="https://enzyme.expasy.org/EC/2.7.4.6" xr:uid="{6E8470BB-B85E-E64C-940B-AE6258EFF4D1}"/>
    <hyperlink ref="F2312" r:id="rId2508" xr:uid="{F63A7FB0-512E-B244-8726-26BF13FA15C9}"/>
    <hyperlink ref="G2312" r:id="rId2509" xr:uid="{31BACA75-0431-954E-A978-7FDA6870FB4D}"/>
    <hyperlink ref="D2311" r:id="rId2510" display="https://enzyme.expasy.org/EC/2.7.4.6" xr:uid="{88067C95-BF74-384C-B9AC-E020A77309F0}"/>
    <hyperlink ref="F2311" r:id="rId2511" xr:uid="{6E6EA2DA-F643-A245-9AF7-F35CCD710CB0}"/>
    <hyperlink ref="G2311" r:id="rId2512" xr:uid="{E3D276C8-81AC-4647-9D30-2AB568B8D847}"/>
    <hyperlink ref="D2310" r:id="rId2513" display="https://enzyme.expasy.org/EC/2.7.4.6" xr:uid="{45208A75-72F0-DD4A-AC61-B2C30F9D60D2}"/>
    <hyperlink ref="F2310" r:id="rId2514" xr:uid="{52E1BCE6-33E9-F049-8925-325AC65BD9C6}"/>
    <hyperlink ref="G2310" r:id="rId2515" xr:uid="{2BE2AEDD-9ADB-1F42-8DFE-B4E092D9A9A3}"/>
    <hyperlink ref="D2309" r:id="rId2516" display="https://enzyme.expasy.org/EC/2.7.4.6" xr:uid="{0A7758F0-8F72-A943-883A-B971422272D2}"/>
    <hyperlink ref="F2309" r:id="rId2517" xr:uid="{075C4FDF-49B4-0146-9B62-3CB7FE2A6779}"/>
    <hyperlink ref="G2309" r:id="rId2518" xr:uid="{45C529EE-D468-8241-B7D3-7FBD0BF2E48D}"/>
    <hyperlink ref="D2308" r:id="rId2519" display="https://enzyme.expasy.org/EC/2.7.4.6" xr:uid="{CD36CC45-F6AF-5745-95A1-08FF1908F46F}"/>
    <hyperlink ref="F2308" r:id="rId2520" xr:uid="{20B1756A-6633-104E-AD17-A636D69D91A7}"/>
    <hyperlink ref="G2308" r:id="rId2521" xr:uid="{1A012195-126E-934E-9ED8-2EBC27AC1C0C}"/>
    <hyperlink ref="D2307" r:id="rId2522" display="https://enzyme.expasy.org/EC/2.7.4.6" xr:uid="{7DFDDA12-F7CD-2846-8C6D-C71E5B01FE57}"/>
    <hyperlink ref="F2307" r:id="rId2523" xr:uid="{A694612E-E6AE-884F-98CC-9B122CF4AE40}"/>
    <hyperlink ref="G2307" r:id="rId2524" xr:uid="{6C05285A-1BAE-134D-B825-E7F64DEA43D9}"/>
    <hyperlink ref="D2306" r:id="rId2525" display="https://enzyme.expasy.org/EC/2.7.4.6" xr:uid="{8424F447-B3DE-C047-9CF8-3638F9632038}"/>
    <hyperlink ref="F2306" r:id="rId2526" xr:uid="{A0025416-E311-C548-A21C-F55CA4125E34}"/>
    <hyperlink ref="G2306" r:id="rId2527" xr:uid="{43B5C55E-2A73-8342-A13B-5560CD01B40F}"/>
    <hyperlink ref="D2305" r:id="rId2528" display="https://enzyme.expasy.org/EC/2.7.4.6" xr:uid="{6BC1D67F-3EE8-7C41-90F0-DD33A5BBE187}"/>
    <hyperlink ref="F2305" r:id="rId2529" xr:uid="{5F26614C-BCF3-934B-9994-477D005473AE}"/>
    <hyperlink ref="G2305" r:id="rId2530" xr:uid="{045E7AC5-E714-C34F-9B2A-54E16C57FFC7}"/>
    <hyperlink ref="D2304" r:id="rId2531" display="https://enzyme.expasy.org/EC/2.7.4.6" xr:uid="{61843BED-6822-E94E-8BE0-F28805FD8976}"/>
    <hyperlink ref="F2304" r:id="rId2532" xr:uid="{6533DB17-759E-CF4D-8B10-7DB7E730E49C}"/>
    <hyperlink ref="G2304" r:id="rId2533" xr:uid="{466AC332-23D3-C949-9FF7-CD5E4046E90B}"/>
    <hyperlink ref="D2303" r:id="rId2534" display="https://enzyme.expasy.org/EC/2.7.4.6" xr:uid="{AFF37E06-9B88-E044-97D4-7075D2D73387}"/>
    <hyperlink ref="F2303" r:id="rId2535" xr:uid="{44067304-273B-524A-89C8-5CA09D09716C}"/>
    <hyperlink ref="G2303" r:id="rId2536" xr:uid="{834ECD74-6C3A-8A48-BDF5-EBC90ABC5DD9}"/>
    <hyperlink ref="D2302" r:id="rId2537" display="https://enzyme.expasy.org/EC/2.7.4.6" xr:uid="{14BAEC54-F1F3-174F-9EA2-1E993E73A4F0}"/>
    <hyperlink ref="F2302" r:id="rId2538" xr:uid="{ED780A88-E087-5B4C-9039-FBDE30078532}"/>
    <hyperlink ref="G2302" r:id="rId2539" xr:uid="{8EF9BA6B-CFC1-DD4D-8B39-13F7CE2AFD5E}"/>
    <hyperlink ref="D2301" r:id="rId2540" display="https://enzyme.expasy.org/EC/2.7.4.6" xr:uid="{6622DC2A-61AD-F24B-8E2E-0B9797916ADA}"/>
    <hyperlink ref="F2301" r:id="rId2541" xr:uid="{CFCEFBFC-42F2-E848-BE0A-632EE82280A1}"/>
    <hyperlink ref="G2301" r:id="rId2542" xr:uid="{E61E8EE5-284E-254D-88F9-EA612E4790B3}"/>
    <hyperlink ref="D2300" r:id="rId2543" display="https://enzyme.expasy.org/EC/2.7.4.6" xr:uid="{EBC73AEA-AEA0-554D-9F4D-743D6DEDF9A7}"/>
    <hyperlink ref="F2300" r:id="rId2544" xr:uid="{AFF8843D-9D1C-7A41-89E8-B4AEA1969EF4}"/>
    <hyperlink ref="G2300" r:id="rId2545" xr:uid="{F060EEBE-F288-944E-B80E-42CD128F06D0}"/>
    <hyperlink ref="F2322" r:id="rId2546" xr:uid="{F397CCAC-7498-F34B-8813-3E7ACD41CB21}"/>
    <hyperlink ref="G2322" r:id="rId2547" xr:uid="{246556E6-D93F-DE4F-9E7F-242D7A68954D}"/>
    <hyperlink ref="D2321" r:id="rId2548" display="https://enzyme.expasy.org/EC/6.3.2.17" xr:uid="{98B8BD4E-5D8A-A64C-BB01-71FDB270D771}"/>
    <hyperlink ref="F2321" r:id="rId2549" xr:uid="{0FCF7046-C2A8-CE46-802B-AB87DF6F24D7}"/>
    <hyperlink ref="G2321" r:id="rId2550" xr:uid="{4C55772C-89A2-6E46-A143-590EC96FA049}"/>
    <hyperlink ref="D2320" r:id="rId2551" display="https://enzyme.expasy.org/EC/6.3.2.17" xr:uid="{D55A6453-B92B-9649-AE4B-3041A969E669}"/>
    <hyperlink ref="F2320" r:id="rId2552" xr:uid="{340BFCCE-A737-D548-BB67-472C95570272}"/>
    <hyperlink ref="G2320" r:id="rId2553" xr:uid="{44E6EFF0-2A7D-2146-A751-25D78E97DE22}"/>
    <hyperlink ref="D2319" r:id="rId2554" display="https://enzyme.expasy.org/EC/6.3.2.17" xr:uid="{E881ED1E-713C-F84A-B874-CEBC3FDD9D35}"/>
    <hyperlink ref="F2319" r:id="rId2555" xr:uid="{323684ED-EB3C-0C4F-8B63-E5FA3DBB37C0}"/>
    <hyperlink ref="G2319" r:id="rId2556" xr:uid="{D36DD635-78F4-2F4C-9B69-26FA91554D31}"/>
    <hyperlink ref="D2318" r:id="rId2557" display="https://enzyme.expasy.org/EC/6.3.2.17" xr:uid="{219FF1A3-16C6-6E49-AD0B-659B04852297}"/>
    <hyperlink ref="F2318" r:id="rId2558" xr:uid="{8598B198-1E79-4646-BCDD-01D2B5B427E8}"/>
    <hyperlink ref="G2318" r:id="rId2559" xr:uid="{4BC9B960-B8EE-C349-959B-ADFA4702FA10}"/>
    <hyperlink ref="F2323" r:id="rId2560" xr:uid="{C292C678-20CD-7645-89AC-91CE54869A7B}"/>
    <hyperlink ref="G2323" r:id="rId2561" xr:uid="{0135B309-4D03-C54D-B77E-8B78125E5BB2}"/>
    <hyperlink ref="F2325" r:id="rId2562" xr:uid="{F6AAB434-28E0-624B-924E-06EB79EF839D}"/>
    <hyperlink ref="G2325" r:id="rId2563" xr:uid="{9BE74CAC-84FA-6B4A-8B2C-8547E67B1599}"/>
    <hyperlink ref="D2324" r:id="rId2564" display="https://enzyme.expasy.org/EC/2.1.2.11" xr:uid="{DBC91D1A-8187-BE4A-B9BD-40ADBE1C759F}"/>
    <hyperlink ref="F2324" r:id="rId2565" xr:uid="{066CBBFA-1015-9A44-A7A8-F8A6DBAD72CD}"/>
    <hyperlink ref="G2324" r:id="rId2566" xr:uid="{696D5313-4128-AF49-906A-37F3918A56EA}"/>
    <hyperlink ref="F2606" r:id="rId2567" xr:uid="{E6FD010B-A1D0-FD4F-9982-F4F4F50F47E7}"/>
    <hyperlink ref="G2606" r:id="rId2568" xr:uid="{EB634D5A-3DC3-FE43-BBD3-63DB9F943566}"/>
    <hyperlink ref="F2458" r:id="rId2569" xr:uid="{1B0CDF6C-59DC-EA47-8DDF-F142DE3C517C}"/>
    <hyperlink ref="G2458" r:id="rId2570" xr:uid="{64BA3A4E-1D6C-974E-B951-F5CFD9508684}"/>
    <hyperlink ref="F2331" r:id="rId2571" xr:uid="{BBC53F42-5239-EB43-8DDE-C7BEAAB91E32}"/>
    <hyperlink ref="G2331" r:id="rId2572" xr:uid="{74945A5C-036F-D04A-B898-B172C486B44F}"/>
    <hyperlink ref="F2326" r:id="rId2573" xr:uid="{15216E91-DEA2-D741-8688-448AF1ED73C5}"/>
    <hyperlink ref="G2326" r:id="rId2574" xr:uid="{AD12B6C6-C70B-804B-87C0-6306B0060E4D}"/>
    <hyperlink ref="F2328" r:id="rId2575" xr:uid="{A530082A-DE51-E041-85BC-916BF134BD52}"/>
    <hyperlink ref="G2328" r:id="rId2576" xr:uid="{F894321C-0091-5842-A69F-DCA143EB3E4F}"/>
    <hyperlink ref="D2327" r:id="rId2577" display="https://enzyme.expasy.org/EC/1.1.1.37" xr:uid="{65F6660D-3366-E944-8066-FC25E1522AE4}"/>
    <hyperlink ref="F2327" r:id="rId2578" xr:uid="{934A34D3-1525-9049-A999-C01E07B5044A}"/>
    <hyperlink ref="G2327" r:id="rId2579" xr:uid="{3F000C20-5DC8-B741-972C-1E1133D6C449}"/>
    <hyperlink ref="F2336" r:id="rId2580" xr:uid="{A2F5D738-A809-2D4B-82DF-7FB8E99CD851}"/>
    <hyperlink ref="F2337" r:id="rId2581" xr:uid="{134299FC-2684-5B48-A00B-B35C2DC4B706}"/>
    <hyperlink ref="F2343" r:id="rId2582" xr:uid="{4725A543-4808-044C-9AAB-A3FF6D24DBA5}"/>
    <hyperlink ref="G2343" r:id="rId2583" xr:uid="{E7CE3F2D-51A1-E146-9C91-1273086EC80B}"/>
    <hyperlink ref="F2359" r:id="rId2584" xr:uid="{ACF576E7-DD09-2B40-AFAB-3A9D2072EE30}"/>
    <hyperlink ref="G2359" r:id="rId2585" xr:uid="{8E5E2593-528C-4340-9E8F-B07D0A219E30}"/>
    <hyperlink ref="D2358" r:id="rId2586" display="https://enzyme.expasy.org/EC/2.5.1.48" xr:uid="{B7655CD1-E559-AD47-B6CB-DDF84060AEB6}"/>
    <hyperlink ref="F2358" r:id="rId2587" xr:uid="{9C71C1A9-FCE2-CF42-A291-0D55FE6A6AA6}"/>
    <hyperlink ref="G2358" r:id="rId2588" xr:uid="{B87D0847-3E3B-8B4D-8AFA-FD56E934AC8E}"/>
    <hyperlink ref="D2357" r:id="rId2589" display="https://enzyme.expasy.org/EC/2.5.1.48" xr:uid="{7765A458-0F96-9042-9ABD-8CC67988B782}"/>
    <hyperlink ref="F2357" r:id="rId2590" xr:uid="{806487E7-3982-854B-80F2-9493656C1259}"/>
    <hyperlink ref="G2357" r:id="rId2591" xr:uid="{D123C69A-A08D-E947-BD23-593828479824}"/>
    <hyperlink ref="D2356" r:id="rId2592" display="https://enzyme.expasy.org/EC/2.5.1.48" xr:uid="{6D642464-A59D-AA4B-AC93-897E7E4AB401}"/>
    <hyperlink ref="F2356" r:id="rId2593" xr:uid="{70C9C280-498E-884B-A527-039762668855}"/>
    <hyperlink ref="G2356" r:id="rId2594" xr:uid="{37AE68FC-07CA-F549-B7EC-D7C1F78DC967}"/>
    <hyperlink ref="D2355" r:id="rId2595" display="https://enzyme.expasy.org/EC/2.5.1.48" xr:uid="{38271AAB-3324-B046-A635-A918319DA3A9}"/>
    <hyperlink ref="F2355" r:id="rId2596" xr:uid="{23DF04E1-AF26-C446-9073-B3FB92B9D7A8}"/>
    <hyperlink ref="G2355" r:id="rId2597" xr:uid="{12CEF9CC-573F-3A44-B90E-B23E152B21A7}"/>
    <hyperlink ref="D2354" r:id="rId2598" display="https://enzyme.expasy.org/EC/2.5.1.48" xr:uid="{5B101156-2242-3046-BD1F-37B1CF6610B3}"/>
    <hyperlink ref="F2354" r:id="rId2599" xr:uid="{731605AA-98B2-0549-B1A5-3CF56EF0FE4B}"/>
    <hyperlink ref="G2354" r:id="rId2600" xr:uid="{292D618C-4AFD-0D49-BF38-30D96218E688}"/>
    <hyperlink ref="D2353" r:id="rId2601" display="https://enzyme.expasy.org/EC/2.5.1.48" xr:uid="{CAC30DC3-8230-0849-A80D-7E0596059013}"/>
    <hyperlink ref="F2353" r:id="rId2602" xr:uid="{D6496610-5045-554C-AFD2-59DE10FE2A94}"/>
    <hyperlink ref="G2353" r:id="rId2603" xr:uid="{D41C5593-BC6C-AE44-914A-F5DE06F774A2}"/>
    <hyperlink ref="D2352" r:id="rId2604" display="https://enzyme.expasy.org/EC/2.5.1.48" xr:uid="{986D91BD-BBBB-B545-A93C-5EDB20F497C0}"/>
    <hyperlink ref="F2352" r:id="rId2605" xr:uid="{46FBA6CC-142F-8D4E-A85B-138F34B1847A}"/>
    <hyperlink ref="G2352" r:id="rId2606" xr:uid="{79E79162-A83C-C241-A625-D9F550A21BB5}"/>
    <hyperlink ref="F2345" r:id="rId2607" xr:uid="{82238F5B-D1D5-9144-A4B4-BFBCE578029F}"/>
    <hyperlink ref="G2345" r:id="rId2608" xr:uid="{3D87BB80-493B-FD41-9A44-2CFED10FDE61}"/>
    <hyperlink ref="D2344" r:id="rId2609" display="https://enzyme.expasy.org/EC/5.3.1.6" xr:uid="{D5914B4C-0F47-0941-ACA8-B4F9A38B2F48}"/>
    <hyperlink ref="F2344" r:id="rId2610" xr:uid="{AB721F20-DC15-5247-B139-911847E58F34}"/>
    <hyperlink ref="G2344" r:id="rId2611" xr:uid="{D702C138-82FD-5E42-ADDF-CCB36530FCBC}"/>
    <hyperlink ref="F2365" r:id="rId2612" xr:uid="{9A5ED7DE-8B2C-D947-BDC5-D7FA8829B988}"/>
    <hyperlink ref="G2365" r:id="rId2613" xr:uid="{EA80BA95-9F41-6B40-9F42-959DC6DCBED4}"/>
    <hyperlink ref="D2364" r:id="rId2614" display="https://enzyme.expasy.org/EC/1.4.1.1" xr:uid="{F7B065BA-5297-BB40-96FF-EAD6B9936AE3}"/>
    <hyperlink ref="F2364" r:id="rId2615" xr:uid="{69A9ABAB-C9EE-0C4D-9FEC-3737B2773B2C}"/>
    <hyperlink ref="G2364" r:id="rId2616" xr:uid="{A96D0371-A928-3C49-AA78-8C4D4280920A}"/>
    <hyperlink ref="D2363" r:id="rId2617" display="https://enzyme.expasy.org/EC/1.4.1.1" xr:uid="{F0A5EF73-8E5A-0644-859F-435CCC1A72E2}"/>
    <hyperlink ref="F2363" r:id="rId2618" xr:uid="{5BBE1644-F441-A84E-95B3-A00F94709363}"/>
    <hyperlink ref="G2363" r:id="rId2619" xr:uid="{78463302-9EDD-364A-90FC-0B95F2A5C45D}"/>
    <hyperlink ref="D2362" r:id="rId2620" display="https://enzyme.expasy.org/EC/1.4.1.1" xr:uid="{22E55F84-131C-A746-ADC5-9E8DBC4CD42F}"/>
    <hyperlink ref="F2362" r:id="rId2621" xr:uid="{999A4DFE-7611-EA4D-BA98-80FD575C02F5}"/>
    <hyperlink ref="G2362" r:id="rId2622" xr:uid="{DFFD9B33-1F3B-804F-B54F-A0D1241E4FE6}"/>
    <hyperlink ref="D1047" r:id="rId2623" display="https://enzyme.expasy.org/EC/1.1.1.100" xr:uid="{73F42C87-9A94-AF45-B1D0-0B0E692F5F1E}"/>
    <hyperlink ref="F1047" r:id="rId2624" xr:uid="{AFB4DAE9-5D69-F542-A56F-D7CF1868346A}"/>
    <hyperlink ref="G1047" r:id="rId2625" xr:uid="{099072EB-30DE-4843-A8C2-29C5BDA8DA51}"/>
    <hyperlink ref="D1046" r:id="rId2626" display="https://enzyme.expasy.org/EC/1.1.1.100" xr:uid="{022DED52-1CCF-8D4F-80BC-A1442C6BE910}"/>
    <hyperlink ref="F1046" r:id="rId2627" xr:uid="{7C836AF2-E35A-7244-B5EA-3173921446E1}"/>
    <hyperlink ref="G1046" r:id="rId2628" xr:uid="{57A3D7A4-9B4A-5043-849B-8FF1F06E93E9}"/>
    <hyperlink ref="D1045" r:id="rId2629" display="https://enzyme.expasy.org/EC/1.1.1.100" xr:uid="{89A821BF-E0F3-DD45-84A9-A85CA410DA11}"/>
    <hyperlink ref="F1045" r:id="rId2630" xr:uid="{C10093C7-E4F6-C74B-810A-19DE9C0F9005}"/>
    <hyperlink ref="G1045" r:id="rId2631" xr:uid="{2EC6C369-48C6-A940-99BD-C3F47542C5A6}"/>
    <hyperlink ref="D1044" r:id="rId2632" display="https://enzyme.expasy.org/EC/1.1.1.100" xr:uid="{70A481CE-B56A-D94B-BEAD-03876A67E817}"/>
    <hyperlink ref="F1044" r:id="rId2633" xr:uid="{B4C12765-8F22-A24D-874C-F640D70F8DEE}"/>
    <hyperlink ref="G1044" r:id="rId2634" xr:uid="{14313130-288A-8347-B748-A1D26E263A3A}"/>
    <hyperlink ref="D1043" r:id="rId2635" display="https://enzyme.expasy.org/EC/1.1.1.100" xr:uid="{0E8BB7AB-2B15-EE49-9272-A4C8AF5EAC8D}"/>
    <hyperlink ref="F1043" r:id="rId2636" xr:uid="{D8A3A45E-EC7B-C741-8D03-F8475BB8D6BF}"/>
    <hyperlink ref="G1043" r:id="rId2637" xr:uid="{F7E3FE79-B9BB-AF4A-AAB0-6AAF3EE1AA32}"/>
    <hyperlink ref="D1042" r:id="rId2638" display="https://enzyme.expasy.org/EC/1.1.1.100" xr:uid="{9E7DD15D-DCD9-7C4F-8B63-174E4626C22F}"/>
    <hyperlink ref="F1042" r:id="rId2639" xr:uid="{ADFD4606-CCD5-C943-84F0-9E6A6ED0A1AE}"/>
    <hyperlink ref="G1042" r:id="rId2640" xr:uid="{9AAC2449-1F3B-B04B-8DD7-F94F40EB283F}"/>
    <hyperlink ref="D1041" r:id="rId2641" display="https://enzyme.expasy.org/EC/1.1.1.100" xr:uid="{9B9F0DB4-1789-934A-B79B-7DBD0D95E1F2}"/>
    <hyperlink ref="F1041" r:id="rId2642" xr:uid="{C26923E4-9D8F-F047-897F-30E1AD539B5B}"/>
    <hyperlink ref="G1041" r:id="rId2643" xr:uid="{16740636-919F-BE47-86F3-55106096A82E}"/>
    <hyperlink ref="D1040" r:id="rId2644" display="https://enzyme.expasy.org/EC/1.1.1.100" xr:uid="{BF6ED3BE-BA66-BC47-8F6A-66AEAB18C907}"/>
    <hyperlink ref="F1040" r:id="rId2645" xr:uid="{E07B22B7-F91F-5846-A261-25EEDAC48499}"/>
    <hyperlink ref="G1040" r:id="rId2646" xr:uid="{A6AA0BF4-679C-E444-BB42-4EB7D93A7F16}"/>
    <hyperlink ref="D1039" r:id="rId2647" display="https://enzyme.expasy.org/EC/1.1.1.100" xr:uid="{30CB40E9-4210-4649-8EAF-8578801CD491}"/>
    <hyperlink ref="F1039" r:id="rId2648" xr:uid="{9E080C79-75CF-A641-B942-6C5867F3E236}"/>
    <hyperlink ref="G1039" r:id="rId2649" xr:uid="{FD42763D-07E5-F14F-A9D7-91829A244D33}"/>
    <hyperlink ref="D1038" r:id="rId2650" display="https://enzyme.expasy.org/EC/1.1.1.100" xr:uid="{A03C58DB-7267-AB48-91B9-B50FB2A34667}"/>
    <hyperlink ref="F1038" r:id="rId2651" xr:uid="{60230073-1732-5040-8184-E8C92424579F}"/>
    <hyperlink ref="G1038" r:id="rId2652" xr:uid="{1A7B9908-4708-1842-8F15-CEC24FBBBCD6}"/>
    <hyperlink ref="F2383" r:id="rId2653" xr:uid="{AA9D7D34-A7AC-7942-841D-D3FF6976D0FE}"/>
    <hyperlink ref="G2383" r:id="rId2654" xr:uid="{2FB4E70E-EED8-084B-A578-135B0B4A17E6}"/>
    <hyperlink ref="D2382" r:id="rId2655" display="https://enzyme.expasy.org/EC/1.1.1.100" xr:uid="{75FAC74F-C573-A24F-9BA1-129ECD903E26}"/>
    <hyperlink ref="F2382" r:id="rId2656" xr:uid="{6BC83C77-ADFC-034C-9E3D-4CC47683C265}"/>
    <hyperlink ref="G2382" r:id="rId2657" xr:uid="{76D7D771-354E-B34D-9D4A-DB224F40BA1D}"/>
    <hyperlink ref="D2381" r:id="rId2658" display="https://enzyme.expasy.org/EC/1.1.1.100" xr:uid="{482E411C-1184-164F-A84A-FB6FDCF92892}"/>
    <hyperlink ref="F2381" r:id="rId2659" xr:uid="{4542AC50-2354-DD4B-BF1D-A85712AA326A}"/>
    <hyperlink ref="G2381" r:id="rId2660" xr:uid="{6A73DD7A-9525-B243-A473-3C6D90E2D9C7}"/>
    <hyperlink ref="D2380" r:id="rId2661" display="https://enzyme.expasy.org/EC/1.1.1.100" xr:uid="{1077A6F8-295C-594F-B0C2-5F2D3BE34CE4}"/>
    <hyperlink ref="F2380" r:id="rId2662" xr:uid="{B60C0120-B8AA-2249-A7F0-E5A54E80CFE1}"/>
    <hyperlink ref="G2380" r:id="rId2663" xr:uid="{ADEE4D6D-2866-9C4D-A847-A24463617564}"/>
    <hyperlink ref="D2379" r:id="rId2664" display="https://enzyme.expasy.org/EC/1.1.1.100" xr:uid="{C901894C-4566-D945-9C92-B9F607015E6D}"/>
    <hyperlink ref="F2379" r:id="rId2665" xr:uid="{BE0DCFC9-D021-7F48-9501-30EE8025DCB4}"/>
    <hyperlink ref="G2379" r:id="rId2666" xr:uid="{0F649020-9414-4D40-A3AA-EF48DAC0798C}"/>
    <hyperlink ref="D2378" r:id="rId2667" display="https://enzyme.expasy.org/EC/1.1.1.100" xr:uid="{EAC1EB88-4B57-B34C-950B-5711BDE41B2A}"/>
    <hyperlink ref="F2378" r:id="rId2668" xr:uid="{F4930386-763D-6844-9E33-49EA4CAC777D}"/>
    <hyperlink ref="G2378" r:id="rId2669" xr:uid="{2E4EC09B-3349-AD47-BC81-D591740E09E5}"/>
    <hyperlink ref="D2377" r:id="rId2670" display="https://enzyme.expasy.org/EC/1.1.1.100" xr:uid="{EFC9ED96-E558-A243-BCAE-3E2F22F6A731}"/>
    <hyperlink ref="F2377" r:id="rId2671" xr:uid="{B7D0F5A0-DEBD-014C-B49B-223B76940C81}"/>
    <hyperlink ref="G2377" r:id="rId2672" xr:uid="{A15381E2-275F-014F-8EE6-9F1A5E92B3C8}"/>
    <hyperlink ref="D2376" r:id="rId2673" display="https://enzyme.expasy.org/EC/1.1.1.100" xr:uid="{08F7F48D-412C-9A49-8426-6944A4E936F4}"/>
    <hyperlink ref="F2376" r:id="rId2674" xr:uid="{994A5D71-015A-254D-BD51-C88448DF5C43}"/>
    <hyperlink ref="G2376" r:id="rId2675" xr:uid="{97548D71-FC77-C84E-9F60-F04739B02DC3}"/>
    <hyperlink ref="D2375" r:id="rId2676" display="https://enzyme.expasy.org/EC/1.1.1.100" xr:uid="{A96CCBE8-11DA-564C-9662-353D120DC68A}"/>
    <hyperlink ref="F2375" r:id="rId2677" xr:uid="{83840724-739C-DB42-8322-9134145414EB}"/>
    <hyperlink ref="G2375" r:id="rId2678" xr:uid="{E9FAB712-DB31-7F4B-845E-8EF2D9D2516D}"/>
    <hyperlink ref="D2374" r:id="rId2679" display="https://enzyme.expasy.org/EC/1.1.1.100" xr:uid="{69F100F9-53E6-5240-8843-7AD978547835}"/>
    <hyperlink ref="F2374" r:id="rId2680" xr:uid="{C39EE192-BAB3-FF4D-8D54-4BF064BF512A}"/>
    <hyperlink ref="G2374" r:id="rId2681" xr:uid="{0B9A0CB6-BC79-2E4A-9592-71CCC695ED4F}"/>
    <hyperlink ref="D2373" r:id="rId2682" display="https://enzyme.expasy.org/EC/1.1.1.100" xr:uid="{DA5A9998-3965-574C-A3AB-AABBF943F372}"/>
    <hyperlink ref="F2373" r:id="rId2683" xr:uid="{E1FA7418-B77F-E046-99EF-4FE04A8F5FB7}"/>
    <hyperlink ref="G2373" r:id="rId2684" xr:uid="{F3EC9FFF-50C5-DF43-8BC2-4F31D1E77635}"/>
    <hyperlink ref="F2393" r:id="rId2685" xr:uid="{C182E8E4-7EB7-EB48-A2D4-8FEAEF55EC65}"/>
    <hyperlink ref="F2398" r:id="rId2686" xr:uid="{BC6A3A49-C58D-494E-8BEA-AFC0A6FF34C1}"/>
    <hyperlink ref="G2398" r:id="rId2687" xr:uid="{D560DA64-5051-4B47-A529-3744B7806A9E}"/>
    <hyperlink ref="D2397" r:id="rId2688" display="https://enzyme.expasy.org/EC/3.5.1.2" xr:uid="{FDB569E0-B61A-2E46-88F8-04CCCAC1C768}"/>
    <hyperlink ref="F2397" r:id="rId2689" xr:uid="{C720BAAC-87F8-9645-9C01-8D9B185B0165}"/>
    <hyperlink ref="G2397" r:id="rId2690" xr:uid="{08C5369A-2714-EB41-97DF-D6C2A92F790E}"/>
    <hyperlink ref="D2396" r:id="rId2691" display="https://enzyme.expasy.org/EC/3.5.1.2" xr:uid="{FB1599F9-AA70-BC46-9D9D-19643BBE63EF}"/>
    <hyperlink ref="F2396" r:id="rId2692" xr:uid="{C0DE0C6F-0612-DB49-AEE7-811D3318CBB7}"/>
    <hyperlink ref="G2396" r:id="rId2693" xr:uid="{A0372632-4B40-AC45-8DE2-D231F33E0CD9}"/>
    <hyperlink ref="F2405" r:id="rId2694" xr:uid="{7185296D-2759-D349-90BC-9B038E699080}"/>
    <hyperlink ref="G2405" r:id="rId2695" xr:uid="{8E95E33A-BAA9-F64C-B993-C04DFE28C9C3}"/>
    <hyperlink ref="D2404" r:id="rId2696" display="https://enzyme.expasy.org/EC/6.3.3.3" xr:uid="{282451D6-C477-324E-B332-53B6C6365A20}"/>
    <hyperlink ref="F2404" r:id="rId2697" xr:uid="{3BB8D64B-BD1A-4E4B-B1E0-CA85B35F53DE}"/>
    <hyperlink ref="G2404" r:id="rId2698" xr:uid="{6E62F40B-C711-BF43-B1DC-BA475D566ED7}"/>
    <hyperlink ref="D2403" r:id="rId2699" display="https://enzyme.expasy.org/EC/6.3.3.3" xr:uid="{19044D38-39AB-6240-84F4-152AEA3A09CD}"/>
    <hyperlink ref="F2403" r:id="rId2700" xr:uid="{7AF9322E-A715-6E4D-A76F-DF573F38EB9F}"/>
    <hyperlink ref="G2403" r:id="rId2701" xr:uid="{BDCF9E4D-412D-D64E-8902-3D008E752378}"/>
    <hyperlink ref="F2406" r:id="rId2702" xr:uid="{35F1AABA-F2EF-5642-9739-1ABD9E3EE8A4}"/>
    <hyperlink ref="G2406" r:id="rId2703" xr:uid="{288ECDF5-89F7-154D-B88E-990DA03190F1}"/>
    <hyperlink ref="F2409" r:id="rId2704" xr:uid="{8FF50BFC-C575-594B-A57D-3D2E02164FF2}"/>
    <hyperlink ref="G2409" r:id="rId2705" xr:uid="{9A96D3ED-2058-5A45-95B7-FE49BFDC24EE}"/>
    <hyperlink ref="F2410" r:id="rId2706" xr:uid="{5A1DF6E8-2219-A44C-929F-23CE42FA5609}"/>
    <hyperlink ref="G2410" r:id="rId2707" xr:uid="{A38C1107-7A67-024F-929B-6DF1CC20C4FB}"/>
    <hyperlink ref="F2412" r:id="rId2708" xr:uid="{5647698B-FE20-3C41-9243-02459D86287A}"/>
    <hyperlink ref="G2412" r:id="rId2709" xr:uid="{20A38BCA-D710-2D4D-8FD6-923AA41A6C0E}"/>
    <hyperlink ref="F2414" r:id="rId2710" xr:uid="{1842868F-41E9-F344-8331-C9A42E7BE772}"/>
    <hyperlink ref="G2414" r:id="rId2711" xr:uid="{84A61C28-1520-C247-8A1A-C7F2D0EBF442}"/>
    <hyperlink ref="D2411" r:id="rId2712" display="https://enzyme.expasy.org/EC/2.3.1.54" xr:uid="{944AC1FD-2DB4-DB49-B47C-846E42A938DE}"/>
    <hyperlink ref="F2411" r:id="rId2713" xr:uid="{F59030E0-BC2E-1D4F-B9A1-860DF32FD02B}"/>
    <hyperlink ref="G2411" r:id="rId2714" xr:uid="{26CC5E06-36B1-514D-9DB7-5C3909E02764}"/>
    <hyperlink ref="D2413" r:id="rId2715" display="https://enzyme.expasy.org/EC/2.3.1.54" xr:uid="{7E710394-A743-A044-A667-7F704500D163}"/>
    <hyperlink ref="F2413" r:id="rId2716" xr:uid="{B302E7DC-5A53-4341-B67D-A3AFEEB0BD24}"/>
    <hyperlink ref="G2413" r:id="rId2717" xr:uid="{5638B9AF-E673-F045-A980-8DDBC084FCE0}"/>
    <hyperlink ref="F2429" r:id="rId2718" xr:uid="{0E763309-1E8D-2A4B-BC69-73400593AAA4}"/>
    <hyperlink ref="G2429" r:id="rId2719" xr:uid="{38942EF3-F10D-E34D-902F-A630D3E6663F}"/>
    <hyperlink ref="D2428" r:id="rId2720" display="https://enzyme.expasy.org/EC/3.6.1.9" xr:uid="{19CBAD2F-E345-D14C-A316-ECACA161B005}"/>
    <hyperlink ref="F2428" r:id="rId2721" xr:uid="{65B6D8E5-2886-1C41-95AD-CD573492511F}"/>
    <hyperlink ref="G2428" r:id="rId2722" xr:uid="{EF5C96A1-5AEF-4243-B859-275EDE13E7C8}"/>
    <hyperlink ref="D2427" r:id="rId2723" display="https://enzyme.expasy.org/EC/3.6.1.9" xr:uid="{0F5EB720-188C-BE43-9604-968F3005216B}"/>
    <hyperlink ref="F2427" r:id="rId2724" xr:uid="{A2CA5E7B-C4F6-C24F-A65C-E561B23327E8}"/>
    <hyperlink ref="G2427" r:id="rId2725" xr:uid="{35215A92-BE2B-B542-A1A2-A7047A668CD3}"/>
    <hyperlink ref="D2426" r:id="rId2726" display="https://enzyme.expasy.org/EC/3.6.1.9" xr:uid="{5B5A582D-793D-C641-8970-C5AA64DA5D06}"/>
    <hyperlink ref="F2426" r:id="rId2727" xr:uid="{2D813068-A9D2-004F-AAD1-2B87F2C6ABF7}"/>
    <hyperlink ref="G2426" r:id="rId2728" xr:uid="{ADDFCC89-9AFE-0B45-8ADB-22196E2C6B45}"/>
    <hyperlink ref="D2425" r:id="rId2729" display="https://enzyme.expasy.org/EC/3.6.1.9" xr:uid="{6005A49D-9D41-DF4E-93A9-7C7140B87F3D}"/>
    <hyperlink ref="F2425" r:id="rId2730" xr:uid="{36A94DBE-2DAF-EB49-8C31-3C7C70135942}"/>
    <hyperlink ref="G2425" r:id="rId2731" xr:uid="{FC6B6B15-AC89-9342-A78A-FA0D1F9F166F}"/>
    <hyperlink ref="D2424" r:id="rId2732" display="https://enzyme.expasy.org/EC/3.6.1.9" xr:uid="{DA711FD1-ED6C-A947-A6B1-F05BA55B1BE4}"/>
    <hyperlink ref="F2424" r:id="rId2733" xr:uid="{E80E2B52-3416-864D-8D9F-FB44B5B6D412}"/>
    <hyperlink ref="G2424" r:id="rId2734" xr:uid="{20E1802A-8940-974C-9BA1-A416C66F10F6}"/>
    <hyperlink ref="D2423" r:id="rId2735" display="https://enzyme.expasy.org/EC/3.6.1.9" xr:uid="{FAF4AA98-3F5C-3A4C-AA08-654B1035A0C2}"/>
    <hyperlink ref="F2423" r:id="rId2736" xr:uid="{E3AF538B-5F94-0647-BC81-F5621979DC0C}"/>
    <hyperlink ref="G2423" r:id="rId2737" xr:uid="{9024950F-F61B-6141-BA80-1D88F363858E}"/>
    <hyperlink ref="D2422" r:id="rId2738" display="https://enzyme.expasy.org/EC/3.6.1.9" xr:uid="{2449FA67-5206-BC43-A0E9-14BBB6212466}"/>
    <hyperlink ref="F2422" r:id="rId2739" xr:uid="{1180F2C3-BAE0-2A4D-92DE-BC5CDE49E913}"/>
    <hyperlink ref="G2422" r:id="rId2740" xr:uid="{C91CED72-B094-4547-8160-B1735F76E953}"/>
    <hyperlink ref="D2421" r:id="rId2741" display="https://enzyme.expasy.org/EC/3.6.1.9" xr:uid="{6CD4369E-FDAA-F641-9894-F0C680AE11AA}"/>
    <hyperlink ref="F2421" r:id="rId2742" xr:uid="{23F398BB-A95C-BC47-A76D-EC025F1557B8}"/>
    <hyperlink ref="G2421" r:id="rId2743" xr:uid="{F8BF27D9-E1C4-524A-A787-84072C82DF67}"/>
    <hyperlink ref="D2420" r:id="rId2744" display="https://enzyme.expasy.org/EC/3.6.1.9" xr:uid="{B595AFA8-7599-0C40-AAF9-6AE1E195E2E8}"/>
    <hyperlink ref="F2420" r:id="rId2745" xr:uid="{770BC373-2E48-5741-8BAD-0DA3A532A037}"/>
    <hyperlink ref="G2420" r:id="rId2746" xr:uid="{C9E8CF17-28B5-1840-AE2F-EBBCD25F92A6}"/>
    <hyperlink ref="D2419" r:id="rId2747" display="https://enzyme.expasy.org/EC/3.6.1.9" xr:uid="{3FFDF2A5-90B0-3641-957C-207F6DE0D8A6}"/>
    <hyperlink ref="F2419" r:id="rId2748" xr:uid="{0AB43B14-5BAC-E84A-8339-1FDCD6FE02D5}"/>
    <hyperlink ref="G2419" r:id="rId2749" xr:uid="{A95690FD-D0D5-E94A-9053-8007FC8A4E69}"/>
    <hyperlink ref="F2430" r:id="rId2750" xr:uid="{4622AC86-5656-084C-A82F-E8892EDD06BB}"/>
    <hyperlink ref="G2430" r:id="rId2751" xr:uid="{8AD3FD15-1995-0344-B299-08CD446B66F5}"/>
    <hyperlink ref="F2432" r:id="rId2752" xr:uid="{D6E9535F-D07D-734B-B2A2-8F20BC45E88D}"/>
    <hyperlink ref="G2432" r:id="rId2753" xr:uid="{425740D5-CFA3-5045-8DEF-4951ACDD9E3C}"/>
    <hyperlink ref="F2437" r:id="rId2754" xr:uid="{EFC6607A-C2FD-0042-91FA-E27907CF8165}"/>
    <hyperlink ref="G2437" r:id="rId2755" xr:uid="{68412E7E-19B0-3B43-862E-77AEB8EFD65A}"/>
    <hyperlink ref="F2480" r:id="rId2756" xr:uid="{AA069423-B004-284A-8F93-85C2B71AA209}"/>
    <hyperlink ref="G2480" r:id="rId2757" xr:uid="{36D03EC5-2029-9344-BEC3-DFE82E590F1D}"/>
    <hyperlink ref="F2485" r:id="rId2758" xr:uid="{20EF1790-C8EA-E842-8DC6-82B8B33BD77C}"/>
    <hyperlink ref="G2485" r:id="rId2759" xr:uid="{207E5300-1BF8-CE4B-8267-DF03DA9A73FA}"/>
    <hyperlink ref="D2484" r:id="rId2760" display="https://enzyme.expasy.org/EC/2.5.1.47" xr:uid="{12A53362-5226-F94E-A5D0-0C28A478AA44}"/>
    <hyperlink ref="F2484" r:id="rId2761" xr:uid="{65332911-45D8-4748-95F7-0E2948C757FE}"/>
    <hyperlink ref="G2484" r:id="rId2762" xr:uid="{15EC98E6-B374-ED43-A751-0CA72F38FFC3}"/>
    <hyperlink ref="D2483" r:id="rId2763" display="https://enzyme.expasy.org/EC/2.5.1.47" xr:uid="{4A1CAD82-75B1-7F45-993A-DD0765A1373F}"/>
    <hyperlink ref="F2483" r:id="rId2764" xr:uid="{B7FF4DC6-DDCF-8940-B99B-D78F223DCEEF}"/>
    <hyperlink ref="G2483" r:id="rId2765" xr:uid="{F177B631-65BF-FA43-8B64-2D821B6540D9}"/>
    <hyperlink ref="D2482" r:id="rId2766" display="https://enzyme.expasy.org/EC/2.5.1.47" xr:uid="{B577C5BC-6553-CE46-AB07-7E58A2BDA9CA}"/>
    <hyperlink ref="F2482" r:id="rId2767" xr:uid="{E32B8F0B-5C8B-8547-AA11-94EC2A4C3977}"/>
    <hyperlink ref="G2482" r:id="rId2768" xr:uid="{576BC1C0-B66C-E141-A427-83B46474F6B5}"/>
    <hyperlink ref="F2486" r:id="rId2769" xr:uid="{7E57985A-A3A9-9F44-B9F9-1352FB6C5EC8}"/>
    <hyperlink ref="G2486" r:id="rId2770" xr:uid="{857DCB9C-8E80-E641-8FD6-0375175F6F94}"/>
    <hyperlink ref="F2497" r:id="rId2771" xr:uid="{7CDF7781-6693-9743-9113-484D06EF0A28}"/>
    <hyperlink ref="F2501" r:id="rId2772" xr:uid="{050ECFE9-2F69-2746-BB57-B84EA6CA79DF}"/>
    <hyperlink ref="G2501" r:id="rId2773" xr:uid="{75A5BBDA-D2E1-F74A-BA55-0F3A77FABD6B}"/>
    <hyperlink ref="F2503" r:id="rId2774" xr:uid="{BBFB82A7-66AA-5F43-94A8-5C649C4E9B64}"/>
    <hyperlink ref="G2503" r:id="rId2775" xr:uid="{A76F60A8-7A0B-5141-ACF5-AE29769C0BB6}"/>
    <hyperlink ref="F2511" r:id="rId2776" xr:uid="{5B8F1A7D-4332-904C-976E-050862224F44}"/>
    <hyperlink ref="G2511" r:id="rId2777" xr:uid="{EE32E97C-4355-5A42-96FE-47A8EF90EE8B}"/>
    <hyperlink ref="D2510" r:id="rId2778" display="https://enzyme.expasy.org/EC/2.6.1.21" xr:uid="{AF83E2E3-250C-6142-B2F6-C43221C9DE7E}"/>
    <hyperlink ref="F2510" r:id="rId2779" xr:uid="{C0C60EF7-0F77-4B43-BC3A-0E3470FEFD72}"/>
    <hyperlink ref="G2510" r:id="rId2780" xr:uid="{AEDD869E-6352-434F-A9DA-D98A792CC12A}"/>
    <hyperlink ref="D2509" r:id="rId2781" display="https://enzyme.expasy.org/EC/2.6.1.21" xr:uid="{33AEF6C3-18F3-B94B-BB8E-86BB13567E09}"/>
    <hyperlink ref="F2509" r:id="rId2782" xr:uid="{4DE4E78C-BDBC-9D41-AD6D-2DF6431FA163}"/>
    <hyperlink ref="G2509" r:id="rId2783" xr:uid="{66E52C32-461E-FE41-A4A5-C6DB814AEC92}"/>
    <hyperlink ref="D2508" r:id="rId2784" display="https://enzyme.expasy.org/EC/2.6.1.21" xr:uid="{A7FDD553-9EBF-0E43-8C93-906659C260BF}"/>
    <hyperlink ref="F2508" r:id="rId2785" xr:uid="{FDFBC613-F201-284B-864D-4AC371510F24}"/>
    <hyperlink ref="G2508" r:id="rId2786" xr:uid="{AD5DADB7-CB6B-1346-9C75-7909D0151EBB}"/>
    <hyperlink ref="D2507" r:id="rId2787" display="https://enzyme.expasy.org/EC/2.6.1.21" xr:uid="{B1A05B9F-570A-FA40-A8C3-B3C8A2930FD8}"/>
    <hyperlink ref="F2507" r:id="rId2788" xr:uid="{0B9D8F9E-6A02-E24E-BA69-922EE3B3A6AC}"/>
    <hyperlink ref="G2507" r:id="rId2789" xr:uid="{542B8E44-BEF3-C440-9220-C1068FED2AA2}"/>
    <hyperlink ref="D2506" r:id="rId2790" display="https://enzyme.expasy.org/EC/2.6.1.21" xr:uid="{8D173CE2-7C93-B64C-A12E-9BC02DFE4410}"/>
    <hyperlink ref="F2506" r:id="rId2791" xr:uid="{393A095F-6994-0040-9301-371AB238E533}"/>
    <hyperlink ref="G2506" r:id="rId2792" xr:uid="{F3FB1094-FC89-A640-8660-417AD3E3E8EA}"/>
    <hyperlink ref="D2505" r:id="rId2793" display="https://enzyme.expasy.org/EC/2.6.1.21" xr:uid="{5402B279-DEED-E848-88DC-ED5DBAB5731E}"/>
    <hyperlink ref="F2505" r:id="rId2794" xr:uid="{1338C863-25D3-794A-ABF8-A38E779B685C}"/>
    <hyperlink ref="G2505" r:id="rId2795" xr:uid="{35B94D53-4AF5-6440-801C-D8C93B05BD48}"/>
    <hyperlink ref="F2514" r:id="rId2796" xr:uid="{D46E116A-4E1B-CA47-83F0-F6DFCF23CA08}"/>
    <hyperlink ref="G2514" r:id="rId2797" xr:uid="{327B1D62-CF0D-8B44-BAB1-2016AB1B92C4}"/>
    <hyperlink ref="F2515" r:id="rId2798" xr:uid="{307A6887-D9B6-AA41-9A2A-1A6B188A746F}"/>
    <hyperlink ref="G2515" r:id="rId2799" xr:uid="{A0D8873D-1FD0-0041-B1AB-BF8ED6A3A3D2}"/>
    <hyperlink ref="G2540" r:id="rId2800" xr:uid="{58D6AD7B-C1A6-4D47-B893-0CED31BA32D7}"/>
    <hyperlink ref="G2541" r:id="rId2801" xr:uid="{35AD3E42-D3FA-F14F-83FD-38DA1E679BC1}"/>
    <hyperlink ref="F2540" r:id="rId2802" xr:uid="{2E06FDA7-2B78-5A40-9212-B25038455A4D}"/>
    <hyperlink ref="F2541" r:id="rId2803" xr:uid="{39FA645E-B888-1847-91EC-4ED9F691E0B3}"/>
    <hyperlink ref="F2546" r:id="rId2804" xr:uid="{17F4B494-B713-AC4B-9767-35FD0EE61313}"/>
    <hyperlink ref="F2547" r:id="rId2805" xr:uid="{53EBED71-F9AD-E545-9B01-F585C5A6FF6B}"/>
    <hyperlink ref="G2547" r:id="rId2806" xr:uid="{EF4461AC-8BB6-7C46-842E-A71AAB3F2FF7}"/>
    <hyperlink ref="F2550" r:id="rId2807" xr:uid="{69D4CC44-AAC2-9741-8710-B6EDAC9D5970}"/>
    <hyperlink ref="G2550" r:id="rId2808" xr:uid="{6291B73D-7B91-3144-A3C9-3AE908BCB526}"/>
    <hyperlink ref="D2549" r:id="rId2809" display="https://enzyme.expasy.org/EC/4.3.2.2" xr:uid="{CFFEE7FB-4803-584A-A9B9-DFE1734ED6A8}"/>
    <hyperlink ref="F2549" r:id="rId2810" xr:uid="{536F46CA-478F-9741-A484-147B73007257}"/>
    <hyperlink ref="G2549" r:id="rId2811" xr:uid="{8F3E9EBB-5DE3-454F-8D9A-999FEE3E462D}"/>
    <hyperlink ref="D2548" r:id="rId2812" display="https://enzyme.expasy.org/EC/4.3.2.2" xr:uid="{AEEB0BC3-80E2-3D46-B305-CB4A6F9E26DE}"/>
    <hyperlink ref="F2548" r:id="rId2813" xr:uid="{8312145A-1615-8B44-BCC5-4123F8845332}"/>
    <hyperlink ref="G2548" r:id="rId2814" xr:uid="{563A4E19-55DF-6C45-A515-6594D40BABC8}"/>
    <hyperlink ref="F2551" r:id="rId2815" xr:uid="{D98625D3-49B8-8844-80CE-2FE8435D580E}"/>
    <hyperlink ref="G2551" r:id="rId2816" xr:uid="{0E07F931-30BD-674D-BEC9-8D408982C091}"/>
    <hyperlink ref="F2555" r:id="rId2817" xr:uid="{B6A40280-2E3B-4643-9731-DDCAFA4CEDA4}"/>
    <hyperlink ref="G2555" r:id="rId2818" xr:uid="{F62BB8EF-B9B9-C74C-B412-8BAB444B59BC}"/>
    <hyperlink ref="F2563" r:id="rId2819" xr:uid="{FE67FBFD-FEF9-1B4E-AECE-5EE1071DF625}"/>
    <hyperlink ref="G2563" r:id="rId2820" xr:uid="{3355EE1C-AA3F-1442-8A91-BD79EEAB3E83}"/>
    <hyperlink ref="D2562" r:id="rId2821" display="https://enzyme.expasy.org/EC/3.1.3.12" xr:uid="{9B394618-64C0-2E4D-A001-78774506DD63}"/>
    <hyperlink ref="F2562" r:id="rId2822" xr:uid="{08BF6C72-C261-D14A-AC6B-EC665A7B58AC}"/>
    <hyperlink ref="G2562" r:id="rId2823" xr:uid="{E468BEFD-7FB0-6644-B0F1-84A2345C3D23}"/>
    <hyperlink ref="F2571" r:id="rId2824" xr:uid="{60DBAF3D-12CB-3546-9CD6-B4B76A7AE0B2}"/>
    <hyperlink ref="G2571" r:id="rId2825" xr:uid="{FDC5DD3B-E196-854A-8B29-FC10EB733067}"/>
    <hyperlink ref="F2572" r:id="rId2826" xr:uid="{B135A9C6-AF16-2A40-B63A-803832531069}"/>
    <hyperlink ref="G2572" r:id="rId2827" xr:uid="{299B08DE-94D3-7745-A651-BA0A0A5F89EE}"/>
    <hyperlink ref="F2573" r:id="rId2828" xr:uid="{A36DC02E-2430-7648-9E48-6C3EE2EB4AFF}"/>
    <hyperlink ref="G2573" r:id="rId2829" xr:uid="{B46BD81A-E8DD-F041-8B3B-8B8D6622A8ED}"/>
    <hyperlink ref="F2579" r:id="rId2830" xr:uid="{2E43B561-20D9-DF40-96C5-F6BE9186113E}"/>
    <hyperlink ref="G2579" r:id="rId2831" xr:uid="{EA5ACA8C-51D6-2448-B662-2E7DD192912A}"/>
    <hyperlink ref="D2578" r:id="rId2832" display="https://enzyme.expasy.org/EC/4.2.1.1" xr:uid="{0D160572-9EC1-F142-9242-20D142CCD8FA}"/>
    <hyperlink ref="F2578" r:id="rId2833" xr:uid="{D722DFE1-A416-B34F-951C-B1DA9AC6CF4A}"/>
    <hyperlink ref="G2578" r:id="rId2834" xr:uid="{8AB7D670-E88C-9A44-B040-D11CD350A4F3}"/>
    <hyperlink ref="F2591" r:id="rId2835" xr:uid="{7086E2E6-0C73-3443-A9D4-A20F521AF280}"/>
    <hyperlink ref="G2591" r:id="rId2836" xr:uid="{74BCB5A6-B9B9-5D42-AD71-52CEF5B45E67}"/>
    <hyperlink ref="D2590" r:id="rId2837" display="https://enzyme.expasy.org/EC/2.5.1.32" xr:uid="{B63A3638-5D29-DD4B-95D1-015AC93C0616}"/>
    <hyperlink ref="F2590" r:id="rId2838" xr:uid="{79747A73-B0B7-6340-BBB8-1123C6932AF7}"/>
    <hyperlink ref="G2590" r:id="rId2839" xr:uid="{BC06BC24-254B-174F-94B2-C7FD423E5E90}"/>
    <hyperlink ref="D2589" r:id="rId2840" display="https://enzyme.expasy.org/EC/2.5.1.32" xr:uid="{BFC6F015-8FEF-1348-81ED-67990850B9C3}"/>
    <hyperlink ref="F2589" r:id="rId2841" xr:uid="{A4D98AF8-BAC1-314B-9710-DCB201AF097B}"/>
    <hyperlink ref="G2589" r:id="rId2842" xr:uid="{68E9A7F4-5992-1343-B422-9162FD43C813}"/>
    <hyperlink ref="D2588" r:id="rId2843" display="https://enzyme.expasy.org/EC/2.5.1.32" xr:uid="{8EF54001-E8A4-1842-8D65-1EE315BEB5B3}"/>
    <hyperlink ref="F2588" r:id="rId2844" xr:uid="{CE78FCE5-F48C-D84E-B9D8-3EEE81A856A9}"/>
    <hyperlink ref="G2588" r:id="rId2845" xr:uid="{D6DD32C6-E378-4743-B274-D9DBA745644E}"/>
    <hyperlink ref="D2587" r:id="rId2846" display="https://enzyme.expasy.org/EC/2.5.1.32" xr:uid="{DDD7456C-D8C6-6F40-9B9F-C4EB693F49B3}"/>
    <hyperlink ref="F2587" r:id="rId2847" xr:uid="{99FC228A-986E-814D-B2D1-9D6AC3C9B271}"/>
    <hyperlink ref="G2587" r:id="rId2848" xr:uid="{E1AC9D6D-2CCE-0D4B-A646-8431751766F8}"/>
    <hyperlink ref="F2597" r:id="rId2849" xr:uid="{9504E46C-4D01-EE42-BABE-4568A362FD4A}"/>
    <hyperlink ref="G2597" r:id="rId2850" xr:uid="{71642844-BC7C-E248-BA27-4883F77C06BF}"/>
    <hyperlink ref="D2596" r:id="rId2851" display="https://enzyme.expasy.org/EC/1.3.8.2" xr:uid="{2E8D4A5B-6BDF-3E47-A9BD-BBAB43681C87}"/>
    <hyperlink ref="F2596" r:id="rId2852" xr:uid="{6BC805D0-040B-0C40-BBE6-1F8EE8420CA5}"/>
    <hyperlink ref="G2596" r:id="rId2853" xr:uid="{1898E1C1-C233-B64C-8AB6-B242F50E4AC9}"/>
    <hyperlink ref="D2595" r:id="rId2854" display="https://enzyme.expasy.org/EC/1.3.8.2" xr:uid="{52D4FA6C-A1D1-774C-915C-0045529835BF}"/>
    <hyperlink ref="F2595" r:id="rId2855" xr:uid="{B1FA6305-1025-F548-B823-830216AD1BF8}"/>
    <hyperlink ref="G2595" r:id="rId2856" xr:uid="{C4436891-AE60-B340-9476-6854B4E2B4A0}"/>
    <hyperlink ref="D2594" r:id="rId2857" display="https://enzyme.expasy.org/EC/1.3.8.2" xr:uid="{9A685074-2D6B-5C4E-910A-C27083C690FB}"/>
    <hyperlink ref="F2594" r:id="rId2858" xr:uid="{AAE3231A-E273-5744-8B30-1AEEA08B2097}"/>
    <hyperlink ref="G2594" r:id="rId2859" xr:uid="{5E6FCD3E-5129-9D44-B5B5-CE7116D3D242}"/>
    <hyperlink ref="D2593" r:id="rId2860" display="https://enzyme.expasy.org/EC/1.3.8.2" xr:uid="{958B634A-38CE-D941-A3B5-44A318E19C6F}"/>
    <hyperlink ref="F2593" r:id="rId2861" xr:uid="{9F891076-DA79-3B44-867D-76DAF9FB910D}"/>
    <hyperlink ref="G2593" r:id="rId2862" xr:uid="{899FCE00-7CD6-B44A-8F3F-A89861B58D5A}"/>
    <hyperlink ref="D2592" r:id="rId2863" display="https://enzyme.expasy.org/EC/1.3.8.2" xr:uid="{E9CA4FE7-0ED5-1646-BABF-4AA698007610}"/>
    <hyperlink ref="F2592" r:id="rId2864" xr:uid="{AFAE3CB3-0812-F84B-AE2C-31B081E26BC8}"/>
    <hyperlink ref="G2592" r:id="rId2865" xr:uid="{75D28890-254C-F843-93EA-E167B841A572}"/>
    <hyperlink ref="F2598" r:id="rId2866" xr:uid="{A55AC09B-FF91-AB44-8BA7-9987B166C0FD}"/>
    <hyperlink ref="G2598" r:id="rId2867" xr:uid="{2EC6926C-77F4-C343-BFDF-750984F38970}"/>
    <hyperlink ref="F2603" r:id="rId2868" xr:uid="{1FF957E7-AB97-6948-9135-683576957FD9}"/>
    <hyperlink ref="F2604" r:id="rId2869" xr:uid="{78ADAA5F-171E-6747-B3DB-F13732417314}"/>
    <hyperlink ref="F2610" r:id="rId2870" xr:uid="{11FD6A09-4665-A440-8A76-9B4A2BF13020}"/>
    <hyperlink ref="G2610" r:id="rId2871" xr:uid="{8275D7F1-A499-A041-B84F-22D1392EE088}"/>
    <hyperlink ref="F2611" r:id="rId2872" xr:uid="{8847D2C7-6B2D-1342-A16F-8D0FB26F84CE}"/>
    <hyperlink ref="G2611" r:id="rId2873" xr:uid="{27ED67D4-F826-1049-AD45-419BE7DE55B1}"/>
    <hyperlink ref="F2613" r:id="rId2874" xr:uid="{438C0D71-426E-584B-8098-5C6216F2B34D}"/>
    <hyperlink ref="G2613" r:id="rId2875" xr:uid="{490C935F-2041-024A-AE8E-D2BA60848285}"/>
    <hyperlink ref="D2612" r:id="rId2876" display="https://enzyme.expasy.org/EC/2.5.1.15" xr:uid="{5531C8AF-3440-E643-9D45-75B3B36F9B65}"/>
    <hyperlink ref="F2612" r:id="rId2877" xr:uid="{F46C72D4-3032-074D-A55D-F157D1C92F2F}"/>
    <hyperlink ref="G2612" r:id="rId2878" xr:uid="{8187B5C1-A24F-1C4B-8381-860A22470C4E}"/>
    <hyperlink ref="F2625" r:id="rId2879" xr:uid="{2FC3AC3E-EAFF-3F43-A076-7E0F589A864A}"/>
    <hyperlink ref="G2625" r:id="rId2880" xr:uid="{E654E49E-12A8-9F41-A04C-E9C1362C3585}"/>
    <hyperlink ref="D2624" r:id="rId2881" display="https://enzyme.expasy.org/EC/2.4.2.8" xr:uid="{F5791377-47C1-A348-BD45-9F9BB743F112}"/>
    <hyperlink ref="F2624" r:id="rId2882" xr:uid="{0DA80953-3298-474D-A327-3667B7355C81}"/>
    <hyperlink ref="G2624" r:id="rId2883" xr:uid="{F0A275E8-909A-EB46-8996-6E2481E71A52}"/>
    <hyperlink ref="D2623" r:id="rId2884" display="https://enzyme.expasy.org/EC/2.4.2.8" xr:uid="{4F181A36-D6C8-144F-AE5D-4E20DC664DCF}"/>
    <hyperlink ref="F2623" r:id="rId2885" xr:uid="{51AB5285-4F5F-EE48-ACDB-FC924585B236}"/>
    <hyperlink ref="G2623" r:id="rId2886" xr:uid="{E7614387-F154-D041-8716-AD0CDA381280}"/>
    <hyperlink ref="D2622" r:id="rId2887" display="https://enzyme.expasy.org/EC/2.4.2.8" xr:uid="{F0D28C54-C53A-0640-8005-C5E757C9C5A6}"/>
    <hyperlink ref="F2622" r:id="rId2888" xr:uid="{2A48A046-BEA5-594D-8CCD-0A17C29720B9}"/>
    <hyperlink ref="G2622" r:id="rId2889" xr:uid="{2CC10032-FEB6-E84B-9DD5-AD35150C605F}"/>
    <hyperlink ref="D2621" r:id="rId2890" display="https://enzyme.expasy.org/EC/2.4.2.8" xr:uid="{C95BBA8C-121B-1B4D-A613-8D159F9354C7}"/>
    <hyperlink ref="F2621" r:id="rId2891" xr:uid="{134BDB9C-D087-694C-A931-6D19A2C62645}"/>
    <hyperlink ref="G2621" r:id="rId2892" xr:uid="{E35BF427-CB1B-6349-B2C7-2B9025EF2FFF}"/>
    <hyperlink ref="D2620" r:id="rId2893" display="https://enzyme.expasy.org/EC/2.4.2.8" xr:uid="{521A4A33-6855-084F-B29B-170E0A47FDE5}"/>
    <hyperlink ref="F2620" r:id="rId2894" xr:uid="{ADF5BFDC-5089-DC49-903F-A880B0161A60}"/>
    <hyperlink ref="G2620" r:id="rId2895" xr:uid="{A243C4FD-EF01-0347-89C7-97D85B970EFF}"/>
    <hyperlink ref="F2627" r:id="rId2896" xr:uid="{541BD2AB-DA77-7745-8959-8642A9FC148A}"/>
    <hyperlink ref="F2628" r:id="rId2897" xr:uid="{1181590F-10DF-FA40-B539-BA5D0D6AAEB6}"/>
    <hyperlink ref="G2628" r:id="rId2898" xr:uid="{632FBBC3-694D-C64F-8489-FA6E62AF86F5}"/>
    <hyperlink ref="F2634" r:id="rId2899" xr:uid="{DC24B3E6-4E9A-AF45-A29C-0886A8B2472B}"/>
    <hyperlink ref="G2634" r:id="rId2900" xr:uid="{66DF1FB1-234F-E94B-9A73-E69FB8BC2F2F}"/>
    <hyperlink ref="D2684" r:id="rId2901" display="https://enzyme.expasy.org/EC/4.1.2.13" xr:uid="{BA978D90-5221-764F-8CBA-5D12B3C27F72}"/>
    <hyperlink ref="F2684" r:id="rId2902" xr:uid="{32292E8C-7E92-4549-9357-6167E4B512B3}"/>
    <hyperlink ref="G2684" r:id="rId2903" xr:uid="{FC460A07-E883-6B4F-88E3-F73AA963F316}"/>
    <hyperlink ref="D2683" r:id="rId2904" display="https://enzyme.expasy.org/EC/4.1.2.13" xr:uid="{7B8688D5-C4C6-CB45-9878-5BF889945558}"/>
    <hyperlink ref="F2683" r:id="rId2905" xr:uid="{0692DCF9-73AF-6A42-9CA8-B989C013EF91}"/>
    <hyperlink ref="G2683" r:id="rId2906" xr:uid="{81D6528E-24A6-424C-B978-A9F6A109ECFB}"/>
    <hyperlink ref="G2685" r:id="rId2907" xr:uid="{AEEA7720-A008-274E-BCB2-B74B250732CC}"/>
    <hyperlink ref="F2685" r:id="rId2908" xr:uid="{3806A47B-02CF-D340-A6D1-CDA84BCE3A75}"/>
    <hyperlink ref="D2685" r:id="rId2909" display="https://enzyme.expasy.org/EC/4.1.2.13" xr:uid="{DFBF3FF7-FCFF-7946-BE31-CC1B916B585E}"/>
    <hyperlink ref="D2682" r:id="rId2910" display="https://enzyme.expasy.org/EC/4.1.2.13" xr:uid="{1FCC9D80-3FF5-504A-BDA4-644CDBE775A7}"/>
    <hyperlink ref="F2682" r:id="rId2911" xr:uid="{2CB4FD5B-E558-0040-9ACF-DDCAA9FFBC62}"/>
    <hyperlink ref="G2682" r:id="rId2912" xr:uid="{9DDD5E44-B0E7-E244-B099-7216C2DB133D}"/>
    <hyperlink ref="F2687" r:id="rId2913" xr:uid="{55651D1F-1901-CF48-BE8E-A9AF8DA11C19}"/>
    <hyperlink ref="G2687" r:id="rId2914" xr:uid="{BD83D63A-2996-BD4A-8188-03DA618FD9A3}"/>
    <hyperlink ref="F2689" r:id="rId2915" xr:uid="{0C556397-E5FD-C541-9C21-E1B2A2C8A3FB}"/>
    <hyperlink ref="G2689" r:id="rId2916" xr:uid="{DFB5951F-6828-5142-AAC8-4E209B77355E}"/>
    <hyperlink ref="D2688" r:id="rId2917" display="https://enzyme.expasy.org/EC/2.4.2.10" xr:uid="{1D7617A0-1B4F-1940-AA05-BE538F59D177}"/>
    <hyperlink ref="F2688" r:id="rId2918" xr:uid="{B534EB14-0781-BE4D-983F-9F7B7574E471}"/>
    <hyperlink ref="G2688" r:id="rId2919" xr:uid="{138EFEAF-9B83-4846-AA9C-9127DB061804}"/>
    <hyperlink ref="F2693" r:id="rId2920" xr:uid="{5174E915-BDE1-5B41-9986-EB0A590B74BB}"/>
    <hyperlink ref="G2693" r:id="rId2921" xr:uid="{C89A36ED-6627-EA4C-8BBA-7C7273AE6C8A}"/>
    <hyperlink ref="D2692" r:id="rId2922" display="https://enzyme.expasy.org/EC/2.8.1.2" xr:uid="{DBA3F625-467A-AA4D-BC4F-981D1A5E0A11}"/>
    <hyperlink ref="F2692" r:id="rId2923" xr:uid="{ADE7489B-EFC9-C64B-9091-013F26852BAB}"/>
    <hyperlink ref="G2692" r:id="rId2924" xr:uid="{966394C0-8965-444B-B249-F61C7CD32D57}"/>
    <hyperlink ref="D2691" r:id="rId2925" display="https://enzyme.expasy.org/EC/2.8.1.2" xr:uid="{31C8503A-B084-284C-A0AA-F33C285DEC27}"/>
    <hyperlink ref="F2691" r:id="rId2926" xr:uid="{8B2727F1-53B0-E249-A727-DF9353021B90}"/>
    <hyperlink ref="G2691" r:id="rId2927" xr:uid="{62FBDAE8-3FA9-9742-B37A-5859719BAD3D}"/>
    <hyperlink ref="F2698" r:id="rId2928" xr:uid="{77DF6DC0-5951-1F47-9618-07B6F51B3C12}"/>
    <hyperlink ref="G2698" r:id="rId2929" xr:uid="{4AF70C64-E56C-E24A-BEED-C44D669B6537}"/>
    <hyperlink ref="D2697" r:id="rId2930" display="https://enzyme.expasy.org/EC/1.18.1.7" xr:uid="{AA165707-D71E-7047-AE26-02DCBDC298F0}"/>
    <hyperlink ref="F2697" r:id="rId2931" xr:uid="{75E42E17-0CCA-0640-AB3B-FAC30BB90FD2}"/>
    <hyperlink ref="G2697" r:id="rId2932" xr:uid="{48F8D076-8890-6349-AB25-40BD8F3059EF}"/>
    <hyperlink ref="F2723" r:id="rId2933" xr:uid="{B4487960-20C9-4E4F-A9DB-6F3D821299FC}"/>
    <hyperlink ref="G2723" r:id="rId2934" xr:uid="{BA770D0A-E142-9F49-8BE9-BF2D30002FB0}"/>
    <hyperlink ref="D2722" r:id="rId2935" display="https://enzyme.expasy.org/EC/1.2.1.3" xr:uid="{B15E2BA8-D699-1544-B986-F902FF6E8485}"/>
    <hyperlink ref="F2722" r:id="rId2936" xr:uid="{28707982-88E5-DB46-819D-9086633BD59E}"/>
    <hyperlink ref="G2722" r:id="rId2937" xr:uid="{F23C5D53-8D07-8C44-B348-2CE915856E9A}"/>
    <hyperlink ref="D2721" r:id="rId2938" display="https://enzyme.expasy.org/EC/1.2.1.3" xr:uid="{70454A74-DE71-D04B-A9DB-EED6A8E9CE36}"/>
    <hyperlink ref="F2721" r:id="rId2939" xr:uid="{F4607F0C-F0C0-D24C-86BA-C8589EEF6A63}"/>
    <hyperlink ref="G2721" r:id="rId2940" xr:uid="{83DC4ECA-F657-E444-AE8D-4D43BB7D450B}"/>
    <hyperlink ref="D2720" r:id="rId2941" display="https://enzyme.expasy.org/EC/1.2.1.3" xr:uid="{3334D02A-CF21-004D-8077-6D8E7F78B9C6}"/>
    <hyperlink ref="F2720" r:id="rId2942" xr:uid="{11B4A3DB-525E-F848-BF12-CBF90F0AC685}"/>
    <hyperlink ref="G2720" r:id="rId2943" xr:uid="{80694B2B-12A8-904D-994D-64D182778C88}"/>
    <hyperlink ref="D2719" r:id="rId2944" display="https://enzyme.expasy.org/EC/1.2.1.3" xr:uid="{76059EDC-97C0-0449-A717-7F12F55FD4EE}"/>
    <hyperlink ref="F2719" r:id="rId2945" xr:uid="{863941AD-E1C7-CD49-B4B6-7B57A6181C4D}"/>
    <hyperlink ref="G2719" r:id="rId2946" xr:uid="{28D21373-77A7-4547-A56E-3E98784FEAFD}"/>
    <hyperlink ref="D2718" r:id="rId2947" display="https://enzyme.expasy.org/EC/1.2.1.3" xr:uid="{3F1FE197-81DA-A34B-9A18-1C9B93709D0A}"/>
    <hyperlink ref="F2718" r:id="rId2948" xr:uid="{79108651-B617-0F44-9BD6-8295C2EDC9B7}"/>
    <hyperlink ref="G2718" r:id="rId2949" xr:uid="{B274B35E-3084-9044-8F3C-1B691A001E97}"/>
    <hyperlink ref="D2717" r:id="rId2950" display="https://enzyme.expasy.org/EC/1.2.1.3" xr:uid="{1B2761D8-0757-194F-ADCD-B66313F9741A}"/>
    <hyperlink ref="F2717" r:id="rId2951" xr:uid="{EC4FA9CC-73B0-0145-B946-74CC0E098E98}"/>
    <hyperlink ref="G2717" r:id="rId2952" xr:uid="{B2966791-14B3-AB46-A37B-C40B7A938428}"/>
    <hyperlink ref="D2716" r:id="rId2953" display="https://enzyme.expasy.org/EC/1.2.1.3" xr:uid="{9710F520-35FE-8645-AF51-CE9DDF81FB05}"/>
    <hyperlink ref="F2716" r:id="rId2954" xr:uid="{F93175F4-0B2B-8C46-B8BE-DDB7797F9958}"/>
    <hyperlink ref="G2716" r:id="rId2955" xr:uid="{CA6D3098-223D-D347-AEDD-205090C3E700}"/>
    <hyperlink ref="D2715" r:id="rId2956" display="https://enzyme.expasy.org/EC/1.2.1.3" xr:uid="{D1A9790B-3C65-324A-8F61-DD024C8524D9}"/>
    <hyperlink ref="F2715" r:id="rId2957" xr:uid="{575AAD42-27E2-DC40-ABB6-B5B45EBEE802}"/>
    <hyperlink ref="G2715" r:id="rId2958" xr:uid="{30ECA317-1D20-9348-8A76-8B668D1036BC}"/>
    <hyperlink ref="D2714" r:id="rId2959" display="https://enzyme.expasy.org/EC/1.2.1.3" xr:uid="{171D8602-2450-A54E-8AAD-2EDF8B5C9B35}"/>
    <hyperlink ref="F2714" r:id="rId2960" xr:uid="{14520E69-48F2-9D49-AA00-7BC41FA90F46}"/>
    <hyperlink ref="G2714" r:id="rId2961" xr:uid="{1146FF47-B74E-6945-AECB-F54021366C21}"/>
    <hyperlink ref="D2713" r:id="rId2962" display="https://enzyme.expasy.org/EC/1.2.1.3" xr:uid="{ED6D08DF-6A14-4541-8382-AD0900FC6A95}"/>
    <hyperlink ref="F2713" r:id="rId2963" xr:uid="{F48B2817-FBA2-194C-B76C-F6330D637335}"/>
    <hyperlink ref="G2713" r:id="rId2964" xr:uid="{0AA6D608-D0AD-3846-BE4D-1CB66751DD93}"/>
    <hyperlink ref="D2712" r:id="rId2965" display="https://enzyme.expasy.org/EC/1.2.1.3" xr:uid="{A86D6197-C127-FE42-8A37-92FBA3E36668}"/>
    <hyperlink ref="F2712" r:id="rId2966" xr:uid="{3B9493A0-EA26-574B-92CB-0C5A5B6B3CEF}"/>
    <hyperlink ref="G2712" r:id="rId2967" xr:uid="{EA977161-2D1B-4149-AED7-2E3B4267B99F}"/>
    <hyperlink ref="D2711" r:id="rId2968" display="https://enzyme.expasy.org/EC/1.2.1.3" xr:uid="{3D844D9B-E5C8-3140-A7D4-6B697EDEC373}"/>
    <hyperlink ref="F2711" r:id="rId2969" xr:uid="{7E74CBC5-8016-1E4D-9E68-8DAA93E13E2A}"/>
    <hyperlink ref="G2711" r:id="rId2970" xr:uid="{7C40CE35-E4D8-4149-B5FD-78D1EF82D665}"/>
    <hyperlink ref="D2710" r:id="rId2971" display="https://enzyme.expasy.org/EC/1.2.1.3" xr:uid="{72AC532A-6CBB-7640-9BEE-672881EEC2A5}"/>
    <hyperlink ref="F2710" r:id="rId2972" xr:uid="{D6143219-99F8-A045-9281-90B5BE7A79DC}"/>
    <hyperlink ref="G2710" r:id="rId2973" xr:uid="{5980C243-96D8-2549-868E-50DD01D10C7D}"/>
    <hyperlink ref="D2709" r:id="rId2974" display="https://enzyme.expasy.org/EC/1.2.1.3" xr:uid="{C5208BA2-4AD3-5843-8771-E8E4F50D6A59}"/>
    <hyperlink ref="F2709" r:id="rId2975" xr:uid="{524E98FB-411F-6249-A0D0-9B06D2B32FA1}"/>
    <hyperlink ref="G2709" r:id="rId2976" xr:uid="{79CFF6D4-21D6-A448-8FA5-F1FCA3E8F54E}"/>
    <hyperlink ref="D2708" r:id="rId2977" display="https://enzyme.expasy.org/EC/1.2.1.3" xr:uid="{049443BB-45A3-FC45-BEBB-82931CFF0D86}"/>
    <hyperlink ref="F2708" r:id="rId2978" xr:uid="{552E5765-94A9-8B48-8180-BBAF72A0A170}"/>
    <hyperlink ref="G2708" r:id="rId2979" xr:uid="{BD692714-77CB-6847-979A-7D5D32F26EEE}"/>
    <hyperlink ref="D2707" r:id="rId2980" display="https://enzyme.expasy.org/EC/1.2.1.3" xr:uid="{9654914F-5894-6144-981A-D2D7656FBE5B}"/>
    <hyperlink ref="F2707" r:id="rId2981" xr:uid="{5BE497CB-3B57-C543-AECA-CFD497938583}"/>
    <hyperlink ref="G2707" r:id="rId2982" xr:uid="{8B508086-0D18-3C41-BA2E-5B476A4110C4}"/>
    <hyperlink ref="D2706" r:id="rId2983" display="https://enzyme.expasy.org/EC/1.2.1.3" xr:uid="{13E70C43-E2AE-6B46-BC27-5B4A0E46CABA}"/>
    <hyperlink ref="F2706" r:id="rId2984" xr:uid="{BE27FD20-9A6C-0747-B4A7-41E7F9D41DF0}"/>
    <hyperlink ref="G2706" r:id="rId2985" xr:uid="{C8D1BC64-FA72-8B43-B13C-376A8E5F0DFE}"/>
    <hyperlink ref="D2705" r:id="rId2986" display="https://enzyme.expasy.org/EC/1.2.1.3" xr:uid="{E28149AD-69F3-6147-B19B-D31574DCC59E}"/>
    <hyperlink ref="F2705" r:id="rId2987" xr:uid="{F45F9E47-B52E-CD4A-B7DC-FCCB0466FEB8}"/>
    <hyperlink ref="G2705" r:id="rId2988" xr:uid="{23877D76-E3A0-284D-9108-0A81A5C389CB}"/>
    <hyperlink ref="D2704" r:id="rId2989" display="https://enzyme.expasy.org/EC/1.2.1.3" xr:uid="{7916F854-D7BD-1F40-B214-906A6541B4A1}"/>
    <hyperlink ref="F2704" r:id="rId2990" xr:uid="{6BC05056-ED29-8A4F-B5E0-A4A049592234}"/>
    <hyperlink ref="G2704" r:id="rId2991" xr:uid="{414F6B0D-3891-7144-962A-D00BBBED7E93}"/>
    <hyperlink ref="D2703" r:id="rId2992" display="https://enzyme.expasy.org/EC/1.2.1.3" xr:uid="{FF3F953B-F2C7-D449-A623-299C71246436}"/>
    <hyperlink ref="F2703" r:id="rId2993" xr:uid="{E6AD5096-398A-1542-9690-D2C8F50A8C57}"/>
    <hyperlink ref="G2703" r:id="rId2994" xr:uid="{DC409EBF-C71B-2D48-A7D4-F7726C21E8E0}"/>
    <hyperlink ref="D2702" r:id="rId2995" display="https://enzyme.expasy.org/EC/1.2.1.3" xr:uid="{88FAEAF0-B68A-2947-8ED7-4BC31A4B8A42}"/>
    <hyperlink ref="F2702" r:id="rId2996" xr:uid="{9242228B-7C77-5C4D-8DA0-AEEC5D172CA4}"/>
    <hyperlink ref="G2702" r:id="rId2997" xr:uid="{FE94D869-508E-9245-96A6-DDA455DD89C0}"/>
    <hyperlink ref="F2757" r:id="rId2998" xr:uid="{41EB853E-FA71-994E-9075-82C8E41964D6}"/>
    <hyperlink ref="G2757" r:id="rId2999" xr:uid="{C3E0EA30-F900-3B43-BE8E-37A0F44075E4}"/>
    <hyperlink ref="F2759" r:id="rId3000" xr:uid="{92FFA35C-AED9-D742-BD1B-DD71A40EFAC9}"/>
    <hyperlink ref="G2759" r:id="rId3001" xr:uid="{0F005C1F-AC75-7247-9ED0-79195333FD63}"/>
    <hyperlink ref="F2779" r:id="rId3002" xr:uid="{B145D831-69AB-A04D-A4AF-D4C81238F79C}"/>
    <hyperlink ref="G2779" r:id="rId3003" xr:uid="{9AFB13A1-60AE-834E-BC16-F1A81BADCD65}"/>
    <hyperlink ref="D2778" r:id="rId3004" display="https://enzyme.expasy.org/EC/3.2.1.52" xr:uid="{0002FCAE-F05C-AB47-8F18-DBE86B08BAB6}"/>
    <hyperlink ref="F2778" r:id="rId3005" xr:uid="{79932939-8B7F-F84C-B6B3-13A33C6C5EAC}"/>
    <hyperlink ref="G2778" r:id="rId3006" xr:uid="{44A0222D-6DA4-A14B-A7A6-61278A482607}"/>
    <hyperlink ref="D2777" r:id="rId3007" display="https://enzyme.expasy.org/EC/3.2.1.52" xr:uid="{C5C88090-5ECF-4140-A7B5-18AAEC119542}"/>
    <hyperlink ref="F2777" r:id="rId3008" xr:uid="{0A3B3192-0B66-6245-BD5E-BB502DF7DC1D}"/>
    <hyperlink ref="G2777" r:id="rId3009" xr:uid="{EBF6E17B-B6D9-A242-BC52-5DFA1FB1E2B9}"/>
    <hyperlink ref="D2776" r:id="rId3010" display="https://enzyme.expasy.org/EC/3.2.1.52" xr:uid="{BDC7816E-21A7-7F4B-ACB4-A5F8002E696A}"/>
    <hyperlink ref="F2776" r:id="rId3011" xr:uid="{EB962986-AE38-004A-AE80-70221344EA90}"/>
    <hyperlink ref="G2776" r:id="rId3012" xr:uid="{DF896DF8-4E8C-8848-A6AD-E369C9D0BEE7}"/>
    <hyperlink ref="D2775" r:id="rId3013" display="https://enzyme.expasy.org/EC/3.2.1.52" xr:uid="{1431C82C-7377-ED4C-954B-380BC76E6781}"/>
    <hyperlink ref="F2775" r:id="rId3014" xr:uid="{FC83EB29-2D5B-FD49-8926-EDED9A947A37}"/>
    <hyperlink ref="G2775" r:id="rId3015" xr:uid="{1FE1A373-C1FD-8543-86B6-79B7CBE5E64E}"/>
    <hyperlink ref="D2774" r:id="rId3016" display="https://enzyme.expasy.org/EC/3.2.1.52" xr:uid="{0F82DD43-CC2D-F94E-B0E7-6DFA17A9C3AB}"/>
    <hyperlink ref="F2774" r:id="rId3017" xr:uid="{F9B01FD2-8949-A945-9F5D-B6BA38EAE751}"/>
    <hyperlink ref="G2774" r:id="rId3018" xr:uid="{F24351B4-7715-5547-BE3B-7F2AD6E4D9CA}"/>
    <hyperlink ref="D2773" r:id="rId3019" display="https://enzyme.expasy.org/EC/3.2.1.52" xr:uid="{6C439DDF-F421-2C40-B881-EB9489A83496}"/>
    <hyperlink ref="F2773" r:id="rId3020" xr:uid="{7B742D89-063C-7F4B-97D0-3EDEB7DAFA2F}"/>
    <hyperlink ref="G2773" r:id="rId3021" xr:uid="{EB250782-88E6-184D-B2D2-319FC58F15D6}"/>
    <hyperlink ref="D2772" r:id="rId3022" display="https://enzyme.expasy.org/EC/3.2.1.52" xr:uid="{116EDCB6-FAF7-9142-8086-BB3F8200001E}"/>
    <hyperlink ref="F2772" r:id="rId3023" xr:uid="{ABEF8D1C-16AF-0C4E-B65B-246A984D692D}"/>
    <hyperlink ref="G2772" r:id="rId3024" xr:uid="{F8D11667-BF23-954B-BBF1-F38F08F5FA32}"/>
    <hyperlink ref="D2771" r:id="rId3025" display="https://enzyme.expasy.org/EC/3.2.1.52" xr:uid="{E3069910-D404-E04A-B208-0E79815D4A75}"/>
    <hyperlink ref="F2771" r:id="rId3026" xr:uid="{33C4CF8B-39BC-C848-9C06-15A825B43304}"/>
    <hyperlink ref="G2771" r:id="rId3027" xr:uid="{A3C303FD-B812-304B-AE68-6631910E1F80}"/>
    <hyperlink ref="D2770" r:id="rId3028" display="https://enzyme.expasy.org/EC/3.2.1.52" xr:uid="{FD0DC5B1-EC97-5E4D-A31B-62D022B8F6C2}"/>
    <hyperlink ref="F2770" r:id="rId3029" xr:uid="{C5539BBB-4EE6-C94A-848B-73B13CB76F41}"/>
    <hyperlink ref="G2770" r:id="rId3030" xr:uid="{88856FAA-4437-1F44-AFE3-49AB9C28E19F}"/>
    <hyperlink ref="D2769" r:id="rId3031" display="https://enzyme.expasy.org/EC/3.2.1.52" xr:uid="{8FAEEDB5-1030-0E4C-9C40-593B4154BD7C}"/>
    <hyperlink ref="F2769" r:id="rId3032" xr:uid="{DC3C3095-313E-9D4D-9F48-D0D98E2CB93D}"/>
    <hyperlink ref="G2769" r:id="rId3033" xr:uid="{537E4314-105C-2E43-92D7-DE5996032C30}"/>
    <hyperlink ref="D2768" r:id="rId3034" display="https://enzyme.expasy.org/EC/3.2.1.52" xr:uid="{274F43E5-3DEF-C24A-B2A1-A97EE85DCD9E}"/>
    <hyperlink ref="F2768" r:id="rId3035" xr:uid="{33FC45E0-5188-434C-9E0E-835C7106A725}"/>
    <hyperlink ref="G2768" r:id="rId3036" xr:uid="{37E56102-516B-5A41-AC28-B70AB932DC8A}"/>
    <hyperlink ref="D2767" r:id="rId3037" display="https://enzyme.expasy.org/EC/3.2.1.52" xr:uid="{84A17029-2CF6-5044-B9BE-81BC0E7B557E}"/>
    <hyperlink ref="F2767" r:id="rId3038" xr:uid="{A99817CB-19D9-7248-97FD-634CB75713DB}"/>
    <hyperlink ref="G2767" r:id="rId3039" xr:uid="{DC6742C0-9A55-A94E-9B73-119688003C39}"/>
    <hyperlink ref="D2766" r:id="rId3040" display="https://enzyme.expasy.org/EC/3.2.1.52" xr:uid="{E51953ED-5D22-FD4C-AFBA-FD0187829A24}"/>
    <hyperlink ref="F2766" r:id="rId3041" xr:uid="{B9C54FCD-A939-F242-B698-966CD6DE58AD}"/>
    <hyperlink ref="G2766" r:id="rId3042" xr:uid="{13391951-DE92-854C-9F9E-AB6FE3355F40}"/>
    <hyperlink ref="D2765" r:id="rId3043" display="https://enzyme.expasy.org/EC/3.2.1.52" xr:uid="{FE8FE7AC-EF3B-A844-9387-C823EFF8E1F5}"/>
    <hyperlink ref="F2765" r:id="rId3044" xr:uid="{8A6997EE-5A12-2545-86B6-1F58CF3707D2}"/>
    <hyperlink ref="G2765" r:id="rId3045" xr:uid="{3E0F4CB9-BD50-3648-B166-75CC30DA4A5D}"/>
    <hyperlink ref="F2742" r:id="rId3046" xr:uid="{517A9561-2FE7-CC45-9941-E26F116A41DD}"/>
    <hyperlink ref="G2742" r:id="rId3047" xr:uid="{24DF56F4-4D7A-8A4A-9302-B0605B2C20D1}"/>
    <hyperlink ref="D2741" r:id="rId3048" display="https://enzyme.expasy.org/EC/2.7.7.4" xr:uid="{4A488F21-3656-974E-B166-8B0DC8A7719E}"/>
    <hyperlink ref="F2741" r:id="rId3049" xr:uid="{AD3A6253-F671-CD4B-A827-3D5311C84B69}"/>
    <hyperlink ref="G2741" r:id="rId3050" xr:uid="{1177006D-29AD-014A-A12A-CEEFF318F6E7}"/>
    <hyperlink ref="F2743" r:id="rId3051" xr:uid="{0D70DD7D-3865-4F46-8FE6-3D2985BCE240}"/>
    <hyperlink ref="G2743" r:id="rId3052" xr:uid="{6424DAA6-CF94-6040-A3D6-5287876EBB88}"/>
    <hyperlink ref="F2782" r:id="rId3053" xr:uid="{3F4F0FDB-D0BF-4F44-9F9D-1E92693A0AC1}"/>
    <hyperlink ref="F2787" r:id="rId3054" xr:uid="{641B7340-C141-9848-BCD1-356701A30870}"/>
    <hyperlink ref="G2787" r:id="rId3055" xr:uid="{10F1895C-0DF4-F64E-A1D5-02DBEE84E048}"/>
    <hyperlink ref="D2786" r:id="rId3056" display="https://enzyme.expasy.org/EC/2.4.1.11" xr:uid="{92A8DD81-442B-FC4A-B358-D66C8ED242AD}"/>
    <hyperlink ref="F2786" r:id="rId3057" xr:uid="{3E862BC6-FA95-3F42-B5F2-5641D81311E2}"/>
    <hyperlink ref="G2786" r:id="rId3058" xr:uid="{5B770190-1B79-3A4E-ACC2-E25563A7B199}"/>
    <hyperlink ref="F2793" r:id="rId3059" xr:uid="{F0F1111E-9FD3-6243-B888-6A3027954D55}"/>
    <hyperlink ref="G2793" r:id="rId3060" xr:uid="{02832F0A-2E79-5948-9015-7B9B13EC150A}"/>
    <hyperlink ref="D2792" r:id="rId3061" display="https://enzyme.expasy.org/EC/3.5.3.6" xr:uid="{72DE7DEF-C7A6-7343-AA62-24528402F694}"/>
    <hyperlink ref="F2792" r:id="rId3062" xr:uid="{C58FCEDA-FA3A-6645-AA61-354A95072AD1}"/>
    <hyperlink ref="G2792" r:id="rId3063" xr:uid="{74F951BE-85DB-214F-990B-FCB2436AEE61}"/>
    <hyperlink ref="F2813" r:id="rId3064" xr:uid="{7D42061A-5661-3043-B697-071D20449E89}"/>
    <hyperlink ref="G2813" r:id="rId3065" xr:uid="{5F981A0E-2DBA-5546-9B72-46309CB32260}"/>
    <hyperlink ref="D2812" r:id="rId3066" display="https://enzyme.expasy.org/EC/5.1.3.9" xr:uid="{C2EB466E-C1E5-A044-91E0-288C57B1461E}"/>
    <hyperlink ref="F2812" r:id="rId3067" xr:uid="{2DEBE984-77E5-6249-B2A7-40B984E2EE10}"/>
    <hyperlink ref="G2812" r:id="rId3068" xr:uid="{F3408C02-CEEC-1840-ACEC-1A5104966601}"/>
    <hyperlink ref="F2857" r:id="rId3069" xr:uid="{D7FBD2AD-8176-094C-9222-C116B7926BE9}"/>
    <hyperlink ref="G2857" r:id="rId3070" xr:uid="{E37D05CB-665D-DC4C-AFAB-D26D65ADBAEE}"/>
    <hyperlink ref="F2861" r:id="rId3071" xr:uid="{0C972CB8-10CF-5947-BFB4-531E407C40B7}"/>
    <hyperlink ref="G2861" r:id="rId3072" xr:uid="{34F3A177-44DD-ED49-906F-13972229696D}"/>
    <hyperlink ref="D2860" r:id="rId3073" display="https://enzyme.expasy.org/EC/2.6.1.85" xr:uid="{1E8BE87A-73F7-694A-A87E-53B86D30C8AF}"/>
    <hyperlink ref="F2860" r:id="rId3074" xr:uid="{0F64D617-39D1-E745-9A31-62F11A32C71B}"/>
    <hyperlink ref="G2860" r:id="rId3075" xr:uid="{A6FB0C34-4520-2E42-B9E2-AF0125AFE862}"/>
    <hyperlink ref="D2859" r:id="rId3076" display="https://enzyme.expasy.org/EC/2.6.1.85" xr:uid="{8D840031-069C-554C-B652-4A151AF792B6}"/>
    <hyperlink ref="F2859" r:id="rId3077" xr:uid="{C1DE6214-6A39-4B4C-BDEE-C1B8056E9401}"/>
    <hyperlink ref="G2859" r:id="rId3078" xr:uid="{BC7CA16D-3902-CA4E-914C-EF15F0AEA6B5}"/>
    <hyperlink ref="D2535" r:id="rId3079" display="https://enzyme.expasy.org/EC/3.1.1.1" xr:uid="{EC3328C5-98EE-5449-9174-26B4A842BBEC}"/>
    <hyperlink ref="F2535" r:id="rId3080" xr:uid="{C15E9A3C-176B-2548-A376-A7CBABE57139}"/>
    <hyperlink ref="G2535" r:id="rId3081" xr:uid="{2732314F-00FE-9843-BFA4-F98D4D85F090}"/>
    <hyperlink ref="D2534" r:id="rId3082" display="https://enzyme.expasy.org/EC/3.1.1.1" xr:uid="{CCEA04A5-1AE5-D54B-8F98-C1C6F1DF4937}"/>
    <hyperlink ref="F2534" r:id="rId3083" xr:uid="{321D41E3-6A67-3747-88F0-8F88CEB7B9B6}"/>
    <hyperlink ref="G2534" r:id="rId3084" xr:uid="{6DE05044-2466-AA43-93D3-E9A55A3E827C}"/>
    <hyperlink ref="D2533" r:id="rId3085" display="https://enzyme.expasy.org/EC/3.1.1.1" xr:uid="{8B4D8E3F-5881-9944-938E-EBF3734DFE18}"/>
    <hyperlink ref="F2533" r:id="rId3086" xr:uid="{897702A4-A47F-A84C-8744-2073DABE36B2}"/>
    <hyperlink ref="G2533" r:id="rId3087" xr:uid="{64F32856-331E-7B46-9205-43542A73EB3A}"/>
    <hyperlink ref="D2532" r:id="rId3088" display="https://enzyme.expasy.org/EC/3.1.1.1" xr:uid="{448F29E5-A17E-9E4D-898D-F25487205363}"/>
    <hyperlink ref="F2532" r:id="rId3089" xr:uid="{3FE242E6-9FF5-C04B-881D-6CB33D35ED86}"/>
    <hyperlink ref="G2532" r:id="rId3090" xr:uid="{5D6200FA-6663-BC4C-9663-5120B747CDB4}"/>
    <hyperlink ref="D2531" r:id="rId3091" display="https://enzyme.expasy.org/EC/3.1.1.1" xr:uid="{0619BB6A-6610-BE46-88BE-D37EC80104F3}"/>
    <hyperlink ref="F2531" r:id="rId3092" xr:uid="{A682CAD8-1886-1246-BA67-6F367CFC6F51}"/>
    <hyperlink ref="G2531" r:id="rId3093" xr:uid="{38053BDB-A65C-9C48-91CD-9B9848D7DEEF}"/>
    <hyperlink ref="D2530" r:id="rId3094" display="https://enzyme.expasy.org/EC/3.1.1.1" xr:uid="{66616449-302C-6247-B334-35CB5A002FF3}"/>
    <hyperlink ref="F2530" r:id="rId3095" xr:uid="{DF44F5F5-ACDD-2742-AC5A-28B5ACF5CC32}"/>
    <hyperlink ref="G2530" r:id="rId3096" xr:uid="{9BFCE31F-1CA0-C249-BE4B-D3FD60FA085E}"/>
    <hyperlink ref="D2529" r:id="rId3097" display="https://enzyme.expasy.org/EC/3.1.1.1" xr:uid="{3F7B1C77-96D9-FA48-AD27-C31C2971EF92}"/>
    <hyperlink ref="F2529" r:id="rId3098" xr:uid="{9D962EEE-B3D5-E249-9E71-8967C32149A3}"/>
    <hyperlink ref="G2529" r:id="rId3099" xr:uid="{79BD8E91-51C0-0E4F-A103-E385ED2D5B7B}"/>
    <hyperlink ref="D2528" r:id="rId3100" display="https://enzyme.expasy.org/EC/3.1.1.1" xr:uid="{5125E49F-3B18-AA4D-A525-AB2A7ECF587C}"/>
    <hyperlink ref="F2528" r:id="rId3101" xr:uid="{116EF5EE-CC0D-5940-B022-D39F05B9635B}"/>
    <hyperlink ref="G2528" r:id="rId3102" xr:uid="{55B6BA99-63B6-8D45-B81F-56D09A20B747}"/>
    <hyperlink ref="D414" r:id="rId3103" display="https://enzyme.expasy.org/EC/3.1.3.3" xr:uid="{1AA52DBD-5A58-FC42-AC23-E0C9A151E192}"/>
    <hyperlink ref="F414" r:id="rId3104" xr:uid="{27BB3152-0160-5247-8421-EF064C8A6338}"/>
    <hyperlink ref="G414" r:id="rId3105" xr:uid="{0CE0BE65-F2E5-1F44-8BA4-FFE6E95030CA}"/>
    <hyperlink ref="D2107" r:id="rId3106" display="https://enzyme.expasy.org/EC/3.1.3.3" xr:uid="{C8FFCA62-3AE7-104B-B62F-19CF7DCDBF15}"/>
    <hyperlink ref="F2107" r:id="rId3107" xr:uid="{83B3F19C-8ABC-B644-BA01-AEB7C783EE5C}"/>
    <hyperlink ref="G2107" r:id="rId3108" xr:uid="{E1B9D6DA-1172-7241-B762-3FA1D2ABBB4B}"/>
    <hyperlink ref="D2440" r:id="rId3109" display="https://enzyme.expasy.org/EC/3.1.3.3" xr:uid="{A9CD7A1C-7760-E142-97D7-ACD62269847D}"/>
    <hyperlink ref="F2440" r:id="rId3110" xr:uid="{058F3F02-AA3F-BB4E-AA02-E9D8FFC30329}"/>
    <hyperlink ref="G2440" r:id="rId3111" xr:uid="{4A5C6B9B-347B-C846-9A92-819F79C7809F}"/>
    <hyperlink ref="D297" r:id="rId3112" display="https://enzyme.expasy.org/EC/6.2.1.3" xr:uid="{E26FB5A3-E6D1-BA42-A3DA-988AB4CB0537}"/>
    <hyperlink ref="F297" r:id="rId3113" xr:uid="{A7DBD50A-DE82-CE4A-BD63-81E94C33A4F9}"/>
    <hyperlink ref="G297" r:id="rId3114" xr:uid="{5201FE2F-B687-904A-AC13-87B9245B8E53}"/>
    <hyperlink ref="D392" r:id="rId3115" display="https://enzyme.expasy.org/EC/6.2.1.3" xr:uid="{29E54AC2-9B48-8442-82C9-F951E780F83A}"/>
    <hyperlink ref="F392" r:id="rId3116" xr:uid="{464F108E-26C6-5A4A-BE02-F9853EC5DB52}"/>
    <hyperlink ref="G392" r:id="rId3117" xr:uid="{5A10C508-4B21-2541-A110-7695E08AC824}"/>
    <hyperlink ref="D394" r:id="rId3118" display="https://enzyme.expasy.org/EC/6.2.1.3" xr:uid="{B9D25ED5-13FD-454F-AAA9-19134298055F}"/>
    <hyperlink ref="F394" r:id="rId3119" xr:uid="{9C4E7B4D-29B6-3C4C-A15F-09F0D921E8C0}"/>
    <hyperlink ref="G394" r:id="rId3120" xr:uid="{4C87132E-A0E2-AC44-ABE6-BDAF9C13D1AD}"/>
    <hyperlink ref="D397" r:id="rId3121" display="https://enzyme.expasy.org/EC/6.2.1.3" xr:uid="{1F814D3E-441E-E743-AE1F-978BD4721501}"/>
    <hyperlink ref="F397" r:id="rId3122" xr:uid="{BA9CE15C-43E9-244C-8B76-65A7A68393D3}"/>
    <hyperlink ref="G397" r:id="rId3123" xr:uid="{9436A2A6-2D27-DB4D-AF6A-F0915A66EE71}"/>
    <hyperlink ref="D1252" r:id="rId3124" display="https://enzyme.expasy.org/EC/6.2.1.3" xr:uid="{F33C9B7C-F588-7A4D-AC8C-D27EA346DFBE}"/>
    <hyperlink ref="F1252" r:id="rId3125" xr:uid="{5BAF2DFA-1D07-A54D-9289-A89E84EA254D}"/>
    <hyperlink ref="G1252" r:id="rId3126" xr:uid="{263750D5-1029-A34F-8CA2-EF3974775A66}"/>
    <hyperlink ref="D2217" r:id="rId3127" display="https://enzyme.expasy.org/EC/6.2.1.3" xr:uid="{E0EDB45A-A9B4-FF4B-B0E3-11C2C60BC368}"/>
    <hyperlink ref="F2217" r:id="rId3128" xr:uid="{57643E01-9A70-FE48-A4B9-339B500930F6}"/>
    <hyperlink ref="G2217" r:id="rId3129" xr:uid="{21F4D271-A9C7-934A-892F-CA2F2ED133C8}"/>
    <hyperlink ref="D43" r:id="rId3130" display="https://enzyme.expasy.org/EC/2.7.11.1" xr:uid="{3DFB517D-42C4-E145-B158-CD293EB48B0B}"/>
    <hyperlink ref="G43" r:id="rId3131" xr:uid="{8659E785-5C3A-3D48-A537-7D806ABC43D3}"/>
    <hyperlink ref="D45" r:id="rId3132" display="https://enzyme.expasy.org/EC/2.7.11.1" xr:uid="{F966048B-157B-5842-A426-A7BB994246CD}"/>
    <hyperlink ref="F45" r:id="rId3133" xr:uid="{19297766-E4A6-9249-ADEA-5637B60938A0}"/>
    <hyperlink ref="G45" r:id="rId3134" xr:uid="{47A9DD05-F080-FE44-BC63-4B8CC1C6441A}"/>
    <hyperlink ref="F43" r:id="rId3135" xr:uid="{CEE205F2-43A1-AB47-8313-8548FD2CACE3}"/>
    <hyperlink ref="D2015" r:id="rId3136" display="https://enzyme.expasy.org/EC/2.7.11.1" xr:uid="{8272E4F8-197D-3341-97BB-31509FF2F990}"/>
    <hyperlink ref="F2015" r:id="rId3137" xr:uid="{82F1E4A8-9FC3-7644-AD92-386A5AF080F2}"/>
    <hyperlink ref="G2015" r:id="rId3138" xr:uid="{1EAB695F-CCB6-F046-AE8A-98B17F52DB49}"/>
    <hyperlink ref="D2462" r:id="rId3139" display="https://enzyme.expasy.org/EC/2.7.11.1" xr:uid="{26CE3340-CC78-6947-9A12-6AB16A1D5D0B}"/>
    <hyperlink ref="F2462" r:id="rId3140" xr:uid="{1B849C7F-53E5-7240-811A-DAA7ABE8D7EC}"/>
    <hyperlink ref="G2462" r:id="rId3141" xr:uid="{9BDC388C-EECD-8846-9224-1ECFA26552D7}"/>
    <hyperlink ref="D7" r:id="rId3142" display="https://enzyme.expasy.org/EC/2.7.7.7" xr:uid="{625A70C4-377B-B841-9CF1-B7115F3414A4}"/>
    <hyperlink ref="F7" r:id="rId3143" xr:uid="{7833E377-9274-AF4C-8FFF-7672A0ECECFF}"/>
    <hyperlink ref="G7" r:id="rId3144" xr:uid="{99A0F7DC-F5DC-C24A-BEBE-4D74ECEBCC76}"/>
    <hyperlink ref="D6" r:id="rId3145" display="https://enzyme.expasy.org/EC/2.7.7.7" xr:uid="{D3AA062E-D8B1-6646-85C2-2554AE988CEB}"/>
    <hyperlink ref="F6" r:id="rId3146" xr:uid="{F37D8A45-3189-AA44-9A64-94FB11D286B1}"/>
    <hyperlink ref="G6" r:id="rId3147" xr:uid="{486DC158-A517-3346-9ADD-DE0CD68F1684}"/>
    <hyperlink ref="D5" r:id="rId3148" display="https://enzyme.expasy.org/EC/2.7.7.7" xr:uid="{13F7C103-71F8-7B48-A64B-8076AD9D4EB6}"/>
    <hyperlink ref="F5" r:id="rId3149" xr:uid="{D6E6FBA8-F423-0344-9488-669B7915F9B7}"/>
    <hyperlink ref="G5" r:id="rId3150" xr:uid="{9B4C468B-A916-CD4F-A7B9-9E5C3DE30BB1}"/>
    <hyperlink ref="D4" r:id="rId3151" display="https://enzyme.expasy.org/EC/2.7.7.7" xr:uid="{FDBC0CF7-E7F0-464F-9911-94D2262444A4}"/>
    <hyperlink ref="F4" r:id="rId3152" xr:uid="{78533F39-F0E3-BA43-BF9A-CB6A907DCF75}"/>
    <hyperlink ref="G4" r:id="rId3153" xr:uid="{7A0DAD2E-8AD3-8449-9264-591945F2F1E3}"/>
    <hyperlink ref="D3" r:id="rId3154" display="https://enzyme.expasy.org/EC/2.7.7.7" xr:uid="{9FB9928E-2FF3-4247-B308-DF6B44D0004F}"/>
    <hyperlink ref="F3" r:id="rId3155" xr:uid="{4F23C64A-A32D-D44B-B61F-1A7D15F922C8}"/>
    <hyperlink ref="G3" r:id="rId3156" xr:uid="{4DD40D71-4B91-3640-A305-22C9151AAD45}"/>
    <hyperlink ref="D226" r:id="rId3157" display="https://enzyme.expasy.org/EC/2.7.7.7" xr:uid="{092A2A29-AA98-1240-B633-AB71B73E3E5B}"/>
    <hyperlink ref="F226" r:id="rId3158" xr:uid="{37718D69-4F95-7542-8DC9-72A86CB0FC24}"/>
    <hyperlink ref="G226" r:id="rId3159" xr:uid="{AF57AF0F-AF11-1E46-B9AC-036D1D15773A}"/>
    <hyperlink ref="D225" r:id="rId3160" display="https://enzyme.expasy.org/EC/2.7.7.7" xr:uid="{C193BEF3-D2FC-4246-B1C8-A1CAE1DBDB2C}"/>
    <hyperlink ref="F225" r:id="rId3161" xr:uid="{696533E8-611D-774E-933A-39FA1CEC9DC6}"/>
    <hyperlink ref="G225" r:id="rId3162" xr:uid="{E937C6FF-42D5-2B41-A3DF-0F0BEEC5052D}"/>
    <hyperlink ref="D224" r:id="rId3163" display="https://enzyme.expasy.org/EC/2.7.7.7" xr:uid="{6B77219D-D630-1446-A8EA-866D440D4E24}"/>
    <hyperlink ref="F224" r:id="rId3164" xr:uid="{225F26D9-F4D0-F845-A0B7-570D0E33CD11}"/>
    <hyperlink ref="G224" r:id="rId3165" xr:uid="{977447A5-5274-3345-90A3-0BF925627B1B}"/>
    <hyperlink ref="D223" r:id="rId3166" display="https://enzyme.expasy.org/EC/2.7.7.7" xr:uid="{87C7EFDE-14F6-194B-A9B1-F1323811C959}"/>
    <hyperlink ref="F223" r:id="rId3167" xr:uid="{33A5F7CB-44E0-ED4F-9474-4773A422A628}"/>
    <hyperlink ref="G223" r:id="rId3168" xr:uid="{A08454D8-A287-DB4C-AFB4-F9724734C195}"/>
    <hyperlink ref="D222" r:id="rId3169" display="https://enzyme.expasy.org/EC/2.7.7.7" xr:uid="{C7EF0952-DDF7-FB40-B8E5-5E26634B0FFA}"/>
    <hyperlink ref="F222" r:id="rId3170" xr:uid="{C083BD99-C80F-424A-A2B6-DC599118F824}"/>
    <hyperlink ref="G222" r:id="rId3171" xr:uid="{2169C674-0384-DE4E-A3AD-FF46F28B8A6F}"/>
    <hyperlink ref="D291" r:id="rId3172" display="https://enzyme.expasy.org/EC/2.7.7.7" xr:uid="{8F5B32F1-BE6D-3248-9F43-950673DE5C84}"/>
    <hyperlink ref="F291" r:id="rId3173" xr:uid="{19B0B1D9-7BCB-C04F-8AEA-29639937A05D}"/>
    <hyperlink ref="G291" r:id="rId3174" xr:uid="{86A1D551-0CF1-0B4C-BE7E-883EDF98F6FD}"/>
    <hyperlink ref="D290" r:id="rId3175" display="https://enzyme.expasy.org/EC/2.7.7.7" xr:uid="{31353AD2-C13B-7044-8937-7F94859F8E53}"/>
    <hyperlink ref="F290" r:id="rId3176" xr:uid="{991389D4-6461-004D-A9AD-0895B8B350AA}"/>
    <hyperlink ref="G290" r:id="rId3177" xr:uid="{A7E50B3D-82C5-AD40-A9F4-11D01B8F1C43}"/>
    <hyperlink ref="D289" r:id="rId3178" display="https://enzyme.expasy.org/EC/2.7.7.7" xr:uid="{0E96A69E-9D1E-4540-A58F-13C2B9278B0B}"/>
    <hyperlink ref="F289" r:id="rId3179" xr:uid="{CC23572F-98BD-6C4B-9F1F-90E994845371}"/>
    <hyperlink ref="G289" r:id="rId3180" xr:uid="{3C614789-B0B1-0045-9DE3-CFCDB037D65D}"/>
    <hyperlink ref="D288" r:id="rId3181" display="https://enzyme.expasy.org/EC/2.7.7.7" xr:uid="{9D55ECAC-0001-CE44-87CF-E20EE9D39920}"/>
    <hyperlink ref="F288" r:id="rId3182" xr:uid="{456AD07E-AF4B-D148-8348-E7361865C50D}"/>
    <hyperlink ref="G288" r:id="rId3183" xr:uid="{DC808DDE-2711-3845-8C38-3357D2D4ACC0}"/>
    <hyperlink ref="D287" r:id="rId3184" display="https://enzyme.expasy.org/EC/2.7.7.7" xr:uid="{95BE881C-C349-2442-8DD9-673011E4948E}"/>
    <hyperlink ref="F287" r:id="rId3185" xr:uid="{37CE3DA9-4DFC-D44F-AD67-CC3033D462FE}"/>
    <hyperlink ref="G287" r:id="rId3186" xr:uid="{26D01DD1-2589-9246-87AF-84357428B9BB}"/>
    <hyperlink ref="D644" r:id="rId3187" display="https://enzyme.expasy.org/EC/2.7.7.7" xr:uid="{5CF26DB2-4649-0E45-97B8-32EB77747F78}"/>
    <hyperlink ref="F644" r:id="rId3188" xr:uid="{82129051-9304-6C48-8BFD-5427CE4FA2A5}"/>
    <hyperlink ref="G644" r:id="rId3189" xr:uid="{A650AD5E-2407-3F4A-96BC-22B63F56E8A8}"/>
    <hyperlink ref="D643" r:id="rId3190" display="https://enzyme.expasy.org/EC/2.7.7.7" xr:uid="{A8D34EC0-461E-094A-A828-930C200D6967}"/>
    <hyperlink ref="F643" r:id="rId3191" xr:uid="{0250D1D0-50FC-3946-95CE-A6DDE50368E8}"/>
    <hyperlink ref="G643" r:id="rId3192" xr:uid="{F7FDBCE4-6932-8840-98A0-D697A848177F}"/>
    <hyperlink ref="D642" r:id="rId3193" display="https://enzyme.expasy.org/EC/2.7.7.7" xr:uid="{BC62E075-806C-D948-88EF-D244F56A481C}"/>
    <hyperlink ref="F642" r:id="rId3194" xr:uid="{B5214443-0B0A-554A-B747-EA87EA3310F9}"/>
    <hyperlink ref="G642" r:id="rId3195" xr:uid="{D01E72CC-2AD8-1F4B-B56C-9E49D5B208A0}"/>
    <hyperlink ref="D641" r:id="rId3196" display="https://enzyme.expasy.org/EC/2.7.7.7" xr:uid="{18EEF126-4B55-7446-8031-706A68D8744D}"/>
    <hyperlink ref="F641" r:id="rId3197" xr:uid="{00B1B7D7-3D5E-B340-809E-3F15ACC7F1F7}"/>
    <hyperlink ref="G641" r:id="rId3198" xr:uid="{DCE6DC46-D1BB-154D-8C0C-2D82EDE0F70A}"/>
    <hyperlink ref="D640" r:id="rId3199" display="https://enzyme.expasy.org/EC/2.7.7.7" xr:uid="{E90CD930-B7DE-8442-9454-C8D7DC7BAB0A}"/>
    <hyperlink ref="F640" r:id="rId3200" xr:uid="{23815FA6-1D80-2F4E-B84B-891384A08710}"/>
    <hyperlink ref="G640" r:id="rId3201" xr:uid="{AC5AD4B8-C2BC-5C4C-A922-0F1EC09834EE}"/>
    <hyperlink ref="D1293" r:id="rId3202" display="https://enzyme.expasy.org/EC/2.7.7.7" xr:uid="{2CBA480C-E78E-0041-BF10-4C9A86237FF8}"/>
    <hyperlink ref="F1293" r:id="rId3203" xr:uid="{56EA882E-3264-8748-BFDC-6BAB2B0A8DAB}"/>
    <hyperlink ref="G1293" r:id="rId3204" xr:uid="{3FAD2939-19FE-2B43-8F37-D85914B87D5C}"/>
    <hyperlink ref="D1292" r:id="rId3205" display="https://enzyme.expasy.org/EC/2.7.7.7" xr:uid="{288B4246-C727-5F4A-B60F-977B283F4738}"/>
    <hyperlink ref="F1292" r:id="rId3206" xr:uid="{A88AC197-9967-594E-9F5A-A0BD16C85986}"/>
    <hyperlink ref="G1292" r:id="rId3207" xr:uid="{AB22773F-A779-6344-85A4-A6F35FB302E8}"/>
    <hyperlink ref="D1291" r:id="rId3208" display="https://enzyme.expasy.org/EC/2.7.7.7" xr:uid="{1BC2CB16-DBFA-434C-8109-EEDB739012CF}"/>
    <hyperlink ref="F1291" r:id="rId3209" xr:uid="{6F5270C5-AC29-1A4A-B606-BDCF4BAC69DC}"/>
    <hyperlink ref="G1291" r:id="rId3210" xr:uid="{11F554E2-2BCC-EF4D-9C3E-E57C365C6FAD}"/>
    <hyperlink ref="D1290" r:id="rId3211" display="https://enzyme.expasy.org/EC/2.7.7.7" xr:uid="{D05ABB50-0054-BE42-AB40-1A03C8215A8E}"/>
    <hyperlink ref="F1290" r:id="rId3212" xr:uid="{15E8D686-DE21-1746-B7C5-D8F971556F25}"/>
    <hyperlink ref="G1290" r:id="rId3213" xr:uid="{3431DB09-E7AB-5C40-AF0B-362AAA87F440}"/>
    <hyperlink ref="D1289" r:id="rId3214" display="https://enzyme.expasy.org/EC/2.7.7.7" xr:uid="{B3CE3CB5-A4ED-D546-A984-35AFEF908615}"/>
    <hyperlink ref="F1289" r:id="rId3215" xr:uid="{816ECDC4-4A73-4B44-B9FE-B3240DB26385}"/>
    <hyperlink ref="G1289" r:id="rId3216" xr:uid="{232D1C28-BA48-3F42-B1AB-AE067269CA84}"/>
    <hyperlink ref="D1407" r:id="rId3217" display="https://enzyme.expasy.org/EC/2.7.7.7" xr:uid="{AB5E1DC1-A6F0-AF4B-9A9F-D95E8C8C24CD}"/>
    <hyperlink ref="F1407" r:id="rId3218" xr:uid="{00EFBF16-90D0-9D4F-AE82-CB4CB9057333}"/>
    <hyperlink ref="G1407" r:id="rId3219" xr:uid="{D22B496F-F977-044B-8EFE-D35C8C7B372C}"/>
    <hyperlink ref="D1406" r:id="rId3220" display="https://enzyme.expasy.org/EC/2.7.7.7" xr:uid="{C98EFF92-DC96-CD45-A2B2-D5B20395F6C2}"/>
    <hyperlink ref="F1406" r:id="rId3221" xr:uid="{D1B4E15C-D29A-D14F-B2D8-943186D085BA}"/>
    <hyperlink ref="G1406" r:id="rId3222" xr:uid="{87E1EFB0-7EAB-C542-8D7C-124CF94863D6}"/>
    <hyperlink ref="D1405" r:id="rId3223" display="https://enzyme.expasy.org/EC/2.7.7.7" xr:uid="{45B2AA8C-BB02-3943-9EC4-FAE6060EA615}"/>
    <hyperlink ref="F1405" r:id="rId3224" xr:uid="{CCBEBFA6-0B2C-8249-B525-B24DD159C9A2}"/>
    <hyperlink ref="G1405" r:id="rId3225" xr:uid="{01207E2C-C395-5849-BAC5-9826112DA2B8}"/>
    <hyperlink ref="D1404" r:id="rId3226" display="https://enzyme.expasy.org/EC/2.7.7.7" xr:uid="{5F87C0E8-A9DF-2648-9ED5-B7DF520C1D67}"/>
    <hyperlink ref="F1404" r:id="rId3227" xr:uid="{8A95D69D-F0AC-ED46-8DBB-A252CD90B0DF}"/>
    <hyperlink ref="G1404" r:id="rId3228" xr:uid="{CC073DAC-6CBF-5E49-8009-B68F480A3AE7}"/>
    <hyperlink ref="D1403" r:id="rId3229" display="https://enzyme.expasy.org/EC/2.7.7.7" xr:uid="{C2F906B0-9B5E-E74B-8D33-67009AEA6EA4}"/>
    <hyperlink ref="F1403" r:id="rId3230" xr:uid="{A2403034-3C1A-8640-A269-EAA269ADA878}"/>
    <hyperlink ref="G1403" r:id="rId3231" xr:uid="{F3A4D768-3466-404B-8A6D-FA8894402ED1}"/>
    <hyperlink ref="D1939" r:id="rId3232" display="https://enzyme.expasy.org/EC/2.7.7.7" xr:uid="{7225C3FE-95EF-B64E-BF22-2E2F492AA70B}"/>
    <hyperlink ref="F1939" r:id="rId3233" xr:uid="{9757B947-2755-7D46-95DC-343E73658DF2}"/>
    <hyperlink ref="G1939" r:id="rId3234" xr:uid="{6356A4BE-9F05-9745-88CB-897FEA3370B5}"/>
    <hyperlink ref="D1938" r:id="rId3235" display="https://enzyme.expasy.org/EC/2.7.7.7" xr:uid="{3B43489B-B579-0D4F-84D8-9D71682803FA}"/>
    <hyperlink ref="F1938" r:id="rId3236" xr:uid="{99A596B6-A6AA-AA41-999C-15434A1D41B0}"/>
    <hyperlink ref="G1938" r:id="rId3237" xr:uid="{8DCF657F-BBCF-864D-8A46-4FC74D56BFBC}"/>
    <hyperlink ref="D1937" r:id="rId3238" display="https://enzyme.expasy.org/EC/2.7.7.7" xr:uid="{0E4F739C-F868-5B4D-8703-6A5E8EFA84CF}"/>
    <hyperlink ref="F1937" r:id="rId3239" xr:uid="{0024C61E-E6E9-364A-A1AC-8913F3CE249F}"/>
    <hyperlink ref="G1937" r:id="rId3240" xr:uid="{BCDEAE6E-7317-3045-80D1-E38D46F707EA}"/>
    <hyperlink ref="D1936" r:id="rId3241" display="https://enzyme.expasy.org/EC/2.7.7.7" xr:uid="{9F82B63C-2DD5-554A-A975-7DD68199A957}"/>
    <hyperlink ref="F1936" r:id="rId3242" xr:uid="{7DADE737-94B1-0C4F-B7BE-54E106C82934}"/>
    <hyperlink ref="G1936" r:id="rId3243" xr:uid="{4A701D5E-DC45-7F49-B7B8-22B7F1CEA42C}"/>
    <hyperlink ref="D1935" r:id="rId3244" display="https://enzyme.expasy.org/EC/2.7.7.7" xr:uid="{E52E4AB0-3E0B-FE45-BFA0-BF8311610AE3}"/>
    <hyperlink ref="F1935" r:id="rId3245" xr:uid="{2A77ED5B-7F2D-914D-B780-20F8C61767DF}"/>
    <hyperlink ref="G1935" r:id="rId3246" xr:uid="{68A16C7C-6CBF-074E-80A6-69D1806E7095}"/>
    <hyperlink ref="F1962" r:id="rId3247" xr:uid="{C64FB83E-CF58-524E-9A7A-F1E675449307}"/>
    <hyperlink ref="G1958" r:id="rId3248" xr:uid="{680CA1EA-1AFE-7842-AD46-B0BF42FDE35E}"/>
    <hyperlink ref="F1958" r:id="rId3249" xr:uid="{67657ABB-A6CB-DF42-8E84-3C207ECC7D58}"/>
    <hyperlink ref="D1957" r:id="rId3250" display="https://enzyme.expasy.org/EC/2.7.7.7" xr:uid="{3E678F30-FD48-494C-8F1A-D099F73AF91F}"/>
    <hyperlink ref="G1957" r:id="rId3251" xr:uid="{05AE8A82-027F-3D4E-8225-5C9128571048}"/>
    <hyperlink ref="F1957" r:id="rId3252" xr:uid="{97C10930-1F32-AD46-9379-D2E73B656AF4}"/>
    <hyperlink ref="D1956" r:id="rId3253" display="https://enzyme.expasy.org/EC/2.7.7.7" xr:uid="{9D57BFB8-6D6D-A746-9F45-D3591333AA0E}"/>
    <hyperlink ref="G1956" r:id="rId3254" xr:uid="{D1A2E157-9E7A-8547-8EE3-A3B593F9ED41}"/>
    <hyperlink ref="F1956" r:id="rId3255" xr:uid="{FB173ADF-74BE-4D47-AA28-11E91A2BDABB}"/>
    <hyperlink ref="D1955" r:id="rId3256" display="https://enzyme.expasy.org/EC/2.7.7.7" xr:uid="{04B4004B-7A1E-254F-A74E-70DF55955157}"/>
    <hyperlink ref="G1955" r:id="rId3257" xr:uid="{B9AAEA53-488F-8046-9E11-C6F43134D91E}"/>
    <hyperlink ref="F1955" r:id="rId3258" xr:uid="{08370BD8-9A01-A44D-8238-2F0E8FD1A653}"/>
    <hyperlink ref="D1954" r:id="rId3259" display="https://enzyme.expasy.org/EC/2.7.7.7" xr:uid="{9E412DE0-03F0-534A-A415-41868A6A8B5D}"/>
    <hyperlink ref="G1954" r:id="rId3260" xr:uid="{74310EDD-1884-4A40-A4E7-4BCCED504DC9}"/>
    <hyperlink ref="F1954" r:id="rId3261" xr:uid="{3347DA3C-6284-4744-9143-F55D96079F0C}"/>
    <hyperlink ref="D1953" r:id="rId3262" display="https://enzyme.expasy.org/EC/2.7.7.7" xr:uid="{D357C7E7-B30A-7D4D-BE76-2F5FBF1A6959}"/>
    <hyperlink ref="G1953" r:id="rId3263" xr:uid="{7808DA71-AD5B-3B4F-AEAC-59F054BBF329}"/>
    <hyperlink ref="F1953" r:id="rId3264" xr:uid="{929EDB35-D317-4648-A75F-E91C7B303934}"/>
    <hyperlink ref="D1972" r:id="rId3265" display="https://enzyme.expasy.org/EC/2.7.7.7" xr:uid="{FB117440-EF83-544F-A601-852AC76A25E2}"/>
    <hyperlink ref="F1972" r:id="rId3266" xr:uid="{6863B9BB-2ECE-7A4D-89FB-AF06CBE23CA3}"/>
    <hyperlink ref="G1972" r:id="rId3267" xr:uid="{BD9A1407-F382-D741-9A91-BF150694AFCD}"/>
    <hyperlink ref="D1971" r:id="rId3268" display="https://enzyme.expasy.org/EC/2.7.7.7" xr:uid="{3B124C77-EB20-6841-8229-2841D5FBA6AF}"/>
    <hyperlink ref="F1971" r:id="rId3269" xr:uid="{A509B855-667E-954B-8ABC-4A27A2BD3A37}"/>
    <hyperlink ref="G1971" r:id="rId3270" xr:uid="{CD5E955D-1DEA-E940-B4F7-2BE5B5ADCEA4}"/>
    <hyperlink ref="D1970" r:id="rId3271" display="https://enzyme.expasy.org/EC/2.7.7.7" xr:uid="{09936130-A727-C04F-A571-AD76DF74FDA7}"/>
    <hyperlink ref="F1970" r:id="rId3272" xr:uid="{18F7A354-A0FE-8640-B9E7-BA3BDAA19531}"/>
    <hyperlink ref="G1970" r:id="rId3273" xr:uid="{7A5090AB-C9CA-034F-9BC5-DEEC00E416AF}"/>
    <hyperlink ref="D1969" r:id="rId3274" display="https://enzyme.expasy.org/EC/2.7.7.7" xr:uid="{D71EACDE-F189-8945-B0EE-1F041C2B30C7}"/>
    <hyperlink ref="F1969" r:id="rId3275" xr:uid="{39D9AF02-EDA4-F047-B5F8-32A550253B0B}"/>
    <hyperlink ref="G1969" r:id="rId3276" xr:uid="{A12BEBE4-3C09-FC42-A578-5D44C103AE6B}"/>
    <hyperlink ref="D1968" r:id="rId3277" display="https://enzyme.expasy.org/EC/2.7.7.7" xr:uid="{092CF809-1F31-304F-920B-2D41B140496F}"/>
    <hyperlink ref="F1968" r:id="rId3278" xr:uid="{0DFC1FF6-0FAA-A84B-BC57-DAA187D263E9}"/>
    <hyperlink ref="G1968" r:id="rId3279" xr:uid="{F3C3BBA9-5AFD-324E-9A02-4482DB326A70}"/>
    <hyperlink ref="D2803" r:id="rId3280" display="https://enzyme.expasy.org/EC/2.7.7.7" xr:uid="{1DCBF263-AA69-964E-AE85-FA9404921FCA}"/>
    <hyperlink ref="F2803" r:id="rId3281" xr:uid="{6D2634F5-FED0-534A-AC4E-24321F5C48C0}"/>
    <hyperlink ref="G2803" r:id="rId3282" xr:uid="{89D2E2B9-A151-064B-9875-FCBDEA54E575}"/>
    <hyperlink ref="D2802" r:id="rId3283" display="https://enzyme.expasy.org/EC/2.7.7.7" xr:uid="{66CFB2B5-F491-B24E-9ED3-50DABE373908}"/>
    <hyperlink ref="F2802" r:id="rId3284" xr:uid="{8310C5BB-3CD3-6E45-AFFA-46C9E749FFD2}"/>
    <hyperlink ref="G2802" r:id="rId3285" xr:uid="{F7275068-10B0-A047-9951-7F55A35738B1}"/>
    <hyperlink ref="D2801" r:id="rId3286" display="https://enzyme.expasy.org/EC/2.7.7.7" xr:uid="{280E7FBA-1094-604C-A19D-0B91DD83B1CA}"/>
    <hyperlink ref="F2801" r:id="rId3287" xr:uid="{A1C4A47E-7FC8-8F46-A597-7F129BD288B7}"/>
    <hyperlink ref="G2801" r:id="rId3288" xr:uid="{E3472EB2-FEE2-8E43-B6C5-9C3B5A7984DA}"/>
    <hyperlink ref="D2800" r:id="rId3289" display="https://enzyme.expasy.org/EC/2.7.7.7" xr:uid="{FC563695-1925-024D-8FFD-F0A16EF71BEF}"/>
    <hyperlink ref="F2800" r:id="rId3290" xr:uid="{881B550F-B6C1-B649-9A80-073ABA4B05B0}"/>
    <hyperlink ref="G2800" r:id="rId3291" xr:uid="{8CC30823-CE93-8841-AAA6-3B656E576745}"/>
    <hyperlink ref="D2799" r:id="rId3292" display="https://enzyme.expasy.org/EC/2.7.7.7" xr:uid="{D970A051-EFDE-A04A-ACDA-213A8FF7B8EA}"/>
    <hyperlink ref="F2799" r:id="rId3293" xr:uid="{39F45CE7-CF2F-094D-BF58-13EA3BB54B3C}"/>
    <hyperlink ref="G2799" r:id="rId3294" xr:uid="{1BB47FFA-2306-714F-AA26-A6F31F09D37E}"/>
    <hyperlink ref="D29" r:id="rId3295" display="https://enzyme.expasy.org/EC/1.5.1.20" xr:uid="{9001ED29-00BE-844C-88D1-7E13848F2717}"/>
    <hyperlink ref="G29" r:id="rId3296" xr:uid="{2103A6D1-18F5-4842-98A1-A9D55E4C7447}"/>
    <hyperlink ref="F29" r:id="rId3297" xr:uid="{BC3294BC-1126-A04D-A9FF-14FD0D7D6A80}"/>
    <hyperlink ref="D31" r:id="rId3298" display="https://enzyme.expasy.org/EC/2.1.1.14" xr:uid="{C3573098-EAFC-DE48-A47F-C8959075ED16}"/>
    <hyperlink ref="G31" r:id="rId3299" xr:uid="{DC79DAD2-33B8-7C4C-B265-5F0A1D5D79BF}"/>
    <hyperlink ref="F31" r:id="rId3300" xr:uid="{7DD120B5-95E8-FF42-BA19-89C51181FB0F}"/>
    <hyperlink ref="D93" r:id="rId3301" display="https://enzyme.expasy.org/EC/1.2.1.8" xr:uid="{D2B6B562-D850-504B-AD85-CA0A9B368EDB}"/>
    <hyperlink ref="F93" r:id="rId3302" xr:uid="{65455AD1-D17D-C34B-96C7-98920157D7E0}"/>
    <hyperlink ref="G93" r:id="rId3303" xr:uid="{D0A027D5-01A7-4C48-A304-29A6895F29EB}"/>
    <hyperlink ref="D126" r:id="rId3304" display="https://enzyme.expasy.org/EC/2.2.1.6" xr:uid="{0B7C94F7-B107-2A42-8D6F-B1E621B7CB61}"/>
    <hyperlink ref="F126" r:id="rId3305" xr:uid="{26FA35D0-9ECC-CC47-A294-27FD00B1EF23}"/>
    <hyperlink ref="G126" r:id="rId3306" xr:uid="{DF158C92-391F-9045-825E-C89536DD1240}"/>
    <hyperlink ref="D125" r:id="rId3307" display="https://enzyme.expasy.org/EC/2.2.1.6" xr:uid="{6AB70255-01D0-AB4C-BFD0-4137A7BDC74B}"/>
    <hyperlink ref="F125" r:id="rId3308" xr:uid="{A896DCD9-D39E-6E43-9ACE-6A77325A0513}"/>
    <hyperlink ref="G125" r:id="rId3309" xr:uid="{70437892-1F51-A348-A210-B4042E107CB5}"/>
    <hyperlink ref="D124" r:id="rId3310" display="https://enzyme.expasy.org/EC/2.2.1.6" xr:uid="{308B4541-9B46-3A46-A060-92E80B72AA73}"/>
    <hyperlink ref="F124" r:id="rId3311" xr:uid="{CF09E406-AF88-4343-960C-40678C1BA024}"/>
    <hyperlink ref="G124" r:id="rId3312" xr:uid="{69468ACD-D778-324C-8579-39B3AB1C0119}"/>
    <hyperlink ref="D123" r:id="rId3313" display="https://enzyme.expasy.org/EC/2.2.1.6" xr:uid="{CAF0A6E3-DF0E-E340-B685-674A8CC8E3CB}"/>
    <hyperlink ref="F123" r:id="rId3314" xr:uid="{2ABAB8AB-4300-4644-B617-85DD5B91D173}"/>
    <hyperlink ref="G123" r:id="rId3315" xr:uid="{ADBF34C4-D4BC-FC4D-AEB6-6F4BE194D6F7}"/>
    <hyperlink ref="D122" r:id="rId3316" display="https://enzyme.expasy.org/EC/2.2.1.6" xr:uid="{F68E06C1-E29B-F44B-81E7-5D5ECFB86374}"/>
    <hyperlink ref="F122" r:id="rId3317" xr:uid="{9C34BA8C-7099-EA4B-83C5-59BDAFE26615}"/>
    <hyperlink ref="G122" r:id="rId3318" xr:uid="{DB92618A-5D56-A848-9654-6A1102034208}"/>
    <hyperlink ref="D121" r:id="rId3319" display="https://enzyme.expasy.org/EC/2.2.1.6" xr:uid="{E14CA57F-28A7-4C4E-AD93-1615095342EB}"/>
    <hyperlink ref="F121" r:id="rId3320" xr:uid="{E7F6C5F4-AFB4-FD44-8E42-FADE5301E374}"/>
    <hyperlink ref="G121" r:id="rId3321" xr:uid="{FFDD948F-E207-9D4E-B147-FD74D5B4E55F}"/>
    <hyperlink ref="D1333" r:id="rId3322" display="https://enzyme.expasy.org/EC/2.2.1.6" xr:uid="{7E2C1FFD-8EB9-A846-AA2A-233CAF48D9DC}"/>
    <hyperlink ref="F1333" r:id="rId3323" xr:uid="{22E9E90B-9EE9-054A-8677-C94AA592CA46}"/>
    <hyperlink ref="G1333" r:id="rId3324" xr:uid="{FEBB8D2F-DBC0-5447-86F8-60B65D7B5E0C}"/>
    <hyperlink ref="D1332" r:id="rId3325" display="https://enzyme.expasy.org/EC/2.2.1.6" xr:uid="{9B5ACC39-6587-6041-AD30-45424E3D240A}"/>
    <hyperlink ref="F1332" r:id="rId3326" xr:uid="{0E0E4378-E6F7-5143-A641-811B8331D5EA}"/>
    <hyperlink ref="G1332" r:id="rId3327" xr:uid="{535B8E8C-7D6A-A446-8720-02E35B9AB123}"/>
    <hyperlink ref="D1331" r:id="rId3328" display="https://enzyme.expasy.org/EC/2.2.1.6" xr:uid="{4F384673-A1FA-9F45-B5FB-561ECADDEF73}"/>
    <hyperlink ref="F1331" r:id="rId3329" xr:uid="{794065A1-1E01-9E42-8927-538F24F4A29B}"/>
    <hyperlink ref="G1331" r:id="rId3330" xr:uid="{C94E4904-A3E5-5E40-BC76-D5D1895093A8}"/>
    <hyperlink ref="D1330" r:id="rId3331" display="https://enzyme.expasy.org/EC/2.2.1.6" xr:uid="{8E9203AE-F8E5-024C-9BF2-0596FA22F6D1}"/>
    <hyperlink ref="F1330" r:id="rId3332" xr:uid="{522F5667-3A95-B34A-A119-37137393A70E}"/>
    <hyperlink ref="G1330" r:id="rId3333" xr:uid="{5304EF8E-271E-194B-8693-5C1CD724F81F}"/>
    <hyperlink ref="D1329" r:id="rId3334" display="https://enzyme.expasy.org/EC/2.2.1.6" xr:uid="{D880F2D7-6504-4847-A098-5198BFEACD94}"/>
    <hyperlink ref="F1329" r:id="rId3335" xr:uid="{14AADE79-DA82-FB4C-9248-4D7917E9DB48}"/>
    <hyperlink ref="G1329" r:id="rId3336" xr:uid="{F1674795-15B9-FF42-8B15-BA6E719860D3}"/>
    <hyperlink ref="D1328" r:id="rId3337" display="https://enzyme.expasy.org/EC/2.2.1.6" xr:uid="{40F7BBC4-1DA9-2549-BB16-541F140DA018}"/>
    <hyperlink ref="F1328" r:id="rId3338" xr:uid="{1E3A7AEE-1DE9-EB4C-AE8A-DF60FA898D71}"/>
    <hyperlink ref="G1328" r:id="rId3339" xr:uid="{B7349A4A-E54D-164E-B764-8986574055F7}"/>
    <hyperlink ref="D1340" r:id="rId3340" display="https://enzyme.expasy.org/EC/2.2.1.6" xr:uid="{AE93708A-2359-6540-A13A-60781D3E3A5B}"/>
    <hyperlink ref="F1340" r:id="rId3341" xr:uid="{96C7CDC6-B72E-584A-8619-B1ED79E1949F}"/>
    <hyperlink ref="G1340" r:id="rId3342" xr:uid="{2CEA8814-B0D5-364B-9839-C634151E6724}"/>
    <hyperlink ref="D1339" r:id="rId3343" display="https://enzyme.expasy.org/EC/2.2.1.6" xr:uid="{233DF2EA-3E3C-BB45-8124-791AE0573128}"/>
    <hyperlink ref="F1339" r:id="rId3344" xr:uid="{BCE3B918-AB17-D04E-ABCB-A1C563544DED}"/>
    <hyperlink ref="G1339" r:id="rId3345" xr:uid="{9CF4C5E5-67AE-B943-A8E7-B4FDB2BF19C9}"/>
    <hyperlink ref="D1338" r:id="rId3346" display="https://enzyme.expasy.org/EC/2.2.1.6" xr:uid="{5D539649-2C83-7B43-B83A-E477BB755D71}"/>
    <hyperlink ref="F1338" r:id="rId3347" xr:uid="{97CE852A-54E4-CC43-B76B-CACF2A841E7B}"/>
    <hyperlink ref="G1338" r:id="rId3348" xr:uid="{30292DE0-4DEE-044F-BD07-77F381CEA2D7}"/>
    <hyperlink ref="D1337" r:id="rId3349" display="https://enzyme.expasy.org/EC/2.2.1.6" xr:uid="{4F93B7C6-5B2F-E34F-B4F0-8080F89CF1DB}"/>
    <hyperlink ref="F1337" r:id="rId3350" xr:uid="{6701CEB7-C366-214E-99AA-BF48FC6BE43F}"/>
    <hyperlink ref="G1337" r:id="rId3351" xr:uid="{FE6F2960-BB2C-214B-A60D-3D91302F8255}"/>
    <hyperlink ref="D1336" r:id="rId3352" display="https://enzyme.expasy.org/EC/2.2.1.6" xr:uid="{F8302175-6E1F-8C43-8341-272BC86FB987}"/>
    <hyperlink ref="F1336" r:id="rId3353" xr:uid="{044C0BA7-A516-B547-A013-61A0CC20B1EE}"/>
    <hyperlink ref="G1336" r:id="rId3354" xr:uid="{DC404154-3A7D-A342-B902-A00ED0EB595D}"/>
    <hyperlink ref="D1335" r:id="rId3355" display="https://enzyme.expasy.org/EC/2.2.1.6" xr:uid="{5F17F05A-208A-F941-9427-9BB80E80AB29}"/>
    <hyperlink ref="F1335" r:id="rId3356" xr:uid="{1C97709C-65F9-D646-9A63-AAA497652B6A}"/>
    <hyperlink ref="G1335" r:id="rId3357" xr:uid="{B94A2066-76FE-BB4D-933A-25670C42E415}"/>
    <hyperlink ref="D138" r:id="rId3358" display="https://enzyme.expasy.org/EC/1.1.1.36" xr:uid="{55F4574B-DAE7-544E-9B7C-719D455B5441}"/>
    <hyperlink ref="F138" r:id="rId3359" xr:uid="{2DA3852B-376B-494D-8879-593629F9A571}"/>
    <hyperlink ref="G138" r:id="rId3360" xr:uid="{59F7D0DC-9F78-BA45-897D-DD4345730AE1}"/>
    <hyperlink ref="D145" r:id="rId3361" display="https://enzyme.expasy.org/EC/2.4.1.287" xr:uid="{CDF9D119-D7C8-6A4A-B9BC-93FABBE638F3}"/>
    <hyperlink ref="F145" r:id="rId3362" xr:uid="{C665A299-6C9F-E645-BCB2-7A3E92D55FE1}"/>
    <hyperlink ref="G145" r:id="rId3363" xr:uid="{5AC0C8CC-3576-904E-B3EC-6647CE52FB20}"/>
    <hyperlink ref="D243" r:id="rId3364" display="https://enzyme.expasy.org/EC/1.11.1.6" xr:uid="{50E65F3B-341A-1145-BFFE-B3C4B9F06429}"/>
    <hyperlink ref="F243" r:id="rId3365" xr:uid="{0EA71AE5-A905-614E-900D-4C33B2FDCE50}"/>
    <hyperlink ref="G243" r:id="rId3366" xr:uid="{231B936E-5595-B043-AC40-EF9422532633}"/>
    <hyperlink ref="D242" r:id="rId3367" display="https://enzyme.expasy.org/EC/1.11.1.6" xr:uid="{4890F1B9-9837-6E44-8CD5-CF83B323A862}"/>
    <hyperlink ref="F242" r:id="rId3368" xr:uid="{EB36B2A8-1D8F-734F-8DE2-8D2908DBBED0}"/>
    <hyperlink ref="G242" r:id="rId3369" xr:uid="{8D132B0B-4BAE-F746-8771-44FAC3164D8F}"/>
    <hyperlink ref="F267" r:id="rId3370" xr:uid="{99FE4795-C57F-BB4E-9527-5E4DFCD54118}"/>
    <hyperlink ref="G267" r:id="rId3371" xr:uid="{B210A338-8C1A-9441-A308-37692DA146C1}"/>
    <hyperlink ref="D266" r:id="rId3372" display="https://enzyme.expasy.org/EC/3.3.2.10" xr:uid="{F006D6AB-7EE4-4348-9D04-23B84380D29C}"/>
    <hyperlink ref="F266" r:id="rId3373" xr:uid="{523A5573-26F0-DE46-AE71-E599FE92E2F1}"/>
    <hyperlink ref="G266" r:id="rId3374" xr:uid="{184AF60A-E600-3346-A8A7-407592D896E9}"/>
    <hyperlink ref="D265" r:id="rId3375" display="https://enzyme.expasy.org/EC/3.3.2.10" xr:uid="{1DA32DCC-CC10-8E44-816D-CFD07F745456}"/>
    <hyperlink ref="F265" r:id="rId3376" xr:uid="{728AB502-D69D-CF4C-8DE5-A803C01ECC07}"/>
    <hyperlink ref="G265" r:id="rId3377" xr:uid="{9573E96C-88FE-B84E-96CC-0C2BB98734C4}"/>
    <hyperlink ref="D264" r:id="rId3378" display="https://enzyme.expasy.org/EC/3.3.2.10" xr:uid="{16C3B35D-4CDC-294F-88DA-829CCDD1EAFD}"/>
    <hyperlink ref="F264" r:id="rId3379" xr:uid="{AAF3B8CD-2114-B14F-A2A5-6483D07B4C0E}"/>
    <hyperlink ref="G264" r:id="rId3380" xr:uid="{A6F253D8-3BC5-EB41-BAB0-30E0E4AD4EC1}"/>
    <hyperlink ref="D263" r:id="rId3381" display="https://enzyme.expasy.org/EC/3.3.2.10" xr:uid="{21246D19-357D-1C4F-AAA7-3A8CD3117103}"/>
    <hyperlink ref="F263" r:id="rId3382" xr:uid="{1D032F7C-C35D-0249-8C05-33EBF333B47C}"/>
    <hyperlink ref="G263" r:id="rId3383" xr:uid="{F8323A8B-DBF5-0342-8994-5C879C1B7FE5}"/>
    <hyperlink ref="D262" r:id="rId3384" display="https://enzyme.expasy.org/EC/3.3.2.10" xr:uid="{2133DEB9-A528-EA42-B864-E7DDA6B30567}"/>
    <hyperlink ref="F262" r:id="rId3385" xr:uid="{8EA74D51-5B1C-2648-92A1-A0B13475A5E3}"/>
    <hyperlink ref="G262" r:id="rId3386" xr:uid="{E1A35AF0-A490-5043-9D18-1369AAA5542C}"/>
    <hyperlink ref="D285" r:id="rId3387" display="https://enzyme.expasy.org/EC/4.6.1.1" xr:uid="{508813B9-F9CD-9F42-9BAF-D6B65B30D9B9}"/>
    <hyperlink ref="F285" r:id="rId3388" xr:uid="{A9CAA3B3-86C5-1F41-9A45-DA921FCE5747}"/>
    <hyperlink ref="G285" r:id="rId3389" xr:uid="{4ACABD2B-838C-3043-964D-805315740BEB}"/>
    <hyperlink ref="D300" r:id="rId3390" display="https://enzyme.expasy.org/EC/1.1.1.306" xr:uid="{989838BD-2267-1F44-928F-BAEA52F4E0F3}"/>
    <hyperlink ref="F300" r:id="rId3391" xr:uid="{DB43A56E-29A8-3247-9CCD-45FD4CEE660E}"/>
    <hyperlink ref="G300" r:id="rId3392" xr:uid="{2CE33F3C-A523-4C43-BE8D-005ECF01673C}"/>
    <hyperlink ref="D307" r:id="rId3393" display="https://enzyme.expasy.org/EC/3.4.11.2" xr:uid="{4EA0CC30-DF4C-D740-B9E0-D118402932B7}"/>
    <hyperlink ref="F307" r:id="rId3394" xr:uid="{C883D479-EE0D-8F43-BE8D-B6171C6A2A15}"/>
    <hyperlink ref="G307" r:id="rId3395" xr:uid="{0F41CF53-B7FA-9346-BDCA-39466C9C550C}"/>
    <hyperlink ref="D2348" r:id="rId3396" display="https://enzyme.expasy.org/EC/3.4.11.2" xr:uid="{61806040-E0A0-2343-80D6-F09674EE2DCD}"/>
    <hyperlink ref="F2348" r:id="rId3397" xr:uid="{7226D783-1232-2844-97BF-8FB8C8FC76AC}"/>
    <hyperlink ref="G2348" r:id="rId3398" xr:uid="{A22210D0-00D8-9148-BBD9-79A6013EE870}"/>
    <hyperlink ref="D3019" r:id="rId3399" display="https://enzyme.expasy.org/EC/3.4.11.2" xr:uid="{941748F0-F241-C746-8F0D-3AB8B068E778}"/>
    <hyperlink ref="F3019" r:id="rId3400" xr:uid="{1FDEEB49-2BC4-ED41-B3AE-A76AB9DC4B77}"/>
    <hyperlink ref="G3019" r:id="rId3401" xr:uid="{257ADC3B-8B05-A745-82A1-B73F9D9CFBE6}"/>
    <hyperlink ref="D309" r:id="rId3402" display="https://enzyme.expasy.org/EC/2.3.1.122" xr:uid="{D22115DC-9B80-4F47-8684-EFEA598E9BA6}"/>
    <hyperlink ref="F309" r:id="rId3403" xr:uid="{A7999CCF-C7FA-CD44-98D6-1EB23EBE5116}"/>
    <hyperlink ref="G309" r:id="rId3404" xr:uid="{BF34CE6A-13B9-CE4B-A204-884B629BF2CB}"/>
    <hyperlink ref="D2850" r:id="rId3405" display="https://enzyme.expasy.org/EC/2.3.1.122" xr:uid="{25C31090-F687-6848-A4AA-7C0FB3979346}"/>
    <hyperlink ref="F2850" r:id="rId3406" xr:uid="{4A7D83A1-6882-7646-85DF-47EDD876487B}"/>
    <hyperlink ref="G2850" r:id="rId3407" xr:uid="{06A34C74-C282-E546-ADE8-AC24826BE0CB}"/>
    <hyperlink ref="D2852" r:id="rId3408" display="https://enzyme.expasy.org/EC/2.3.1.122" xr:uid="{AB8C5797-2763-7C45-8A7B-6BC828E3B083}"/>
    <hyperlink ref="F2852" r:id="rId3409" xr:uid="{B73F208C-F3F0-B744-8A2E-B1E20FC453CB}"/>
    <hyperlink ref="G2852" r:id="rId3410" xr:uid="{58450434-0C66-3441-9AB5-6FCFED9DB0EC}"/>
    <hyperlink ref="D314" r:id="rId3411" display="https://enzyme.expasy.org/EC/1.8.1.4" xr:uid="{335332C8-C93F-8342-8C11-459A36F73ED5}"/>
    <hyperlink ref="F314" r:id="rId3412" xr:uid="{5C3D9E7A-F786-0C4D-893C-90211286EB5A}"/>
    <hyperlink ref="G314" r:id="rId3413" xr:uid="{7110AC17-2260-B24A-8F8F-62A0C382BB5D}"/>
    <hyperlink ref="D313" r:id="rId3414" display="https://enzyme.expasy.org/EC/1.8.1.4" xr:uid="{BC9F3856-0121-DA42-A319-64FD35A16717}"/>
    <hyperlink ref="F313" r:id="rId3415" xr:uid="{825440FD-7E64-0F41-8DE0-768480FB5D92}"/>
    <hyperlink ref="G313" r:id="rId3416" xr:uid="{C8485C05-919C-9844-BDF4-AFD6F55FE347}"/>
    <hyperlink ref="D312" r:id="rId3417" display="https://enzyme.expasy.org/EC/1.8.1.4" xr:uid="{00E0FA32-93E0-444A-BB8F-27F22AD8E895}"/>
    <hyperlink ref="F312" r:id="rId3418" xr:uid="{3B397671-D9E0-C747-93EE-281BA19AEAC1}"/>
    <hyperlink ref="G312" r:id="rId3419" xr:uid="{EB9392DC-3248-0349-99E1-2B19650C049A}"/>
    <hyperlink ref="D338" r:id="rId3420" display="https://enzyme.expasy.org/EC/1.8.1.4" xr:uid="{66D05E6C-901E-4C4E-97FA-1DD96E2B8E69}"/>
    <hyperlink ref="F338" r:id="rId3421" xr:uid="{A54A8A71-0874-D341-91D2-E87EB248A019}"/>
    <hyperlink ref="G338" r:id="rId3422" xr:uid="{F98294FF-4B7C-9045-99ED-D4AD254A2F02}"/>
    <hyperlink ref="D337" r:id="rId3423" display="https://enzyme.expasy.org/EC/1.8.1.4" xr:uid="{7614F1F6-B1CF-1842-ACFE-D1F59BD21A15}"/>
    <hyperlink ref="F337" r:id="rId3424" xr:uid="{7AE9FADA-E3F6-7947-81AF-86CE92E8C48C}"/>
    <hyperlink ref="G337" r:id="rId3425" xr:uid="{BAA7329E-27DB-3D4E-867F-CE443CC23DA3}"/>
    <hyperlink ref="D336" r:id="rId3426" display="https://enzyme.expasy.org/EC/1.8.1.4" xr:uid="{49B3D419-5560-4E4F-9CC8-D46ED3C8A590}"/>
    <hyperlink ref="F336" r:id="rId3427" xr:uid="{ABB381C9-E0E2-D644-8E90-26054E592D5B}"/>
    <hyperlink ref="G336" r:id="rId3428" xr:uid="{13DDE1AF-14DE-094A-823C-716304B10D5E}"/>
    <hyperlink ref="D342" r:id="rId3429" display="https://enzyme.expasy.org/EC/1.8.1.4" xr:uid="{5C5A0013-747D-8549-B6B2-9675E3AB2150}"/>
    <hyperlink ref="F342" r:id="rId3430" xr:uid="{9F9B2F21-FA15-6546-9079-B6119EB017B4}"/>
    <hyperlink ref="G342" r:id="rId3431" xr:uid="{02BF4115-6889-E747-8AFC-4A5C203B32F0}"/>
    <hyperlink ref="D341" r:id="rId3432" display="https://enzyme.expasy.org/EC/1.8.1.4" xr:uid="{398CC32F-DA02-FD40-B7E3-6B810CB2227A}"/>
    <hyperlink ref="F341" r:id="rId3433" xr:uid="{46DBDBE6-10D9-8341-9396-EB1A4D5E7401}"/>
    <hyperlink ref="G341" r:id="rId3434" xr:uid="{C999414F-3302-E94F-83A2-E7F476C6FA6F}"/>
    <hyperlink ref="D340" r:id="rId3435" display="https://enzyme.expasy.org/EC/1.8.1.4" xr:uid="{08115B3F-C165-1145-B757-5443A3DBCA83}"/>
    <hyperlink ref="F340" r:id="rId3436" xr:uid="{2EE1D479-2DF1-6640-B523-5EF3ACB3CFAF}"/>
    <hyperlink ref="G340" r:id="rId3437" xr:uid="{C59BF617-F18A-C345-8C9E-953B3ABF9DC7}"/>
    <hyperlink ref="D319" r:id="rId3438" display="https://enzyme.expasy.org/EC/1.3.5.1" xr:uid="{2D29497D-B608-9543-B2E8-A919F93A87F1}"/>
    <hyperlink ref="F319" r:id="rId3439" xr:uid="{EEF85FF9-5C33-B84D-B123-7A8304CC96DB}"/>
    <hyperlink ref="G319" r:id="rId3440" xr:uid="{4D43E6D8-07BE-9943-8E95-090DC272D3CB}"/>
    <hyperlink ref="D350" r:id="rId3441" display="https://enzyme.expasy.org/EC/1.3.5.1" xr:uid="{18AFFA6B-64A3-934C-A345-5F13F856C2EB}"/>
    <hyperlink ref="F350" r:id="rId3442" xr:uid="{183F33F6-F2B8-094D-BDE5-7E63BADDC7D9}"/>
    <hyperlink ref="G350" r:id="rId3443" xr:uid="{61F5973F-228D-6D46-AA8A-4936FADDC853}"/>
    <hyperlink ref="G1839" r:id="rId3444" xr:uid="{79E4CF3B-56B1-AA48-B2D5-65AEA30ACC60}"/>
    <hyperlink ref="G1840" r:id="rId3445" xr:uid="{06E173AF-FCC0-EA46-A819-1BBB1DC4F5A6}"/>
    <hyperlink ref="G1841" r:id="rId3446" xr:uid="{8019C3FF-8D15-E449-B82F-A599EDC50280}"/>
    <hyperlink ref="G1842" r:id="rId3447" xr:uid="{5C5D9E82-FDDD-7040-88AF-D1BAEA90B577}"/>
    <hyperlink ref="G2672" r:id="rId3448" xr:uid="{4D8E2F10-D83B-8D4C-8A2B-C26DD8CE67D4}"/>
    <hyperlink ref="G2673" r:id="rId3449" xr:uid="{C061BB38-DD8B-F14B-91F0-99036C90C704}"/>
    <hyperlink ref="F2699" r:id="rId3450" xr:uid="{7515130A-D0D8-154B-BF84-B9A04EFB1FFB}"/>
    <hyperlink ref="G2699" r:id="rId3451" xr:uid="{928BA23E-C0FB-DC43-B7C3-2568864FB3D8}"/>
    <hyperlink ref="D388" r:id="rId3452" display="https://enzyme.expasy.org/EC/1.3.1.98" xr:uid="{A446CC22-FE39-9949-84CC-DCCB60358F5C}"/>
    <hyperlink ref="F388" r:id="rId3453" xr:uid="{7AC7FCD0-8FFD-F444-B899-D3B1ADE03500}"/>
    <hyperlink ref="G388" r:id="rId3454" xr:uid="{F904B82C-7F92-E043-9249-4DBC15620754}"/>
    <hyperlink ref="D404" r:id="rId3455" display="https://enzyme.expasy.org/EC/3.6.1.11" xr:uid="{76F2E7D4-536C-BF4F-A5FF-40D065448E4F}"/>
    <hyperlink ref="F404" r:id="rId3456" xr:uid="{BFEED0F7-D756-3647-8D95-AF6AE557346F}"/>
    <hyperlink ref="G404" r:id="rId3457" xr:uid="{30992C3B-FD00-354D-A50E-A6E608A11BDF}"/>
    <hyperlink ref="D409" r:id="rId3458" display="https://enzyme.expasy.org/EC/1.5.1.2" xr:uid="{562708D6-003C-8D40-95DA-33599A579313}"/>
    <hyperlink ref="F409" r:id="rId3459" xr:uid="{75B351EF-7F53-F645-AA8B-B055DD208E79}"/>
    <hyperlink ref="G409" r:id="rId3460" xr:uid="{BD5B53BA-0200-1847-A994-3D0C46A9209A}"/>
    <hyperlink ref="D408" r:id="rId3461" display="https://enzyme.expasy.org/EC/1.5.1.2" xr:uid="{692269C2-E870-884E-BC39-4E74FE9E856A}"/>
    <hyperlink ref="F408" r:id="rId3462" xr:uid="{593B663A-6613-5F4A-A050-5EC4E3CF8936}"/>
    <hyperlink ref="G408" r:id="rId3463" xr:uid="{026F5BDE-4BFA-6E4B-8FD5-52B95107C689}"/>
    <hyperlink ref="D407" r:id="rId3464" display="https://enzyme.expasy.org/EC/1.5.1.2" xr:uid="{CCCADEDC-B7FD-3D4A-9A57-14DCE2ACEE25}"/>
    <hyperlink ref="F407" r:id="rId3465" xr:uid="{B106F6F9-BEFE-344B-B7ED-593280DC857D}"/>
    <hyperlink ref="G407" r:id="rId3466" xr:uid="{C0AA40B2-55E1-1640-8295-A8A52679084C}"/>
    <hyperlink ref="D421" r:id="rId3467" display="https://enzyme.expasy.org/EC/2.1.1.107" xr:uid="{1E4CD1DC-E658-7943-8A5A-415405ABE0D0}"/>
    <hyperlink ref="F421" r:id="rId3468" xr:uid="{D9414C09-0319-154D-B3B2-955A0549966D}"/>
    <hyperlink ref="G421" r:id="rId3469" xr:uid="{D2F82DD1-F00C-B243-BB90-0724B27674AE}"/>
    <hyperlink ref="D420" r:id="rId3470" display="https://enzyme.expasy.org/EC/2.1.1.107" xr:uid="{1916B330-7000-9A41-8EF1-ACAF9A91FA67}"/>
    <hyperlink ref="F420" r:id="rId3471" xr:uid="{40822926-D08A-AC4F-9FF2-F619B844E939}"/>
    <hyperlink ref="G420" r:id="rId3472" xr:uid="{7D62924E-40E3-3240-92FB-7D89D7650431}"/>
    <hyperlink ref="D419" r:id="rId3473" display="https://enzyme.expasy.org/EC/2.1.1.107" xr:uid="{6B2747C6-7FCC-A246-9B68-659BEFD8EFF0}"/>
    <hyperlink ref="F419" r:id="rId3474" xr:uid="{145512F7-6528-B54D-8E6D-3637BBA51988}"/>
    <hyperlink ref="G419" r:id="rId3475" xr:uid="{7E40597B-6748-5442-81FA-576E8D27C8D2}"/>
    <hyperlink ref="D808" r:id="rId3476" display="https://enzyme.expasy.org/EC/2.1.1.107" xr:uid="{BE7D4492-49EF-9546-AB16-0F5BC4114A0C}"/>
    <hyperlink ref="F808" r:id="rId3477" xr:uid="{EBD5E1B2-1685-0F49-AA9B-D35C9E8E7A78}"/>
    <hyperlink ref="G808" r:id="rId3478" xr:uid="{2F697237-7F06-EE40-B771-DF34253A5E2D}"/>
    <hyperlink ref="D807" r:id="rId3479" display="https://enzyme.expasy.org/EC/2.1.1.107" xr:uid="{2560189A-B6F8-FA43-B189-FECF787E8D71}"/>
    <hyperlink ref="F807" r:id="rId3480" xr:uid="{C6B204A3-6D57-9C48-B62F-C89ABB8F78AE}"/>
    <hyperlink ref="G807" r:id="rId3481" xr:uid="{538C279C-16CA-984D-82A1-11C8F8BAA2D4}"/>
    <hyperlink ref="D806" r:id="rId3482" display="https://enzyme.expasy.org/EC/2.1.1.107" xr:uid="{C3992AFB-5CA0-424B-A03B-9F7D3C52A20C}"/>
    <hyperlink ref="F806" r:id="rId3483" xr:uid="{FB7A616D-984F-5842-93C4-F57F2F82DE87}"/>
    <hyperlink ref="G806" r:id="rId3484" xr:uid="{61F1DE8C-D4EF-174A-A8E5-9D9CA3EA232B}"/>
    <hyperlink ref="D426" r:id="rId3485" display="https://enzyme.expasy.org/EC/4.1.1.37" xr:uid="{8D9E877D-48E0-524F-AFC4-14B79E618CE8}"/>
    <hyperlink ref="F426" r:id="rId3486" xr:uid="{7334F883-13C0-5E4A-85E3-B5D7A2E6D7FE}"/>
    <hyperlink ref="G426" r:id="rId3487" xr:uid="{60F0D468-0B66-5D43-A1CD-D70E4B11503B}"/>
    <hyperlink ref="D430" r:id="rId3488" display="https://enzyme.expasy.org/EC/1.1.1.31" xr:uid="{E7022565-8F4D-9E40-954C-85DAC2AF2D76}"/>
    <hyperlink ref="F430" r:id="rId3489" xr:uid="{655CCADA-B93D-E941-8151-611D3CD41ABC}"/>
    <hyperlink ref="G430" r:id="rId3490" xr:uid="{DC2C3C5C-94D2-C145-AF65-B648C59814E9}"/>
    <hyperlink ref="D444" r:id="rId3491" display="https://enzyme.expasy.org/EC/4.1.3.36" xr:uid="{2B094CEB-5C33-E64D-B366-D6C840C7B2FA}"/>
    <hyperlink ref="F444" r:id="rId3492" xr:uid="{AA9D276B-035C-884C-B50B-74043D2106F7}"/>
    <hyperlink ref="G444" r:id="rId3493" xr:uid="{6A392DCB-3E80-B94D-A556-301FFB213669}"/>
    <hyperlink ref="D491" r:id="rId3494" display="https://enzyme.expasy.org/EC/4.1.99.3" xr:uid="{CB941534-9867-F34A-9226-3EE85E2E126E}"/>
    <hyperlink ref="F491" r:id="rId3495" xr:uid="{8C657923-2F2A-0D4A-B2DE-33BF0210CFAE}"/>
    <hyperlink ref="G491" r:id="rId3496" xr:uid="{6048B304-6B5A-964B-900E-CC2B9FAE3786}"/>
    <hyperlink ref="D504" r:id="rId3497" display="https://enzyme.expasy.org/EC/2.7.7.6" xr:uid="{F147085A-75F1-C84A-BFCC-FFDD0EAAF01B}"/>
    <hyperlink ref="F504" r:id="rId3498" xr:uid="{68A93176-600E-A441-B168-B13C54A46E84}"/>
    <hyperlink ref="G504" r:id="rId3499" xr:uid="{8DFEC187-F35D-8E4A-A3D2-57EEA5B64A9C}"/>
    <hyperlink ref="D503" r:id="rId3500" display="https://enzyme.expasy.org/EC/2.7.7.6" xr:uid="{4479BEB0-D950-FB4F-8F9E-3B9DBDC215C1}"/>
    <hyperlink ref="F503" r:id="rId3501" xr:uid="{51812466-90FF-BA49-86E9-393BF41DDF13}"/>
    <hyperlink ref="G503" r:id="rId3502" xr:uid="{175CA011-3D66-3C44-AFBE-5FC917D2ACCF}"/>
    <hyperlink ref="D502" r:id="rId3503" display="https://enzyme.expasy.org/EC/2.7.7.6" xr:uid="{7C482FCF-0239-1749-8DC9-7C3A42397D51}"/>
    <hyperlink ref="F502" r:id="rId3504" xr:uid="{AC75BE60-9E68-1E46-927C-48EED70DA191}"/>
    <hyperlink ref="G502" r:id="rId3505" xr:uid="{A2F98536-B972-B44A-91F1-879FB6C37471}"/>
    <hyperlink ref="D501" r:id="rId3506" display="https://enzyme.expasy.org/EC/2.7.7.6" xr:uid="{9635884D-A945-EC47-8C5A-7F6BFD983C60}"/>
    <hyperlink ref="F501" r:id="rId3507" xr:uid="{CCADC2C2-3D6A-F84C-95BB-958E3321F55B}"/>
    <hyperlink ref="G501" r:id="rId3508" xr:uid="{C5F4CAEA-B910-D940-A9B7-D40900A6E6D0}"/>
    <hyperlink ref="D500" r:id="rId3509" display="https://enzyme.expasy.org/EC/2.7.7.6" xr:uid="{7645540D-20AF-0A49-B633-C72D43CF0464}"/>
    <hyperlink ref="F500" r:id="rId3510" xr:uid="{264B8D84-88BE-D24C-A79D-B928767FDC5D}"/>
    <hyperlink ref="G500" r:id="rId3511" xr:uid="{278BDA52-D549-0B42-BFCA-91E2A85F6984}"/>
    <hyperlink ref="D510" r:id="rId3512" display="https://enzyme.expasy.org/EC/2.7.7.6" xr:uid="{93E8F9F7-C4FD-9047-A868-1D19F1A0286F}"/>
    <hyperlink ref="F510" r:id="rId3513" xr:uid="{F51E1607-31A0-1F43-AB18-83003B1C8578}"/>
    <hyperlink ref="G510" r:id="rId3514" xr:uid="{3E43D522-B4C9-6245-96A5-02450D3F2704}"/>
    <hyperlink ref="D509" r:id="rId3515" display="https://enzyme.expasy.org/EC/2.7.7.6" xr:uid="{E2F1863B-E106-4F41-B2A1-70A74927C033}"/>
    <hyperlink ref="F509" r:id="rId3516" xr:uid="{F52C45D0-9657-B74D-B1EF-60A0F1D56292}"/>
    <hyperlink ref="G509" r:id="rId3517" xr:uid="{C6056174-9327-F646-9A74-225DD3981A45}"/>
    <hyperlink ref="D508" r:id="rId3518" display="https://enzyme.expasy.org/EC/2.7.7.6" xr:uid="{E584B715-9FBD-454E-9E87-7E7E8310EBB1}"/>
    <hyperlink ref="F508" r:id="rId3519" xr:uid="{4D09DACD-B6FF-BC46-B387-E5504546B87A}"/>
    <hyperlink ref="G508" r:id="rId3520" xr:uid="{170203A6-6404-8B46-8204-B24C7F60C78A}"/>
    <hyperlink ref="D507" r:id="rId3521" display="https://enzyme.expasy.org/EC/2.7.7.6" xr:uid="{2C0A91D1-E396-B24D-981D-BD677CE2E08A}"/>
    <hyperlink ref="F507" r:id="rId3522" xr:uid="{0E4E7C72-0F20-2B47-B87D-CB18D3CE8A42}"/>
    <hyperlink ref="G507" r:id="rId3523" xr:uid="{5CB4C439-D4D4-A441-B879-04266A09DFBA}"/>
    <hyperlink ref="D506" r:id="rId3524" display="https://enzyme.expasy.org/EC/2.7.7.6" xr:uid="{D7964B5B-4963-6D4A-AAB9-CD4447AF1F29}"/>
    <hyperlink ref="F506" r:id="rId3525" xr:uid="{4D49CE61-1202-894B-9A2D-E79E957CA1CA}"/>
    <hyperlink ref="G506" r:id="rId3526" xr:uid="{B2C6D94F-CA34-4348-B7D1-1D40AF87F365}"/>
    <hyperlink ref="D586" r:id="rId3527" display="https://enzyme.expasy.org/EC/2.7.7.6" xr:uid="{29026255-B749-3F4B-BE00-C8798AEC06A7}"/>
    <hyperlink ref="F586" r:id="rId3528" xr:uid="{C814478C-662C-394D-8D13-52A033BAA9DD}"/>
    <hyperlink ref="G586" r:id="rId3529" xr:uid="{281076DA-A7E7-374E-8F15-D397C4FDF84E}"/>
    <hyperlink ref="D585" r:id="rId3530" display="https://enzyme.expasy.org/EC/2.7.7.6" xr:uid="{703A5427-F336-B549-9727-720948AF4696}"/>
    <hyperlink ref="F585" r:id="rId3531" xr:uid="{01376990-5EA1-B049-B223-2B668A740E5A}"/>
    <hyperlink ref="G585" r:id="rId3532" xr:uid="{E15258B2-0733-1149-86FC-3BEBDEF54054}"/>
    <hyperlink ref="D584" r:id="rId3533" display="https://enzyme.expasy.org/EC/2.7.7.6" xr:uid="{0F7D4EE0-CA60-7A4C-A64B-A54E69EFD59A}"/>
    <hyperlink ref="F584" r:id="rId3534" xr:uid="{6AAED4F6-AD30-ED42-9D2C-F1CB0D3A2286}"/>
    <hyperlink ref="G584" r:id="rId3535" xr:uid="{0BBC6578-4844-764F-A73D-2B39EAC5397A}"/>
    <hyperlink ref="D583" r:id="rId3536" display="https://enzyme.expasy.org/EC/2.7.7.6" xr:uid="{B5C6704F-3BB4-A64E-A239-54EF008EFDEC}"/>
    <hyperlink ref="F583" r:id="rId3537" xr:uid="{D4423AB0-E4B1-D449-85A7-E41190BBEB8B}"/>
    <hyperlink ref="G583" r:id="rId3538" xr:uid="{1C43572D-4132-A34E-8B76-F8FDFC9411BA}"/>
    <hyperlink ref="D582" r:id="rId3539" display="https://enzyme.expasy.org/EC/2.7.7.6" xr:uid="{80A30281-B67E-9941-83B2-C24035F24451}"/>
    <hyperlink ref="F582" r:id="rId3540" xr:uid="{82B51C6A-CF27-C541-9B39-E7944D9A4F83}"/>
    <hyperlink ref="G582" r:id="rId3541" xr:uid="{BB1712E1-88E5-DA40-A832-367785C5068A}"/>
    <hyperlink ref="D1624" r:id="rId3542" display="https://enzyme.expasy.org/EC/2.7.7.6" xr:uid="{F26814D4-D3D4-F94D-A514-B2C669BC2A80}"/>
    <hyperlink ref="F1624" r:id="rId3543" xr:uid="{ECEB93D8-477F-4D4C-8C74-74F07C034DC0}"/>
    <hyperlink ref="G1624" r:id="rId3544" xr:uid="{FBD62597-CFE6-D142-8DDA-DAE120F24C50}"/>
    <hyperlink ref="D1623" r:id="rId3545" display="https://enzyme.expasy.org/EC/2.7.7.6" xr:uid="{10503F36-4F19-9C40-8A1D-216548652844}"/>
    <hyperlink ref="F1623" r:id="rId3546" xr:uid="{5D94F83E-D7EF-C54A-9144-56A3DC25635F}"/>
    <hyperlink ref="G1623" r:id="rId3547" xr:uid="{061589B6-C068-D044-83CD-25D6D516E82A}"/>
    <hyperlink ref="D1622" r:id="rId3548" display="https://enzyme.expasy.org/EC/2.7.7.6" xr:uid="{B737979F-E6D1-C147-8825-1DD78850BB60}"/>
    <hyperlink ref="F1622" r:id="rId3549" xr:uid="{347D5D03-25B1-4D40-894A-9939E120C1D1}"/>
    <hyperlink ref="G1622" r:id="rId3550" xr:uid="{842D1048-5331-2D4C-A021-62E9A62CB499}"/>
    <hyperlink ref="D1621" r:id="rId3551" display="https://enzyme.expasy.org/EC/2.7.7.6" xr:uid="{2FB80E4B-5903-724F-94AA-51D385D3B04D}"/>
    <hyperlink ref="F1621" r:id="rId3552" xr:uid="{4BB938ED-DE9D-3744-952A-5019AE319F32}"/>
    <hyperlink ref="G1621" r:id="rId3553" xr:uid="{97C462D2-8062-534B-8360-A892FCE44268}"/>
    <hyperlink ref="D1620" r:id="rId3554" display="https://enzyme.expasy.org/EC/2.7.7.6" xr:uid="{66C0D21E-4988-D949-9856-396D93A7E2FA}"/>
    <hyperlink ref="F1620" r:id="rId3555" xr:uid="{647E8379-A3AD-5243-A4E5-B034DDEAB3E9}"/>
    <hyperlink ref="G1620" r:id="rId3556" xr:uid="{657AB575-4CBC-BD4D-B73F-4B27DF7BE76F}"/>
    <hyperlink ref="D574" r:id="rId3557" display="https://enzyme.expasy.org/EC/2.7.4.3" xr:uid="{C11AB430-8CB4-2C45-B4AD-328ACCDD8CC7}"/>
    <hyperlink ref="F574" r:id="rId3558" xr:uid="{06361B0E-3B1E-3044-84A1-F24C0FFBDC6C}"/>
    <hyperlink ref="G574" r:id="rId3559" xr:uid="{B87964C7-105E-744F-9C99-01C216E2BAA2}"/>
    <hyperlink ref="D573" r:id="rId3560" display="https://enzyme.expasy.org/EC/2.7.4.3" xr:uid="{3C6A7E63-1B48-774E-8468-14E10BF5BC9B}"/>
    <hyperlink ref="F573" r:id="rId3561" xr:uid="{DA1EA11D-09EF-5B46-9D73-6C76E98BC300}"/>
    <hyperlink ref="G573" r:id="rId3562" xr:uid="{22633395-A4B9-F14D-A759-9F79CC97DD38}"/>
    <hyperlink ref="D627" r:id="rId3563" display="https://enzyme.expasy.org/EC/1.1.1.205" xr:uid="{69DF71CC-478D-ED4E-A344-CE40258E911A}"/>
    <hyperlink ref="F627" r:id="rId3564" xr:uid="{7A85CF74-CBBF-6D4C-BC37-E23104BB1BDE}"/>
    <hyperlink ref="G627" r:id="rId3565" xr:uid="{E735CC04-7D19-C34C-BC64-63EF78D19ACC}"/>
    <hyperlink ref="D2585" r:id="rId3566" display="https://enzyme.expasy.org/EC/1.1.1.205" xr:uid="{73BD16C0-3442-634A-AB43-2D51160B6140}"/>
    <hyperlink ref="F2585" r:id="rId3567" xr:uid="{0CC052E6-3EDE-3A4E-BBCB-1F1B98D2C177}"/>
    <hyperlink ref="G2585" r:id="rId3568" xr:uid="{0BF2F792-5546-9A45-99F9-20D182823C61}"/>
    <hyperlink ref="D673" r:id="rId3569" display="https://enzyme.expasy.org/EC/1.1.1.42" xr:uid="{32DCB667-95A7-E842-BFE5-7547C1FC8499}"/>
    <hyperlink ref="F673" r:id="rId3570" xr:uid="{CB5D93BF-0F52-D244-A69D-DE254E73A766}"/>
    <hyperlink ref="G673" r:id="rId3571" xr:uid="{E82C0CF8-28CB-904E-9EB5-46F0FC1B598F}"/>
    <hyperlink ref="D672" r:id="rId3572" display="https://enzyme.expasy.org/EC/1.1.1.42" xr:uid="{582560F2-621B-0E42-81CA-B6F9E81115D4}"/>
    <hyperlink ref="F672" r:id="rId3573" xr:uid="{8980D286-B0FF-2B43-BC80-AFB5B7B1E82F}"/>
    <hyperlink ref="G672" r:id="rId3574" xr:uid="{D5F223FD-3B40-E54E-8A94-AB927573D382}"/>
    <hyperlink ref="D703" r:id="rId3575" display="https://enzyme.expasy.org/EC/1.6.5.2" xr:uid="{201377FE-AB60-424D-A4CD-D0CA073521C3}"/>
    <hyperlink ref="F703" r:id="rId3576" xr:uid="{AA5257DB-E553-BE44-943C-FD3E3A2DE29D}"/>
    <hyperlink ref="G703" r:id="rId3577" xr:uid="{68B37D6E-0A2D-FC40-A510-B86752AB0165}"/>
    <hyperlink ref="D702" r:id="rId3578" display="https://enzyme.expasy.org/EC/1.6.5.2" xr:uid="{1593DC78-7D6F-C64C-B08A-0264846E2F6B}"/>
    <hyperlink ref="F702" r:id="rId3579" xr:uid="{0AE0D105-0D5F-3D4D-AACF-CBC360643783}"/>
    <hyperlink ref="G702" r:id="rId3580" xr:uid="{AB2FB9CC-2981-C54C-8230-119718917814}"/>
    <hyperlink ref="D701" r:id="rId3581" display="https://enzyme.expasy.org/EC/1.6.5.2" xr:uid="{B452A82E-4653-2E43-B37F-AD75736DD5E7}"/>
    <hyperlink ref="F701" r:id="rId3582" xr:uid="{B8A03A0F-F51A-AA44-971C-49853A73F403}"/>
    <hyperlink ref="G701" r:id="rId3583" xr:uid="{7594C50B-846B-044B-AE0B-87BC63630111}"/>
    <hyperlink ref="D700" r:id="rId3584" display="https://enzyme.expasy.org/EC/1.6.5.2" xr:uid="{D0093BB8-B6A6-8A47-B32B-72A301AE614E}"/>
    <hyperlink ref="F700" r:id="rId3585" xr:uid="{36C95D3B-0F63-1C45-B9CB-F85A20A08D70}"/>
    <hyperlink ref="G700" r:id="rId3586" xr:uid="{F5F794C8-2C84-1648-AAC4-0725097FD860}"/>
    <hyperlink ref="D708" r:id="rId3587" display="https://enzyme.expasy.org/EC/2.7.8.23" xr:uid="{CB6E0393-CD28-F545-AA9B-450853295CF2}"/>
    <hyperlink ref="F708" r:id="rId3588" xr:uid="{E35AC63E-B47D-D540-B61B-EA96B1364B9D}"/>
    <hyperlink ref="G708" r:id="rId3589" xr:uid="{A1BC5A41-E35E-B24E-92A3-7BD19DAF9962}"/>
    <hyperlink ref="D707" r:id="rId3590" display="https://enzyme.expasy.org/EC/2.7.8.23" xr:uid="{CA15FB5F-3CD4-554B-B768-2F8B372AB67B}"/>
    <hyperlink ref="F707" r:id="rId3591" xr:uid="{CBC79E5A-5EC4-C648-A6AD-5533B7CB9EA2}"/>
    <hyperlink ref="G707" r:id="rId3592" xr:uid="{DC922AFA-B5AA-1040-8FA5-3A1C1B044143}"/>
    <hyperlink ref="D714" r:id="rId3593" display="https://enzyme.expasy.org/EC/3.5.4.5" xr:uid="{0DEB0E07-97C9-C64A-86CD-9CB771C805BB}"/>
    <hyperlink ref="F714" r:id="rId3594" xr:uid="{C7443417-5877-4947-AE44-1EB2CE260ED4}"/>
    <hyperlink ref="G714" r:id="rId3595" xr:uid="{7E8C9D53-95CF-0E41-AC82-09264C7A2C25}"/>
    <hyperlink ref="D713" r:id="rId3596" display="https://enzyme.expasy.org/EC/3.5.4.5" xr:uid="{0CEADC29-FF7F-C740-9FFB-E58C9A11F5E5}"/>
    <hyperlink ref="F713" r:id="rId3597" xr:uid="{09E2E6A1-8353-7744-B190-7C8A4AC02004}"/>
    <hyperlink ref="G713" r:id="rId3598" xr:uid="{BFD7A5AF-8F20-744B-A10A-4C2D3B147447}"/>
    <hyperlink ref="D719" r:id="rId3599" display="https://enzyme.expasy.org/EC/2.4.2.2" xr:uid="{AB401769-0151-FE41-BF03-42105ECB8614}"/>
    <hyperlink ref="F719" r:id="rId3600" xr:uid="{169F86E2-5431-B848-BB76-1C12F58DD4EC}"/>
    <hyperlink ref="G719" r:id="rId3601" xr:uid="{562D05EF-92A2-624D-AFCB-D705C04F0299}"/>
    <hyperlink ref="D718" r:id="rId3602" display="https://enzyme.expasy.org/EC/2.4.2.2" xr:uid="{67C43868-8A74-A045-BF45-AC16BDE25557}"/>
    <hyperlink ref="F718" r:id="rId3603" xr:uid="{8E023DE3-D548-3244-8131-98D9C0B7C653}"/>
    <hyperlink ref="G718" r:id="rId3604" xr:uid="{36053DD6-8FE5-344B-AE54-EECCBB88C5E2}"/>
    <hyperlink ref="D717" r:id="rId3605" display="https://enzyme.expasy.org/EC/2.4.2.2" xr:uid="{1E12490F-7CD2-4146-91C5-904DF3846A14}"/>
    <hyperlink ref="F717" r:id="rId3606" xr:uid="{BC5E9AC4-E704-9449-9B80-5740C56FAC4A}"/>
    <hyperlink ref="G717" r:id="rId3607" xr:uid="{29C7DED5-7864-D447-AE21-8B45D5FB61F1}"/>
    <hyperlink ref="D716" r:id="rId3608" display="https://enzyme.expasy.org/EC/2.4.2.2" xr:uid="{D2B37B00-F22B-5742-9CC1-14A095A566AD}"/>
    <hyperlink ref="F716" r:id="rId3609" xr:uid="{AE7263B1-F8A9-7445-9026-10749D98C312}"/>
    <hyperlink ref="G716" r:id="rId3610" xr:uid="{B8B13AFB-87F4-8D4B-9837-3D0A9B622A03}"/>
    <hyperlink ref="D738" r:id="rId3611" display="https://enzyme.expasy.org/EC/3.2.1.1" xr:uid="{35455C6F-DA1F-D94A-8EA6-1D353959F7E8}"/>
    <hyperlink ref="F738" r:id="rId3612" xr:uid="{7DBC41C1-1B43-EA44-8236-A267707E9273}"/>
    <hyperlink ref="G738" r:id="rId3613" xr:uid="{B952CC3B-FD87-9945-9D87-2C23FED7D308}"/>
    <hyperlink ref="D737" r:id="rId3614" display="https://enzyme.expasy.org/EC/3.2.1.1" xr:uid="{039238BC-26F1-5F45-BECB-ACBF8F6A8699}"/>
    <hyperlink ref="F737" r:id="rId3615" xr:uid="{67A627F9-D7A8-0841-9CDC-23168D0D5688}"/>
    <hyperlink ref="G737" r:id="rId3616" xr:uid="{919C11DA-5730-A248-95A1-02792C7DFD19}"/>
    <hyperlink ref="D736" r:id="rId3617" display="https://enzyme.expasy.org/EC/3.2.1.1" xr:uid="{323028AA-40AA-6845-983E-A80314358A90}"/>
    <hyperlink ref="F736" r:id="rId3618" xr:uid="{627644BA-03CA-8C49-99EC-15AFF8233715}"/>
    <hyperlink ref="G736" r:id="rId3619" xr:uid="{FC77F24E-622C-6743-942A-7AA6A9716E54}"/>
    <hyperlink ref="D746" r:id="rId3620" display="https://enzyme.expasy.org/EC/6.3.4.15" xr:uid="{08853626-716A-4344-BA65-EC2B91E1715C}"/>
    <hyperlink ref="F746" r:id="rId3621" xr:uid="{44CAEBE7-F6DE-894B-ABA6-807C97FED8E8}"/>
    <hyperlink ref="G746" r:id="rId3622" xr:uid="{34E1E0ED-06D1-8F43-ABCA-CC82FC8690FC}"/>
    <hyperlink ref="D745" r:id="rId3623" display="https://enzyme.expasy.org/EC/6.3.4.15" xr:uid="{A861232A-66C5-8440-9382-70B98F6457F0}"/>
    <hyperlink ref="F745" r:id="rId3624" xr:uid="{00E75F38-DEF9-DB4C-A3F9-2E0D4BBF8AAA}"/>
    <hyperlink ref="G745" r:id="rId3625" xr:uid="{3FF3ABE0-909F-7641-B355-0AAB29C6E9CB}"/>
    <hyperlink ref="D753" r:id="rId3626" display="https://enzyme.expasy.org/EC/2.7.1.15" xr:uid="{7C272B42-BF86-274C-99EA-89FE1AEB1F79}"/>
    <hyperlink ref="F753" r:id="rId3627" xr:uid="{9C863A87-9526-7349-90BD-CFA21B3186BF}"/>
    <hyperlink ref="G753" r:id="rId3628" xr:uid="{67725321-A529-654B-9B1F-70C0BCA9AB5D}"/>
    <hyperlink ref="D760" r:id="rId3629" display="https://enzyme.expasy.org/EC/5.1.3.3" xr:uid="{3C31AD72-D86B-5A4C-9D56-B1DFB8FCCE03}"/>
    <hyperlink ref="F760" r:id="rId3630" xr:uid="{4726B057-8775-4146-BB7C-7191346D8CED}"/>
    <hyperlink ref="G760" r:id="rId3631" xr:uid="{584D6419-D3A0-B84F-BD94-AC12E8F5ECD6}"/>
    <hyperlink ref="D843" r:id="rId3632" display="https://enzyme.expasy.org/EC/3.6.1.22" xr:uid="{37261D0E-E451-A74C-B0E8-54AD83E2836E}"/>
    <hyperlink ref="F843" r:id="rId3633" xr:uid="{8CB6C372-C3BB-B24F-8190-4484633D65EC}"/>
    <hyperlink ref="G843" r:id="rId3634" xr:uid="{A27952B8-0A3C-4E40-8ED7-BB26F42CC22B}"/>
    <hyperlink ref="D842" r:id="rId3635" display="https://enzyme.expasy.org/EC/3.6.1.22" xr:uid="{9FCE3F9A-2062-1241-81A4-621CC2E5E965}"/>
    <hyperlink ref="F842" r:id="rId3636" xr:uid="{66465BE3-95E1-854F-A5A4-AB12F1A5773B}"/>
    <hyperlink ref="G842" r:id="rId3637" xr:uid="{679BE321-B6D8-0448-B136-AAE434701214}"/>
    <hyperlink ref="F754" r:id="rId3638" xr:uid="{8B34DDB0-291E-2F48-953F-3904F4769D6D}"/>
    <hyperlink ref="D871" r:id="rId3639" display="https://enzyme.expasy.org/EC/3.1.3.25" xr:uid="{5EECD0DB-7AD5-F44E-9AB4-2B3907280945}"/>
    <hyperlink ref="F871" r:id="rId3640" xr:uid="{4EFA5B46-D4CB-1D47-9508-BE5B8A565188}"/>
    <hyperlink ref="G871" r:id="rId3641" xr:uid="{C3F64A5D-CA75-2B49-B70B-A4FF584AE600}"/>
    <hyperlink ref="D870" r:id="rId3642" display="https://enzyme.expasy.org/EC/3.1.3.25" xr:uid="{C916EA53-D51E-BC40-93BA-C3EE373982E2}"/>
    <hyperlink ref="F870" r:id="rId3643" xr:uid="{531CA57F-5786-7F46-8A44-0B1EC5758931}"/>
    <hyperlink ref="G870" r:id="rId3644" xr:uid="{C919BFCB-1200-3F46-B197-767C5B14C45A}"/>
    <hyperlink ref="D869" r:id="rId3645" display="https://enzyme.expasy.org/EC/3.1.3.25" xr:uid="{772606FD-6B45-4240-A34D-9F23E837DCF9}"/>
    <hyperlink ref="F869" r:id="rId3646" xr:uid="{F38E75F7-4C44-6345-A24D-78E6DCE88E91}"/>
    <hyperlink ref="G869" r:id="rId3647" xr:uid="{B2E2D1D3-326B-BD4C-A4E7-E10536D19AE6}"/>
    <hyperlink ref="D1733" r:id="rId3648" display="https://enzyme.expasy.org/EC/3.1.3.25" xr:uid="{0FA45902-ED5C-7F43-A9A4-DF91B0CDE0AF}"/>
    <hyperlink ref="F1733" r:id="rId3649" xr:uid="{069BFA66-A986-5C47-ADEB-C52F463A1945}"/>
    <hyperlink ref="G1733" r:id="rId3650" xr:uid="{4DC93561-69A1-C246-8A62-194826ABE2B3}"/>
    <hyperlink ref="D1732" r:id="rId3651" display="https://enzyme.expasy.org/EC/3.1.3.25" xr:uid="{156A3D54-A3D0-6E4D-889D-F29BFE0D3B77}"/>
    <hyperlink ref="F1732" r:id="rId3652" xr:uid="{51C63B0C-F349-6545-9DCD-66F462DCEAA6}"/>
    <hyperlink ref="G1732" r:id="rId3653" xr:uid="{4C483D58-4CED-AD46-8F2A-32BE58E9331E}"/>
    <hyperlink ref="D1731" r:id="rId3654" display="https://enzyme.expasy.org/EC/3.1.3.25" xr:uid="{F7BFC0C3-A94A-4743-A4EB-AE3C2BFE9640}"/>
    <hyperlink ref="F1731" r:id="rId3655" xr:uid="{9919BDD3-25EE-A348-AC48-9FB3DE3B13DA}"/>
    <hyperlink ref="G1731" r:id="rId3656" xr:uid="{93E01B93-96FA-BF4D-98DD-69F21FD79726}"/>
    <hyperlink ref="D1918" r:id="rId3657" display="https://enzyme.expasy.org/EC/3.1.3.25" xr:uid="{9F6051A4-981D-6948-9431-A278ED6CA78E}"/>
    <hyperlink ref="F1918" r:id="rId3658" xr:uid="{F89750A4-69B9-D34B-9838-A49FFB8D7151}"/>
    <hyperlink ref="G1918" r:id="rId3659" xr:uid="{23CE9EA9-D147-5440-9FD4-2C0E7DD8923D}"/>
    <hyperlink ref="D1917" r:id="rId3660" display="https://enzyme.expasy.org/EC/3.1.3.25" xr:uid="{36465DAC-E9EE-F045-9593-94C78F093418}"/>
    <hyperlink ref="F1917" r:id="rId3661" xr:uid="{A5947E9D-00FC-604B-B9F1-12A32DE9A1AC}"/>
    <hyperlink ref="G1917" r:id="rId3662" xr:uid="{421756B6-A7E5-BB49-B9D6-A00F3C4D415E}"/>
    <hyperlink ref="D1916" r:id="rId3663" display="https://enzyme.expasy.org/EC/3.1.3.25" xr:uid="{7A607DB1-CCF3-0F41-9752-0D26DFC4E745}"/>
    <hyperlink ref="F1916" r:id="rId3664" xr:uid="{D46B1F00-C87A-E046-BE82-191EF6178EA6}"/>
    <hyperlink ref="G1916" r:id="rId3665" xr:uid="{E617B71B-D44C-DE4A-9BB7-B906F607C184}"/>
    <hyperlink ref="D902" r:id="rId3666" display="https://enzyme.expasy.org/EC/2.6.1.52" xr:uid="{C046DF0E-33D9-9642-9C11-2757979D8849}"/>
    <hyperlink ref="F902" r:id="rId3667" xr:uid="{129C91EE-21CD-CC44-AE50-45BA9CBA4B49}"/>
    <hyperlink ref="G902" r:id="rId3668" xr:uid="{3FB55EDE-3DFF-E445-A06B-EA82CFC062AD}"/>
    <hyperlink ref="D936" r:id="rId3669" display="https://enzyme.expasy.org/EC/1.5.1.3" xr:uid="{1C91DC18-F9D2-2348-8AD7-E5E28971B899}"/>
    <hyperlink ref="F936" r:id="rId3670" xr:uid="{C55E935E-2029-244A-B873-49B2936D2AD3}"/>
    <hyperlink ref="G936" r:id="rId3671" xr:uid="{6C171FEB-F0C6-EC4C-8104-0CD3869FA676}"/>
    <hyperlink ref="D935" r:id="rId3672" display="https://enzyme.expasy.org/EC/1.5.1.3" xr:uid="{7C38065B-6897-D741-94E0-4345BFDA567E}"/>
    <hyperlink ref="F935" r:id="rId3673" xr:uid="{CA11E7A1-DE37-0546-9EDA-4C31B3F752FF}"/>
    <hyperlink ref="G935" r:id="rId3674" xr:uid="{27376104-3E43-6846-A349-7EE687BC41E8}"/>
    <hyperlink ref="D934" r:id="rId3675" display="https://enzyme.expasy.org/EC/1.5.1.3" xr:uid="{9A8A30FC-3036-844C-9862-154426C3D795}"/>
    <hyperlink ref="F934" r:id="rId3676" xr:uid="{BA645E70-C608-0B47-A533-09C9D3547BC4}"/>
    <hyperlink ref="G934" r:id="rId3677" xr:uid="{EBB6A971-1786-5E44-8180-57CE3085A1F1}"/>
    <hyperlink ref="D933" r:id="rId3678" display="https://enzyme.expasy.org/EC/1.5.1.3" xr:uid="{0A36B6ED-2AD0-7A43-BD32-6CC7C36F227C}"/>
    <hyperlink ref="F933" r:id="rId3679" xr:uid="{82A4601C-50A1-0044-BEA8-527AF92C1FEB}"/>
    <hyperlink ref="G933" r:id="rId3680" xr:uid="{6AD5BCE3-02C6-5948-B2F2-8D0452409F0D}"/>
    <hyperlink ref="D932" r:id="rId3681" display="https://enzyme.expasy.org/EC/1.5.1.3" xr:uid="{F1D41C27-A987-7C4C-BD22-90D1B9E19962}"/>
    <hyperlink ref="F932" r:id="rId3682" xr:uid="{EF8F43C8-0759-8D4D-B983-511E67C362F0}"/>
    <hyperlink ref="G932" r:id="rId3683" xr:uid="{219B5F1F-7B1C-834C-A058-0BDB733DA46E}"/>
    <hyperlink ref="D931" r:id="rId3684" display="https://enzyme.expasy.org/EC/1.5.1.3" xr:uid="{26EEA9B8-AC31-C049-B886-99DDE27A2379}"/>
    <hyperlink ref="F931" r:id="rId3685" xr:uid="{46C38C9A-2017-034E-BD15-10D6BAD7ED21}"/>
    <hyperlink ref="G931" r:id="rId3686" xr:uid="{9E8F0CE0-D259-8E48-ABCB-19EA9522E01E}"/>
    <hyperlink ref="F941" r:id="rId3687" xr:uid="{AE743058-B7DA-DF46-AE3B-917AECD3F18C}"/>
    <hyperlink ref="G941" r:id="rId3688" xr:uid="{91EDA620-6A5C-BB4D-9DBA-ECD074FAC0CD}"/>
    <hyperlink ref="D949" r:id="rId3689" display="https://enzyme.expasy.org/EC/5.3.1.9" xr:uid="{2E660D0B-8C99-2B40-8C52-81F0F14E4BB3}"/>
    <hyperlink ref="F949" r:id="rId3690" xr:uid="{96F15029-3147-0E46-ACF7-619162CD047D}"/>
    <hyperlink ref="G949" r:id="rId3691" xr:uid="{F2D14AAF-12BC-844E-BE7A-50675C21B7BE}"/>
    <hyperlink ref="D948" r:id="rId3692" display="https://enzyme.expasy.org/EC/5.3.1.9" xr:uid="{44DAB3D9-5300-5549-A5A8-9490CD77DFD4}"/>
    <hyperlink ref="F948" r:id="rId3693" xr:uid="{6AE3DA56-73A3-1D47-A69C-0927FF2326A0}"/>
    <hyperlink ref="G948" r:id="rId3694" xr:uid="{B2F33D07-8F5B-F74C-9FB2-5ACB5D490B1C}"/>
    <hyperlink ref="D947" r:id="rId3695" display="https://enzyme.expasy.org/EC/5.3.1.9" xr:uid="{1EA0542B-567B-5846-AFFF-7BE1ADD3FB79}"/>
    <hyperlink ref="F947" r:id="rId3696" xr:uid="{07DAA595-B44F-5E40-8E39-A22F66EA2984}"/>
    <hyperlink ref="G947" r:id="rId3697" xr:uid="{897262E3-9CA7-D841-AB00-0CC5824A6186}"/>
    <hyperlink ref="D946" r:id="rId3698" display="https://enzyme.expasy.org/EC/5.3.1.9" xr:uid="{37002AD6-1837-B74C-83D3-E47FDDC92784}"/>
    <hyperlink ref="F946" r:id="rId3699" xr:uid="{B152049D-B373-1A48-A10E-81345991004C}"/>
    <hyperlink ref="G946" r:id="rId3700" xr:uid="{DE37D06C-496C-C542-AF57-F09EC0A62592}"/>
    <hyperlink ref="D957" r:id="rId3701" display="https://enzyme.expasy.org/EC/2.1.2.2" xr:uid="{0567018B-2605-0643-B1A4-2FDDA3557AE8}"/>
    <hyperlink ref="F957" r:id="rId3702" xr:uid="{D8C1CD65-053B-6C47-872E-346CB80BF6DA}"/>
    <hyperlink ref="G957" r:id="rId3703" xr:uid="{6E50C38C-B308-FC46-91B2-74EBF8605BCD}"/>
    <hyperlink ref="D988" r:id="rId3704" display="https://enzyme.expasy.org/EC/2.4.1.109" xr:uid="{182FF83D-9F67-954A-9F0B-CB22528E6D6C}"/>
    <hyperlink ref="F988" r:id="rId3705" xr:uid="{DF26D734-E068-7D4F-837D-4CD11BB0D042}"/>
    <hyperlink ref="G988" r:id="rId3706" xr:uid="{AFFE7F4F-2EF9-B142-BD78-98DE0C6998F7}"/>
    <hyperlink ref="D987" r:id="rId3707" display="https://enzyme.expasy.org/EC/2.4.1.109" xr:uid="{FCDEC706-E04F-BD4A-91E9-06AA0410E045}"/>
    <hyperlink ref="F987" r:id="rId3708" xr:uid="{708321F2-9CDF-164B-B320-9D40284E982E}"/>
    <hyperlink ref="G987" r:id="rId3709" xr:uid="{4F8BF3F3-46E0-E744-AE0A-AF75F1E08808}"/>
    <hyperlink ref="D992" r:id="rId3710" display="https://enzyme.expasy.org/EC/6.1.1.10" xr:uid="{33051A22-BB20-B240-B0BF-CE328F55DB5D}"/>
    <hyperlink ref="F992" r:id="rId3711" xr:uid="{84386B2D-5AE2-8C4C-B4CB-2FA378A302AB}"/>
    <hyperlink ref="G992" r:id="rId3712" xr:uid="{71F0E245-738C-EA4F-94BC-04A407A2A216}"/>
    <hyperlink ref="D941" r:id="rId3713" display="https://enzyme.expasy.org/EC/3.1.3.7" xr:uid="{C4034883-737D-5D4D-B2D2-FD2E875FBEDF}"/>
    <hyperlink ref="D1027" r:id="rId3714" display="https://enzyme.expasy.org/EC/4.2.1.17" xr:uid="{58451E45-5972-5F47-B266-7D17A6232060}"/>
    <hyperlink ref="F1027" r:id="rId3715" xr:uid="{73CA7A54-C902-DB40-9D4B-E8810C9CD6B6}"/>
    <hyperlink ref="G1027" r:id="rId3716" xr:uid="{F405C2E1-A38A-094E-B7C2-0918C40A3BE5}"/>
    <hyperlink ref="D1026" r:id="rId3717" display="https://enzyme.expasy.org/EC/4.2.1.17" xr:uid="{BD91C6BF-37DC-CD43-BDDF-59946F6A4D61}"/>
    <hyperlink ref="F1026" r:id="rId3718" xr:uid="{D4297508-C73A-B640-996E-50833DF98A05}"/>
    <hyperlink ref="G1026" r:id="rId3719" xr:uid="{8BBD7F1D-0946-CF4F-BAB2-CC559A6E866A}"/>
    <hyperlink ref="D1025" r:id="rId3720" display="https://enzyme.expasy.org/EC/4.2.1.17" xr:uid="{15D4D6AC-497A-2B40-898A-EB777BB7F780}"/>
    <hyperlink ref="F1025" r:id="rId3721" xr:uid="{B5C9651F-78CD-1448-86E5-958130C06D26}"/>
    <hyperlink ref="G1025" r:id="rId3722" xr:uid="{869FC99F-B6F2-674D-9692-C2178990E7BD}"/>
    <hyperlink ref="D1024" r:id="rId3723" display="https://enzyme.expasy.org/EC/4.2.1.17" xr:uid="{8D9D2E3F-BA10-2B49-802C-88960DDEDD5C}"/>
    <hyperlink ref="F1024" r:id="rId3724" xr:uid="{2AA921D4-7868-9140-A7B9-7C424321622F}"/>
    <hyperlink ref="G1024" r:id="rId3725" xr:uid="{93CBA426-5271-1D4A-A2B7-C5B6F058DBB8}"/>
    <hyperlink ref="D1023" r:id="rId3726" display="https://enzyme.expasy.org/EC/4.2.1.17" xr:uid="{ED480BE8-A238-654E-B524-0EA9046A38ED}"/>
    <hyperlink ref="F1023" r:id="rId3727" xr:uid="{0BBE533D-8B68-194E-8199-5E08570EB691}"/>
    <hyperlink ref="G1023" r:id="rId3728" xr:uid="{B95CEF85-EF50-7F44-A6EA-EB8CB3402732}"/>
    <hyperlink ref="D1022" r:id="rId3729" display="https://enzyme.expasy.org/EC/4.2.1.17" xr:uid="{2EBFC158-9635-A945-ACAC-D8A3BF417F23}"/>
    <hyperlink ref="F1022" r:id="rId3730" xr:uid="{E7097F6B-B7DD-6E45-B310-3F0D0A5F30DC}"/>
    <hyperlink ref="G1022" r:id="rId3731" xr:uid="{5C0F8A20-B5DD-DA4C-8CF7-D6E540BAC314}"/>
    <hyperlink ref="D1021" r:id="rId3732" display="https://enzyme.expasy.org/EC/4.2.1.17" xr:uid="{06544525-05EF-2543-A16F-E8CA04A3150B}"/>
    <hyperlink ref="F1021" r:id="rId3733" xr:uid="{884E42A2-0F25-1A4A-A673-B71E54CD0DCC}"/>
    <hyperlink ref="G1021" r:id="rId3734" xr:uid="{1636D086-D242-6B46-A0F9-DE75203AF112}"/>
    <hyperlink ref="D1020" r:id="rId3735" display="https://enzyme.expasy.org/EC/4.2.1.17" xr:uid="{24EBCF4A-A7DB-0745-A643-066D7675715D}"/>
    <hyperlink ref="F1020" r:id="rId3736" xr:uid="{C73D502F-7645-7742-9313-BC86C0589B90}"/>
    <hyperlink ref="G1020" r:id="rId3737" xr:uid="{FD1C4DD2-D55C-6B42-9C6A-2D6BD70D4ACE}"/>
    <hyperlink ref="D1019" r:id="rId3738" display="https://enzyme.expasy.org/EC/4.2.1.17" xr:uid="{6AC3F553-B3B6-B74F-8720-37BB60094DA0}"/>
    <hyperlink ref="F1019" r:id="rId3739" xr:uid="{3EAD9021-6686-5041-9BF4-E3DB958D1FBA}"/>
    <hyperlink ref="G1019" r:id="rId3740" xr:uid="{E2D44910-B843-F84D-8F64-190DF86E7774}"/>
    <hyperlink ref="D1018" r:id="rId3741" display="https://enzyme.expasy.org/EC/4.2.1.17" xr:uid="{2877B87B-8E8D-3D45-9ACC-A75E96A22212}"/>
    <hyperlink ref="F1018" r:id="rId3742" xr:uid="{99E06587-812E-554A-9F04-F1EF74C44662}"/>
    <hyperlink ref="G1018" r:id="rId3743" xr:uid="{C60B3491-0B3B-0943-BE60-9EFB38C05C89}"/>
    <hyperlink ref="D1017" r:id="rId3744" display="https://enzyme.expasy.org/EC/4.2.1.17" xr:uid="{552A3834-EDB6-C04E-848D-EBF5B4D14115}"/>
    <hyperlink ref="F1017" r:id="rId3745" xr:uid="{AD2A9DF0-BBF1-BE4A-9F0C-F0039BF0583E}"/>
    <hyperlink ref="G1017" r:id="rId3746" xr:uid="{E9F168F8-1F27-B846-87A7-EB1735D4CB79}"/>
    <hyperlink ref="D1016" r:id="rId3747" display="https://enzyme.expasy.org/EC/4.2.1.17" xr:uid="{FBF0DBA5-5030-2345-BD90-02B27E94D43B}"/>
    <hyperlink ref="F1016" r:id="rId3748" xr:uid="{1DECC7E7-D000-EB42-8C3A-BC9981DCE023}"/>
    <hyperlink ref="G1016" r:id="rId3749" xr:uid="{B73C350D-D68D-8647-A5A7-177EAE9D8E38}"/>
    <hyperlink ref="D1015" r:id="rId3750" display="https://enzyme.expasy.org/EC/4.2.1.17" xr:uid="{D5DD899B-621C-C94A-BA7C-5FFD351C4D39}"/>
    <hyperlink ref="F1015" r:id="rId3751" xr:uid="{D2421BBE-C5F0-8240-AD87-1662CA7DA88F}"/>
    <hyperlink ref="G1015" r:id="rId3752" xr:uid="{BDC492AB-CB22-A54C-B903-6BEF70423416}"/>
    <hyperlink ref="D1014" r:id="rId3753" display="https://enzyme.expasy.org/EC/4.2.1.17" xr:uid="{B33C1086-2213-3148-8459-3771821A396D}"/>
    <hyperlink ref="F1014" r:id="rId3754" xr:uid="{73C8ED58-9901-4A47-8539-6B5DAFF0F325}"/>
    <hyperlink ref="G1014" r:id="rId3755" xr:uid="{F7B6674B-CF72-3744-9821-AF912C57B532}"/>
    <hyperlink ref="D1013" r:id="rId3756" display="https://enzyme.expasy.org/EC/4.2.1.17" xr:uid="{9658A882-83FC-AC4A-85A3-F9DCA9E85238}"/>
    <hyperlink ref="F1013" r:id="rId3757" xr:uid="{97780831-EF17-3E4B-9A22-2E039D18D212}"/>
    <hyperlink ref="G1013" r:id="rId3758" xr:uid="{0ED12AA4-C057-DF43-B6F2-D2AEDC4C4C26}"/>
    <hyperlink ref="D1012" r:id="rId3759" display="https://enzyme.expasy.org/EC/4.2.1.17" xr:uid="{627971CD-09FF-9A40-B4C9-C72FE4CE5EB6}"/>
    <hyperlink ref="F1012" r:id="rId3760" xr:uid="{0E6B4191-F7D2-FD4E-9BEA-A64E64C3282F}"/>
    <hyperlink ref="G1012" r:id="rId3761" xr:uid="{041CEA76-91BA-8D4C-A427-2C58F2965ECE}"/>
    <hyperlink ref="D1011" r:id="rId3762" display="https://enzyme.expasy.org/EC/4.2.1.17" xr:uid="{D2BD5B9E-B8DE-D444-8DE5-F094E9D6E45D}"/>
    <hyperlink ref="F1011" r:id="rId3763" xr:uid="{21997792-C53F-8B44-BCC3-B3D4B1A5F6C0}"/>
    <hyperlink ref="G1011" r:id="rId3764" xr:uid="{ACFFE1CD-E72C-7546-BCE3-94E7A42BFED4}"/>
    <hyperlink ref="D1010" r:id="rId3765" display="https://enzyme.expasy.org/EC/4.2.1.17" xr:uid="{62E64285-CC3F-CF47-9ACE-2263A907C3AD}"/>
    <hyperlink ref="F1010" r:id="rId3766" xr:uid="{D552D165-AEB6-494E-A467-AA64118264D3}"/>
    <hyperlink ref="G1010" r:id="rId3767" xr:uid="{39883C54-210D-2E42-BC55-8A03E077C8D9}"/>
    <hyperlink ref="D1009" r:id="rId3768" display="https://enzyme.expasy.org/EC/4.2.1.17" xr:uid="{301B5243-A306-AF42-9208-32C0B5D0ABB1}"/>
    <hyperlink ref="F1009" r:id="rId3769" xr:uid="{1E5A7B34-7FD9-944A-A57F-C762868BF850}"/>
    <hyperlink ref="G1009" r:id="rId3770" xr:uid="{AC268245-FB98-C441-9943-04D7ADBF2182}"/>
    <hyperlink ref="D1008" r:id="rId3771" display="https://enzyme.expasy.org/EC/4.2.1.17" xr:uid="{F58D5F47-96A1-D14C-9312-1276FC0EFF85}"/>
    <hyperlink ref="F1008" r:id="rId3772" xr:uid="{CBC97530-6637-924D-B31B-B1AD0CEA367A}"/>
    <hyperlink ref="G1008" r:id="rId3773" xr:uid="{599E6DE9-6D81-0C49-85B9-C58585325E83}"/>
    <hyperlink ref="D1007" r:id="rId3774" display="https://enzyme.expasy.org/EC/4.2.1.17" xr:uid="{31098D1E-5B4A-0242-BE9C-363B318AE29D}"/>
    <hyperlink ref="F1007" r:id="rId3775" xr:uid="{A39AB043-6BE8-1448-866A-313370025C70}"/>
    <hyperlink ref="G1007" r:id="rId3776" xr:uid="{34AB744E-8765-A34F-BF83-FA905057BFEF}"/>
    <hyperlink ref="D1082" r:id="rId3777" display="https://enzyme.expasy.org/EC/3.6.1.8" xr:uid="{8201FCE0-2613-7E46-926B-00D59C24C2E5}"/>
    <hyperlink ref="F1082" r:id="rId3778" xr:uid="{9C86C1DE-51E4-7E4C-BBF1-CD13A43015FF}"/>
    <hyperlink ref="G1082" r:id="rId3779" xr:uid="{D75C63D9-BED3-454B-AC0E-708669F77683}"/>
    <hyperlink ref="D1085" r:id="rId3780" display="https://enzyme.expasy.org/EC/4.2.1.11" xr:uid="{0B696143-F266-5645-8017-6E153508006F}"/>
    <hyperlink ref="F1085" r:id="rId3781" xr:uid="{D40A3782-C07A-844D-BA17-CF5961F46135}"/>
    <hyperlink ref="G1085" r:id="rId3782" xr:uid="{AA1A19D5-CF71-9647-BDC4-BC9B812A3984}"/>
    <hyperlink ref="D1101" r:id="rId3783" display="https://enzyme.expasy.org/EC/2.7.1.33" xr:uid="{D4958291-57E4-F04D-BEB3-60AC61F25D9D}"/>
    <hyperlink ref="F1101" r:id="rId3784" xr:uid="{78C4FF2C-866B-9C4A-8671-078243BB38F7}"/>
    <hyperlink ref="G1101" r:id="rId3785" xr:uid="{C06641A0-2493-FE48-8C22-9BA707001493}"/>
    <hyperlink ref="D1100" r:id="rId3786" display="https://enzyme.expasy.org/EC/2.7.1.33" xr:uid="{BE543DB3-BB9B-9346-B0F8-4FC128EDC1A6}"/>
    <hyperlink ref="F1100" r:id="rId3787" xr:uid="{C4DF1E54-49A3-7A47-8D95-D0B765591DA7}"/>
    <hyperlink ref="G1100" r:id="rId3788" xr:uid="{50BAFD45-3C88-C84C-8214-68E71AF11F2F}"/>
    <hyperlink ref="D1103" r:id="rId3789" display="https://enzyme.expasy.org/EC/2.1.2.1" xr:uid="{40A8DB76-CED3-A54A-89DB-009CC4A7E8AB}"/>
    <hyperlink ref="F1103" r:id="rId3790" xr:uid="{5E09AE7E-43E2-7D47-BC2A-27271ECA686B}"/>
    <hyperlink ref="G1103" r:id="rId3791" xr:uid="{0D294883-3B2E-A94C-B8B2-25A6497A5707}"/>
    <hyperlink ref="D1115" r:id="rId3792" display="https://enzyme.expasy.org/EC/3.1.3.11" xr:uid="{59FD98D8-F82C-B14D-AF55-2CAF614EAAE9}"/>
    <hyperlink ref="F1115" r:id="rId3793" xr:uid="{F5B4558B-0131-B742-8761-2A650FCFB8A5}"/>
    <hyperlink ref="G1115" r:id="rId3794" xr:uid="{6F626F88-99EB-9D47-8E85-A79B9E1B582A}"/>
    <hyperlink ref="D1114" r:id="rId3795" display="https://enzyme.expasy.org/EC/3.1.3.11" xr:uid="{D5798BE7-174D-9A40-8370-6F18B1888391}"/>
    <hyperlink ref="F1114" r:id="rId3796" xr:uid="{0DF2E42B-60CA-6749-BA13-526692E58C35}"/>
    <hyperlink ref="G1114" r:id="rId3797" xr:uid="{964242F8-486C-C546-B1CB-3EDD60DDECC2}"/>
    <hyperlink ref="D1121" r:id="rId3798" display="https://enzyme.expasy.org/EC/1.17.7.4" xr:uid="{C316DA3A-8E6D-1F44-A993-72C6259F20FD}"/>
    <hyperlink ref="F1121" r:id="rId3799" xr:uid="{D982BABD-0D5A-124F-8B27-85CCCD337621}"/>
    <hyperlink ref="G1121" r:id="rId3800" xr:uid="{AF062A1A-35F6-BC40-87BF-EB8AA3867F9D}"/>
    <hyperlink ref="D1177" r:id="rId3801" display="https://enzyme.expasy.org/EC/3.2.1.26" xr:uid="{ECE40BB1-439C-794C-A29B-826EE7B1DE93}"/>
    <hyperlink ref="F1177" r:id="rId3802" xr:uid="{A757C95D-5675-BD49-9CF4-B92698E7372F}"/>
    <hyperlink ref="G1177" r:id="rId3803" xr:uid="{643A4DA5-F8AF-C344-8119-8420524ADC00}"/>
    <hyperlink ref="D1176" r:id="rId3804" display="https://enzyme.expasy.org/EC/3.2.1.26" xr:uid="{CE0EDE8F-4CE6-C542-8FAA-881934582ABB}"/>
    <hyperlink ref="F1176" r:id="rId3805" xr:uid="{76D8A912-E34E-1042-9D17-4CC752782930}"/>
    <hyperlink ref="G1176" r:id="rId3806" xr:uid="{B2F08497-B3FD-6848-9BB2-595019D89EC4}"/>
    <hyperlink ref="D1175" r:id="rId3807" display="https://enzyme.expasy.org/EC/3.2.1.26" xr:uid="{56B02B29-A7ED-1C47-B702-C0BA03998469}"/>
    <hyperlink ref="F1175" r:id="rId3808" xr:uid="{43BE148A-DC17-6E4A-8F8B-134ADD16B9F4}"/>
    <hyperlink ref="G1175" r:id="rId3809" xr:uid="{DA9D3CD0-7078-D240-8A70-CFF80E4ED6A3}"/>
    <hyperlink ref="D1174" r:id="rId3810" display="https://enzyme.expasy.org/EC/3.2.1.26" xr:uid="{61CDDE93-5D92-A346-984F-7B7FEAAC71B6}"/>
    <hyperlink ref="F1174" r:id="rId3811" xr:uid="{A5D8FC9C-08B3-5A4A-93E1-31F6CF6595D0}"/>
    <hyperlink ref="G1174" r:id="rId3812" xr:uid="{C755C16E-42AB-7F45-8CAC-7B071BCABC1B}"/>
    <hyperlink ref="D1173" r:id="rId3813" display="https://enzyme.expasy.org/EC/3.2.1.26" xr:uid="{EBBEE608-5C39-B740-9E5A-808FD21AAAEC}"/>
    <hyperlink ref="F1173" r:id="rId3814" xr:uid="{D54AEA03-7B52-A04F-A883-7A0FB9DC98BC}"/>
    <hyperlink ref="G1173" r:id="rId3815" xr:uid="{41501A31-7955-244A-9E0E-247C0564BBDE}"/>
    <hyperlink ref="D1172" r:id="rId3816" display="https://enzyme.expasy.org/EC/3.2.1.26" xr:uid="{857EDC43-1D2A-7F4E-B9E6-C44F4CE3BFFE}"/>
    <hyperlink ref="F1172" r:id="rId3817" xr:uid="{E021911D-471C-024F-9EDB-3DB2D60EF6E1}"/>
    <hyperlink ref="G1172" r:id="rId3818" xr:uid="{860596FD-F59E-1043-934D-4BD7420BA3F2}"/>
    <hyperlink ref="D1171" r:id="rId3819" display="https://enzyme.expasy.org/EC/3.2.1.26" xr:uid="{3E20A315-1951-284E-AF65-4F0C9FEA0211}"/>
    <hyperlink ref="F1171" r:id="rId3820" xr:uid="{B84C2309-7038-2D49-9474-0FA47299BE10}"/>
    <hyperlink ref="G1171" r:id="rId3821" xr:uid="{FFC2F6A3-4538-7848-A4A6-1B4D31BAE971}"/>
    <hyperlink ref="D1170" r:id="rId3822" display="https://enzyme.expasy.org/EC/3.2.1.26" xr:uid="{265F4AED-C3F0-5B41-8D1D-727D1FE62F12}"/>
    <hyperlink ref="F1170" r:id="rId3823" xr:uid="{EFF6EA22-3876-D54E-8FA1-DA88E526163D}"/>
    <hyperlink ref="G1170" r:id="rId3824" xr:uid="{9835D5A8-8D0C-4142-B6F0-B3230C38B97E}"/>
    <hyperlink ref="D1169" r:id="rId3825" display="https://enzyme.expasy.org/EC/3.2.1.26" xr:uid="{616EB05E-8457-C448-BD21-FAC9D40D7DF0}"/>
    <hyperlink ref="F1169" r:id="rId3826" xr:uid="{9424D6B2-3E7E-C447-9067-BCED4149F054}"/>
    <hyperlink ref="G1169" r:id="rId3827" xr:uid="{47E19077-FB67-C844-B247-1E2FDF22E203}"/>
    <hyperlink ref="D1194" r:id="rId3828" display="https://enzyme.expasy.org/EC/3.6.1.65" xr:uid="{BCB6785B-E80E-254E-BDCD-362863008B06}"/>
    <hyperlink ref="F1194" r:id="rId3829" xr:uid="{E6F81B4C-D323-1447-80C3-519244926C37}"/>
    <hyperlink ref="G1194" r:id="rId3830" xr:uid="{240BCA72-2860-6848-87AD-23C3EF12B966}"/>
    <hyperlink ref="D1199" r:id="rId3831" display="https://enzyme.expasy.org/EC/4.3.1.3" xr:uid="{BD0D9BBF-181A-0240-8DE5-3477B695BF97}"/>
    <hyperlink ref="F1199" r:id="rId3832" xr:uid="{02683FCA-EEA0-3E49-B2E4-8CC0E6112F8F}"/>
    <hyperlink ref="G1199" r:id="rId3833" xr:uid="{15010F7A-9F12-8B41-9AD0-B43E36EB67E5}"/>
    <hyperlink ref="D1229" r:id="rId3834" display="https://enzyme.expasy.org/EC/1.1.1.3" xr:uid="{4F70483B-6112-C344-B046-CA495B5E8734}"/>
    <hyperlink ref="F1229" r:id="rId3835" xr:uid="{15408358-EAE1-6A43-89CF-CCFBEABD6FFC}"/>
    <hyperlink ref="G1229" r:id="rId3836" xr:uid="{AB428AC7-CF56-FB4F-A54B-A5AA4C156353}"/>
    <hyperlink ref="D1240" r:id="rId3837" display="https://enzyme.expasy.org/EC/1.7.2.1" xr:uid="{85FB05B2-61AB-1642-9698-19F19A6BED1A}"/>
    <hyperlink ref="F1240" r:id="rId3838" xr:uid="{8DDB7987-D3E7-0B4B-A8B4-37186140D615}"/>
    <hyperlink ref="G1240" r:id="rId3839" xr:uid="{FA25C84F-0530-BF4C-977B-B8C8A11473C0}"/>
    <hyperlink ref="D1239" r:id="rId3840" display="https://enzyme.expasy.org/EC/1.7.2.1" xr:uid="{269E6B82-74A3-E64E-BA4B-D545221B7D57}"/>
    <hyperlink ref="F1239" r:id="rId3841" xr:uid="{A14D70B9-6CDC-3849-AA2B-320525176552}"/>
    <hyperlink ref="G1239" r:id="rId3842" xr:uid="{B6E2F3D6-8217-8142-8549-9CE6763C42DB}"/>
    <hyperlink ref="D1238" r:id="rId3843" display="https://enzyme.expasy.org/EC/1.7.2.1" xr:uid="{002AC1D1-4C66-CA46-AA31-346C8D5D125D}"/>
    <hyperlink ref="F1238" r:id="rId3844" xr:uid="{50A51CDF-699E-8046-BA44-D7000480E2A4}"/>
    <hyperlink ref="G1238" r:id="rId3845" xr:uid="{6BE53FFF-4D07-AC47-911D-4515E3D1724F}"/>
    <hyperlink ref="D1278" r:id="rId3846" display="https://enzyme.expasy.org/EC/2.8.1.7" xr:uid="{D3F5C6D3-0165-9C46-8BA5-557C1E173B48}"/>
    <hyperlink ref="F1278" r:id="rId3847" xr:uid="{B4172CB7-9D2B-3B4B-8185-E6DB394F00B3}"/>
    <hyperlink ref="G1278" r:id="rId3848" xr:uid="{F08BAF83-0512-C448-ACE3-4E3E19607855}"/>
    <hyperlink ref="D1277" r:id="rId3849" display="https://enzyme.expasy.org/EC/2.8.1.7" xr:uid="{26E58034-005E-494A-AB59-72D0FC81C811}"/>
    <hyperlink ref="F1277" r:id="rId3850" xr:uid="{FACD0AE4-2CFD-E84B-A815-DE8CAB0A84B4}"/>
    <hyperlink ref="G1277" r:id="rId3851" xr:uid="{BF64379B-1807-DB49-AC6E-BC2FABD9362E}"/>
    <hyperlink ref="D1573" r:id="rId3852" display="https://enzyme.expasy.org/EC/2.8.1.7" xr:uid="{3AC5F48C-DF96-3B41-BD4C-848A17CEB58E}"/>
    <hyperlink ref="F1573" r:id="rId3853" xr:uid="{8EAA392B-44E0-EB42-9AA4-46B077658B3D}"/>
    <hyperlink ref="G1573" r:id="rId3854" xr:uid="{4A303859-9341-B741-9EFC-A8CA0A737F32}"/>
    <hyperlink ref="D1572" r:id="rId3855" display="https://enzyme.expasy.org/EC/2.8.1.7" xr:uid="{AF435283-BE88-7446-BA5C-821AD7C92C32}"/>
    <hyperlink ref="F1572" r:id="rId3856" xr:uid="{FCAD33D0-FEE2-5548-8A39-4EDEC76E6383}"/>
    <hyperlink ref="G1572" r:id="rId3857" xr:uid="{39956BCE-F792-FC4A-874C-80C12279D308}"/>
    <hyperlink ref="D1310" r:id="rId3858" display="https://enzyme.expasy.org/EC/2.7.1.11" xr:uid="{E531ADC0-278F-F346-962E-98C62C1EE201}"/>
    <hyperlink ref="F1310" r:id="rId3859" xr:uid="{881A38C8-E75B-9241-BD87-6CDDA4E26AB5}"/>
    <hyperlink ref="G1310" r:id="rId3860" xr:uid="{61490F3D-F5A2-1443-9EB4-5090F5804BC7}"/>
    <hyperlink ref="D1309" r:id="rId3861" display="https://enzyme.expasy.org/EC/2.7.1.11" xr:uid="{731D07A1-FEDF-FA46-9823-AFC68655EC90}"/>
    <hyperlink ref="F1309" r:id="rId3862" xr:uid="{D950580A-17EE-A241-A239-70C41596E106}"/>
    <hyperlink ref="G1309" r:id="rId3863" xr:uid="{24B725E1-F25C-6B43-8E5E-606658ACAF04}"/>
    <hyperlink ref="D1308" r:id="rId3864" display="https://enzyme.expasy.org/EC/2.7.1.11" xr:uid="{679D919F-549A-6146-8450-553B6B8CF6D2}"/>
    <hyperlink ref="F1308" r:id="rId3865" xr:uid="{AB6AADE2-90D6-7747-986F-7F21E7FD22C3}"/>
    <hyperlink ref="G1308" r:id="rId3866" xr:uid="{1985549E-CB5D-4549-9803-CC4F3AA3102F}"/>
    <hyperlink ref="D1307" r:id="rId3867" display="https://enzyme.expasy.org/EC/2.7.1.11" xr:uid="{876AC12F-77A7-204A-8354-F22F5A19AACE}"/>
    <hyperlink ref="F1307" r:id="rId3868" xr:uid="{476816CE-3283-414D-85D7-521C8B787515}"/>
    <hyperlink ref="G1307" r:id="rId3869" xr:uid="{B7C82550-B88B-EC47-A114-1483B6C47F26}"/>
    <hyperlink ref="D1306" r:id="rId3870" display="https://enzyme.expasy.org/EC/2.7.1.11" xr:uid="{F3F463AF-D7C3-2E43-B476-3F211F11697F}"/>
    <hyperlink ref="F1306" r:id="rId3871" xr:uid="{4B918AC2-8364-C54D-A072-41094BF3BAB4}"/>
    <hyperlink ref="G1306" r:id="rId3872" xr:uid="{D62519FF-5761-F546-AE5D-5C7A59F4633A}"/>
    <hyperlink ref="D1305" r:id="rId3873" display="https://enzyme.expasy.org/EC/2.7.1.11" xr:uid="{DD40ACD7-97A8-204A-8756-3DE2F9596478}"/>
    <hyperlink ref="F1305" r:id="rId3874" xr:uid="{39AA0DE5-E638-974C-8E26-91B659565A85}"/>
    <hyperlink ref="G1305" r:id="rId3875" xr:uid="{CAF8E546-AECE-E94D-A74C-775281A10AEC}"/>
    <hyperlink ref="D1304" r:id="rId3876" display="https://enzyme.expasy.org/EC/2.7.1.11" xr:uid="{142CAD5D-DB06-5143-9BD4-54AC861AE43B}"/>
    <hyperlink ref="F1304" r:id="rId3877" xr:uid="{25B2D4F6-D320-474A-BCC0-1B060AD8BBD1}"/>
    <hyperlink ref="G1304" r:id="rId3878" xr:uid="{2FC6F487-F4E2-6340-87E1-C68AAF0796A9}"/>
    <hyperlink ref="D1303" r:id="rId3879" display="https://enzyme.expasy.org/EC/2.7.1.11" xr:uid="{E17D2826-F6FA-0544-94DF-CD077C66F0E6}"/>
    <hyperlink ref="F1303" r:id="rId3880" xr:uid="{0BB4B6E1-F7A8-5A40-AF90-A9CFA8808339}"/>
    <hyperlink ref="G1303" r:id="rId3881" xr:uid="{F468CCDA-4588-504E-9981-0F01AF49B615}"/>
    <hyperlink ref="D1302" r:id="rId3882" display="https://enzyme.expasy.org/EC/2.7.1.11" xr:uid="{F3DBA72C-1420-BC4B-A7CF-9C313435A0FA}"/>
    <hyperlink ref="F1302" r:id="rId3883" xr:uid="{19A92FEC-9323-A34C-967A-8BD8DC9093E7}"/>
    <hyperlink ref="G1302" r:id="rId3884" xr:uid="{E9117FDE-4158-374E-86D6-4145D16B6285}"/>
    <hyperlink ref="D1325" r:id="rId3885" display="https://enzyme.expasy.org/EC/4.2.1.9" xr:uid="{0188A1CD-B83C-E14D-9BC8-D17156313A2B}"/>
    <hyperlink ref="F1325" r:id="rId3886" xr:uid="{2F9A50D4-64DF-2A44-971C-1D5B96E355AA}"/>
    <hyperlink ref="G1325" r:id="rId3887" xr:uid="{B9D1A441-DF6A-9D4D-84A1-17C87816D73C}"/>
    <hyperlink ref="D1324" r:id="rId3888" display="https://enzyme.expasy.org/EC/4.2.1.9" xr:uid="{A48B4865-49F7-AB40-9354-E6DA1F9CCC05}"/>
    <hyperlink ref="F1324" r:id="rId3889" xr:uid="{727D643F-9C3B-0849-B806-8D0397B75A49}"/>
    <hyperlink ref="G1324" r:id="rId3890" xr:uid="{783A731F-3CAB-C448-A248-133F4D875FEE}"/>
    <hyperlink ref="D1346" r:id="rId3891" display="https://enzyme.expasy.org/EC/1.1.1.86" xr:uid="{B8E7EE9B-E324-1C4C-9739-976A849072FC}"/>
    <hyperlink ref="F1346" r:id="rId3892" xr:uid="{FD01AEEE-8EC7-4E4C-BBED-FBD26C016AA9}"/>
    <hyperlink ref="G1346" r:id="rId3893" xr:uid="{40E73D26-8297-D045-8EC3-B23ADBEB35FA}"/>
    <hyperlink ref="D1345" r:id="rId3894" display="https://enzyme.expasy.org/EC/1.1.1.86" xr:uid="{E775F3CD-6FE6-7B4F-8421-8EBBE138EF01}"/>
    <hyperlink ref="F1345" r:id="rId3895" xr:uid="{CA4E4A1C-AF33-0346-83BF-ADC58BBC60F7}"/>
    <hyperlink ref="G1345" r:id="rId3896" xr:uid="{7A709D9F-1FB1-DC4B-8626-EE3182A81C8B}"/>
    <hyperlink ref="D1344" r:id="rId3897" display="https://enzyme.expasy.org/EC/1.1.1.86" xr:uid="{D6F7A608-7029-114A-B639-A8001E05E492}"/>
    <hyperlink ref="F1344" r:id="rId3898" xr:uid="{3771741F-91F9-7F40-920F-28B261543386}"/>
    <hyperlink ref="G1344" r:id="rId3899" xr:uid="{58295059-8607-F54D-91FF-E9FD046A17F6}"/>
    <hyperlink ref="D1343" r:id="rId3900" display="https://enzyme.expasy.org/EC/1.1.1.86" xr:uid="{26D6B581-CCEB-044E-85A9-D5F27A20E921}"/>
    <hyperlink ref="F1343" r:id="rId3901" xr:uid="{A80648AA-AADF-6C40-9706-0ABD9F2928DD}"/>
    <hyperlink ref="G1343" r:id="rId3902" xr:uid="{306339DF-C097-6646-8AE6-9D4959135BA7}"/>
    <hyperlink ref="D1342" r:id="rId3903" display="https://enzyme.expasy.org/EC/1.1.1.86" xr:uid="{0FD356E1-DF2B-A547-BF1B-8D41543FD213}"/>
    <hyperlink ref="F1342" r:id="rId3904" xr:uid="{E37384E6-DBD4-2B47-A306-F3233489A2A8}"/>
    <hyperlink ref="G1342" r:id="rId3905" xr:uid="{7E38C023-055C-AF4B-BDEC-866D37180356}"/>
    <hyperlink ref="D1350" r:id="rId3906" display="https://enzyme.expasy.org/EC/1.1.1.95" xr:uid="{3B361459-2604-374B-A88D-8C14B0A12328}"/>
    <hyperlink ref="F1350" r:id="rId3907" xr:uid="{CF7AAE3C-8759-1548-B15C-DC5D8F1338BD}"/>
    <hyperlink ref="G1350" r:id="rId3908" xr:uid="{76A776CD-C214-BA4F-BF88-78B1083EB58C}"/>
    <hyperlink ref="D1354" r:id="rId3909" display="https://enzyme.expasy.org/EC/1.1.1.85" xr:uid="{25BC20D1-F874-B24D-84D7-8F5F08B86EDB}"/>
    <hyperlink ref="F1354" r:id="rId3910" xr:uid="{FDC3A7A3-A569-D940-AE69-EB9802B314B3}"/>
    <hyperlink ref="G1354" r:id="rId3911" xr:uid="{9CDC68D6-7450-B34F-8B91-8274E396A708}"/>
    <hyperlink ref="D1353" r:id="rId3912" display="https://enzyme.expasy.org/EC/1.1.1.85" xr:uid="{083BB0A3-7A76-4A4F-8D3F-6938D7EBD028}"/>
    <hyperlink ref="F1353" r:id="rId3913" xr:uid="{DE472F47-A28A-D245-AAB6-DABEA6B45A5B}"/>
    <hyperlink ref="G1353" r:id="rId3914" xr:uid="{1EBA4AE2-CCAA-4146-8AC9-FC069DF1035E}"/>
    <hyperlink ref="D1352" r:id="rId3915" display="https://enzyme.expasy.org/EC/1.1.1.85" xr:uid="{06B86792-F92E-994B-8D6F-808EB543B15E}"/>
    <hyperlink ref="F1352" r:id="rId3916" xr:uid="{3AABED7C-F4FA-7F43-B509-F02E1B48AA9C}"/>
    <hyperlink ref="G1352" r:id="rId3917" xr:uid="{ACBC67DE-F3D3-8845-8B0D-FCFBF2D62517}"/>
    <hyperlink ref="D1379" r:id="rId3918" display="https://enzyme.expasy.org/EC/4.2.1.33" xr:uid="{AE0A71A3-21ED-5843-A85D-A1718DA0C684}"/>
    <hyperlink ref="F1379" r:id="rId3919" xr:uid="{973F9197-7863-7644-881B-A86F789D8C16}"/>
    <hyperlink ref="G1379" r:id="rId3920" xr:uid="{6B378A0A-6671-454B-B497-01235CAFAA4E}"/>
    <hyperlink ref="D1378" r:id="rId3921" display="https://enzyme.expasy.org/EC/4.2.1.33" xr:uid="{C24186C0-1471-7D42-AA20-5F35E5269811}"/>
    <hyperlink ref="F1378" r:id="rId3922" xr:uid="{C73D6BD4-6FEB-2C40-AAB1-D9E3A124EF2E}"/>
    <hyperlink ref="G1378" r:id="rId3923" xr:uid="{2F560F3E-8650-9946-949C-C5FE89BA91B6}"/>
    <hyperlink ref="D1382" r:id="rId3924" display="https://enzyme.expasy.org/EC/4.2.1.33" xr:uid="{A94A3C2E-8A42-BD48-800F-8292510FA60C}"/>
    <hyperlink ref="F1382" r:id="rId3925" xr:uid="{BF94E18D-7EDE-7E49-894D-C8F953D81C3F}"/>
    <hyperlink ref="G1382" r:id="rId3926" xr:uid="{81FBA4AA-E53A-4545-B214-47229250777E}"/>
    <hyperlink ref="D1381" r:id="rId3927" display="https://enzyme.expasy.org/EC/4.2.1.33" xr:uid="{FB074FB2-3C75-5245-A1FE-DBC4A8E03542}"/>
    <hyperlink ref="F1381" r:id="rId3928" xr:uid="{45BA1497-4A91-AE45-B538-C2161DF32225}"/>
    <hyperlink ref="G1381" r:id="rId3929" xr:uid="{5A1371FE-9F28-0546-B805-9457F6BF6E59}"/>
    <hyperlink ref="D1386" r:id="rId3930" display="https://enzyme.expasy.org/EC/1.1.1.94" xr:uid="{2244BB76-AC53-8E48-9E15-A591C4CE74D7}"/>
    <hyperlink ref="D1445" r:id="rId3931" display="https://enzyme.expasy.org/EC/1.4.99.5" xr:uid="{F87D68C2-6777-E140-A7C8-CD2465BC511F}"/>
    <hyperlink ref="F1445" r:id="rId3932" xr:uid="{6D09A7C2-A4BD-8941-A825-BBF20208DDA2}"/>
    <hyperlink ref="G1445" r:id="rId3933" xr:uid="{4FD1674C-1C23-7041-9D5B-1323C9862B82}"/>
    <hyperlink ref="D1475" r:id="rId3934" display="https://enzyme.expasy.org/EC/2.7.4.25" xr:uid="{151B5A31-20F9-B744-B3CB-D2F62E709BB8}"/>
    <hyperlink ref="F1475" r:id="rId3935" xr:uid="{9165C482-F4CB-E34E-B53D-444320AF9240}"/>
    <hyperlink ref="G1475" r:id="rId3936" xr:uid="{0FFB6D0C-C2C9-E14A-950B-2822B95C8C3A}"/>
    <hyperlink ref="D2666" r:id="rId3937" display="https://enzyme.expasy.org/EC/2.7.11.1" xr:uid="{AD45362B-83E2-4A45-8C91-D09EEB3C1750}"/>
    <hyperlink ref="F2666" r:id="rId3938" xr:uid="{4BA04B6E-6F48-A34B-9348-734758B5F422}"/>
    <hyperlink ref="G2666" r:id="rId3939" xr:uid="{22434CCA-C675-7E40-8F2B-D84FBBB52BDE}"/>
    <hyperlink ref="D2834" r:id="rId3940" display="https://enzyme.expasy.org/EC/6.4.1.3" xr:uid="{A668B838-EB85-CC44-AE8B-FE5D14BEBB7B}"/>
    <hyperlink ref="F2834" r:id="rId3941" xr:uid="{08939DCA-35F9-214E-AA8C-ED787440DAAE}"/>
    <hyperlink ref="G2834" r:id="rId3942" xr:uid="{0A03EF47-6653-424F-8283-814A2DD2059A}"/>
    <hyperlink ref="D731" r:id="rId3943" display="https://enzyme.expasy.org/EC/6.4.1.3" xr:uid="{97EB5D68-843E-E546-AB2B-0D8C80066DA0}"/>
    <hyperlink ref="F731" r:id="rId3944" xr:uid="{6B4653BA-8EDB-FC4E-9B59-73652C7E7939}"/>
    <hyperlink ref="G731" r:id="rId3945" xr:uid="{9EC72E15-247B-F346-8890-3A584B93B3D2}"/>
    <hyperlink ref="D2870" r:id="rId3946" display="https://enzyme.expasy.org/EC/3.1.1.1" xr:uid="{B55ACFE2-8663-184E-9BEF-197045C98B70}"/>
    <hyperlink ref="F2870" r:id="rId3947" xr:uid="{F379FCA1-1F3F-5044-9AE0-12532D4247BA}"/>
    <hyperlink ref="G2870" r:id="rId3948" xr:uid="{78D4F261-D8E1-2849-9C2E-32DE9FBAB3D9}"/>
    <hyperlink ref="D2869" r:id="rId3949" display="https://enzyme.expasy.org/EC/3.1.1.1" xr:uid="{AA582A21-4B37-744D-8B44-BC44689ABA66}"/>
    <hyperlink ref="F2869" r:id="rId3950" xr:uid="{91BA2A67-EDC0-CF4B-AE87-9F05BE5E4C4B}"/>
    <hyperlink ref="G2869" r:id="rId3951" xr:uid="{370A2A0D-27CC-FA4F-B9C2-5E1F9454AF53}"/>
    <hyperlink ref="D2868" r:id="rId3952" display="https://enzyme.expasy.org/EC/3.1.1.1" xr:uid="{4FB8D693-5F84-D94D-A15E-512EE4AC7720}"/>
    <hyperlink ref="F2868" r:id="rId3953" xr:uid="{E2D9C0FE-01CD-B445-B8D5-F05A17A19851}"/>
    <hyperlink ref="G2868" r:id="rId3954" xr:uid="{166D98D7-A913-014E-A1E9-DFC798CDD8F7}"/>
    <hyperlink ref="D2867" r:id="rId3955" display="https://enzyme.expasy.org/EC/3.1.1.1" xr:uid="{695214E4-DD32-4644-BF45-C71F176388DF}"/>
    <hyperlink ref="F2867" r:id="rId3956" xr:uid="{6D55D42F-33A2-3F4A-8C18-8078010C52C2}"/>
    <hyperlink ref="G2867" r:id="rId3957" xr:uid="{9F505684-59BE-3944-83FE-E85A3DEF245E}"/>
    <hyperlink ref="D2866" r:id="rId3958" display="https://enzyme.expasy.org/EC/3.1.1.1" xr:uid="{BF4243E9-DB22-F34B-AAF2-018841348BE7}"/>
    <hyperlink ref="F2866" r:id="rId3959" xr:uid="{0B75ABEA-C77C-9A47-9A37-429A9CE741BB}"/>
    <hyperlink ref="G2866" r:id="rId3960" xr:uid="{13648E6D-6CEA-F74A-8F26-96523C600A82}"/>
    <hyperlink ref="D2865" r:id="rId3961" display="https://enzyme.expasy.org/EC/3.1.1.1" xr:uid="{D0A2A06E-A89F-B74A-BF7F-C2CBA9CD604E}"/>
    <hyperlink ref="F2865" r:id="rId3962" xr:uid="{EC79AA5D-0FF4-A249-B7DE-6B1627E5A32F}"/>
    <hyperlink ref="G2865" r:id="rId3963" xr:uid="{DCE3547D-2BCF-A141-86FD-AFE677F61B26}"/>
    <hyperlink ref="D2864" r:id="rId3964" display="https://enzyme.expasy.org/EC/3.1.1.1" xr:uid="{3DEE325C-C452-A14B-B374-A4EA4737E515}"/>
    <hyperlink ref="F2864" r:id="rId3965" xr:uid="{D4313E39-F10E-404C-930B-723DC77BFAAF}"/>
    <hyperlink ref="G2864" r:id="rId3966" xr:uid="{CEB18D50-717E-8D4F-AD45-D8B27729ECA6}"/>
    <hyperlink ref="D2863" r:id="rId3967" display="https://enzyme.expasy.org/EC/3.1.1.1" xr:uid="{767D59C7-0BF1-E349-BB74-CABB59FB24C0}"/>
    <hyperlink ref="F2863" r:id="rId3968" xr:uid="{4DD63FF6-2E5C-5844-9EF7-422CFEE207E5}"/>
    <hyperlink ref="G2863" r:id="rId3969" xr:uid="{4A67D1B0-33B7-234F-B5CA-3669469FCA2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F1E4-4712-EE4B-BB11-EBE84783FB0C}">
  <dimension ref="A1:K1928"/>
  <sheetViews>
    <sheetView workbookViewId="0">
      <selection activeCell="B1" sqref="B1"/>
    </sheetView>
  </sheetViews>
  <sheetFormatPr defaultColWidth="10.6640625" defaultRowHeight="16"/>
  <cols>
    <col min="1" max="1" width="14.1640625" customWidth="1"/>
    <col min="2" max="2" width="40.58203125" customWidth="1"/>
    <col min="3" max="3" width="24.83203125" customWidth="1"/>
    <col min="4" max="4" width="69.6640625" customWidth="1"/>
    <col min="6" max="6" width="11.33203125" customWidth="1"/>
    <col min="7" max="7" width="17.83203125" customWidth="1"/>
    <col min="8" max="8" width="13.1640625" customWidth="1"/>
    <col min="9" max="9" width="17.33203125" customWidth="1"/>
    <col min="10" max="10" width="16.33203125" customWidth="1"/>
    <col min="11" max="11" width="21.1640625" customWidth="1"/>
  </cols>
  <sheetData>
    <row r="1" spans="1:4">
      <c r="A1" s="31" t="s">
        <v>13165</v>
      </c>
      <c r="B1" s="31" t="s">
        <v>5</v>
      </c>
      <c r="C1" s="32" t="s">
        <v>13166</v>
      </c>
      <c r="D1" s="36" t="s">
        <v>13167</v>
      </c>
    </row>
    <row r="2" spans="1:4">
      <c r="A2" s="33" t="s">
        <v>13188</v>
      </c>
      <c r="B2" s="33" t="s">
        <v>14119</v>
      </c>
      <c r="C2" s="35" t="s">
        <v>14582</v>
      </c>
      <c r="D2" s="37" t="str">
        <f>CONCATENATE(A2," : ",B2)</f>
        <v>C00001 : Water</v>
      </c>
    </row>
    <row r="3" spans="1:4">
      <c r="A3" s="33" t="s">
        <v>7961</v>
      </c>
      <c r="B3" s="33" t="s">
        <v>14121</v>
      </c>
      <c r="C3" s="35" t="s">
        <v>14583</v>
      </c>
      <c r="D3" s="37" t="str">
        <f t="shared" ref="D3:D66" si="0">CONCATENATE(A3," : ",B3)</f>
        <v>C00002 : ATP</v>
      </c>
    </row>
    <row r="4" spans="1:4">
      <c r="A4" s="33" t="s">
        <v>13180</v>
      </c>
      <c r="B4" s="33" t="s">
        <v>14122</v>
      </c>
      <c r="C4" s="35" t="s">
        <v>14584</v>
      </c>
      <c r="D4" s="37" t="str">
        <f t="shared" si="0"/>
        <v>C00003 : NAD+</v>
      </c>
    </row>
    <row r="5" spans="1:4">
      <c r="A5" s="33" t="s">
        <v>13181</v>
      </c>
      <c r="B5" s="33" t="s">
        <v>14123</v>
      </c>
      <c r="C5" s="35" t="s">
        <v>14585</v>
      </c>
      <c r="D5" s="37" t="str">
        <f t="shared" si="0"/>
        <v>C00004 : NADH</v>
      </c>
    </row>
    <row r="6" spans="1:4">
      <c r="A6" s="33" t="s">
        <v>13178</v>
      </c>
      <c r="B6" s="33" t="s">
        <v>14120</v>
      </c>
      <c r="C6" s="35" t="s">
        <v>14586</v>
      </c>
      <c r="D6" s="37" t="str">
        <f t="shared" si="0"/>
        <v>C00005 : NADPH</v>
      </c>
    </row>
    <row r="7" spans="1:4">
      <c r="A7" s="33" t="s">
        <v>13176</v>
      </c>
      <c r="B7" s="33" t="s">
        <v>14124</v>
      </c>
      <c r="C7" s="35" t="s">
        <v>14587</v>
      </c>
      <c r="D7" s="37" t="str">
        <f t="shared" si="0"/>
        <v>C00006 : NADP+</v>
      </c>
    </row>
    <row r="8" spans="1:4">
      <c r="A8" s="33" t="s">
        <v>13204</v>
      </c>
      <c r="B8" s="33" t="s">
        <v>14125</v>
      </c>
      <c r="C8" s="35" t="s">
        <v>14588</v>
      </c>
      <c r="D8" s="37" t="str">
        <f t="shared" si="0"/>
        <v>C00007 : Oxygen</v>
      </c>
    </row>
    <row r="9" spans="1:4">
      <c r="A9" s="33" t="s">
        <v>13192</v>
      </c>
      <c r="B9" s="33" t="s">
        <v>14126</v>
      </c>
      <c r="C9" s="35" t="s">
        <v>14589</v>
      </c>
      <c r="D9" s="37" t="str">
        <f t="shared" si="0"/>
        <v>C00008 : ADP</v>
      </c>
    </row>
    <row r="10" spans="1:4">
      <c r="A10" s="33" t="s">
        <v>13196</v>
      </c>
      <c r="B10" s="33" t="s">
        <v>14127</v>
      </c>
      <c r="C10" s="35" t="s">
        <v>14590</v>
      </c>
      <c r="D10" s="37" t="str">
        <f t="shared" si="0"/>
        <v xml:space="preserve">C00009 : Phosphoric Acid </v>
      </c>
    </row>
    <row r="11" spans="1:4">
      <c r="A11" s="33" t="s">
        <v>13251</v>
      </c>
      <c r="B11" s="33" t="s">
        <v>14128</v>
      </c>
      <c r="C11" s="35" t="s">
        <v>14591</v>
      </c>
      <c r="D11" s="37" t="str">
        <f t="shared" si="0"/>
        <v>C00010 : CoA</v>
      </c>
    </row>
    <row r="12" spans="1:4">
      <c r="A12" s="33" t="s">
        <v>13221</v>
      </c>
      <c r="B12" s="33" t="s">
        <v>14129</v>
      </c>
      <c r="C12" s="35" t="s">
        <v>14592</v>
      </c>
      <c r="D12" s="37" t="str">
        <f t="shared" si="0"/>
        <v xml:space="preserve">C00011 : Carbon Dioxide </v>
      </c>
    </row>
    <row r="13" spans="1:4">
      <c r="A13" s="33" t="s">
        <v>13912</v>
      </c>
      <c r="B13" s="33" t="s">
        <v>14130</v>
      </c>
      <c r="C13" s="35" t="s">
        <v>14593</v>
      </c>
      <c r="D13" s="37" t="str">
        <f t="shared" si="0"/>
        <v>C00012 : peptide</v>
      </c>
    </row>
    <row r="14" spans="1:4">
      <c r="A14" s="33" t="s">
        <v>13170</v>
      </c>
      <c r="B14" s="33" t="s">
        <v>14131</v>
      </c>
      <c r="C14" s="35" t="s">
        <v>14594</v>
      </c>
      <c r="D14" s="37" t="str">
        <f t="shared" si="0"/>
        <v xml:space="preserve">C00013 : Diphosphoric Acid </v>
      </c>
    </row>
    <row r="15" spans="1:4">
      <c r="A15" s="33" t="s">
        <v>13190</v>
      </c>
      <c r="B15" s="33" t="s">
        <v>14132</v>
      </c>
      <c r="C15" s="35" t="s">
        <v>14595</v>
      </c>
      <c r="D15" s="37" t="str">
        <f t="shared" si="0"/>
        <v>C00014 : Ammonia</v>
      </c>
    </row>
    <row r="16" spans="1:4">
      <c r="A16" s="33" t="s">
        <v>13302</v>
      </c>
      <c r="B16" s="33" t="s">
        <v>14133</v>
      </c>
      <c r="C16" s="35" t="s">
        <v>14596</v>
      </c>
      <c r="D16" s="37" t="str">
        <f t="shared" si="0"/>
        <v>C00015 : UDP</v>
      </c>
    </row>
    <row r="17" spans="1:4">
      <c r="A17" s="33" t="s">
        <v>13718</v>
      </c>
      <c r="B17" s="33" t="s">
        <v>14134</v>
      </c>
      <c r="C17" s="35" t="s">
        <v>14597</v>
      </c>
      <c r="D17" s="37" t="str">
        <f t="shared" si="0"/>
        <v>C00016 : FAD</v>
      </c>
    </row>
    <row r="18" spans="1:4">
      <c r="A18" s="33" t="s">
        <v>13191</v>
      </c>
      <c r="B18" s="33" t="s">
        <v>14665</v>
      </c>
      <c r="C18" s="35" t="str">
        <f>CONCATENATE(A18,":","1")</f>
        <v>C00017:1</v>
      </c>
      <c r="D18" s="37" t="str">
        <f t="shared" si="0"/>
        <v>C00017 : Protein</v>
      </c>
    </row>
    <row r="19" spans="1:4">
      <c r="A19" s="33" t="s">
        <v>13844</v>
      </c>
      <c r="B19" s="33" t="s">
        <v>14135</v>
      </c>
      <c r="C19" s="35" t="s">
        <v>14598</v>
      </c>
      <c r="D19" s="37" t="str">
        <f t="shared" si="0"/>
        <v>C00018 : Pyridoxal Phosphate(PLP)</v>
      </c>
    </row>
    <row r="20" spans="1:4">
      <c r="A20" s="33" t="s">
        <v>13317</v>
      </c>
      <c r="B20" s="33" t="s">
        <v>14136</v>
      </c>
      <c r="C20" s="35" t="s">
        <v>14599</v>
      </c>
      <c r="D20" s="37" t="str">
        <f t="shared" si="0"/>
        <v>C00019 : SAM</v>
      </c>
    </row>
    <row r="21" spans="1:4">
      <c r="A21" s="33" t="s">
        <v>13202</v>
      </c>
      <c r="B21" s="33" t="s">
        <v>14137</v>
      </c>
      <c r="C21" s="35" t="s">
        <v>14600</v>
      </c>
      <c r="D21" s="37" t="str">
        <f t="shared" si="0"/>
        <v>C00020 : AMP</v>
      </c>
    </row>
    <row r="22" spans="1:4">
      <c r="A22" s="33" t="s">
        <v>13318</v>
      </c>
      <c r="B22" s="33" t="s">
        <v>14138</v>
      </c>
      <c r="C22" s="35" t="s">
        <v>14601</v>
      </c>
      <c r="D22" s="37" t="str">
        <f t="shared" si="0"/>
        <v>C00021 : S-Adenosyl-L-Homocysteine(SAH)</v>
      </c>
    </row>
    <row r="23" spans="1:4">
      <c r="A23" s="33" t="s">
        <v>13222</v>
      </c>
      <c r="B23" s="33" t="s">
        <v>14140</v>
      </c>
      <c r="C23" s="35" t="s">
        <v>14602</v>
      </c>
      <c r="D23" s="37" t="str">
        <f t="shared" si="0"/>
        <v xml:space="preserve">C00022 : Pyruvate </v>
      </c>
    </row>
    <row r="24" spans="1:4">
      <c r="A24" s="33" t="s">
        <v>13252</v>
      </c>
      <c r="B24" s="33" t="s">
        <v>14139</v>
      </c>
      <c r="C24" s="35" t="s">
        <v>14603</v>
      </c>
      <c r="D24" s="37" t="str">
        <f t="shared" si="0"/>
        <v>C00024 : Acetyl-CoA</v>
      </c>
    </row>
    <row r="25" spans="1:4">
      <c r="A25" s="33" t="s">
        <v>9827</v>
      </c>
      <c r="B25" s="33" t="s">
        <v>14141</v>
      </c>
      <c r="C25" s="35" t="s">
        <v>14604</v>
      </c>
      <c r="D25" s="37" t="str">
        <f t="shared" si="0"/>
        <v>C00025 : L-Glutamate</v>
      </c>
    </row>
    <row r="26" spans="1:4">
      <c r="A26" s="33" t="s">
        <v>13218</v>
      </c>
      <c r="B26" s="33" t="s">
        <v>14142</v>
      </c>
      <c r="C26" s="35" t="s">
        <v>14605</v>
      </c>
      <c r="D26" s="37" t="str">
        <f t="shared" si="0"/>
        <v xml:space="preserve">C00026 : 2-Oxoglutarate </v>
      </c>
    </row>
    <row r="27" spans="1:4">
      <c r="A27" s="33" t="s">
        <v>13257</v>
      </c>
      <c r="B27" s="33" t="s">
        <v>14143</v>
      </c>
      <c r="C27" s="35" t="s">
        <v>14606</v>
      </c>
      <c r="D27" s="37" t="str">
        <f t="shared" si="0"/>
        <v xml:space="preserve">C00027 : Hydrogen Peroxide </v>
      </c>
    </row>
    <row r="28" spans="1:4">
      <c r="A28" s="33" t="s">
        <v>13208</v>
      </c>
      <c r="B28" s="33" t="s">
        <v>14144</v>
      </c>
      <c r="C28" s="35" t="s">
        <v>14607</v>
      </c>
      <c r="D28" s="37" t="str">
        <f t="shared" si="0"/>
        <v>C00028 : Acceptor</v>
      </c>
    </row>
    <row r="29" spans="1:4">
      <c r="A29" s="33" t="s">
        <v>8683</v>
      </c>
      <c r="B29" s="33" t="s">
        <v>14145</v>
      </c>
      <c r="C29" s="35" t="s">
        <v>14608</v>
      </c>
      <c r="D29" s="37" t="str">
        <f t="shared" si="0"/>
        <v>C00029 : UDP-glucose</v>
      </c>
    </row>
    <row r="30" spans="1:4">
      <c r="A30" s="33" t="s">
        <v>13209</v>
      </c>
      <c r="B30" s="33" t="s">
        <v>14146</v>
      </c>
      <c r="C30" s="35" t="s">
        <v>14609</v>
      </c>
      <c r="D30" s="37" t="str">
        <f t="shared" si="0"/>
        <v xml:space="preserve">C00030 : Reduced Acceptor </v>
      </c>
    </row>
    <row r="31" spans="1:4">
      <c r="A31" s="33" t="s">
        <v>13560</v>
      </c>
      <c r="B31" s="33" t="s">
        <v>14147</v>
      </c>
      <c r="C31" s="35" t="s">
        <v>14610</v>
      </c>
      <c r="D31" s="37" t="str">
        <f t="shared" si="0"/>
        <v>C00031 : D-Glucose</v>
      </c>
    </row>
    <row r="32" spans="1:4">
      <c r="A32" s="33" t="s">
        <v>13241</v>
      </c>
      <c r="B32" s="33" t="s">
        <v>14666</v>
      </c>
      <c r="C32" s="35" t="str">
        <f>CONCATENATE(A32,":","1")</f>
        <v>C00032:1</v>
      </c>
      <c r="D32" s="37" t="str">
        <f t="shared" si="0"/>
        <v>C00032 : Heme</v>
      </c>
    </row>
    <row r="33" spans="1:4">
      <c r="A33" s="33" t="s">
        <v>13189</v>
      </c>
      <c r="B33" s="33" t="s">
        <v>14148</v>
      </c>
      <c r="C33" s="35" t="s">
        <v>14611</v>
      </c>
      <c r="D33" s="37" t="str">
        <f t="shared" si="0"/>
        <v>C00033 : Acetate</v>
      </c>
    </row>
    <row r="34" spans="1:4">
      <c r="A34" s="33" t="s">
        <v>13642</v>
      </c>
      <c r="B34" s="33" t="s">
        <v>14149</v>
      </c>
      <c r="C34" s="35" t="s">
        <v>14612</v>
      </c>
      <c r="D34" s="37" t="str">
        <f t="shared" si="0"/>
        <v>C00035 : GDP</v>
      </c>
    </row>
    <row r="35" spans="1:4">
      <c r="A35" s="33" t="s">
        <v>13448</v>
      </c>
      <c r="B35" s="33" t="s">
        <v>14150</v>
      </c>
      <c r="C35" s="35" t="s">
        <v>14613</v>
      </c>
      <c r="D35" s="37" t="str">
        <f t="shared" si="0"/>
        <v>C00036 : Oxaloacetate</v>
      </c>
    </row>
    <row r="36" spans="1:4">
      <c r="A36" s="33" t="s">
        <v>13279</v>
      </c>
      <c r="B36" s="33" t="s">
        <v>14151</v>
      </c>
      <c r="C36" s="35" t="s">
        <v>14614</v>
      </c>
      <c r="D36" s="37" t="str">
        <f t="shared" si="0"/>
        <v>C00037 : Glycine</v>
      </c>
    </row>
    <row r="37" spans="1:4">
      <c r="A37" s="33" t="s">
        <v>13169</v>
      </c>
      <c r="B37" s="33" t="s">
        <v>14152</v>
      </c>
      <c r="C37" s="35" t="s">
        <v>14615</v>
      </c>
      <c r="D37" s="37" t="str">
        <f t="shared" si="0"/>
        <v>C00039 : DNA</v>
      </c>
    </row>
    <row r="38" spans="1:4">
      <c r="A38" s="33" t="s">
        <v>13352</v>
      </c>
      <c r="B38" s="33" t="s">
        <v>14153</v>
      </c>
      <c r="C38" s="35" t="s">
        <v>14616</v>
      </c>
      <c r="D38" s="37" t="str">
        <f t="shared" si="0"/>
        <v>C00041 : L-Alanine</v>
      </c>
    </row>
    <row r="39" spans="1:4">
      <c r="A39" s="33" t="s">
        <v>13198</v>
      </c>
      <c r="B39" s="34" t="s">
        <v>14667</v>
      </c>
      <c r="C39" s="35" t="str">
        <f>CONCATENATE(A39,":","1")</f>
        <v>C00042:1</v>
      </c>
      <c r="D39" s="37" t="str">
        <f t="shared" si="0"/>
        <v>C00042 : Succinate</v>
      </c>
    </row>
    <row r="40" spans="1:4">
      <c r="A40" s="33" t="s">
        <v>8685</v>
      </c>
      <c r="B40" s="33" t="s">
        <v>14154</v>
      </c>
      <c r="C40" s="35" t="s">
        <v>14617</v>
      </c>
      <c r="D40" s="37" t="str">
        <f t="shared" si="0"/>
        <v>C00043 : UDP-N-Acetyl-Alpha-D-Glucosamine</v>
      </c>
    </row>
    <row r="41" spans="1:4">
      <c r="A41" s="33" t="s">
        <v>13267</v>
      </c>
      <c r="B41" s="33" t="s">
        <v>14155</v>
      </c>
      <c r="C41" s="35" t="s">
        <v>14618</v>
      </c>
      <c r="D41" s="37" t="str">
        <f t="shared" si="0"/>
        <v>C00044 : GTP</v>
      </c>
    </row>
    <row r="42" spans="1:4">
      <c r="A42" s="33" t="s">
        <v>13341</v>
      </c>
      <c r="B42" s="33" t="s">
        <v>14156</v>
      </c>
      <c r="C42" s="35" t="s">
        <v>14619</v>
      </c>
      <c r="D42" s="37" t="str">
        <f t="shared" si="0"/>
        <v>C00046 : RNA</v>
      </c>
    </row>
    <row r="43" spans="1:4">
      <c r="A43" s="33" t="s">
        <v>8549</v>
      </c>
      <c r="B43" s="33" t="s">
        <v>14157</v>
      </c>
      <c r="C43" s="35" t="s">
        <v>14620</v>
      </c>
      <c r="D43" s="37" t="str">
        <f t="shared" si="0"/>
        <v>C00047 : L-Lysine</v>
      </c>
    </row>
    <row r="44" spans="1:4">
      <c r="A44" s="33" t="s">
        <v>13528</v>
      </c>
      <c r="B44" s="33" t="s">
        <v>14158</v>
      </c>
      <c r="C44" s="35" t="s">
        <v>14621</v>
      </c>
      <c r="D44" s="37" t="str">
        <f t="shared" si="0"/>
        <v>C00048 : Glyoxylate</v>
      </c>
    </row>
    <row r="45" spans="1:4">
      <c r="A45" s="33" t="s">
        <v>8610</v>
      </c>
      <c r="B45" s="33" t="s">
        <v>14159</v>
      </c>
      <c r="C45" s="35" t="s">
        <v>14622</v>
      </c>
      <c r="D45" s="37" t="str">
        <f t="shared" si="0"/>
        <v>C00049 : L-Aspartate</v>
      </c>
    </row>
    <row r="46" spans="1:4">
      <c r="A46" s="33" t="s">
        <v>14095</v>
      </c>
      <c r="B46" s="33" t="s">
        <v>14160</v>
      </c>
      <c r="C46" s="35" t="s">
        <v>14623</v>
      </c>
      <c r="D46" s="37" t="str">
        <f t="shared" si="0"/>
        <v>C00051 : Glutathione</v>
      </c>
    </row>
    <row r="47" spans="1:4">
      <c r="A47" s="33" t="s">
        <v>8684</v>
      </c>
      <c r="B47" s="33" t="s">
        <v>14161</v>
      </c>
      <c r="C47" s="35" t="s">
        <v>14624</v>
      </c>
      <c r="D47" s="37" t="str">
        <f t="shared" si="0"/>
        <v>C00052 : UDP-D-Galactose</v>
      </c>
    </row>
    <row r="48" spans="1:4">
      <c r="A48" s="33" t="s">
        <v>13457</v>
      </c>
      <c r="B48" s="33" t="s">
        <v>14162</v>
      </c>
      <c r="C48" s="35" t="s">
        <v>14625</v>
      </c>
      <c r="D48" s="37" t="str">
        <f t="shared" si="0"/>
        <v>C00053 : 3'-Phosphoadenylyl Sulfate/PAPS</v>
      </c>
    </row>
    <row r="49" spans="1:4">
      <c r="A49" s="33" t="s">
        <v>13456</v>
      </c>
      <c r="B49" s="33" t="s">
        <v>14163</v>
      </c>
      <c r="C49" s="35" t="s">
        <v>14626</v>
      </c>
      <c r="D49" s="37" t="str">
        <f t="shared" si="0"/>
        <v xml:space="preserve">C00054 : Adenosine 3',5'-bisphosphate </v>
      </c>
    </row>
    <row r="50" spans="1:4">
      <c r="A50" s="33" t="s">
        <v>13573</v>
      </c>
      <c r="B50" s="33" t="s">
        <v>14164</v>
      </c>
      <c r="C50" s="35" t="s">
        <v>14627</v>
      </c>
      <c r="D50" s="37" t="str">
        <f t="shared" si="0"/>
        <v>C00055 : Cytidine-5'-monophosphate/CMP</v>
      </c>
    </row>
    <row r="51" spans="1:4">
      <c r="A51" s="33" t="s">
        <v>13215</v>
      </c>
      <c r="B51" s="33" t="s">
        <v>14165</v>
      </c>
      <c r="C51" s="35" t="s">
        <v>14628</v>
      </c>
      <c r="D51" s="37" t="str">
        <f t="shared" si="0"/>
        <v>C00058 : Formate</v>
      </c>
    </row>
    <row r="52" spans="1:4">
      <c r="A52" s="33" t="s">
        <v>13695</v>
      </c>
      <c r="B52" s="34" t="s">
        <v>14668</v>
      </c>
      <c r="C52" s="35" t="str">
        <f>CONCATENATE(A52,":","1")</f>
        <v>C00059:1</v>
      </c>
      <c r="D52" s="37" t="str">
        <f t="shared" si="0"/>
        <v>C00059 : Sulfate</v>
      </c>
    </row>
    <row r="53" spans="1:4">
      <c r="A53" s="33" t="s">
        <v>13365</v>
      </c>
      <c r="B53" s="33" t="s">
        <v>14166</v>
      </c>
      <c r="C53" s="35" t="s">
        <v>14629</v>
      </c>
      <c r="D53" s="37" t="str">
        <f t="shared" si="0"/>
        <v xml:space="preserve">C00060 : Carboxylate </v>
      </c>
    </row>
    <row r="54" spans="1:4">
      <c r="A54" s="33" t="s">
        <v>13682</v>
      </c>
      <c r="B54" s="33" t="s">
        <v>14167</v>
      </c>
      <c r="C54" s="35" t="s">
        <v>14630</v>
      </c>
      <c r="D54" s="37" t="str">
        <f t="shared" si="0"/>
        <v>C00061 : Flavin Mononucleotide/FMN</v>
      </c>
    </row>
    <row r="55" spans="1:4">
      <c r="A55" s="33" t="s">
        <v>13578</v>
      </c>
      <c r="B55" s="33" t="s">
        <v>14168</v>
      </c>
      <c r="C55" s="35" t="s">
        <v>14631</v>
      </c>
      <c r="D55" s="37" t="str">
        <f t="shared" si="0"/>
        <v>C00062 : L-Arginine</v>
      </c>
    </row>
    <row r="56" spans="1:4">
      <c r="A56" s="33" t="s">
        <v>13342</v>
      </c>
      <c r="B56" s="33" t="s">
        <v>14169</v>
      </c>
      <c r="C56" s="35" t="s">
        <v>14632</v>
      </c>
      <c r="D56" s="37" t="str">
        <f t="shared" si="0"/>
        <v>C00063 : CTP</v>
      </c>
    </row>
    <row r="57" spans="1:4">
      <c r="A57" s="33" t="s">
        <v>13351</v>
      </c>
      <c r="B57" s="33" t="s">
        <v>14170</v>
      </c>
      <c r="C57" s="35" t="s">
        <v>14633</v>
      </c>
      <c r="D57" s="37" t="str">
        <f t="shared" si="0"/>
        <v>C00064 : L-Glutamine</v>
      </c>
    </row>
    <row r="58" spans="1:4">
      <c r="A58" s="33" t="s">
        <v>8788</v>
      </c>
      <c r="B58" s="33" t="s">
        <v>14171</v>
      </c>
      <c r="C58" s="35" t="s">
        <v>14634</v>
      </c>
      <c r="D58" s="37" t="str">
        <f t="shared" si="0"/>
        <v>C00065 : L-Serine</v>
      </c>
    </row>
    <row r="59" spans="1:4">
      <c r="A59" s="33" t="s">
        <v>13526</v>
      </c>
      <c r="B59" s="33" t="s">
        <v>53</v>
      </c>
      <c r="C59" s="35" t="s">
        <v>14635</v>
      </c>
      <c r="D59" s="37" t="str">
        <f t="shared" si="0"/>
        <v>C00066 : tRNA</v>
      </c>
    </row>
    <row r="60" spans="1:4">
      <c r="A60" s="33" t="s">
        <v>13258</v>
      </c>
      <c r="B60" s="34" t="s">
        <v>14669</v>
      </c>
      <c r="C60" s="35" t="str">
        <f>CONCATENATE(A60,":","1")</f>
        <v>C00067:1</v>
      </c>
      <c r="D60" s="37" t="str">
        <f t="shared" si="0"/>
        <v>C00067 : Formaldehyde</v>
      </c>
    </row>
    <row r="61" spans="1:4">
      <c r="A61" s="33" t="s">
        <v>13223</v>
      </c>
      <c r="B61" s="33" t="s">
        <v>14172</v>
      </c>
      <c r="C61" s="35" t="s">
        <v>14636</v>
      </c>
      <c r="D61" s="37" t="str">
        <f t="shared" si="0"/>
        <v xml:space="preserve">C00068 : Thiamin Diphosphate </v>
      </c>
    </row>
    <row r="62" spans="1:4">
      <c r="A62" s="33" t="s">
        <v>13364</v>
      </c>
      <c r="B62" s="34" t="s">
        <v>14670</v>
      </c>
      <c r="C62" s="35" t="str">
        <f>CONCATENATE(A62,":","1")</f>
        <v>C00069:1</v>
      </c>
      <c r="D62" s="37" t="str">
        <f t="shared" si="0"/>
        <v>C00069 : Alcohol</v>
      </c>
    </row>
    <row r="63" spans="1:4">
      <c r="A63" s="33" t="s">
        <v>13785</v>
      </c>
      <c r="B63" s="33" t="s">
        <v>14173</v>
      </c>
      <c r="C63" s="35" t="s">
        <v>14637</v>
      </c>
      <c r="D63" s="37" t="str">
        <f t="shared" si="0"/>
        <v xml:space="preserve">C00071 : Aldehyde </v>
      </c>
    </row>
    <row r="64" spans="1:4">
      <c r="A64" s="33" t="s">
        <v>13185</v>
      </c>
      <c r="B64" s="33" t="s">
        <v>14174</v>
      </c>
      <c r="C64" s="35" t="s">
        <v>14638</v>
      </c>
      <c r="D64" s="37" t="str">
        <f t="shared" si="0"/>
        <v xml:space="preserve">C00073 : L-Methionine </v>
      </c>
    </row>
    <row r="65" spans="1:4">
      <c r="A65" s="33" t="s">
        <v>13433</v>
      </c>
      <c r="B65" s="33" t="s">
        <v>14175</v>
      </c>
      <c r="C65" s="35" t="s">
        <v>14639</v>
      </c>
      <c r="D65" s="37" t="str">
        <f t="shared" si="0"/>
        <v xml:space="preserve">C00074 : Phosphoenolpyruvate </v>
      </c>
    </row>
    <row r="66" spans="1:4">
      <c r="A66" s="33" t="s">
        <v>13343</v>
      </c>
      <c r="B66" s="33" t="s">
        <v>14176</v>
      </c>
      <c r="C66" s="35" t="s">
        <v>14640</v>
      </c>
      <c r="D66" s="37" t="str">
        <f t="shared" si="0"/>
        <v>C00075 : UTP</v>
      </c>
    </row>
    <row r="67" spans="1:4">
      <c r="A67" s="33" t="s">
        <v>13619</v>
      </c>
      <c r="B67" s="34" t="s">
        <v>14671</v>
      </c>
      <c r="C67" s="35" t="str">
        <f>CONCATENATE(A67,":","1")</f>
        <v>C00077:1</v>
      </c>
      <c r="D67" s="37" t="str">
        <f t="shared" ref="D67:D130" si="1">CONCATENATE(A67," : ",B67)</f>
        <v>C00077 : L-ornithine</v>
      </c>
    </row>
    <row r="68" spans="1:4">
      <c r="A68" s="33" t="s">
        <v>13359</v>
      </c>
      <c r="B68" s="33" t="s">
        <v>14177</v>
      </c>
      <c r="C68" s="35" t="s">
        <v>14641</v>
      </c>
      <c r="D68" s="37" t="str">
        <f t="shared" si="1"/>
        <v>C00078 : L-Tryptophan</v>
      </c>
    </row>
    <row r="69" spans="1:4">
      <c r="A69" s="33" t="s">
        <v>13611</v>
      </c>
      <c r="B69" s="33" t="s">
        <v>14178</v>
      </c>
      <c r="C69" s="35" t="s">
        <v>14642</v>
      </c>
      <c r="D69" s="37" t="str">
        <f t="shared" si="1"/>
        <v>C00079 : L-Phenylalanine</v>
      </c>
    </row>
    <row r="70" spans="1:4">
      <c r="A70" s="33" t="s">
        <v>13179</v>
      </c>
      <c r="B70" s="33" t="s">
        <v>14179</v>
      </c>
      <c r="C70" s="35" t="s">
        <v>14643</v>
      </c>
      <c r="D70" s="37" t="str">
        <f t="shared" si="1"/>
        <v>C00080 : H+</v>
      </c>
    </row>
    <row r="71" spans="1:4">
      <c r="A71" s="33" t="s">
        <v>13596</v>
      </c>
      <c r="B71" s="33" t="s">
        <v>14180</v>
      </c>
      <c r="C71" s="35" t="s">
        <v>14644</v>
      </c>
      <c r="D71" s="37" t="str">
        <f t="shared" si="1"/>
        <v>C00081 : ITP</v>
      </c>
    </row>
    <row r="72" spans="1:4">
      <c r="A72" s="33" t="s">
        <v>13630</v>
      </c>
      <c r="B72" s="33" t="s">
        <v>14181</v>
      </c>
      <c r="C72" s="35" t="s">
        <v>14645</v>
      </c>
      <c r="D72" s="37" t="str">
        <f t="shared" si="1"/>
        <v>C00082 : L-Tyrosine</v>
      </c>
    </row>
    <row r="73" spans="1:4">
      <c r="A73" s="33" t="s">
        <v>13340</v>
      </c>
      <c r="B73" s="33" t="s">
        <v>14182</v>
      </c>
      <c r="C73" s="35" t="s">
        <v>14646</v>
      </c>
      <c r="D73" s="37" t="str">
        <f t="shared" si="1"/>
        <v>C00084 : Acetaldehyde</v>
      </c>
    </row>
    <row r="74" spans="1:4">
      <c r="A74" s="33" t="s">
        <v>10330</v>
      </c>
      <c r="B74" s="33" t="s">
        <v>14183</v>
      </c>
      <c r="C74" s="35" t="s">
        <v>14647</v>
      </c>
      <c r="D74" s="37" t="str">
        <f t="shared" si="1"/>
        <v xml:space="preserve">C00085 : D-Fructose </v>
      </c>
    </row>
    <row r="75" spans="1:4">
      <c r="A75" s="33" t="s">
        <v>13529</v>
      </c>
      <c r="B75" s="34" t="s">
        <v>14672</v>
      </c>
      <c r="C75" s="35" t="str">
        <f>CONCATENATE(A75,":","1")</f>
        <v>C00086:1</v>
      </c>
      <c r="D75" s="37" t="str">
        <f t="shared" si="1"/>
        <v>C00086 : Urea</v>
      </c>
    </row>
    <row r="76" spans="1:4">
      <c r="A76" s="33" t="s">
        <v>13584</v>
      </c>
      <c r="B76" s="34" t="s">
        <v>14673</v>
      </c>
      <c r="C76" s="35" t="str">
        <f>CONCATENATE(A76,":","1")</f>
        <v>C00088:1</v>
      </c>
      <c r="D76" s="37" t="str">
        <f t="shared" si="1"/>
        <v>C00088 : Nitrite</v>
      </c>
    </row>
    <row r="77" spans="1:4">
      <c r="A77" s="33" t="s">
        <v>13558</v>
      </c>
      <c r="B77" s="33" t="s">
        <v>14184</v>
      </c>
      <c r="C77" s="35" t="s">
        <v>14648</v>
      </c>
      <c r="D77" s="37" t="str">
        <f t="shared" si="1"/>
        <v xml:space="preserve">C00089 : Sucrose </v>
      </c>
    </row>
    <row r="78" spans="1:4">
      <c r="A78" s="33" t="s">
        <v>13555</v>
      </c>
      <c r="B78" s="34" t="s">
        <v>14674</v>
      </c>
      <c r="C78" s="35" t="str">
        <f>CONCATENATE(A78,":","1")</f>
        <v>C00091:1</v>
      </c>
      <c r="D78" s="37" t="str">
        <f t="shared" si="1"/>
        <v>C00091 : Succinyl-CoA</v>
      </c>
    </row>
    <row r="79" spans="1:4">
      <c r="A79" s="33" t="s">
        <v>13459</v>
      </c>
      <c r="B79" s="33" t="s">
        <v>14147</v>
      </c>
      <c r="C79" s="35" t="s">
        <v>14649</v>
      </c>
      <c r="D79" s="37" t="str">
        <f t="shared" si="1"/>
        <v>C00092 : D-Glucose</v>
      </c>
    </row>
    <row r="80" spans="1:4">
      <c r="A80" s="33" t="s">
        <v>13606</v>
      </c>
      <c r="B80" s="33" t="s">
        <v>14185</v>
      </c>
      <c r="C80" s="35" t="s">
        <v>14650</v>
      </c>
      <c r="D80" s="37" t="str">
        <f t="shared" si="1"/>
        <v xml:space="preserve">C00093 : sn-Glycerol 3-Phosphate </v>
      </c>
    </row>
    <row r="81" spans="1:4">
      <c r="A81" s="33" t="s">
        <v>13412</v>
      </c>
      <c r="B81" s="33" t="s">
        <v>14186</v>
      </c>
      <c r="C81" s="35" t="s">
        <v>14651</v>
      </c>
      <c r="D81" s="37" t="str">
        <f t="shared" si="1"/>
        <v xml:space="preserve">C00094 : Sulfite </v>
      </c>
    </row>
    <row r="82" spans="1:4">
      <c r="A82" s="33" t="s">
        <v>13559</v>
      </c>
      <c r="B82" s="33" t="s">
        <v>14183</v>
      </c>
      <c r="C82" s="35" t="s">
        <v>14652</v>
      </c>
      <c r="D82" s="37" t="str">
        <f t="shared" si="1"/>
        <v xml:space="preserve">C00095 : D-Fructose </v>
      </c>
    </row>
    <row r="83" spans="1:4">
      <c r="A83" s="33" t="s">
        <v>13640</v>
      </c>
      <c r="B83" s="33" t="s">
        <v>14675</v>
      </c>
      <c r="C83" s="35" t="str">
        <f>CONCATENATE(A83,":","1")</f>
        <v>C00096:1</v>
      </c>
      <c r="D83" s="37" t="str">
        <f t="shared" si="1"/>
        <v>C00096 : GDP-mannose</v>
      </c>
    </row>
    <row r="84" spans="1:4">
      <c r="A84" s="33" t="s">
        <v>13278</v>
      </c>
      <c r="B84" s="33" t="s">
        <v>14187</v>
      </c>
      <c r="C84" s="35" t="s">
        <v>14653</v>
      </c>
      <c r="D84" s="37" t="str">
        <f t="shared" si="1"/>
        <v xml:space="preserve">C00097 : L-Cysteine </v>
      </c>
    </row>
    <row r="85" spans="1:4">
      <c r="A85" s="33" t="s">
        <v>13897</v>
      </c>
      <c r="B85" s="33" t="s">
        <v>14676</v>
      </c>
      <c r="C85" s="35" t="str">
        <f>CONCATENATE(A85,":","1")</f>
        <v>C00099:1</v>
      </c>
      <c r="D85" s="37" t="str">
        <f t="shared" si="1"/>
        <v>C00099 : beta-Alanine</v>
      </c>
    </row>
    <row r="86" spans="1:4">
      <c r="A86" s="33" t="s">
        <v>13414</v>
      </c>
      <c r="B86" s="33" t="s">
        <v>14188</v>
      </c>
      <c r="C86" s="35" t="s">
        <v>14654</v>
      </c>
      <c r="D86" s="37" t="str">
        <f t="shared" si="1"/>
        <v>C00100 : Propanoyl-CoA</v>
      </c>
    </row>
    <row r="87" spans="1:4">
      <c r="A87" s="33" t="s">
        <v>13449</v>
      </c>
      <c r="B87" s="33" t="s">
        <v>14189</v>
      </c>
      <c r="C87" s="35" t="s">
        <v>14655</v>
      </c>
      <c r="D87" s="37" t="str">
        <f t="shared" si="1"/>
        <v xml:space="preserve">C00101 : Tetrahydrofolate </v>
      </c>
    </row>
    <row r="88" spans="1:4">
      <c r="A88" s="33" t="s">
        <v>13276</v>
      </c>
      <c r="B88" s="33" t="s">
        <v>14190</v>
      </c>
      <c r="C88" s="35" t="s">
        <v>14656</v>
      </c>
      <c r="D88" s="37" t="str">
        <f t="shared" si="1"/>
        <v xml:space="preserve">C00103 : Glucose 1-Phosphate </v>
      </c>
    </row>
    <row r="89" spans="1:4">
      <c r="A89" s="33" t="s">
        <v>13597</v>
      </c>
      <c r="B89" s="33" t="s">
        <v>14191</v>
      </c>
      <c r="C89" s="35" t="s">
        <v>14657</v>
      </c>
      <c r="D89" s="37" t="str">
        <f t="shared" si="1"/>
        <v>C00104 : IDP</v>
      </c>
    </row>
    <row r="90" spans="1:4">
      <c r="A90" s="33" t="s">
        <v>13387</v>
      </c>
      <c r="B90" s="33" t="s">
        <v>14192</v>
      </c>
      <c r="C90" s="35" t="s">
        <v>14658</v>
      </c>
      <c r="D90" s="37" t="str">
        <f t="shared" si="1"/>
        <v>C00105 : UMP</v>
      </c>
    </row>
    <row r="91" spans="1:4">
      <c r="A91" s="33" t="s">
        <v>13388</v>
      </c>
      <c r="B91" s="33" t="s">
        <v>14193</v>
      </c>
      <c r="C91" s="35" t="s">
        <v>14659</v>
      </c>
      <c r="D91" s="37" t="str">
        <f t="shared" si="1"/>
        <v>C00106 : Uracil</v>
      </c>
    </row>
    <row r="92" spans="1:4">
      <c r="A92" s="33" t="s">
        <v>14089</v>
      </c>
      <c r="B92" s="33" t="s">
        <v>14677</v>
      </c>
      <c r="C92" s="35" t="str">
        <f>CONCATENATE(A92,":","1")</f>
        <v>C00108:1</v>
      </c>
      <c r="D92" s="37" t="str">
        <f t="shared" si="1"/>
        <v>C00108 : Anthranilate</v>
      </c>
    </row>
    <row r="93" spans="1:4">
      <c r="A93" s="33" t="s">
        <v>13225</v>
      </c>
      <c r="B93" s="33" t="s">
        <v>14194</v>
      </c>
      <c r="C93" s="35" t="str">
        <f t="shared" ref="C93:C112" si="2">CONCATENATE(A93,":","1")</f>
        <v>C00109:1</v>
      </c>
      <c r="D93" s="37" t="str">
        <f t="shared" si="1"/>
        <v xml:space="preserve">C00109 : 2-Oxobutanoate </v>
      </c>
    </row>
    <row r="94" spans="1:4">
      <c r="A94" s="33" t="s">
        <v>13466</v>
      </c>
      <c r="B94" s="33" t="s">
        <v>14678</v>
      </c>
      <c r="C94" s="35" t="str">
        <f t="shared" si="2"/>
        <v>C00110:1</v>
      </c>
      <c r="D94" s="37" t="str">
        <f t="shared" si="1"/>
        <v>C00110 : Dolichyl phosphate</v>
      </c>
    </row>
    <row r="95" spans="1:4">
      <c r="A95" s="33" t="s">
        <v>8664</v>
      </c>
      <c r="B95" s="33" t="s">
        <v>14195</v>
      </c>
      <c r="C95" s="35" t="str">
        <f t="shared" si="2"/>
        <v>C00111:1</v>
      </c>
      <c r="D95" s="37" t="str">
        <f t="shared" si="1"/>
        <v xml:space="preserve">C00111 : Glycerone Phosphate </v>
      </c>
    </row>
    <row r="96" spans="1:4">
      <c r="A96" s="33" t="s">
        <v>13595</v>
      </c>
      <c r="B96" s="33" t="s">
        <v>14196</v>
      </c>
      <c r="C96" s="35" t="str">
        <f t="shared" si="2"/>
        <v>C00112:1</v>
      </c>
      <c r="D96" s="37" t="str">
        <f t="shared" si="1"/>
        <v>C00112 : CDP</v>
      </c>
    </row>
    <row r="97" spans="1:4">
      <c r="A97" s="33" t="s">
        <v>13207</v>
      </c>
      <c r="B97" s="33" t="s">
        <v>14197</v>
      </c>
      <c r="C97" s="35" t="str">
        <f t="shared" si="2"/>
        <v>C00114:1</v>
      </c>
      <c r="D97" s="37" t="str">
        <f t="shared" si="1"/>
        <v xml:space="preserve">C00114 : Choline </v>
      </c>
    </row>
    <row r="98" spans="1:4">
      <c r="A98" s="33" t="s">
        <v>14064</v>
      </c>
      <c r="B98" s="33" t="s">
        <v>14198</v>
      </c>
      <c r="C98" s="35" t="str">
        <f t="shared" si="2"/>
        <v>C00116:1</v>
      </c>
      <c r="D98" s="37" t="str">
        <f t="shared" si="1"/>
        <v>C00116 : Glycerol</v>
      </c>
    </row>
    <row r="99" spans="1:4">
      <c r="A99" s="33" t="s">
        <v>9728</v>
      </c>
      <c r="B99" s="33" t="s">
        <v>14199</v>
      </c>
      <c r="C99" s="35" t="str">
        <f t="shared" si="2"/>
        <v>C00117:1</v>
      </c>
      <c r="D99" s="37" t="str">
        <f t="shared" si="1"/>
        <v xml:space="preserve">C00117 : D-Ribose 5-Phosphate </v>
      </c>
    </row>
    <row r="100" spans="1:4">
      <c r="A100" s="33" t="s">
        <v>8663</v>
      </c>
      <c r="B100" s="33" t="s">
        <v>14200</v>
      </c>
      <c r="C100" s="35" t="str">
        <f t="shared" si="2"/>
        <v>C00118:1</v>
      </c>
      <c r="D100" s="37" t="str">
        <f t="shared" si="1"/>
        <v xml:space="preserve">C00118 : D-Glyceraldehyde 3-Phosphate </v>
      </c>
    </row>
    <row r="101" spans="1:4">
      <c r="A101" s="33" t="s">
        <v>13389</v>
      </c>
      <c r="B101" s="33" t="s">
        <v>14201</v>
      </c>
      <c r="C101" s="35" t="str">
        <f t="shared" si="2"/>
        <v>C00119:1</v>
      </c>
      <c r="D101" s="37" t="str">
        <f t="shared" si="1"/>
        <v xml:space="preserve">C00119 : 5-Phospho-alpha-D-ribose 1-diphosphate </v>
      </c>
    </row>
    <row r="102" spans="1:4">
      <c r="A102" s="33" t="s">
        <v>13201</v>
      </c>
      <c r="B102" s="33" t="s">
        <v>14679</v>
      </c>
      <c r="C102" s="35" t="str">
        <f t="shared" si="2"/>
        <v>C00120:1</v>
      </c>
      <c r="D102" s="37" t="str">
        <f t="shared" si="1"/>
        <v>C00120 : Biotin</v>
      </c>
    </row>
    <row r="103" spans="1:4">
      <c r="A103" s="33" t="s">
        <v>13429</v>
      </c>
      <c r="B103" s="33" t="s">
        <v>14202</v>
      </c>
      <c r="C103" s="35" t="str">
        <f t="shared" si="2"/>
        <v>C00121:1</v>
      </c>
      <c r="D103" s="37" t="str">
        <f t="shared" si="1"/>
        <v>C00121 : D-Ribose</v>
      </c>
    </row>
    <row r="104" spans="1:4">
      <c r="A104" s="33" t="s">
        <v>13295</v>
      </c>
      <c r="B104" s="33" t="s">
        <v>14203</v>
      </c>
      <c r="C104" s="35" t="str">
        <f t="shared" si="2"/>
        <v>C00122:1</v>
      </c>
      <c r="D104" s="37" t="str">
        <f t="shared" si="1"/>
        <v>C00122 : Fumarate</v>
      </c>
    </row>
    <row r="105" spans="1:4">
      <c r="A105" s="33" t="s">
        <v>13766</v>
      </c>
      <c r="B105" s="33" t="s">
        <v>14204</v>
      </c>
      <c r="C105" s="35" t="str">
        <f t="shared" si="2"/>
        <v>C00123:1</v>
      </c>
      <c r="D105" s="37" t="str">
        <f t="shared" si="1"/>
        <v>C00123 : L-Leucine</v>
      </c>
    </row>
    <row r="106" spans="1:4">
      <c r="A106" s="33" t="s">
        <v>10303</v>
      </c>
      <c r="B106" s="33" t="s">
        <v>14680</v>
      </c>
      <c r="C106" s="35" t="str">
        <f t="shared" si="2"/>
        <v>C00124:1</v>
      </c>
      <c r="D106" s="37" t="str">
        <f t="shared" si="1"/>
        <v>C00124 : D-Galactose</v>
      </c>
    </row>
    <row r="107" spans="1:4">
      <c r="A107" s="33" t="s">
        <v>13583</v>
      </c>
      <c r="B107" s="33" t="s">
        <v>14681</v>
      </c>
      <c r="C107" s="35" t="str">
        <f t="shared" si="2"/>
        <v>C00125:1</v>
      </c>
      <c r="D107" s="37" t="str">
        <f t="shared" si="1"/>
        <v>C00125 : Ferricytochrome c</v>
      </c>
    </row>
    <row r="108" spans="1:4">
      <c r="A108" s="33" t="s">
        <v>13585</v>
      </c>
      <c r="B108" s="33" t="s">
        <v>14682</v>
      </c>
      <c r="C108" s="35" t="str">
        <f t="shared" si="2"/>
        <v>C00126:1</v>
      </c>
      <c r="D108" s="37" t="str">
        <f t="shared" si="1"/>
        <v>C00126 : Ferrocytochrome c</v>
      </c>
    </row>
    <row r="109" spans="1:4">
      <c r="A109" s="33" t="s">
        <v>10150</v>
      </c>
      <c r="B109" s="33" t="s">
        <v>14205</v>
      </c>
      <c r="C109" s="35" t="str">
        <f t="shared" si="2"/>
        <v>C00129:1</v>
      </c>
      <c r="D109" s="37" t="str">
        <f t="shared" si="1"/>
        <v xml:space="preserve">C00129 : Isopentenyl Diphosphate </v>
      </c>
    </row>
    <row r="110" spans="1:4">
      <c r="A110" s="33" t="s">
        <v>13353</v>
      </c>
      <c r="B110" s="33" t="s">
        <v>14206</v>
      </c>
      <c r="C110" s="35" t="str">
        <f t="shared" si="2"/>
        <v>C00130:1</v>
      </c>
      <c r="D110" s="37" t="str">
        <f t="shared" si="1"/>
        <v>C00130 : IMP</v>
      </c>
    </row>
    <row r="111" spans="1:4">
      <c r="A111" s="33" t="s">
        <v>13171</v>
      </c>
      <c r="B111" s="33" t="s">
        <v>14207</v>
      </c>
      <c r="C111" s="35" t="str">
        <f t="shared" si="2"/>
        <v>C00131:1</v>
      </c>
      <c r="D111" s="37" t="str">
        <f t="shared" si="1"/>
        <v>C00131 : dATP</v>
      </c>
    </row>
    <row r="112" spans="1:4">
      <c r="A112" s="33" t="s">
        <v>13256</v>
      </c>
      <c r="B112" s="33" t="s">
        <v>14683</v>
      </c>
      <c r="C112" s="35" t="str">
        <f t="shared" si="2"/>
        <v>C00132:1</v>
      </c>
      <c r="D112" s="37" t="str">
        <f t="shared" si="1"/>
        <v>C00132 : Methanol</v>
      </c>
    </row>
    <row r="113" spans="1:4">
      <c r="A113" s="33" t="s">
        <v>8124</v>
      </c>
      <c r="B113" s="33" t="s">
        <v>14208</v>
      </c>
      <c r="C113" s="35" t="s">
        <v>14660</v>
      </c>
      <c r="D113" s="37" t="str">
        <f t="shared" si="1"/>
        <v>C00133 : D-Alanine</v>
      </c>
    </row>
    <row r="114" spans="1:4">
      <c r="A114" s="33" t="s">
        <v>8417</v>
      </c>
      <c r="B114" s="33" t="s">
        <v>14684</v>
      </c>
      <c r="C114" s="35" t="str">
        <f>CONCATENATE(A114,":","1")</f>
        <v>C00135:1</v>
      </c>
      <c r="D114" s="37" t="str">
        <f t="shared" si="1"/>
        <v>C00135 : L-Histidine</v>
      </c>
    </row>
    <row r="115" spans="1:4">
      <c r="A115" s="33" t="s">
        <v>13416</v>
      </c>
      <c r="B115" s="33" t="s">
        <v>14209</v>
      </c>
      <c r="C115" s="35" t="str">
        <f t="shared" ref="C115:C123" si="3">CONCATENATE(A115,":","1")</f>
        <v>C00136:1</v>
      </c>
      <c r="D115" s="37" t="str">
        <f t="shared" si="1"/>
        <v>C00136 : Butanoyl-CoA</v>
      </c>
    </row>
    <row r="116" spans="1:4">
      <c r="A116" s="33" t="s">
        <v>13442</v>
      </c>
      <c r="B116" s="33" t="s">
        <v>14685</v>
      </c>
      <c r="C116" s="35" t="str">
        <f t="shared" si="3"/>
        <v>C00137:1</v>
      </c>
      <c r="D116" s="37" t="str">
        <f t="shared" si="1"/>
        <v>C00137 : myo-Inositol</v>
      </c>
    </row>
    <row r="117" spans="1:4">
      <c r="A117" s="33" t="s">
        <v>14102</v>
      </c>
      <c r="B117" s="33" t="s">
        <v>14686</v>
      </c>
      <c r="C117" s="35" t="str">
        <f t="shared" si="3"/>
        <v>C00138:1</v>
      </c>
      <c r="D117" s="37" t="str">
        <f t="shared" si="1"/>
        <v>C00138 : Reduced ferredoxin</v>
      </c>
    </row>
    <row r="118" spans="1:4">
      <c r="A118" s="33" t="s">
        <v>14103</v>
      </c>
      <c r="B118" s="33" t="s">
        <v>14687</v>
      </c>
      <c r="C118" s="35" t="str">
        <f t="shared" si="3"/>
        <v>C00139:1</v>
      </c>
      <c r="D118" s="37" t="str">
        <f t="shared" si="1"/>
        <v>C00139 : Oxidized ferredoxin</v>
      </c>
    </row>
    <row r="119" spans="1:4">
      <c r="A119" s="33" t="s">
        <v>14028</v>
      </c>
      <c r="B119" s="33" t="s">
        <v>14688</v>
      </c>
      <c r="C119" s="35" t="str">
        <f t="shared" si="3"/>
        <v>C00140:1</v>
      </c>
      <c r="D119" s="37" t="str">
        <f t="shared" si="1"/>
        <v>C00140 : N-Acetyl-D-glucosamine</v>
      </c>
    </row>
    <row r="120" spans="1:4">
      <c r="A120" s="33" t="s">
        <v>13253</v>
      </c>
      <c r="B120" s="33" t="s">
        <v>14210</v>
      </c>
      <c r="C120" s="35" t="str">
        <f t="shared" si="3"/>
        <v>C00141:1</v>
      </c>
      <c r="D120" s="37" t="str">
        <f t="shared" si="1"/>
        <v xml:space="preserve">C00141 : 3-Methyl-2-oxobutanoic acid </v>
      </c>
    </row>
    <row r="121" spans="1:4">
      <c r="A121" s="33" t="s">
        <v>13177</v>
      </c>
      <c r="B121" s="33" t="s">
        <v>14211</v>
      </c>
      <c r="C121" s="35" t="str">
        <f t="shared" si="3"/>
        <v>C00143:1</v>
      </c>
      <c r="D121" s="37" t="str">
        <f t="shared" si="1"/>
        <v>C00143 : 5,10-Methylenetetrahydrofolate</v>
      </c>
    </row>
    <row r="122" spans="1:4">
      <c r="A122" s="33" t="s">
        <v>13665</v>
      </c>
      <c r="B122" s="33" t="s">
        <v>14212</v>
      </c>
      <c r="C122" s="35" t="str">
        <f t="shared" si="3"/>
        <v>C00144:1</v>
      </c>
      <c r="D122" s="37" t="str">
        <f t="shared" si="1"/>
        <v>C00144 : GMP</v>
      </c>
    </row>
    <row r="123" spans="1:4">
      <c r="A123" s="33" t="s">
        <v>13850</v>
      </c>
      <c r="B123" s="33" t="s">
        <v>14689</v>
      </c>
      <c r="C123" s="35" t="str">
        <f t="shared" si="3"/>
        <v>C00145:1</v>
      </c>
      <c r="D123" s="37" t="str">
        <f t="shared" si="1"/>
        <v>C00145 : Thiol</v>
      </c>
    </row>
    <row r="124" spans="1:4">
      <c r="A124" s="33" t="s">
        <v>13203</v>
      </c>
      <c r="B124" s="33" t="s">
        <v>14213</v>
      </c>
      <c r="C124" s="35" t="s">
        <v>14661</v>
      </c>
      <c r="D124" s="37" t="str">
        <f t="shared" si="1"/>
        <v>C00147 : Adenine</v>
      </c>
    </row>
    <row r="125" spans="1:4">
      <c r="A125" s="33" t="s">
        <v>13306</v>
      </c>
      <c r="B125" s="33" t="s">
        <v>14214</v>
      </c>
      <c r="C125" s="35" t="s">
        <v>14662</v>
      </c>
      <c r="D125" s="37" t="str">
        <f t="shared" si="1"/>
        <v xml:space="preserve">C00148 : L-Proline </v>
      </c>
    </row>
    <row r="126" spans="1:4">
      <c r="A126" s="33" t="s">
        <v>8359</v>
      </c>
      <c r="B126" s="33" t="s">
        <v>14215</v>
      </c>
      <c r="C126" s="35" t="s">
        <v>14663</v>
      </c>
      <c r="D126" s="37" t="str">
        <f t="shared" si="1"/>
        <v>C00149 : (S)-Malate</v>
      </c>
    </row>
    <row r="127" spans="1:4">
      <c r="A127" s="33" t="s">
        <v>13735</v>
      </c>
      <c r="B127" s="33" t="s">
        <v>14216</v>
      </c>
      <c r="C127" s="35" t="s">
        <v>14664</v>
      </c>
      <c r="D127" s="37" t="str">
        <f t="shared" si="1"/>
        <v>C00152 : L-Asparagine</v>
      </c>
    </row>
    <row r="128" spans="1:4">
      <c r="A128" s="33" t="s">
        <v>13272</v>
      </c>
      <c r="B128" s="33" t="s">
        <v>14690</v>
      </c>
      <c r="C128" s="35" t="str">
        <f>CONCATENATE(A128,":","1")</f>
        <v>C00154:1</v>
      </c>
      <c r="D128" s="37" t="str">
        <f t="shared" si="1"/>
        <v>C00154 : Palmitoyl-CoA</v>
      </c>
    </row>
    <row r="129" spans="1:4">
      <c r="A129" s="33" t="s">
        <v>13183</v>
      </c>
      <c r="B129" s="33" t="s">
        <v>14217</v>
      </c>
      <c r="C129" s="35" t="str">
        <f t="shared" ref="C129:C192" si="4">CONCATENATE(A129,":","1")</f>
        <v>C00155:1</v>
      </c>
      <c r="D129" s="37" t="str">
        <f t="shared" si="1"/>
        <v>C00155 : L-Homocysteine</v>
      </c>
    </row>
    <row r="130" spans="1:4">
      <c r="A130" s="33" t="s">
        <v>13865</v>
      </c>
      <c r="B130" s="33" t="s">
        <v>14218</v>
      </c>
      <c r="C130" s="35" t="str">
        <f t="shared" si="4"/>
        <v>C00157:1</v>
      </c>
      <c r="D130" s="37" t="str">
        <f t="shared" si="1"/>
        <v xml:space="preserve">C00157 : Phosphatidylcholine </v>
      </c>
    </row>
    <row r="131" spans="1:4">
      <c r="A131" s="33" t="s">
        <v>8631</v>
      </c>
      <c r="B131" s="33" t="s">
        <v>14219</v>
      </c>
      <c r="C131" s="35" t="str">
        <f t="shared" si="4"/>
        <v>C00158:1</v>
      </c>
      <c r="D131" s="37" t="str">
        <f t="shared" ref="D131:D194" si="5">CONCATENATE(A131," : ",B131)</f>
        <v>C00158 : Citrate</v>
      </c>
    </row>
    <row r="132" spans="1:4">
      <c r="A132" s="33" t="s">
        <v>13877</v>
      </c>
      <c r="B132" s="33" t="s">
        <v>14220</v>
      </c>
      <c r="C132" s="35" t="str">
        <f t="shared" si="4"/>
        <v>C00160:1</v>
      </c>
      <c r="D132" s="37" t="str">
        <f t="shared" si="5"/>
        <v>C00160 : Glycolate</v>
      </c>
    </row>
    <row r="133" spans="1:4">
      <c r="A133" s="33" t="s">
        <v>13683</v>
      </c>
      <c r="B133" s="33" t="s">
        <v>14221</v>
      </c>
      <c r="C133" s="35" t="str">
        <f t="shared" si="4"/>
        <v>C00161:1</v>
      </c>
      <c r="D133" s="37" t="str">
        <f t="shared" si="5"/>
        <v>C00161 : 2-Oxo acid</v>
      </c>
    </row>
    <row r="134" spans="1:4">
      <c r="A134" s="33" t="s">
        <v>13980</v>
      </c>
      <c r="B134" s="33" t="s">
        <v>14691</v>
      </c>
      <c r="C134" s="35" t="str">
        <f t="shared" si="4"/>
        <v>C00162:1</v>
      </c>
      <c r="D134" s="37" t="str">
        <f t="shared" si="5"/>
        <v>C00162 : Fatty acid</v>
      </c>
    </row>
    <row r="135" spans="1:4">
      <c r="A135" s="33" t="s">
        <v>13971</v>
      </c>
      <c r="B135" s="33" t="s">
        <v>14222</v>
      </c>
      <c r="C135" s="35" t="str">
        <f t="shared" si="4"/>
        <v>C00163:1</v>
      </c>
      <c r="D135" s="37" t="str">
        <f t="shared" si="5"/>
        <v>C00163 : Propanoate</v>
      </c>
    </row>
    <row r="136" spans="1:4">
      <c r="A136" s="33" t="s">
        <v>13836</v>
      </c>
      <c r="B136" s="33" t="s">
        <v>14692</v>
      </c>
      <c r="C136" s="35" t="str">
        <f t="shared" si="4"/>
        <v>C00164:1</v>
      </c>
      <c r="D136" s="37" t="str">
        <f t="shared" si="5"/>
        <v>C00164 : Acetoacetate</v>
      </c>
    </row>
    <row r="137" spans="1:4">
      <c r="A137" s="33" t="s">
        <v>13732</v>
      </c>
      <c r="B137" s="33" t="s">
        <v>14223</v>
      </c>
      <c r="C137" s="35" t="str">
        <f t="shared" si="4"/>
        <v>C00166:1</v>
      </c>
      <c r="D137" s="37" t="str">
        <f t="shared" si="5"/>
        <v>C00166 : Phenylpyruvate</v>
      </c>
    </row>
    <row r="138" spans="1:4">
      <c r="A138" s="33" t="s">
        <v>14010</v>
      </c>
      <c r="B138" s="33" t="s">
        <v>14693</v>
      </c>
      <c r="C138" s="35" t="str">
        <f t="shared" si="4"/>
        <v>C00167:1</v>
      </c>
      <c r="D138" s="37" t="str">
        <f t="shared" si="5"/>
        <v>C00167 : UDP-glucuronate</v>
      </c>
    </row>
    <row r="139" spans="1:4">
      <c r="A139" s="33" t="s">
        <v>13878</v>
      </c>
      <c r="B139" s="33" t="s">
        <v>14694</v>
      </c>
      <c r="C139" s="35" t="str">
        <f t="shared" si="4"/>
        <v>C00168:1</v>
      </c>
      <c r="D139" s="37" t="str">
        <f t="shared" si="5"/>
        <v>C00168 : Hydroxypyruvate</v>
      </c>
    </row>
    <row r="140" spans="1:4">
      <c r="A140" s="33" t="s">
        <v>13618</v>
      </c>
      <c r="B140" s="33" t="s">
        <v>14224</v>
      </c>
      <c r="C140" s="35" t="str">
        <f t="shared" si="4"/>
        <v>C00169:1</v>
      </c>
      <c r="D140" s="37" t="str">
        <f t="shared" si="5"/>
        <v xml:space="preserve">C00169 : Carbamoyl Phosphate </v>
      </c>
    </row>
    <row r="141" spans="1:4">
      <c r="A141" s="33" t="s">
        <v>14047</v>
      </c>
      <c r="B141" s="33" t="s">
        <v>14225</v>
      </c>
      <c r="C141" s="35" t="str">
        <f t="shared" si="4"/>
        <v>C00173:1</v>
      </c>
      <c r="D141" s="37" t="str">
        <f t="shared" si="5"/>
        <v>C00173 : Acyl-[acyl-carrier protein]</v>
      </c>
    </row>
    <row r="142" spans="1:4">
      <c r="A142" s="33" t="s">
        <v>13411</v>
      </c>
      <c r="B142" s="33" t="s">
        <v>14695</v>
      </c>
      <c r="C142" s="35" t="str">
        <f t="shared" si="4"/>
        <v>C00177:1</v>
      </c>
      <c r="D142" s="37" t="str">
        <f t="shared" si="5"/>
        <v>C00177 : Cyanide ion</v>
      </c>
    </row>
    <row r="143" spans="1:4">
      <c r="A143" s="33" t="s">
        <v>13404</v>
      </c>
      <c r="B143" s="33" t="s">
        <v>14696</v>
      </c>
      <c r="C143" s="35" t="str">
        <f t="shared" si="4"/>
        <v>C00178:1</v>
      </c>
      <c r="D143" s="37" t="str">
        <f t="shared" si="5"/>
        <v>C00178 : Thymine</v>
      </c>
    </row>
    <row r="144" spans="1:4">
      <c r="A144" s="33" t="s">
        <v>13368</v>
      </c>
      <c r="B144" s="33" t="s">
        <v>14697</v>
      </c>
      <c r="C144" s="35" t="str">
        <f t="shared" si="4"/>
        <v>C00180:1</v>
      </c>
      <c r="D144" s="37" t="str">
        <f t="shared" si="5"/>
        <v>C00180 : Benzoate</v>
      </c>
    </row>
    <row r="145" spans="1:4">
      <c r="A145" s="33" t="s">
        <v>13767</v>
      </c>
      <c r="B145" s="33" t="s">
        <v>14226</v>
      </c>
      <c r="C145" s="35" t="str">
        <f t="shared" si="4"/>
        <v>C00183:1</v>
      </c>
      <c r="D145" s="37" t="str">
        <f t="shared" si="5"/>
        <v>C00183 : L-Valine</v>
      </c>
    </row>
    <row r="146" spans="1:4">
      <c r="A146" s="33" t="s">
        <v>14088</v>
      </c>
      <c r="B146" s="33" t="s">
        <v>14227</v>
      </c>
      <c r="C146" s="35" t="str">
        <f t="shared" si="4"/>
        <v>C00184:1</v>
      </c>
      <c r="D146" s="37" t="str">
        <f t="shared" si="5"/>
        <v>C00184 : Glycerone</v>
      </c>
    </row>
    <row r="147" spans="1:4">
      <c r="A147" s="33" t="s">
        <v>14077</v>
      </c>
      <c r="B147" s="33" t="s">
        <v>14228</v>
      </c>
      <c r="C147" s="35" t="str">
        <f t="shared" si="4"/>
        <v>C00186:1</v>
      </c>
      <c r="D147" s="37" t="str">
        <f t="shared" si="5"/>
        <v>C00186 : (S)-Lactate</v>
      </c>
    </row>
    <row r="148" spans="1:4">
      <c r="A148" s="33" t="s">
        <v>9081</v>
      </c>
      <c r="B148" s="33" t="s">
        <v>14229</v>
      </c>
      <c r="C148" s="35" t="str">
        <f t="shared" si="4"/>
        <v>C00188:1</v>
      </c>
      <c r="D148" s="37" t="str">
        <f t="shared" si="5"/>
        <v>C00188 : L-Threonine</v>
      </c>
    </row>
    <row r="149" spans="1:4">
      <c r="A149" s="33" t="s">
        <v>14076</v>
      </c>
      <c r="B149" s="33" t="s">
        <v>14230</v>
      </c>
      <c r="C149" s="35" t="str">
        <f t="shared" si="4"/>
        <v>C00189:1</v>
      </c>
      <c r="D149" s="37" t="str">
        <f t="shared" si="5"/>
        <v xml:space="preserve">C00189 : Ethanolamine </v>
      </c>
    </row>
    <row r="150" spans="1:4">
      <c r="A150" s="33" t="s">
        <v>14070</v>
      </c>
      <c r="B150" s="33" t="s">
        <v>14698</v>
      </c>
      <c r="C150" s="35" t="str">
        <f t="shared" si="4"/>
        <v>C00194:1</v>
      </c>
      <c r="D150" s="37" t="str">
        <f t="shared" si="5"/>
        <v>C00194 : Cobamide coenzyme</v>
      </c>
    </row>
    <row r="151" spans="1:4">
      <c r="A151" s="33" t="s">
        <v>13601</v>
      </c>
      <c r="B151" s="33" t="s">
        <v>14231</v>
      </c>
      <c r="C151" s="35" t="str">
        <f t="shared" si="4"/>
        <v>C00197:1</v>
      </c>
      <c r="D151" s="37" t="str">
        <f t="shared" si="5"/>
        <v xml:space="preserve">C00197 : 3-Phospho-D-glycerate </v>
      </c>
    </row>
    <row r="152" spans="1:4">
      <c r="A152" s="33" t="s">
        <v>8698</v>
      </c>
      <c r="B152" s="33" t="s">
        <v>14232</v>
      </c>
      <c r="C152" s="35" t="str">
        <f t="shared" si="4"/>
        <v>C00199:1</v>
      </c>
      <c r="D152" s="37" t="str">
        <f t="shared" si="5"/>
        <v xml:space="preserve">C00199 : D-Ribulose 5-phosphate </v>
      </c>
    </row>
    <row r="153" spans="1:4">
      <c r="A153" s="33" t="s">
        <v>12712</v>
      </c>
      <c r="B153" s="33" t="s">
        <v>14233</v>
      </c>
      <c r="C153" s="35" t="str">
        <f t="shared" si="4"/>
        <v>C00201:1</v>
      </c>
      <c r="D153" s="37" t="str">
        <f t="shared" si="5"/>
        <v>C00201 : NTP</v>
      </c>
    </row>
    <row r="154" spans="1:4">
      <c r="A154" s="33" t="s">
        <v>8686</v>
      </c>
      <c r="B154" s="33" t="s">
        <v>14234</v>
      </c>
      <c r="C154" s="35" t="str">
        <f t="shared" si="4"/>
        <v>C00203:1</v>
      </c>
      <c r="D154" s="37" t="str">
        <f t="shared" si="5"/>
        <v>C00203 : UDP-N-acetyl-D-galactosamine</v>
      </c>
    </row>
    <row r="155" spans="1:4">
      <c r="A155" s="33" t="s">
        <v>13681</v>
      </c>
      <c r="B155" s="33" t="s">
        <v>14699</v>
      </c>
      <c r="C155" s="35" t="str">
        <f t="shared" si="4"/>
        <v>C00205:1</v>
      </c>
      <c r="D155" s="37" t="str">
        <f t="shared" si="5"/>
        <v>C00205 : hn</v>
      </c>
    </row>
    <row r="156" spans="1:4">
      <c r="A156" s="33" t="s">
        <v>13348</v>
      </c>
      <c r="B156" s="33" t="s">
        <v>14235</v>
      </c>
      <c r="C156" s="35" t="str">
        <f t="shared" si="4"/>
        <v>C00206:1</v>
      </c>
      <c r="D156" s="37" t="str">
        <f t="shared" si="5"/>
        <v>C00206 : dADP</v>
      </c>
    </row>
    <row r="157" spans="1:4">
      <c r="A157" s="33" t="s">
        <v>10296</v>
      </c>
      <c r="B157" s="33" t="s">
        <v>14700</v>
      </c>
      <c r="C157" s="35" t="str">
        <f t="shared" si="4"/>
        <v>C00208:1</v>
      </c>
      <c r="D157" s="37" t="str">
        <f t="shared" si="5"/>
        <v>C00208 : Maltose</v>
      </c>
    </row>
    <row r="158" spans="1:4">
      <c r="A158" s="33" t="s">
        <v>13820</v>
      </c>
      <c r="B158" s="33" t="s">
        <v>14236</v>
      </c>
      <c r="C158" s="35" t="str">
        <f t="shared" si="4"/>
        <v>C00212:1</v>
      </c>
      <c r="D158" s="37" t="str">
        <f t="shared" si="5"/>
        <v xml:space="preserve">C00212 : Adenosine </v>
      </c>
    </row>
    <row r="159" spans="1:4">
      <c r="A159" s="33" t="s">
        <v>13403</v>
      </c>
      <c r="B159" s="33" t="s">
        <v>14237</v>
      </c>
      <c r="C159" s="35" t="str">
        <f t="shared" si="4"/>
        <v>C00214:1</v>
      </c>
      <c r="D159" s="37" t="str">
        <f t="shared" si="5"/>
        <v xml:space="preserve">C00214 : Thymidine </v>
      </c>
    </row>
    <row r="160" spans="1:4">
      <c r="A160" s="33" t="s">
        <v>13917</v>
      </c>
      <c r="B160" s="33" t="s">
        <v>14701</v>
      </c>
      <c r="C160" s="35" t="str">
        <f t="shared" si="4"/>
        <v>C00215:1</v>
      </c>
      <c r="D160" s="37" t="str">
        <f t="shared" si="5"/>
        <v>C00215 : Nucleotide</v>
      </c>
    </row>
    <row r="161" spans="1:4">
      <c r="A161" s="33" t="s">
        <v>9828</v>
      </c>
      <c r="B161" s="33" t="s">
        <v>14238</v>
      </c>
      <c r="C161" s="35" t="str">
        <f t="shared" si="4"/>
        <v>C00217:1</v>
      </c>
      <c r="D161" s="37" t="str">
        <f t="shared" si="5"/>
        <v xml:space="preserve">C00217 : D-Glutamate </v>
      </c>
    </row>
    <row r="162" spans="1:4">
      <c r="A162" s="33" t="s">
        <v>8213</v>
      </c>
      <c r="B162" s="33" t="s">
        <v>14702</v>
      </c>
      <c r="C162" s="35" t="str">
        <f t="shared" si="4"/>
        <v>C00221:1</v>
      </c>
      <c r="D162" s="37" t="str">
        <f t="shared" si="5"/>
        <v>C00221 : beta-D-Glucose</v>
      </c>
    </row>
    <row r="163" spans="1:4">
      <c r="A163" s="33" t="s">
        <v>13458</v>
      </c>
      <c r="B163" s="33" t="s">
        <v>14239</v>
      </c>
      <c r="C163" s="35" t="str">
        <f t="shared" si="4"/>
        <v>C00224:1</v>
      </c>
      <c r="D163" s="37" t="str">
        <f t="shared" si="5"/>
        <v xml:space="preserve">C00224 : Adenylyl Sulfate </v>
      </c>
    </row>
    <row r="164" spans="1:4">
      <c r="A164" s="33" t="s">
        <v>13784</v>
      </c>
      <c r="B164" s="33" t="s">
        <v>14240</v>
      </c>
      <c r="C164" s="35" t="str">
        <f t="shared" si="4"/>
        <v>C00226:1</v>
      </c>
      <c r="D164" s="37" t="str">
        <f t="shared" si="5"/>
        <v>C00226 : Primary Alcohol</v>
      </c>
    </row>
    <row r="165" spans="1:4">
      <c r="A165" s="33" t="s">
        <v>13727</v>
      </c>
      <c r="B165" s="33" t="s">
        <v>14241</v>
      </c>
      <c r="C165" s="35" t="str">
        <f t="shared" si="4"/>
        <v>C00227:1</v>
      </c>
      <c r="D165" s="37" t="str">
        <f t="shared" si="5"/>
        <v>C00227 : Acetyl Phosphate</v>
      </c>
    </row>
    <row r="166" spans="1:4">
      <c r="A166" s="33" t="s">
        <v>13715</v>
      </c>
      <c r="B166" s="33" t="s">
        <v>14242</v>
      </c>
      <c r="C166" s="35" t="str">
        <f t="shared" si="4"/>
        <v>C00229:1</v>
      </c>
      <c r="D166" s="37" t="str">
        <f t="shared" si="5"/>
        <v xml:space="preserve">C00229 : Acyl-carrier protein </v>
      </c>
    </row>
    <row r="167" spans="1:4">
      <c r="A167" s="33" t="s">
        <v>8699</v>
      </c>
      <c r="B167" s="33" t="s">
        <v>14243</v>
      </c>
      <c r="C167" s="35" t="str">
        <f t="shared" si="4"/>
        <v>C00231:1</v>
      </c>
      <c r="D167" s="37" t="str">
        <f t="shared" si="5"/>
        <v xml:space="preserve">C00231 : D-Xylulose 5-Phosphate </v>
      </c>
    </row>
    <row r="168" spans="1:4">
      <c r="A168" s="33" t="s">
        <v>13834</v>
      </c>
      <c r="B168" s="33" t="s">
        <v>14703</v>
      </c>
      <c r="C168" s="35" t="str">
        <f t="shared" si="4"/>
        <v>C00232:1</v>
      </c>
      <c r="D168" s="37" t="str">
        <f t="shared" si="5"/>
        <v>C00232 : Succinate semialdehyde</v>
      </c>
    </row>
    <row r="169" spans="1:4">
      <c r="A169" s="33" t="s">
        <v>13603</v>
      </c>
      <c r="B169" s="33" t="s">
        <v>14244</v>
      </c>
      <c r="C169" s="35" t="str">
        <f t="shared" si="4"/>
        <v>C00233:1</v>
      </c>
      <c r="D169" s="37" t="str">
        <f t="shared" si="5"/>
        <v xml:space="preserve">C00233 : 4-Methyl-2-oxopentanoate </v>
      </c>
    </row>
    <row r="170" spans="1:4">
      <c r="A170" s="33" t="s">
        <v>13460</v>
      </c>
      <c r="B170" s="33" t="s">
        <v>14245</v>
      </c>
      <c r="C170" s="35" t="str">
        <f t="shared" si="4"/>
        <v>C00234:1</v>
      </c>
      <c r="D170" s="37" t="str">
        <f t="shared" si="5"/>
        <v>C00234 : 10-Formyltetrahydrofolate</v>
      </c>
    </row>
    <row r="171" spans="1:4">
      <c r="A171" s="33" t="s">
        <v>10151</v>
      </c>
      <c r="B171" s="33" t="s">
        <v>14246</v>
      </c>
      <c r="C171" s="35" t="str">
        <f t="shared" si="4"/>
        <v>C00235:1</v>
      </c>
      <c r="D171" s="37" t="str">
        <f t="shared" si="5"/>
        <v>C00235 : Dimethylallyl diphosphate</v>
      </c>
    </row>
    <row r="172" spans="1:4">
      <c r="A172" s="33" t="s">
        <v>13527</v>
      </c>
      <c r="B172" s="33" t="s">
        <v>14247</v>
      </c>
      <c r="C172" s="35" t="str">
        <f t="shared" si="4"/>
        <v>C00236:1</v>
      </c>
      <c r="D172" s="37" t="str">
        <f t="shared" si="5"/>
        <v>C00236 : 3-Phospho-D-glyceroyl phosphate</v>
      </c>
    </row>
    <row r="173" spans="1:4">
      <c r="A173" s="33" t="s">
        <v>13243</v>
      </c>
      <c r="B173" s="33" t="s">
        <v>14704</v>
      </c>
      <c r="C173" s="35" t="str">
        <f t="shared" si="4"/>
        <v>C00237:1</v>
      </c>
      <c r="D173" s="37" t="str">
        <f t="shared" si="5"/>
        <v>C00237 : CO</v>
      </c>
    </row>
    <row r="174" spans="1:4">
      <c r="A174" s="33" t="s">
        <v>13574</v>
      </c>
      <c r="B174" s="33" t="s">
        <v>14248</v>
      </c>
      <c r="C174" s="35" t="str">
        <f t="shared" si="4"/>
        <v>C00239:1</v>
      </c>
      <c r="D174" s="37" t="str">
        <f t="shared" si="5"/>
        <v>C00239 : dCMP</v>
      </c>
    </row>
    <row r="175" spans="1:4">
      <c r="A175" s="33" t="s">
        <v>13556</v>
      </c>
      <c r="B175" s="33" t="s">
        <v>2314</v>
      </c>
      <c r="C175" s="35" t="str">
        <f t="shared" si="4"/>
        <v>C00240:1</v>
      </c>
      <c r="D175" s="37" t="str">
        <f t="shared" si="5"/>
        <v>C00240 : rRNA</v>
      </c>
    </row>
    <row r="176" spans="1:4">
      <c r="A176" s="33" t="s">
        <v>13736</v>
      </c>
      <c r="B176" s="33" t="s">
        <v>14249</v>
      </c>
      <c r="C176" s="35" t="str">
        <f t="shared" si="4"/>
        <v>C00241:1</v>
      </c>
      <c r="D176" s="37" t="str">
        <f t="shared" si="5"/>
        <v>C00241 : Amide</v>
      </c>
    </row>
    <row r="177" spans="1:4">
      <c r="A177" s="33" t="s">
        <v>13250</v>
      </c>
      <c r="B177" s="33" t="s">
        <v>14250</v>
      </c>
      <c r="C177" s="35" t="str">
        <f t="shared" si="4"/>
        <v>C00242:1</v>
      </c>
      <c r="D177" s="37" t="str">
        <f t="shared" si="5"/>
        <v>C00242 : Guanine</v>
      </c>
    </row>
    <row r="178" spans="1:4">
      <c r="A178" s="33" t="s">
        <v>13292</v>
      </c>
      <c r="B178" s="33" t="s">
        <v>14705</v>
      </c>
      <c r="C178" s="35" t="str">
        <f t="shared" si="4"/>
        <v>C00248:1</v>
      </c>
      <c r="D178" s="37" t="str">
        <f t="shared" si="5"/>
        <v>C00248 : Lipoamide</v>
      </c>
    </row>
    <row r="179" spans="1:4">
      <c r="A179" s="33" t="s">
        <v>13271</v>
      </c>
      <c r="B179" s="33" t="s">
        <v>14706</v>
      </c>
      <c r="C179" s="35" t="str">
        <f t="shared" si="4"/>
        <v>C00249:1</v>
      </c>
      <c r="D179" s="37" t="str">
        <f t="shared" si="5"/>
        <v>C00249 : Hexadecanoic acid</v>
      </c>
    </row>
    <row r="180" spans="1:4">
      <c r="A180" s="33" t="s">
        <v>13843</v>
      </c>
      <c r="B180" s="33" t="s">
        <v>14251</v>
      </c>
      <c r="C180" s="35" t="str">
        <f t="shared" si="4"/>
        <v>C00250:1</v>
      </c>
      <c r="D180" s="37" t="str">
        <f t="shared" si="5"/>
        <v>C00250 : Pyridoxal</v>
      </c>
    </row>
    <row r="181" spans="1:4">
      <c r="A181" s="33" t="s">
        <v>8268</v>
      </c>
      <c r="B181" s="33" t="s">
        <v>14707</v>
      </c>
      <c r="C181" s="35" t="str">
        <f t="shared" si="4"/>
        <v>C00251:1</v>
      </c>
      <c r="D181" s="37" t="str">
        <f t="shared" si="5"/>
        <v>C00251 : Chorismate</v>
      </c>
    </row>
    <row r="182" spans="1:4">
      <c r="A182" s="33" t="s">
        <v>13764</v>
      </c>
      <c r="B182" s="33" t="s">
        <v>14252</v>
      </c>
      <c r="C182" s="35" t="str">
        <f t="shared" si="4"/>
        <v>C00253:1</v>
      </c>
      <c r="D182" s="37" t="str">
        <f t="shared" si="5"/>
        <v>C00253 : Nicotinate</v>
      </c>
    </row>
    <row r="183" spans="1:4">
      <c r="A183" s="33" t="s">
        <v>8269</v>
      </c>
      <c r="B183" s="33" t="s">
        <v>14708</v>
      </c>
      <c r="C183" s="35" t="str">
        <f t="shared" si="4"/>
        <v>C00254:1</v>
      </c>
      <c r="D183" s="37" t="str">
        <f t="shared" si="5"/>
        <v>C00254 : Prephenate</v>
      </c>
    </row>
    <row r="184" spans="1:4">
      <c r="A184" s="33" t="s">
        <v>13658</v>
      </c>
      <c r="B184" s="33" t="s">
        <v>14253</v>
      </c>
      <c r="C184" s="35" t="str">
        <f t="shared" si="4"/>
        <v>C00255:1</v>
      </c>
      <c r="D184" s="37" t="str">
        <f t="shared" si="5"/>
        <v>C00255 : Riboflavin</v>
      </c>
    </row>
    <row r="185" spans="1:4">
      <c r="A185" s="33" t="s">
        <v>8146</v>
      </c>
      <c r="B185" s="33" t="s">
        <v>14254</v>
      </c>
      <c r="C185" s="35" t="str">
        <f t="shared" si="4"/>
        <v>C00256:1</v>
      </c>
      <c r="D185" s="37" t="str">
        <f t="shared" si="5"/>
        <v>C00256 : (R)-Lactate</v>
      </c>
    </row>
    <row r="186" spans="1:4">
      <c r="A186" s="33" t="s">
        <v>13729</v>
      </c>
      <c r="B186" s="33" t="s">
        <v>14255</v>
      </c>
      <c r="C186" s="35" t="str">
        <f t="shared" si="4"/>
        <v>C00258:1</v>
      </c>
      <c r="D186" s="37" t="str">
        <f t="shared" si="5"/>
        <v>C00258 : D-Glycerate</v>
      </c>
    </row>
    <row r="187" spans="1:4">
      <c r="A187" s="33" t="s">
        <v>13960</v>
      </c>
      <c r="B187" s="33" t="s">
        <v>14256</v>
      </c>
      <c r="C187" s="35" t="str">
        <f t="shared" si="4"/>
        <v>C00262:1</v>
      </c>
      <c r="D187" s="37" t="str">
        <f t="shared" si="5"/>
        <v>C00262 : Hypoxanthine</v>
      </c>
    </row>
    <row r="188" spans="1:4">
      <c r="A188" s="33" t="s">
        <v>13357</v>
      </c>
      <c r="B188" s="33" t="s">
        <v>14257</v>
      </c>
      <c r="C188" s="35" t="str">
        <f t="shared" si="4"/>
        <v>C00263:1</v>
      </c>
      <c r="D188" s="37" t="str">
        <f t="shared" si="5"/>
        <v>C00263 : L-Homoserine</v>
      </c>
    </row>
    <row r="189" spans="1:4">
      <c r="A189" s="33" t="s">
        <v>13226</v>
      </c>
      <c r="B189" s="33" t="s">
        <v>14709</v>
      </c>
      <c r="C189" s="35" t="str">
        <f t="shared" si="4"/>
        <v>C00264:1</v>
      </c>
      <c r="D189" s="37" t="str">
        <f t="shared" si="5"/>
        <v>C00264 : 3-Oxoacyl-CoA</v>
      </c>
    </row>
    <row r="190" spans="1:4">
      <c r="A190" s="33" t="s">
        <v>13958</v>
      </c>
      <c r="B190" s="33" t="s">
        <v>14710</v>
      </c>
      <c r="C190" s="35" t="str">
        <f t="shared" si="4"/>
        <v>C00266:1</v>
      </c>
      <c r="D190" s="37" t="str">
        <f t="shared" si="5"/>
        <v>C00266 : Glycolaldehyde</v>
      </c>
    </row>
    <row r="191" spans="1:4">
      <c r="A191" s="33" t="s">
        <v>8212</v>
      </c>
      <c r="B191" s="33" t="s">
        <v>14258</v>
      </c>
      <c r="C191" s="35" t="str">
        <f t="shared" si="4"/>
        <v>C00267:1</v>
      </c>
      <c r="D191" s="37" t="str">
        <f t="shared" si="5"/>
        <v xml:space="preserve">C00267 : alpha-D-Glucose </v>
      </c>
    </row>
    <row r="192" spans="1:4">
      <c r="A192" s="33" t="s">
        <v>13693</v>
      </c>
      <c r="B192" s="33" t="s">
        <v>14259</v>
      </c>
      <c r="C192" s="35" t="str">
        <f t="shared" si="4"/>
        <v>C00269:1</v>
      </c>
      <c r="D192" s="37" t="str">
        <f t="shared" si="5"/>
        <v>C00269 : CDP-diacylglycerol</v>
      </c>
    </row>
    <row r="193" spans="1:4">
      <c r="A193" s="33" t="s">
        <v>13452</v>
      </c>
      <c r="B193" s="33" t="s">
        <v>14260</v>
      </c>
      <c r="C193" s="35" t="str">
        <f t="shared" ref="C193:C256" si="6">CONCATENATE(A193,":","1")</f>
        <v>C00272:1</v>
      </c>
      <c r="D193" s="37" t="str">
        <f t="shared" si="5"/>
        <v>C00272 : Tetrahydrobiopterin</v>
      </c>
    </row>
    <row r="194" spans="1:4">
      <c r="A194" s="33" t="s">
        <v>8084</v>
      </c>
      <c r="B194" s="33" t="s">
        <v>14711</v>
      </c>
      <c r="C194" s="35" t="str">
        <f t="shared" si="6"/>
        <v>C00275:1</v>
      </c>
      <c r="D194" s="37" t="str">
        <f t="shared" si="5"/>
        <v>C00275 : D-Mannose 6-phosphate</v>
      </c>
    </row>
    <row r="195" spans="1:4">
      <c r="A195" s="33" t="s">
        <v>13650</v>
      </c>
      <c r="B195" s="33" t="s">
        <v>14712</v>
      </c>
      <c r="C195" s="35" t="str">
        <f t="shared" si="6"/>
        <v>C00279:1</v>
      </c>
      <c r="D195" s="37" t="str">
        <f t="shared" ref="D195:D258" si="7">CONCATENATE(A195," : ",B195)</f>
        <v>C00279 : D-Erythrose 4-phosphate</v>
      </c>
    </row>
    <row r="196" spans="1:4">
      <c r="A196" s="33" t="s">
        <v>13857</v>
      </c>
      <c r="B196" s="33" t="s">
        <v>14261</v>
      </c>
      <c r="C196" s="35" t="str">
        <f t="shared" si="6"/>
        <v>C00283:1</v>
      </c>
      <c r="D196" s="37" t="str">
        <f t="shared" si="7"/>
        <v xml:space="preserve">C00283 : Hydrogen Sulfide </v>
      </c>
    </row>
    <row r="197" spans="1:4">
      <c r="A197" s="33" t="s">
        <v>13172</v>
      </c>
      <c r="B197" s="33" t="s">
        <v>14262</v>
      </c>
      <c r="C197" s="35" t="str">
        <f t="shared" si="6"/>
        <v>C00286:1</v>
      </c>
      <c r="D197" s="37" t="str">
        <f t="shared" si="7"/>
        <v>C00286 : dGTP</v>
      </c>
    </row>
    <row r="198" spans="1:4">
      <c r="A198" s="33" t="s">
        <v>13397</v>
      </c>
      <c r="B198" s="33" t="s">
        <v>14263</v>
      </c>
      <c r="C198" s="35" t="str">
        <f t="shared" si="6"/>
        <v>C00288:1</v>
      </c>
      <c r="D198" s="37" t="str">
        <f t="shared" si="7"/>
        <v>C00288 : HCO3-</v>
      </c>
    </row>
    <row r="199" spans="1:4">
      <c r="A199" s="33" t="s">
        <v>14072</v>
      </c>
      <c r="B199" s="33" t="s">
        <v>14713</v>
      </c>
      <c r="C199" s="35" t="str">
        <f t="shared" si="6"/>
        <v>C00292:1</v>
      </c>
      <c r="D199" s="37" t="str">
        <f t="shared" si="7"/>
        <v>C00292 : Aniline</v>
      </c>
    </row>
    <row r="200" spans="1:4">
      <c r="A200" s="33" t="s">
        <v>13821</v>
      </c>
      <c r="B200" s="33" t="s">
        <v>14264</v>
      </c>
      <c r="C200" s="35" t="str">
        <f t="shared" si="6"/>
        <v>C00294:1</v>
      </c>
      <c r="D200" s="37" t="str">
        <f t="shared" si="7"/>
        <v>C00294 : Inosine</v>
      </c>
    </row>
    <row r="201" spans="1:4">
      <c r="A201" s="33" t="s">
        <v>13648</v>
      </c>
      <c r="B201" s="33" t="s">
        <v>14265</v>
      </c>
      <c r="C201" s="35" t="str">
        <f t="shared" si="6"/>
        <v>C00295:1</v>
      </c>
      <c r="D201" s="37" t="str">
        <f t="shared" si="7"/>
        <v>C00295 : Orotate</v>
      </c>
    </row>
    <row r="202" spans="1:4">
      <c r="A202" s="33" t="s">
        <v>13399</v>
      </c>
      <c r="B202" s="33" t="s">
        <v>14266</v>
      </c>
      <c r="C202" s="35" t="str">
        <f t="shared" si="6"/>
        <v>C00299:1</v>
      </c>
      <c r="D202" s="37" t="str">
        <f t="shared" si="7"/>
        <v>C00299 : Uridine</v>
      </c>
    </row>
    <row r="203" spans="1:4">
      <c r="A203" s="33" t="s">
        <v>13633</v>
      </c>
      <c r="B203" s="33" t="s">
        <v>14267</v>
      </c>
      <c r="C203" s="35" t="str">
        <f t="shared" si="6"/>
        <v>C00301:1</v>
      </c>
      <c r="D203" s="37" t="str">
        <f t="shared" si="7"/>
        <v>C00301 : ADP-ribose</v>
      </c>
    </row>
    <row r="204" spans="1:4">
      <c r="A204" s="33" t="s">
        <v>8632</v>
      </c>
      <c r="B204" s="33" t="s">
        <v>14714</v>
      </c>
      <c r="C204" s="35" t="str">
        <f t="shared" si="6"/>
        <v>C00311:1</v>
      </c>
      <c r="D204" s="37" t="str">
        <f t="shared" si="7"/>
        <v>C00311 : Isocitrate</v>
      </c>
    </row>
    <row r="205" spans="1:4">
      <c r="A205" s="33" t="s">
        <v>13845</v>
      </c>
      <c r="B205" s="33" t="s">
        <v>14268</v>
      </c>
      <c r="C205" s="35" t="str">
        <f t="shared" si="6"/>
        <v>C00314:1</v>
      </c>
      <c r="D205" s="37" t="str">
        <f t="shared" si="7"/>
        <v>C00314 : Pyridoxine</v>
      </c>
    </row>
    <row r="206" spans="1:4">
      <c r="A206" s="33" t="s">
        <v>13410</v>
      </c>
      <c r="B206" s="33" t="s">
        <v>14269</v>
      </c>
      <c r="C206" s="35" t="str">
        <f t="shared" si="6"/>
        <v>C00320:1</v>
      </c>
      <c r="D206" s="37" t="str">
        <f t="shared" si="7"/>
        <v>C00320 : Thiosulfate</v>
      </c>
    </row>
    <row r="207" spans="1:4">
      <c r="A207" s="33" t="s">
        <v>13620</v>
      </c>
      <c r="B207" s="33" t="s">
        <v>14715</v>
      </c>
      <c r="C207" s="35" t="str">
        <f t="shared" si="6"/>
        <v>C00327:1</v>
      </c>
      <c r="D207" s="37" t="str">
        <f t="shared" si="7"/>
        <v>C00327 : L-Citrulline</v>
      </c>
    </row>
    <row r="208" spans="1:4">
      <c r="A208" s="33" t="s">
        <v>13826</v>
      </c>
      <c r="B208" s="33" t="s">
        <v>14270</v>
      </c>
      <c r="C208" s="35" t="str">
        <f t="shared" si="6"/>
        <v>C00330:1</v>
      </c>
      <c r="D208" s="37" t="str">
        <f t="shared" si="7"/>
        <v>C00330 : Deoxyguanosine</v>
      </c>
    </row>
    <row r="209" spans="1:4">
      <c r="A209" s="33" t="s">
        <v>13228</v>
      </c>
      <c r="B209" s="33" t="s">
        <v>14271</v>
      </c>
      <c r="C209" s="35" t="str">
        <f t="shared" si="6"/>
        <v>C00332:1</v>
      </c>
      <c r="D209" s="37" t="str">
        <f t="shared" si="7"/>
        <v>C00332 : Acetoacetyl-CoA</v>
      </c>
    </row>
    <row r="210" spans="1:4">
      <c r="A210" s="33" t="s">
        <v>13983</v>
      </c>
      <c r="B210" s="33" t="s">
        <v>14716</v>
      </c>
      <c r="C210" s="35" t="str">
        <f t="shared" si="6"/>
        <v>C00334:1</v>
      </c>
      <c r="D210" s="37" t="str">
        <f t="shared" si="7"/>
        <v>C00334 : 4-Aminobutanoate</v>
      </c>
    </row>
    <row r="211" spans="1:4">
      <c r="A211" s="33" t="s">
        <v>13647</v>
      </c>
      <c r="B211" s="33" t="s">
        <v>14272</v>
      </c>
      <c r="C211" s="35" t="str">
        <f t="shared" si="6"/>
        <v>C00337:1</v>
      </c>
      <c r="D211" s="37" t="str">
        <f t="shared" si="7"/>
        <v>C00337 : (S)-Dihydroorotate</v>
      </c>
    </row>
    <row r="212" spans="1:4">
      <c r="A212" s="33" t="s">
        <v>13536</v>
      </c>
      <c r="B212" s="33" t="s">
        <v>14717</v>
      </c>
      <c r="C212" s="35" t="str">
        <f t="shared" si="6"/>
        <v>C00341:1</v>
      </c>
      <c r="D212" s="37" t="str">
        <f t="shared" si="7"/>
        <v>C00341 : Geranyl diphosphate</v>
      </c>
    </row>
    <row r="213" spans="1:4">
      <c r="A213" s="33" t="s">
        <v>13701</v>
      </c>
      <c r="B213" s="33" t="s">
        <v>3304</v>
      </c>
      <c r="C213" s="35" t="str">
        <f t="shared" si="6"/>
        <v>C00342:1</v>
      </c>
      <c r="D213" s="37" t="str">
        <f t="shared" si="7"/>
        <v>C00342 : Thioredoxin</v>
      </c>
    </row>
    <row r="214" spans="1:4">
      <c r="A214" s="33" t="s">
        <v>13699</v>
      </c>
      <c r="B214" s="33" t="s">
        <v>14273</v>
      </c>
      <c r="C214" s="35" t="str">
        <f t="shared" si="6"/>
        <v>C00343:1</v>
      </c>
      <c r="D214" s="37" t="str">
        <f t="shared" si="7"/>
        <v xml:space="preserve">C00343 : Thioredoxin disulfide </v>
      </c>
    </row>
    <row r="215" spans="1:4">
      <c r="A215" s="33" t="s">
        <v>13868</v>
      </c>
      <c r="B215" s="33" t="s">
        <v>14718</v>
      </c>
      <c r="C215" s="35" t="str">
        <f t="shared" si="6"/>
        <v>C00344:1</v>
      </c>
      <c r="D215" s="37" t="str">
        <f t="shared" si="7"/>
        <v>C00344 : Phosphatidylglycerol</v>
      </c>
    </row>
    <row r="216" spans="1:4">
      <c r="A216" s="33" t="s">
        <v>8654</v>
      </c>
      <c r="B216" s="33" t="s">
        <v>14274</v>
      </c>
      <c r="C216" s="35" t="str">
        <f t="shared" si="6"/>
        <v>C00345:1</v>
      </c>
      <c r="D216" s="37" t="str">
        <f t="shared" si="7"/>
        <v>C00345 : 6-Phospho-D-gluconate</v>
      </c>
    </row>
    <row r="217" spans="1:4">
      <c r="A217" s="33" t="s">
        <v>13870</v>
      </c>
      <c r="B217" s="33" t="s">
        <v>14719</v>
      </c>
      <c r="C217" s="35" t="str">
        <f t="shared" si="6"/>
        <v>C00346:1</v>
      </c>
      <c r="D217" s="37" t="str">
        <f t="shared" si="7"/>
        <v>C00346 : Ethanolamine phosphate</v>
      </c>
    </row>
    <row r="218" spans="1:4">
      <c r="A218" s="33" t="s">
        <v>13328</v>
      </c>
      <c r="B218" s="33" t="s">
        <v>14720</v>
      </c>
      <c r="C218" s="35" t="str">
        <f t="shared" si="6"/>
        <v>C00349:1</v>
      </c>
      <c r="D218" s="37" t="str">
        <f t="shared" si="7"/>
        <v>C00349 : 2-Methyl-3-oxopropanoate</v>
      </c>
    </row>
    <row r="219" spans="1:4">
      <c r="A219" s="33" t="s">
        <v>13869</v>
      </c>
      <c r="B219" s="33" t="s">
        <v>14275</v>
      </c>
      <c r="C219" s="35" t="str">
        <f t="shared" si="6"/>
        <v>C00350:1</v>
      </c>
      <c r="D219" s="37" t="str">
        <f t="shared" si="7"/>
        <v>C00350 : Phosphatidylethanolamine</v>
      </c>
    </row>
    <row r="220" spans="1:4">
      <c r="A220" s="33" t="s">
        <v>8116</v>
      </c>
      <c r="B220" s="33" t="s">
        <v>14276</v>
      </c>
      <c r="C220" s="35" t="str">
        <f t="shared" si="6"/>
        <v>C00352:1</v>
      </c>
      <c r="D220" s="37" t="str">
        <f t="shared" si="7"/>
        <v>C00352 : D-Glucosamine 6-phosphate</v>
      </c>
    </row>
    <row r="221" spans="1:4">
      <c r="A221" s="33" t="s">
        <v>14104</v>
      </c>
      <c r="B221" s="33" t="s">
        <v>14721</v>
      </c>
      <c r="C221" s="35" t="str">
        <f t="shared" si="6"/>
        <v>C00353:1</v>
      </c>
      <c r="D221" s="37" t="str">
        <f t="shared" si="7"/>
        <v>C00353 : Geranylgeranyl diphosphate</v>
      </c>
    </row>
    <row r="222" spans="1:4">
      <c r="A222" s="33" t="s">
        <v>9996</v>
      </c>
      <c r="B222" s="33" t="s">
        <v>14277</v>
      </c>
      <c r="C222" s="35" t="str">
        <f t="shared" si="6"/>
        <v>C00354:1</v>
      </c>
      <c r="D222" s="37" t="str">
        <f t="shared" si="7"/>
        <v>C00354 : D-Fructose 1,6-bisphosphate</v>
      </c>
    </row>
    <row r="223" spans="1:4">
      <c r="A223" s="33" t="s">
        <v>10137</v>
      </c>
      <c r="B223" s="33" t="s">
        <v>14278</v>
      </c>
      <c r="C223" s="35" t="str">
        <f t="shared" si="6"/>
        <v>C00357:1</v>
      </c>
      <c r="D223" s="37" t="str">
        <f t="shared" si="7"/>
        <v>C00357 : N-Acetyl-D-glucosamine 6-phosphate</v>
      </c>
    </row>
    <row r="224" spans="1:4">
      <c r="A224" s="33" t="s">
        <v>13347</v>
      </c>
      <c r="B224" s="33" t="s">
        <v>14279</v>
      </c>
      <c r="C224" s="35" t="str">
        <f t="shared" si="6"/>
        <v>C00360:1</v>
      </c>
      <c r="D224" s="37" t="str">
        <f t="shared" si="7"/>
        <v>C00360 : dAMP</v>
      </c>
    </row>
    <row r="225" spans="1:4">
      <c r="A225" s="33" t="s">
        <v>13667</v>
      </c>
      <c r="B225" s="33" t="s">
        <v>14280</v>
      </c>
      <c r="C225" s="35" t="str">
        <f t="shared" si="6"/>
        <v>C00361:1</v>
      </c>
      <c r="D225" s="37" t="str">
        <f t="shared" si="7"/>
        <v>C00361 : dGDP</v>
      </c>
    </row>
    <row r="226" spans="1:4">
      <c r="A226" s="33" t="s">
        <v>13666</v>
      </c>
      <c r="B226" s="33" t="s">
        <v>14281</v>
      </c>
      <c r="C226" s="35" t="str">
        <f t="shared" si="6"/>
        <v>C00362:1</v>
      </c>
      <c r="D226" s="37" t="str">
        <f t="shared" si="7"/>
        <v>C00362 : dGMP</v>
      </c>
    </row>
    <row r="227" spans="1:4">
      <c r="A227" s="33" t="s">
        <v>13881</v>
      </c>
      <c r="B227" s="33" t="s">
        <v>14722</v>
      </c>
      <c r="C227" s="35" t="str">
        <f t="shared" si="6"/>
        <v>C00363:1</v>
      </c>
      <c r="D227" s="37" t="str">
        <f t="shared" si="7"/>
        <v>C00363 : dTDP</v>
      </c>
    </row>
    <row r="228" spans="1:4">
      <c r="A228" s="33" t="s">
        <v>13455</v>
      </c>
      <c r="B228" s="33" t="s">
        <v>14282</v>
      </c>
      <c r="C228" s="35" t="str">
        <f t="shared" si="6"/>
        <v>C00364:1</v>
      </c>
      <c r="D228" s="37" t="str">
        <f t="shared" si="7"/>
        <v>C00364 : dTMP</v>
      </c>
    </row>
    <row r="229" spans="1:4">
      <c r="A229" s="33" t="s">
        <v>13454</v>
      </c>
      <c r="B229" s="33" t="s">
        <v>14283</v>
      </c>
      <c r="C229" s="35" t="str">
        <f t="shared" si="6"/>
        <v>C00365:1</v>
      </c>
      <c r="D229" s="37" t="str">
        <f t="shared" si="7"/>
        <v>C00365 : dUMP</v>
      </c>
    </row>
    <row r="230" spans="1:4">
      <c r="A230" s="33" t="s">
        <v>10291</v>
      </c>
      <c r="B230" s="33" t="s">
        <v>14284</v>
      </c>
      <c r="C230" s="35" t="str">
        <f t="shared" si="6"/>
        <v>C00369:1</v>
      </c>
      <c r="D230" s="37" t="str">
        <f t="shared" si="7"/>
        <v>C00369 : Starch</v>
      </c>
    </row>
    <row r="231" spans="1:4">
      <c r="A231" s="33" t="s">
        <v>13788</v>
      </c>
      <c r="B231" s="33" t="s">
        <v>14285</v>
      </c>
      <c r="C231" s="35" t="str">
        <f t="shared" si="6"/>
        <v>C00376:1</v>
      </c>
      <c r="D231" s="37" t="str">
        <f t="shared" si="7"/>
        <v>C00376 : Retinal</v>
      </c>
    </row>
    <row r="232" spans="1:4">
      <c r="A232" s="33" t="s">
        <v>14085</v>
      </c>
      <c r="B232" s="33" t="s">
        <v>14286</v>
      </c>
      <c r="C232" s="35" t="str">
        <f t="shared" si="6"/>
        <v>C00378:1</v>
      </c>
      <c r="D232" s="37" t="str">
        <f t="shared" si="7"/>
        <v>C00378 : Thiamine</v>
      </c>
    </row>
    <row r="233" spans="1:4">
      <c r="A233" s="33" t="s">
        <v>13407</v>
      </c>
      <c r="B233" s="33" t="s">
        <v>14723</v>
      </c>
      <c r="C233" s="35" t="str">
        <f t="shared" si="6"/>
        <v>C00380:1</v>
      </c>
      <c r="D233" s="37" t="str">
        <f t="shared" si="7"/>
        <v>C00380 : Cytosine</v>
      </c>
    </row>
    <row r="234" spans="1:4">
      <c r="A234" s="33" t="s">
        <v>13961</v>
      </c>
      <c r="B234" s="33" t="s">
        <v>14287</v>
      </c>
      <c r="C234" s="35" t="str">
        <f t="shared" si="6"/>
        <v>C00385:1</v>
      </c>
      <c r="D234" s="37" t="str">
        <f t="shared" si="7"/>
        <v>C00385 : Xanthine</v>
      </c>
    </row>
    <row r="235" spans="1:4">
      <c r="A235" s="33" t="s">
        <v>13822</v>
      </c>
      <c r="B235" s="33" t="s">
        <v>14288</v>
      </c>
      <c r="C235" s="35" t="str">
        <f t="shared" si="6"/>
        <v>C00387:1</v>
      </c>
      <c r="D235" s="37" t="str">
        <f t="shared" si="7"/>
        <v xml:space="preserve">C00387 : Guanosine </v>
      </c>
    </row>
    <row r="236" spans="1:4">
      <c r="A236" s="33" t="s">
        <v>13297</v>
      </c>
      <c r="B236" s="33" t="s">
        <v>14724</v>
      </c>
      <c r="C236" s="35" t="str">
        <f t="shared" si="6"/>
        <v>C00390:1</v>
      </c>
      <c r="D236" s="37" t="str">
        <f t="shared" si="7"/>
        <v>C00390 : Ubiquinol</v>
      </c>
    </row>
    <row r="237" spans="1:4">
      <c r="A237" s="33" t="s">
        <v>13409</v>
      </c>
      <c r="B237" s="33" t="s">
        <v>14725</v>
      </c>
      <c r="C237" s="35" t="str">
        <f t="shared" si="6"/>
        <v>C00396:1</v>
      </c>
      <c r="D237" s="37" t="str">
        <f t="shared" si="7"/>
        <v>C00396 : Pyrimidine</v>
      </c>
    </row>
    <row r="238" spans="1:4">
      <c r="A238" s="33" t="s">
        <v>13296</v>
      </c>
      <c r="B238" s="33" t="s">
        <v>14726</v>
      </c>
      <c r="C238" s="35" t="str">
        <f t="shared" si="6"/>
        <v>C00399:1</v>
      </c>
      <c r="D238" s="37" t="str">
        <f t="shared" si="7"/>
        <v>C00399 : Ubiquinone</v>
      </c>
    </row>
    <row r="239" spans="1:4">
      <c r="A239" s="33" t="s">
        <v>13933</v>
      </c>
      <c r="B239" s="33" t="s">
        <v>14727</v>
      </c>
      <c r="C239" s="35" t="str">
        <f t="shared" si="6"/>
        <v>C00402:1</v>
      </c>
      <c r="D239" s="37" t="str">
        <f t="shared" si="7"/>
        <v>C00402 : D-Aspartate</v>
      </c>
    </row>
    <row r="240" spans="1:4">
      <c r="A240" s="33" t="s">
        <v>13303</v>
      </c>
      <c r="B240" s="33" t="s">
        <v>14728</v>
      </c>
      <c r="C240" s="35" t="str">
        <f t="shared" si="6"/>
        <v>C00404:1</v>
      </c>
      <c r="D240" s="37" t="str">
        <f t="shared" si="7"/>
        <v>C00404 : Polyphosphate</v>
      </c>
    </row>
    <row r="241" spans="1:4">
      <c r="A241" s="33" t="s">
        <v>13925</v>
      </c>
      <c r="B241" s="33" t="s">
        <v>14289</v>
      </c>
      <c r="C241" s="35" t="str">
        <f t="shared" si="6"/>
        <v>C00405:1</v>
      </c>
      <c r="D241" s="37" t="str">
        <f t="shared" si="7"/>
        <v>C00405 : D-Amino acid</v>
      </c>
    </row>
    <row r="242" spans="1:4">
      <c r="A242" s="33" t="s">
        <v>13737</v>
      </c>
      <c r="B242" s="33" t="s">
        <v>14290</v>
      </c>
      <c r="C242" s="35" t="str">
        <f t="shared" si="6"/>
        <v>C00407:1</v>
      </c>
      <c r="D242" s="37" t="str">
        <f t="shared" si="7"/>
        <v>C00407 : L-Isoleucine</v>
      </c>
    </row>
    <row r="243" spans="1:4">
      <c r="A243" s="33" t="s">
        <v>13621</v>
      </c>
      <c r="B243" s="33" t="s">
        <v>14729</v>
      </c>
      <c r="C243" s="35" t="str">
        <f t="shared" si="6"/>
        <v>C00408:1</v>
      </c>
      <c r="D243" s="37" t="str">
        <f t="shared" si="7"/>
        <v>C00408 : L-Pipecolate</v>
      </c>
    </row>
    <row r="244" spans="1:4">
      <c r="A244" s="33" t="s">
        <v>13450</v>
      </c>
      <c r="B244" s="33" t="s">
        <v>14291</v>
      </c>
      <c r="C244" s="35" t="str">
        <f t="shared" si="6"/>
        <v>C00415:1</v>
      </c>
      <c r="D244" s="37" t="str">
        <f t="shared" si="7"/>
        <v>C00415 : Dihydrofolate</v>
      </c>
    </row>
    <row r="245" spans="1:4">
      <c r="A245" s="33" t="s">
        <v>13724</v>
      </c>
      <c r="B245" s="33" t="s">
        <v>14292</v>
      </c>
      <c r="C245" s="35" t="str">
        <f t="shared" si="6"/>
        <v>C00416:1</v>
      </c>
      <c r="D245" s="37" t="str">
        <f t="shared" si="7"/>
        <v>C00416 : Phosphatidate</v>
      </c>
    </row>
    <row r="246" spans="1:4">
      <c r="A246" s="33" t="s">
        <v>13649</v>
      </c>
      <c r="B246" s="33" t="s">
        <v>14730</v>
      </c>
      <c r="C246" s="35" t="str">
        <f t="shared" si="6"/>
        <v>C00417:1</v>
      </c>
      <c r="D246" s="37" t="str">
        <f t="shared" si="7"/>
        <v>C00417 : cis-Aconitate</v>
      </c>
    </row>
    <row r="247" spans="1:4">
      <c r="A247" s="33" t="s">
        <v>13813</v>
      </c>
      <c r="B247" s="33" t="s">
        <v>14293</v>
      </c>
      <c r="C247" s="35" t="str">
        <f t="shared" si="6"/>
        <v>C00418:1</v>
      </c>
      <c r="D247" s="37" t="str">
        <f t="shared" si="7"/>
        <v>C00418 : ( R )-Mevalonate</v>
      </c>
    </row>
    <row r="248" spans="1:4">
      <c r="A248" s="33" t="s">
        <v>8056</v>
      </c>
      <c r="B248" s="33" t="s">
        <v>14731</v>
      </c>
      <c r="C248" s="35" t="str">
        <f t="shared" si="6"/>
        <v>C00430:1</v>
      </c>
      <c r="D248" s="37" t="str">
        <f t="shared" si="7"/>
        <v>C00430 : 5-Aminolevulinate</v>
      </c>
    </row>
    <row r="249" spans="1:4">
      <c r="A249" s="33" t="s">
        <v>13217</v>
      </c>
      <c r="B249" s="33" t="s">
        <v>14732</v>
      </c>
      <c r="C249" s="35" t="str">
        <f t="shared" si="6"/>
        <v>C00431:1</v>
      </c>
      <c r="D249" s="37" t="str">
        <f t="shared" si="7"/>
        <v>C00431 : 5-Aminopentanoate</v>
      </c>
    </row>
    <row r="250" spans="1:4">
      <c r="A250" s="33" t="s">
        <v>14003</v>
      </c>
      <c r="B250" s="33" t="s">
        <v>14733</v>
      </c>
      <c r="C250" s="35" t="str">
        <f t="shared" si="6"/>
        <v>C00433:1</v>
      </c>
      <c r="D250" s="37" t="str">
        <f t="shared" si="7"/>
        <v>C00433 : 2,5-Dioxopentanoate</v>
      </c>
    </row>
    <row r="251" spans="1:4">
      <c r="A251" s="33" t="s">
        <v>13617</v>
      </c>
      <c r="B251" s="33" t="s">
        <v>14734</v>
      </c>
      <c r="C251" s="35" t="str">
        <f t="shared" si="6"/>
        <v>C00437:1</v>
      </c>
      <c r="D251" s="37" t="str">
        <f t="shared" si="7"/>
        <v>C00437 : N-Acetylornithine</v>
      </c>
    </row>
    <row r="252" spans="1:4">
      <c r="A252" s="33" t="s">
        <v>8743</v>
      </c>
      <c r="B252" s="33" t="s">
        <v>14294</v>
      </c>
      <c r="C252" s="35" t="str">
        <f t="shared" si="6"/>
        <v>C00438:1</v>
      </c>
      <c r="D252" s="37" t="str">
        <f t="shared" si="7"/>
        <v>C00438 : N-Carbamoyl-L-aspartate</v>
      </c>
    </row>
    <row r="253" spans="1:4">
      <c r="A253" s="33" t="s">
        <v>8426</v>
      </c>
      <c r="B253" s="33" t="s">
        <v>14735</v>
      </c>
      <c r="C253" s="35" t="str">
        <f t="shared" si="6"/>
        <v>C00439:1</v>
      </c>
      <c r="D253" s="37" t="str">
        <f t="shared" si="7"/>
        <v>C00439 : N-Formimino-L-glutamate</v>
      </c>
    </row>
    <row r="254" spans="1:4">
      <c r="A254" s="33" t="s">
        <v>13175</v>
      </c>
      <c r="B254" s="33" t="s">
        <v>14736</v>
      </c>
      <c r="C254" s="35" t="str">
        <f t="shared" si="6"/>
        <v>C00440:1</v>
      </c>
      <c r="D254" s="37" t="str">
        <f t="shared" si="7"/>
        <v>C00440 : 5-Methyltetrahydrofolate</v>
      </c>
    </row>
    <row r="255" spans="1:4">
      <c r="A255" s="33" t="s">
        <v>13255</v>
      </c>
      <c r="B255" s="33" t="s">
        <v>14295</v>
      </c>
      <c r="C255" s="35" t="str">
        <f t="shared" si="6"/>
        <v>C00441:1</v>
      </c>
      <c r="D255" s="37" t="str">
        <f t="shared" si="7"/>
        <v>C00441 : L-Aspartate 4-semialdehyde</v>
      </c>
    </row>
    <row r="256" spans="1:4">
      <c r="A256" s="33" t="s">
        <v>13463</v>
      </c>
      <c r="B256" s="33" t="s">
        <v>14296</v>
      </c>
      <c r="C256" s="35" t="str">
        <f t="shared" si="6"/>
        <v>C00445:1</v>
      </c>
      <c r="D256" s="37" t="str">
        <f t="shared" si="7"/>
        <v>C00445 : 5,10-Methenyltetrahydrofolate</v>
      </c>
    </row>
    <row r="257" spans="1:4">
      <c r="A257" s="33" t="s">
        <v>13431</v>
      </c>
      <c r="B257" s="33" t="s">
        <v>14297</v>
      </c>
      <c r="C257" s="35" t="str">
        <f t="shared" ref="C257:C320" si="8">CONCATENATE(A257,":","1")</f>
        <v>C00446:1</v>
      </c>
      <c r="D257" s="37" t="str">
        <f t="shared" si="7"/>
        <v xml:space="preserve">C00446 : alpha-D-Galactose 1-phosphate </v>
      </c>
    </row>
    <row r="258" spans="1:4">
      <c r="A258" s="33" t="s">
        <v>13546</v>
      </c>
      <c r="B258" s="33" t="s">
        <v>14298</v>
      </c>
      <c r="C258" s="35" t="str">
        <f t="shared" si="8"/>
        <v>C00447:1</v>
      </c>
      <c r="D258" s="37" t="str">
        <f t="shared" si="7"/>
        <v>C00447 : Sedoheptulose 1,7-bisphosphate</v>
      </c>
    </row>
    <row r="259" spans="1:4">
      <c r="A259" s="33" t="s">
        <v>13338</v>
      </c>
      <c r="B259" s="33" t="s">
        <v>14737</v>
      </c>
      <c r="C259" s="35" t="str">
        <f t="shared" si="8"/>
        <v>C00448:1</v>
      </c>
      <c r="D259" s="37" t="str">
        <f t="shared" ref="D259:D322" si="9">CONCATENATE(A259," : ",B259)</f>
        <v>C00448 : trans,trans-Farnesyl diphosphate</v>
      </c>
    </row>
    <row r="260" spans="1:4">
      <c r="A260" s="33" t="s">
        <v>13713</v>
      </c>
      <c r="B260" s="33" t="s">
        <v>14299</v>
      </c>
      <c r="C260" s="35" t="str">
        <f t="shared" si="8"/>
        <v>C00454:1</v>
      </c>
      <c r="D260" s="37" t="str">
        <f t="shared" si="9"/>
        <v>C00454 : NDP</v>
      </c>
    </row>
    <row r="261" spans="1:4">
      <c r="A261" s="33" t="s">
        <v>13435</v>
      </c>
      <c r="B261" s="33" t="s">
        <v>14300</v>
      </c>
      <c r="C261" s="35" t="str">
        <f t="shared" si="8"/>
        <v>C00455:1</v>
      </c>
      <c r="D261" s="37" t="str">
        <f t="shared" si="9"/>
        <v>C00455 : Nicotinamide-D-ribonucleotide</v>
      </c>
    </row>
    <row r="262" spans="1:4">
      <c r="A262" s="33" t="s">
        <v>13173</v>
      </c>
      <c r="B262" s="33" t="s">
        <v>14301</v>
      </c>
      <c r="C262" s="35" t="str">
        <f t="shared" si="8"/>
        <v>C00458:1</v>
      </c>
      <c r="D262" s="37" t="str">
        <f t="shared" si="9"/>
        <v>C00458 : dCTP</v>
      </c>
    </row>
    <row r="263" spans="1:4">
      <c r="A263" s="33" t="s">
        <v>13174</v>
      </c>
      <c r="B263" s="33" t="s">
        <v>14302</v>
      </c>
      <c r="C263" s="35" t="str">
        <f t="shared" si="8"/>
        <v>C00459:1</v>
      </c>
      <c r="D263" s="37" t="str">
        <f t="shared" si="9"/>
        <v>C00459 : dTTP</v>
      </c>
    </row>
    <row r="264" spans="1:4">
      <c r="A264" s="33" t="s">
        <v>13703</v>
      </c>
      <c r="B264" s="33" t="s">
        <v>14303</v>
      </c>
      <c r="C264" s="35" t="str">
        <f t="shared" si="8"/>
        <v>C00460:1</v>
      </c>
      <c r="D264" s="37" t="str">
        <f t="shared" si="9"/>
        <v>C00460 : dUTP</v>
      </c>
    </row>
    <row r="265" spans="1:4">
      <c r="A265" s="33" t="s">
        <v>14090</v>
      </c>
      <c r="B265" s="33" t="s">
        <v>14738</v>
      </c>
      <c r="C265" s="35" t="str">
        <f t="shared" si="8"/>
        <v>C00463:1</v>
      </c>
      <c r="D265" s="37" t="str">
        <f t="shared" si="9"/>
        <v>C00463 : Indole</v>
      </c>
    </row>
    <row r="266" spans="1:4">
      <c r="A266" s="33" t="s">
        <v>13786</v>
      </c>
      <c r="B266" s="33" t="s">
        <v>14304</v>
      </c>
      <c r="C266" s="35" t="str">
        <f t="shared" si="8"/>
        <v>C00469:1</v>
      </c>
      <c r="D266" s="37" t="str">
        <f t="shared" si="9"/>
        <v>C00469 : Ethanol</v>
      </c>
    </row>
    <row r="267" spans="1:4">
      <c r="A267" s="33" t="s">
        <v>13787</v>
      </c>
      <c r="B267" s="33" t="s">
        <v>14305</v>
      </c>
      <c r="C267" s="35" t="str">
        <f t="shared" si="8"/>
        <v>C00473:1</v>
      </c>
      <c r="D267" s="37" t="str">
        <f t="shared" si="9"/>
        <v>C00473 : Retinol</v>
      </c>
    </row>
    <row r="268" spans="1:4">
      <c r="A268" s="33" t="s">
        <v>13398</v>
      </c>
      <c r="B268" s="33" t="s">
        <v>14306</v>
      </c>
      <c r="C268" s="35" t="str">
        <f t="shared" si="8"/>
        <v>C00475:1</v>
      </c>
      <c r="D268" s="37" t="str">
        <f t="shared" si="9"/>
        <v>C00475 : Cytidine</v>
      </c>
    </row>
    <row r="269" spans="1:4">
      <c r="A269" s="33" t="s">
        <v>13575</v>
      </c>
      <c r="B269" s="33" t="s">
        <v>14739</v>
      </c>
      <c r="C269" s="35" t="str">
        <f t="shared" si="8"/>
        <v>C00488:1</v>
      </c>
      <c r="D269" s="37" t="str">
        <f t="shared" si="9"/>
        <v>C00488 : Formamide</v>
      </c>
    </row>
    <row r="270" spans="1:4">
      <c r="A270" s="33" t="s">
        <v>13852</v>
      </c>
      <c r="B270" s="33" t="s">
        <v>14740</v>
      </c>
      <c r="C270" s="35" t="str">
        <f t="shared" si="8"/>
        <v>C00491:1</v>
      </c>
      <c r="D270" s="37" t="str">
        <f t="shared" si="9"/>
        <v>C00491 : L-Cystine</v>
      </c>
    </row>
    <row r="271" spans="1:4">
      <c r="A271" s="33" t="s">
        <v>13562</v>
      </c>
      <c r="B271" s="33" t="s">
        <v>14307</v>
      </c>
      <c r="C271" s="35" t="str">
        <f t="shared" si="8"/>
        <v>C00492:1</v>
      </c>
      <c r="D271" s="37" t="str">
        <f t="shared" si="9"/>
        <v>C00492 : Raffinose</v>
      </c>
    </row>
    <row r="272" spans="1:4">
      <c r="A272" s="33" t="s">
        <v>13673</v>
      </c>
      <c r="B272" s="33" t="s">
        <v>14741</v>
      </c>
      <c r="C272" s="35" t="str">
        <f t="shared" si="8"/>
        <v>C00493:1</v>
      </c>
      <c r="D272" s="37" t="str">
        <f t="shared" si="9"/>
        <v>C00493 : Shikimate</v>
      </c>
    </row>
    <row r="273" spans="1:4">
      <c r="A273" s="33" t="s">
        <v>13242</v>
      </c>
      <c r="B273" s="33" t="s">
        <v>14742</v>
      </c>
      <c r="C273" s="35" t="str">
        <f t="shared" si="8"/>
        <v>C00500:1</v>
      </c>
      <c r="D273" s="37" t="str">
        <f t="shared" si="9"/>
        <v>C00500 : Biliverdin</v>
      </c>
    </row>
    <row r="274" spans="1:4">
      <c r="A274" s="33" t="s">
        <v>13451</v>
      </c>
      <c r="B274" s="33" t="s">
        <v>14308</v>
      </c>
      <c r="C274" s="35" t="str">
        <f t="shared" si="8"/>
        <v>C00504:1</v>
      </c>
      <c r="D274" s="37" t="str">
        <f t="shared" si="9"/>
        <v>C00504 : Folate</v>
      </c>
    </row>
    <row r="275" spans="1:4">
      <c r="A275" s="33" t="s">
        <v>13927</v>
      </c>
      <c r="B275" s="33" t="s">
        <v>14743</v>
      </c>
      <c r="C275" s="35" t="str">
        <f t="shared" si="8"/>
        <v>C00515:1</v>
      </c>
      <c r="D275" s="37" t="str">
        <f t="shared" si="9"/>
        <v>C00515 : D-Ornithine</v>
      </c>
    </row>
    <row r="276" spans="1:4">
      <c r="A276" s="33" t="s">
        <v>13863</v>
      </c>
      <c r="B276" s="33" t="s">
        <v>14744</v>
      </c>
      <c r="C276" s="35" t="str">
        <f t="shared" si="8"/>
        <v>C00521:1</v>
      </c>
      <c r="D276" s="37" t="str">
        <f t="shared" si="9"/>
        <v>C00521 : (S)-Limonene</v>
      </c>
    </row>
    <row r="277" spans="1:4">
      <c r="A277" s="33" t="s">
        <v>13896</v>
      </c>
      <c r="B277" s="33" t="s">
        <v>14745</v>
      </c>
      <c r="C277" s="35" t="str">
        <f t="shared" si="8"/>
        <v>C00522:1</v>
      </c>
      <c r="D277" s="37" t="str">
        <f t="shared" si="9"/>
        <v>C00522 : (R)-Pantoate</v>
      </c>
    </row>
    <row r="278" spans="1:4">
      <c r="A278" s="33" t="s">
        <v>13401</v>
      </c>
      <c r="B278" s="33" t="s">
        <v>14309</v>
      </c>
      <c r="C278" s="35" t="str">
        <f t="shared" si="8"/>
        <v>C00526:1</v>
      </c>
      <c r="D278" s="37" t="str">
        <f t="shared" si="9"/>
        <v>C00526 : Deoxyuridine</v>
      </c>
    </row>
    <row r="279" spans="1:4">
      <c r="A279" s="33" t="s">
        <v>13582</v>
      </c>
      <c r="B279" s="33" t="s">
        <v>14746</v>
      </c>
      <c r="C279" s="35" t="str">
        <f t="shared" si="8"/>
        <v>C00533:1</v>
      </c>
      <c r="D279" s="37" t="str">
        <f t="shared" si="9"/>
        <v>C00533 : Nitric oxide</v>
      </c>
    </row>
    <row r="280" spans="1:4">
      <c r="A280" s="33" t="s">
        <v>13847</v>
      </c>
      <c r="B280" s="33" t="s">
        <v>14310</v>
      </c>
      <c r="C280" s="35" t="str">
        <f t="shared" si="8"/>
        <v>C00534:1</v>
      </c>
      <c r="D280" s="37" t="str">
        <f t="shared" si="9"/>
        <v>C00534 : Pyridoxamine</v>
      </c>
    </row>
    <row r="281" spans="1:4">
      <c r="A281" s="33" t="s">
        <v>13839</v>
      </c>
      <c r="B281" s="33" t="s">
        <v>14747</v>
      </c>
      <c r="C281" s="35" t="str">
        <f t="shared" si="8"/>
        <v>C00536:1</v>
      </c>
      <c r="D281" s="37" t="str">
        <f t="shared" si="9"/>
        <v>C00536 : Triphosphate</v>
      </c>
    </row>
    <row r="282" spans="1:4">
      <c r="A282" s="33" t="s">
        <v>13906</v>
      </c>
      <c r="B282" s="33" t="s">
        <v>14748</v>
      </c>
      <c r="C282" s="35" t="str">
        <f t="shared" si="8"/>
        <v>C00542:1</v>
      </c>
      <c r="D282" s="37" t="str">
        <f t="shared" si="9"/>
        <v>C00542 : Cystathionine</v>
      </c>
    </row>
    <row r="283" spans="1:4">
      <c r="A283" s="33" t="s">
        <v>13362</v>
      </c>
      <c r="B283" s="33" t="s">
        <v>14749</v>
      </c>
      <c r="C283" s="35" t="str">
        <f t="shared" si="8"/>
        <v>C00546:1</v>
      </c>
      <c r="D283" s="37" t="str">
        <f t="shared" si="9"/>
        <v>C00546 : Methylglyoxal</v>
      </c>
    </row>
    <row r="284" spans="1:4">
      <c r="A284" s="33" t="s">
        <v>13982</v>
      </c>
      <c r="B284" s="33" t="s">
        <v>14750</v>
      </c>
      <c r="C284" s="35" t="str">
        <f t="shared" si="8"/>
        <v>C00555:1</v>
      </c>
      <c r="D284" s="37" t="str">
        <f t="shared" si="9"/>
        <v>C00555 : 4-Aminobutyraldehyde</v>
      </c>
    </row>
    <row r="285" spans="1:4">
      <c r="A285" s="33" t="s">
        <v>13827</v>
      </c>
      <c r="B285" s="33" t="s">
        <v>14311</v>
      </c>
      <c r="C285" s="35" t="str">
        <f t="shared" si="8"/>
        <v>C00559:1</v>
      </c>
      <c r="D285" s="37" t="str">
        <f t="shared" si="9"/>
        <v>C00559 : Deoxyadenosine</v>
      </c>
    </row>
    <row r="286" spans="1:4">
      <c r="A286" s="33" t="s">
        <v>13193</v>
      </c>
      <c r="B286" s="33" t="s">
        <v>14751</v>
      </c>
      <c r="C286" s="35" t="str">
        <f t="shared" si="8"/>
        <v>C00562:1</v>
      </c>
      <c r="D286" s="37" t="str">
        <f t="shared" si="9"/>
        <v>C00562 : Phosphoprotein</v>
      </c>
    </row>
    <row r="287" spans="1:4">
      <c r="A287" s="33" t="s">
        <v>13959</v>
      </c>
      <c r="B287" s="33" t="s">
        <v>14752</v>
      </c>
      <c r="C287" s="35" t="str">
        <f t="shared" si="8"/>
        <v>C00568:1</v>
      </c>
      <c r="D287" s="37" t="str">
        <f t="shared" si="9"/>
        <v>C00568 : 4-Aminobenzoate</v>
      </c>
    </row>
    <row r="288" spans="1:4">
      <c r="A288" s="33" t="s">
        <v>13266</v>
      </c>
      <c r="B288" s="33" t="s">
        <v>14753</v>
      </c>
      <c r="C288" s="35" t="str">
        <f t="shared" si="8"/>
        <v>C00575:1</v>
      </c>
      <c r="D288" s="37" t="str">
        <f t="shared" si="9"/>
        <v>C00575 : 3',5'-Cyclic AMP</v>
      </c>
    </row>
    <row r="289" spans="1:4">
      <c r="A289" s="33" t="s">
        <v>13205</v>
      </c>
      <c r="B289" s="33" t="s">
        <v>14312</v>
      </c>
      <c r="C289" s="35" t="str">
        <f t="shared" si="8"/>
        <v>C00576:1</v>
      </c>
      <c r="D289" s="37" t="str">
        <f t="shared" si="9"/>
        <v xml:space="preserve">C00576 : Betaine aldehyde </v>
      </c>
    </row>
    <row r="290" spans="1:4">
      <c r="A290" s="33" t="s">
        <v>13973</v>
      </c>
      <c r="B290" s="33" t="s">
        <v>14754</v>
      </c>
      <c r="C290" s="35" t="str">
        <f t="shared" si="8"/>
        <v>C00577:1</v>
      </c>
      <c r="D290" s="37" t="str">
        <f t="shared" si="9"/>
        <v>C00577 : D-Glyceraldehyde</v>
      </c>
    </row>
    <row r="291" spans="1:4">
      <c r="A291" s="33" t="s">
        <v>13291</v>
      </c>
      <c r="B291" s="33" t="s">
        <v>14755</v>
      </c>
      <c r="C291" s="35" t="str">
        <f t="shared" si="8"/>
        <v>C00579:1</v>
      </c>
      <c r="D291" s="37" t="str">
        <f t="shared" si="9"/>
        <v>C00579 : Dihydrolipoamide</v>
      </c>
    </row>
    <row r="292" spans="1:4">
      <c r="A292" s="33" t="s">
        <v>13867</v>
      </c>
      <c r="B292" s="33" t="s">
        <v>14756</v>
      </c>
      <c r="C292" s="35" t="str">
        <f t="shared" si="8"/>
        <v>C00588:1</v>
      </c>
      <c r="D292" s="37" t="str">
        <f t="shared" si="9"/>
        <v>C00588 : Choline phosphate</v>
      </c>
    </row>
    <row r="293" spans="1:4">
      <c r="A293" s="33" t="s">
        <v>8315</v>
      </c>
      <c r="B293" s="33" t="s">
        <v>14757</v>
      </c>
      <c r="C293" s="35" t="str">
        <f t="shared" si="8"/>
        <v>C00603:1</v>
      </c>
      <c r="D293" s="37" t="str">
        <f t="shared" si="9"/>
        <v>C00603 : (S)-Ureidoglycolate</v>
      </c>
    </row>
    <row r="294" spans="1:4">
      <c r="A294" s="33" t="s">
        <v>13679</v>
      </c>
      <c r="B294" s="33" t="s">
        <v>14758</v>
      </c>
      <c r="C294" s="35" t="str">
        <f t="shared" si="8"/>
        <v>C00609:1</v>
      </c>
      <c r="D294" s="37" t="str">
        <f t="shared" si="9"/>
        <v>C00609 : Long-chain aldehyde</v>
      </c>
    </row>
    <row r="295" spans="1:4">
      <c r="A295" s="33" t="s">
        <v>13708</v>
      </c>
      <c r="B295" s="33" t="s">
        <v>14313</v>
      </c>
      <c r="C295" s="35" t="str">
        <f t="shared" si="8"/>
        <v>C00615:1</v>
      </c>
      <c r="D295" s="37" t="str">
        <f t="shared" si="9"/>
        <v>C00615 : Protein histidine</v>
      </c>
    </row>
    <row r="296" spans="1:4">
      <c r="A296" s="33" t="s">
        <v>13406</v>
      </c>
      <c r="B296" s="33" t="s">
        <v>14759</v>
      </c>
      <c r="C296" s="35" t="str">
        <f t="shared" si="8"/>
        <v>C00620:1</v>
      </c>
      <c r="D296" s="37" t="str">
        <f t="shared" si="9"/>
        <v>C00620 : alpha-D-Ribose 1-phosphate</v>
      </c>
    </row>
    <row r="297" spans="1:4">
      <c r="A297" s="33" t="s">
        <v>13616</v>
      </c>
      <c r="B297" s="33" t="s">
        <v>14760</v>
      </c>
      <c r="C297" s="35" t="str">
        <f t="shared" si="8"/>
        <v>C00624:1</v>
      </c>
      <c r="D297" s="37" t="str">
        <f t="shared" si="9"/>
        <v>C00624 : N-Acetyl-L-glutamate</v>
      </c>
    </row>
    <row r="298" spans="1:4">
      <c r="A298" s="33" t="s">
        <v>13846</v>
      </c>
      <c r="B298" s="33" t="s">
        <v>14314</v>
      </c>
      <c r="C298" s="35" t="str">
        <f t="shared" si="8"/>
        <v>C00627:1</v>
      </c>
      <c r="D298" s="37" t="str">
        <f t="shared" si="9"/>
        <v>C00627 : Pyridoxine phosphate</v>
      </c>
    </row>
    <row r="299" spans="1:4">
      <c r="A299" s="33" t="s">
        <v>8335</v>
      </c>
      <c r="B299" s="33" t="s">
        <v>14315</v>
      </c>
      <c r="C299" s="35" t="str">
        <f t="shared" si="8"/>
        <v>C00631:1</v>
      </c>
      <c r="D299" s="37" t="str">
        <f t="shared" si="9"/>
        <v>C00631 : 2-Phospho-D-glycerate</v>
      </c>
    </row>
    <row r="300" spans="1:4">
      <c r="A300" s="33" t="s">
        <v>14105</v>
      </c>
      <c r="B300" s="33" t="s">
        <v>14761</v>
      </c>
      <c r="C300" s="35" t="str">
        <f t="shared" si="8"/>
        <v>C00632:1</v>
      </c>
      <c r="D300" s="37" t="str">
        <f t="shared" si="9"/>
        <v>C00632 : 3-Hydroxyanthranilate</v>
      </c>
    </row>
    <row r="301" spans="1:4">
      <c r="A301" s="33" t="s">
        <v>8085</v>
      </c>
      <c r="B301" s="33" t="s">
        <v>14762</v>
      </c>
      <c r="C301" s="35" t="str">
        <f t="shared" si="8"/>
        <v>C00636:1</v>
      </c>
      <c r="D301" s="37" t="str">
        <f t="shared" si="9"/>
        <v>C00636 : D-Mannose 1-phosphate</v>
      </c>
    </row>
    <row r="302" spans="1:4">
      <c r="A302" s="33" t="s">
        <v>13984</v>
      </c>
      <c r="B302" s="33" t="s">
        <v>14763</v>
      </c>
      <c r="C302" s="35" t="str">
        <f t="shared" si="8"/>
        <v>C00637:1</v>
      </c>
      <c r="D302" s="37" t="str">
        <f t="shared" si="9"/>
        <v>C00637 : Indole-3-acetaldehyde</v>
      </c>
    </row>
    <row r="303" spans="1:4">
      <c r="A303" s="33" t="s">
        <v>13269</v>
      </c>
      <c r="B303" s="33" t="s">
        <v>14764</v>
      </c>
      <c r="C303" s="35" t="str">
        <f t="shared" si="8"/>
        <v>C00638:1</v>
      </c>
      <c r="D303" s="37" t="str">
        <f t="shared" si="9"/>
        <v>C00638 : Long-chain fatty acid</v>
      </c>
    </row>
    <row r="304" spans="1:4">
      <c r="A304" s="33" t="s">
        <v>8304</v>
      </c>
      <c r="B304" s="33" t="s">
        <v>14765</v>
      </c>
      <c r="C304" s="35" t="str">
        <f t="shared" si="8"/>
        <v>C00640:1</v>
      </c>
      <c r="D304" s="37" t="str">
        <f t="shared" si="9"/>
        <v>C00640 : (3S)-3-Hydroxyacyl-CoA</v>
      </c>
    </row>
    <row r="305" spans="1:4">
      <c r="A305" s="33" t="s">
        <v>13866</v>
      </c>
      <c r="B305" s="33" t="s">
        <v>14766</v>
      </c>
      <c r="C305" s="35" t="str">
        <f t="shared" si="8"/>
        <v>C00641:1</v>
      </c>
      <c r="D305" s="37" t="str">
        <f t="shared" si="9"/>
        <v>C00641 : 1,2-Diacyl-sn-glycerol</v>
      </c>
    </row>
    <row r="306" spans="1:4">
      <c r="A306" s="33" t="s">
        <v>13848</v>
      </c>
      <c r="B306" s="33" t="s">
        <v>14316</v>
      </c>
      <c r="C306" s="35" t="str">
        <f t="shared" si="8"/>
        <v>C00647:1</v>
      </c>
      <c r="D306" s="37" t="str">
        <f t="shared" si="9"/>
        <v>C00647 : Pyridoxamine phosphate</v>
      </c>
    </row>
    <row r="307" spans="1:4">
      <c r="A307" s="33" t="s">
        <v>13354</v>
      </c>
      <c r="B307" s="33" t="s">
        <v>14317</v>
      </c>
      <c r="C307" s="35" t="str">
        <f t="shared" si="8"/>
        <v>C00655:1</v>
      </c>
      <c r="D307" s="37" t="str">
        <f t="shared" si="9"/>
        <v>C00655 : Xanthosine 5'-phosphate</v>
      </c>
    </row>
    <row r="308" spans="1:4">
      <c r="A308" s="33" t="s">
        <v>13479</v>
      </c>
      <c r="B308" s="33" t="s">
        <v>14767</v>
      </c>
      <c r="C308" s="35" t="str">
        <f t="shared" si="8"/>
        <v>C00658:1</v>
      </c>
      <c r="D308" s="37" t="str">
        <f t="shared" si="9"/>
        <v>C00658 : trans-2,3-Dehydroacyl-CoA</v>
      </c>
    </row>
    <row r="309" spans="1:4">
      <c r="A309" s="33" t="s">
        <v>14106</v>
      </c>
      <c r="B309" s="33" t="s">
        <v>14768</v>
      </c>
      <c r="C309" s="35" t="str">
        <f t="shared" si="8"/>
        <v>C00662:1</v>
      </c>
      <c r="D309" s="37" t="str">
        <f t="shared" si="9"/>
        <v>C00662 : Reduced adrenal ferredoxin</v>
      </c>
    </row>
    <row r="310" spans="1:4">
      <c r="A310" s="33" t="s">
        <v>8886</v>
      </c>
      <c r="B310" s="33" t="s">
        <v>14318</v>
      </c>
      <c r="C310" s="35" t="str">
        <f t="shared" si="8"/>
        <v>C00666:1</v>
      </c>
      <c r="D310" s="37" t="str">
        <f t="shared" si="9"/>
        <v>C00666 : LL-2,6-Diaminoheptanedioate</v>
      </c>
    </row>
    <row r="311" spans="1:4">
      <c r="A311" s="33" t="s">
        <v>14107</v>
      </c>
      <c r="B311" s="33" t="s">
        <v>14769</v>
      </c>
      <c r="C311" s="35" t="str">
        <f t="shared" si="8"/>
        <v>C00667:1</v>
      </c>
      <c r="D311" s="37" t="str">
        <f t="shared" si="9"/>
        <v>C00667 : Oxidized adrenal ferredoxin</v>
      </c>
    </row>
    <row r="312" spans="1:4">
      <c r="A312" s="33" t="s">
        <v>8264</v>
      </c>
      <c r="B312" s="33" t="s">
        <v>14319</v>
      </c>
      <c r="C312" s="35" t="str">
        <f t="shared" si="8"/>
        <v>C00668:1</v>
      </c>
      <c r="D312" s="37" t="str">
        <f t="shared" si="9"/>
        <v xml:space="preserve">C00668 : alpha-D-Glucose 6-phosphate </v>
      </c>
    </row>
    <row r="313" spans="1:4">
      <c r="A313" s="33" t="s">
        <v>14074</v>
      </c>
      <c r="B313" s="33" t="s">
        <v>14770</v>
      </c>
      <c r="C313" s="35" t="str">
        <f t="shared" si="8"/>
        <v>C00670:1</v>
      </c>
      <c r="D313" s="37" t="str">
        <f t="shared" si="9"/>
        <v>C00670 : sn-Glycero-3-phosphocholine</v>
      </c>
    </row>
    <row r="314" spans="1:4">
      <c r="A314" s="33" t="s">
        <v>13600</v>
      </c>
      <c r="B314" s="33" t="s">
        <v>14320</v>
      </c>
      <c r="C314" s="35" t="str">
        <f t="shared" si="8"/>
        <v>C00671:1</v>
      </c>
      <c r="D314" s="37" t="str">
        <f t="shared" si="9"/>
        <v>C00671 : (S)-3-Methyl-2-oxopentanoic acid</v>
      </c>
    </row>
    <row r="315" spans="1:4">
      <c r="A315" s="33" t="s">
        <v>13405</v>
      </c>
      <c r="B315" s="33" t="s">
        <v>14771</v>
      </c>
      <c r="C315" s="35" t="str">
        <f t="shared" si="8"/>
        <v>C00672:1</v>
      </c>
      <c r="D315" s="37" t="str">
        <f t="shared" si="9"/>
        <v>C00672 : 2-Deoxy-D-ribose 1-phosphate</v>
      </c>
    </row>
    <row r="316" spans="1:4">
      <c r="A316" s="33" t="s">
        <v>8088</v>
      </c>
      <c r="B316" s="33" t="s">
        <v>14321</v>
      </c>
      <c r="C316" s="35" t="str">
        <f t="shared" si="8"/>
        <v>C00673:1</v>
      </c>
      <c r="D316" s="37" t="str">
        <f t="shared" si="9"/>
        <v>C00673 : 2-Deoxy-D-ribose 5-phosphate</v>
      </c>
    </row>
    <row r="317" spans="1:4">
      <c r="A317" s="33" t="s">
        <v>13168</v>
      </c>
      <c r="B317" s="33" t="s">
        <v>14322</v>
      </c>
      <c r="C317" s="35" t="str">
        <f t="shared" si="8"/>
        <v>C00677:1</v>
      </c>
      <c r="D317" s="37" t="str">
        <f t="shared" si="9"/>
        <v>C00677 : Deoxynucleoside triphosphate</v>
      </c>
    </row>
    <row r="318" spans="1:4">
      <c r="A318" s="33" t="s">
        <v>8433</v>
      </c>
      <c r="B318" s="33" t="s">
        <v>14323</v>
      </c>
      <c r="C318" s="35" t="str">
        <f t="shared" si="8"/>
        <v>C00680:1</v>
      </c>
      <c r="D318" s="37" t="str">
        <f t="shared" si="9"/>
        <v>C00680 : meso-2,6-Diaminoheptanedioate</v>
      </c>
    </row>
    <row r="319" spans="1:4">
      <c r="A319" s="33" t="s">
        <v>13415</v>
      </c>
      <c r="B319" s="33" t="s">
        <v>14772</v>
      </c>
      <c r="C319" s="35" t="str">
        <f t="shared" si="8"/>
        <v>C00683:1</v>
      </c>
      <c r="D319" s="37" t="str">
        <f t="shared" si="9"/>
        <v>C00683 : (S)-Methylmalonyl-CoA</v>
      </c>
    </row>
    <row r="320" spans="1:4">
      <c r="A320" s="33" t="s">
        <v>13503</v>
      </c>
      <c r="B320" s="33" t="s">
        <v>14773</v>
      </c>
      <c r="C320" s="35" t="str">
        <f t="shared" si="8"/>
        <v>C00685:1</v>
      </c>
      <c r="D320" s="37" t="str">
        <f t="shared" si="9"/>
        <v>C00685 : 3-Oxoacyl-[acyl-carrier protein]</v>
      </c>
    </row>
    <row r="321" spans="1:4">
      <c r="A321" s="33" t="s">
        <v>14045</v>
      </c>
      <c r="B321" s="33" t="s">
        <v>14774</v>
      </c>
      <c r="C321" s="35" t="str">
        <f t="shared" ref="C321:C384" si="10">CONCATENATE(A321,":","1")</f>
        <v>C00686:1</v>
      </c>
      <c r="D321" s="37" t="str">
        <f t="shared" si="9"/>
        <v>C00686 : N-Acyl-D-mannosamine 6-phosphate</v>
      </c>
    </row>
    <row r="322" spans="1:4">
      <c r="A322" s="33" t="s">
        <v>7980</v>
      </c>
      <c r="B322" s="33" t="s">
        <v>14775</v>
      </c>
      <c r="C322" s="35" t="str">
        <f t="shared" si="10"/>
        <v>C00688:1</v>
      </c>
      <c r="D322" s="37" t="str">
        <f t="shared" si="9"/>
        <v>C00688 : dTDP-4-dehydro-beta-L-rhamnose</v>
      </c>
    </row>
    <row r="323" spans="1:4">
      <c r="A323" s="33" t="s">
        <v>13941</v>
      </c>
      <c r="B323" s="33" t="s">
        <v>14776</v>
      </c>
      <c r="C323" s="35" t="str">
        <f t="shared" si="10"/>
        <v>C00689:1</v>
      </c>
      <c r="D323" s="37" t="str">
        <f t="shared" ref="D323:D386" si="11">CONCATENATE(A323," : ",B323)</f>
        <v>C00689 : alpha,alpha'-Trehalose 6-phosphate</v>
      </c>
    </row>
    <row r="324" spans="1:4">
      <c r="A324" s="33" t="s">
        <v>13752</v>
      </c>
      <c r="B324" s="33" t="s">
        <v>14324</v>
      </c>
      <c r="C324" s="35" t="str">
        <f t="shared" si="10"/>
        <v>C00692:1</v>
      </c>
      <c r="D324" s="37" t="str">
        <f t="shared" si="11"/>
        <v>C00692 : UDP-N-acetylmuramoyl-L-alanyl-D-glutamate</v>
      </c>
    </row>
    <row r="325" spans="1:4">
      <c r="A325" s="33" t="s">
        <v>13702</v>
      </c>
      <c r="B325" s="33" t="s">
        <v>14777</v>
      </c>
      <c r="C325" s="35" t="str">
        <f t="shared" si="10"/>
        <v>C00698:1</v>
      </c>
      <c r="D325" s="37" t="str">
        <f t="shared" si="11"/>
        <v>C00698 : Cl-</v>
      </c>
    </row>
    <row r="326" spans="1:4">
      <c r="A326" s="33" t="s">
        <v>14108</v>
      </c>
      <c r="B326" s="33" t="s">
        <v>14778</v>
      </c>
      <c r="C326" s="35" t="str">
        <f t="shared" si="10"/>
        <v>C00704:1</v>
      </c>
      <c r="D326" s="37" t="str">
        <f t="shared" si="11"/>
        <v>C00704 : Superoxide</v>
      </c>
    </row>
    <row r="327" spans="1:4">
      <c r="A327" s="33" t="s">
        <v>13634</v>
      </c>
      <c r="B327" s="33" t="s">
        <v>14325</v>
      </c>
      <c r="C327" s="35" t="str">
        <f t="shared" si="10"/>
        <v>C00705:1</v>
      </c>
      <c r="D327" s="37" t="str">
        <f t="shared" si="11"/>
        <v>C00705 : dCDP</v>
      </c>
    </row>
    <row r="328" spans="1:4">
      <c r="A328" s="33" t="s">
        <v>14041</v>
      </c>
      <c r="B328" s="33" t="s">
        <v>14326</v>
      </c>
      <c r="C328" s="35" t="str">
        <f t="shared" si="10"/>
        <v>C00718:1</v>
      </c>
      <c r="D328" s="37" t="str">
        <f t="shared" si="11"/>
        <v>C00718 : Amylose</v>
      </c>
    </row>
    <row r="329" spans="1:4">
      <c r="A329" s="33" t="s">
        <v>13206</v>
      </c>
      <c r="B329" s="33" t="s">
        <v>14779</v>
      </c>
      <c r="C329" s="35" t="str">
        <f t="shared" si="10"/>
        <v>C00719:1</v>
      </c>
      <c r="D329" s="37" t="str">
        <f t="shared" si="11"/>
        <v>C00719 : Betaine</v>
      </c>
    </row>
    <row r="330" spans="1:4">
      <c r="A330" s="33" t="s">
        <v>13418</v>
      </c>
      <c r="B330" s="33" t="s">
        <v>14780</v>
      </c>
      <c r="C330" s="35" t="str">
        <f t="shared" si="10"/>
        <v>C00721:1</v>
      </c>
      <c r="D330" s="37" t="str">
        <f t="shared" si="11"/>
        <v>C00721 : Dextrin</v>
      </c>
    </row>
    <row r="331" spans="1:4">
      <c r="A331" s="33" t="s">
        <v>13260</v>
      </c>
      <c r="B331" s="33" t="s">
        <v>14781</v>
      </c>
      <c r="C331" s="35" t="str">
        <f t="shared" si="10"/>
        <v>C00722:1</v>
      </c>
      <c r="D331" s="37" t="str">
        <f t="shared" si="11"/>
        <v>C00722 : Epoxide</v>
      </c>
    </row>
    <row r="332" spans="1:4">
      <c r="A332" s="33" t="s">
        <v>13929</v>
      </c>
      <c r="B332" s="33" t="s">
        <v>14782</v>
      </c>
      <c r="C332" s="35" t="str">
        <f t="shared" si="10"/>
        <v>C00739:1</v>
      </c>
      <c r="D332" s="37" t="str">
        <f t="shared" si="11"/>
        <v>C00739 : D-Lysine</v>
      </c>
    </row>
    <row r="333" spans="1:4">
      <c r="A333" s="33" t="s">
        <v>13312</v>
      </c>
      <c r="B333" s="33" t="s">
        <v>14783</v>
      </c>
      <c r="C333" s="35" t="str">
        <f t="shared" si="10"/>
        <v>C00740:1</v>
      </c>
      <c r="D333" s="37" t="str">
        <f t="shared" si="11"/>
        <v>C00740 : D-Serine</v>
      </c>
    </row>
    <row r="334" spans="1:4">
      <c r="A334" s="33" t="s">
        <v>13789</v>
      </c>
      <c r="B334" s="33" t="s">
        <v>14327</v>
      </c>
      <c r="C334" s="35" t="str">
        <f t="shared" si="10"/>
        <v>C00756:1</v>
      </c>
      <c r="D334" s="37" t="str">
        <f t="shared" si="11"/>
        <v>C00756 : 1-Octanol</v>
      </c>
    </row>
    <row r="335" spans="1:4">
      <c r="A335" s="33" t="s">
        <v>13814</v>
      </c>
      <c r="B335" s="33" t="s">
        <v>14328</v>
      </c>
      <c r="C335" s="35" t="str">
        <f t="shared" si="10"/>
        <v>C00772:1</v>
      </c>
      <c r="D335" s="37" t="str">
        <f t="shared" si="11"/>
        <v>C00772 : Mevaldate</v>
      </c>
    </row>
    <row r="336" spans="1:4">
      <c r="A336" s="33" t="s">
        <v>13576</v>
      </c>
      <c r="B336" s="33" t="s">
        <v>14784</v>
      </c>
      <c r="C336" s="35" t="str">
        <f t="shared" si="10"/>
        <v>C00785:1</v>
      </c>
      <c r="D336" s="37" t="str">
        <f t="shared" si="11"/>
        <v>C00785 : Urocanate</v>
      </c>
    </row>
    <row r="337" spans="1:4">
      <c r="A337" s="33" t="s">
        <v>13631</v>
      </c>
      <c r="B337" s="33" t="s">
        <v>14329</v>
      </c>
      <c r="C337" s="35" t="str">
        <f t="shared" si="10"/>
        <v>C00787:1</v>
      </c>
      <c r="D337" s="37" t="str">
        <f t="shared" si="11"/>
        <v>C00787 : tRNA(Tyr)</v>
      </c>
    </row>
    <row r="338" spans="1:4">
      <c r="A338" s="33" t="s">
        <v>13931</v>
      </c>
      <c r="B338" s="33" t="s">
        <v>14785</v>
      </c>
      <c r="C338" s="35" t="str">
        <f t="shared" si="10"/>
        <v>C00792:1</v>
      </c>
      <c r="D338" s="37" t="str">
        <f t="shared" si="11"/>
        <v>C00792 : D-Arginine</v>
      </c>
    </row>
    <row r="339" spans="1:4">
      <c r="A339" s="33" t="s">
        <v>13987</v>
      </c>
      <c r="B339" s="33" t="s">
        <v>14786</v>
      </c>
      <c r="C339" s="35" t="str">
        <f t="shared" si="10"/>
        <v>C00804:1</v>
      </c>
      <c r="D339" s="37" t="str">
        <f t="shared" si="11"/>
        <v>C00804 : Propynoate</v>
      </c>
    </row>
    <row r="340" spans="1:4">
      <c r="A340" s="33" t="s">
        <v>13426</v>
      </c>
      <c r="B340" s="33" t="s">
        <v>14787</v>
      </c>
      <c r="C340" s="35" t="str">
        <f t="shared" si="10"/>
        <v>C00810:1</v>
      </c>
      <c r="D340" s="37" t="str">
        <f t="shared" si="11"/>
        <v>C00810 : (R)-Acetoin</v>
      </c>
    </row>
    <row r="341" spans="1:4">
      <c r="A341" s="33" t="s">
        <v>13855</v>
      </c>
      <c r="B341" s="33" t="s">
        <v>14788</v>
      </c>
      <c r="C341" s="35" t="str">
        <f t="shared" si="10"/>
        <v>C00812:1</v>
      </c>
      <c r="D341" s="37" t="str">
        <f t="shared" si="11"/>
        <v>C00812 : Alkyl thiol</v>
      </c>
    </row>
    <row r="342" spans="1:4">
      <c r="A342" s="33" t="s">
        <v>14005</v>
      </c>
      <c r="B342" s="33" t="s">
        <v>14789</v>
      </c>
      <c r="C342" s="35" t="str">
        <f t="shared" si="10"/>
        <v>C00818:1</v>
      </c>
      <c r="D342" s="37" t="str">
        <f t="shared" si="11"/>
        <v>C00818 : D-Glucarate</v>
      </c>
    </row>
    <row r="343" spans="1:4">
      <c r="A343" s="33" t="s">
        <v>13909</v>
      </c>
      <c r="B343" s="33" t="s">
        <v>14330</v>
      </c>
      <c r="C343" s="35" t="str">
        <f t="shared" si="10"/>
        <v>C00819:1</v>
      </c>
      <c r="D343" s="37" t="str">
        <f t="shared" si="11"/>
        <v>C00819 : D-Glutamine</v>
      </c>
    </row>
    <row r="344" spans="1:4">
      <c r="A344" s="33" t="s">
        <v>13873</v>
      </c>
      <c r="B344" s="33" t="s">
        <v>14790</v>
      </c>
      <c r="C344" s="35" t="str">
        <f t="shared" si="10"/>
        <v>C00821:1</v>
      </c>
      <c r="D344" s="37" t="str">
        <f t="shared" si="11"/>
        <v>C00821 : DNA adenine</v>
      </c>
    </row>
    <row r="345" spans="1:4">
      <c r="A345" s="33" t="s">
        <v>9534</v>
      </c>
      <c r="B345" s="33" t="s">
        <v>14791</v>
      </c>
      <c r="C345" s="35" t="str">
        <f t="shared" si="10"/>
        <v>C00826:1</v>
      </c>
      <c r="D345" s="37" t="str">
        <f t="shared" si="11"/>
        <v>C00826 : L-Arogenate</v>
      </c>
    </row>
    <row r="346" spans="1:4">
      <c r="A346" s="33" t="s">
        <v>13390</v>
      </c>
      <c r="B346" s="33" t="s">
        <v>14792</v>
      </c>
      <c r="C346" s="35" t="str">
        <f t="shared" si="10"/>
        <v>C00828:1</v>
      </c>
      <c r="D346" s="37" t="str">
        <f t="shared" si="11"/>
        <v>C00828 : Menaquinone</v>
      </c>
    </row>
    <row r="347" spans="1:4">
      <c r="A347" s="33" t="s">
        <v>13540</v>
      </c>
      <c r="B347" s="33" t="s">
        <v>14331</v>
      </c>
      <c r="C347" s="35" t="str">
        <f t="shared" si="10"/>
        <v>C00831:1</v>
      </c>
      <c r="D347" s="37" t="str">
        <f t="shared" si="11"/>
        <v xml:space="preserve">C00831 : Pantethiene </v>
      </c>
    </row>
    <row r="348" spans="1:4">
      <c r="A348" s="33" t="s">
        <v>7983</v>
      </c>
      <c r="B348" s="33" t="s">
        <v>14332</v>
      </c>
      <c r="C348" s="35" t="str">
        <f t="shared" si="10"/>
        <v>C00842:1</v>
      </c>
      <c r="D348" s="37" t="str">
        <f t="shared" si="11"/>
        <v>C00842 : dTDP-glucose</v>
      </c>
    </row>
    <row r="349" spans="1:4">
      <c r="A349" s="33" t="s">
        <v>13437</v>
      </c>
      <c r="B349" s="33" t="s">
        <v>14333</v>
      </c>
      <c r="C349" s="35" t="str">
        <f t="shared" si="10"/>
        <v>C00857:1</v>
      </c>
      <c r="D349" s="37" t="str">
        <f t="shared" si="11"/>
        <v>C00857 : Deamino-NAD+</v>
      </c>
    </row>
    <row r="350" spans="1:4">
      <c r="A350" s="33" t="s">
        <v>13440</v>
      </c>
      <c r="B350" s="33" t="s">
        <v>14793</v>
      </c>
      <c r="C350" s="35" t="str">
        <f t="shared" si="10"/>
        <v>C00860:1</v>
      </c>
      <c r="D350" s="37" t="str">
        <f t="shared" si="11"/>
        <v>C00860 : L-Histidinol</v>
      </c>
    </row>
    <row r="351" spans="1:4">
      <c r="A351" s="33" t="s">
        <v>13538</v>
      </c>
      <c r="B351" s="33" t="s">
        <v>14334</v>
      </c>
      <c r="C351" s="35" t="str">
        <f t="shared" si="10"/>
        <v>C00864:1</v>
      </c>
      <c r="D351" s="37" t="str">
        <f t="shared" si="11"/>
        <v>C00864 : Pantothenate</v>
      </c>
    </row>
    <row r="352" spans="1:4">
      <c r="A352" s="33" t="s">
        <v>8110</v>
      </c>
      <c r="B352" s="33" t="s">
        <v>14335</v>
      </c>
      <c r="C352" s="35" t="str">
        <f t="shared" si="10"/>
        <v>C00868:1</v>
      </c>
      <c r="D352" s="37" t="str">
        <f t="shared" si="11"/>
        <v>C00868 : tRNA uridine</v>
      </c>
    </row>
    <row r="353" spans="1:4">
      <c r="A353" s="33" t="s">
        <v>14087</v>
      </c>
      <c r="B353" s="33" t="s">
        <v>14794</v>
      </c>
      <c r="C353" s="35" t="str">
        <f t="shared" si="10"/>
        <v>C00870:1</v>
      </c>
      <c r="D353" s="37" t="str">
        <f t="shared" si="11"/>
        <v>C00870 : 4-Nitrophenol</v>
      </c>
    </row>
    <row r="354" spans="1:4">
      <c r="A354" s="33" t="s">
        <v>13480</v>
      </c>
      <c r="B354" s="33" t="s">
        <v>14795</v>
      </c>
      <c r="C354" s="35" t="str">
        <f t="shared" si="10"/>
        <v>C00877:1</v>
      </c>
      <c r="D354" s="37" t="str">
        <f t="shared" si="11"/>
        <v>C00877 : Crotonoyl-CoA</v>
      </c>
    </row>
    <row r="355" spans="1:4">
      <c r="A355" s="33" t="s">
        <v>13400</v>
      </c>
      <c r="B355" s="33" t="s">
        <v>14336</v>
      </c>
      <c r="C355" s="35" t="str">
        <f t="shared" si="10"/>
        <v>C00881:1</v>
      </c>
      <c r="D355" s="37" t="str">
        <f t="shared" si="11"/>
        <v>C00881 : Deoxycytidine</v>
      </c>
    </row>
    <row r="356" spans="1:4">
      <c r="A356" s="33" t="s">
        <v>13610</v>
      </c>
      <c r="B356" s="33" t="s">
        <v>14337</v>
      </c>
      <c r="C356" s="35" t="str">
        <f t="shared" si="10"/>
        <v>C00882:1</v>
      </c>
      <c r="D356" s="37" t="str">
        <f t="shared" si="11"/>
        <v>C00882 : Dephospho-CoA</v>
      </c>
    </row>
    <row r="357" spans="1:4">
      <c r="A357" s="33" t="s">
        <v>8487</v>
      </c>
      <c r="B357" s="33" t="s">
        <v>14796</v>
      </c>
      <c r="C357" s="35" t="str">
        <f t="shared" si="10"/>
        <v>C00885:1</v>
      </c>
      <c r="D357" s="37" t="str">
        <f t="shared" si="11"/>
        <v>C00885 : Isochorismate</v>
      </c>
    </row>
    <row r="358" spans="1:4">
      <c r="A358" s="33" t="s">
        <v>13676</v>
      </c>
      <c r="B358" s="33" t="s">
        <v>14338</v>
      </c>
      <c r="C358" s="35" t="str">
        <f t="shared" si="10"/>
        <v>C00886:1</v>
      </c>
      <c r="D358" s="37" t="str">
        <f t="shared" si="11"/>
        <v>C00886 : L-Alanyl-tRNA</v>
      </c>
    </row>
    <row r="359" spans="1:4">
      <c r="A359" s="33" t="s">
        <v>13481</v>
      </c>
      <c r="B359" s="33" t="s">
        <v>14797</v>
      </c>
      <c r="C359" s="35" t="str">
        <f t="shared" si="10"/>
        <v>C00894:1</v>
      </c>
      <c r="D359" s="37" t="str">
        <f t="shared" si="11"/>
        <v>C00894 : Propenoyl-CoA</v>
      </c>
    </row>
    <row r="360" spans="1:4">
      <c r="A360" s="33" t="s">
        <v>13220</v>
      </c>
      <c r="B360" s="33" t="s">
        <v>14798</v>
      </c>
      <c r="C360" s="35" t="str">
        <f t="shared" si="10"/>
        <v>C00900:1</v>
      </c>
      <c r="D360" s="37" t="str">
        <f t="shared" si="11"/>
        <v>C00900 : 2-Acetolactate</v>
      </c>
    </row>
    <row r="361" spans="1:4">
      <c r="A361" s="33" t="s">
        <v>13819</v>
      </c>
      <c r="B361" s="33" t="s">
        <v>14339</v>
      </c>
      <c r="C361" s="35" t="str">
        <f t="shared" si="10"/>
        <v>C00911:1</v>
      </c>
      <c r="D361" s="37" t="str">
        <f t="shared" si="11"/>
        <v>C00911 : Ribonucleoside</v>
      </c>
    </row>
    <row r="362" spans="1:4">
      <c r="A362" s="33" t="s">
        <v>13892</v>
      </c>
      <c r="B362" s="33" t="s">
        <v>14799</v>
      </c>
      <c r="C362" s="35" t="str">
        <f t="shared" si="10"/>
        <v>C00921:1</v>
      </c>
      <c r="D362" s="37" t="str">
        <f t="shared" si="11"/>
        <v>C00921 : Dihydropteroate</v>
      </c>
    </row>
    <row r="363" spans="1:4">
      <c r="A363" s="33" t="s">
        <v>13322</v>
      </c>
      <c r="B363" s="33" t="s">
        <v>14800</v>
      </c>
      <c r="C363" s="35" t="str">
        <f t="shared" si="10"/>
        <v>C00931:1</v>
      </c>
      <c r="D363" s="37" t="str">
        <f t="shared" si="11"/>
        <v>C00931 : Porphobilinogen</v>
      </c>
    </row>
    <row r="364" spans="1:4">
      <c r="A364" s="33" t="s">
        <v>14062</v>
      </c>
      <c r="B364" s="33" t="s">
        <v>14340</v>
      </c>
      <c r="C364" s="35" t="str">
        <f t="shared" si="10"/>
        <v>C00934:1</v>
      </c>
      <c r="D364" s="37" t="str">
        <f t="shared" si="11"/>
        <v>C00934 : sugar phosphate</v>
      </c>
    </row>
    <row r="365" spans="1:4">
      <c r="A365" s="33" t="s">
        <v>9501</v>
      </c>
      <c r="B365" s="33" t="s">
        <v>14801</v>
      </c>
      <c r="C365" s="35" t="str">
        <f t="shared" si="10"/>
        <v>C00935:1</v>
      </c>
      <c r="D365" s="37" t="str">
        <f t="shared" si="11"/>
        <v>C00935 : UDP-L-arabinose</v>
      </c>
    </row>
    <row r="366" spans="1:4">
      <c r="A366" s="33" t="s">
        <v>13879</v>
      </c>
      <c r="B366" s="33" t="s">
        <v>14802</v>
      </c>
      <c r="C366" s="35" t="str">
        <f t="shared" si="10"/>
        <v>C00937:1</v>
      </c>
      <c r="D366" s="37" t="str">
        <f t="shared" si="11"/>
        <v>C00937 : (R)-Lactaldehyde</v>
      </c>
    </row>
    <row r="367" spans="1:4">
      <c r="A367" s="33" t="s">
        <v>13979</v>
      </c>
      <c r="B367" s="33" t="s">
        <v>14803</v>
      </c>
      <c r="C367" s="35" t="str">
        <f t="shared" si="10"/>
        <v>C00940:1</v>
      </c>
      <c r="D367" s="37" t="str">
        <f t="shared" si="11"/>
        <v>C00940 : 2-Oxoglutaramate</v>
      </c>
    </row>
    <row r="368" spans="1:4">
      <c r="A368" s="33" t="s">
        <v>13268</v>
      </c>
      <c r="B368" s="33" t="s">
        <v>14804</v>
      </c>
      <c r="C368" s="35" t="str">
        <f t="shared" si="10"/>
        <v>C00942:1</v>
      </c>
      <c r="D368" s="37" t="str">
        <f t="shared" si="11"/>
        <v>C00942 : 3',5'-Cyclic GMP</v>
      </c>
    </row>
    <row r="369" spans="1:4">
      <c r="A369" s="33" t="s">
        <v>8750</v>
      </c>
      <c r="B369" s="33" t="s">
        <v>14805</v>
      </c>
      <c r="C369" s="35" t="str">
        <f t="shared" si="10"/>
        <v>C00944:1</v>
      </c>
      <c r="D369" s="37" t="str">
        <f t="shared" si="11"/>
        <v>C00944 : 3-Dehydroquinate</v>
      </c>
    </row>
    <row r="370" spans="1:4">
      <c r="A370" s="33" t="s">
        <v>13985</v>
      </c>
      <c r="B370" s="33" t="s">
        <v>14806</v>
      </c>
      <c r="C370" s="35" t="str">
        <f t="shared" si="10"/>
        <v>C00954:1</v>
      </c>
      <c r="D370" s="37" t="str">
        <f t="shared" si="11"/>
        <v>C00954 : Indole-3-acetate</v>
      </c>
    </row>
    <row r="371" spans="1:4">
      <c r="A371" s="33" t="s">
        <v>13978</v>
      </c>
      <c r="B371" s="33" t="s">
        <v>14341</v>
      </c>
      <c r="C371" s="35" t="str">
        <f t="shared" si="10"/>
        <v>C00957:1</v>
      </c>
      <c r="D371" s="37" t="str">
        <f t="shared" si="11"/>
        <v>C00957 : Mercaptopyruvate</v>
      </c>
    </row>
    <row r="372" spans="1:4">
      <c r="A372" s="33" t="s">
        <v>9684</v>
      </c>
      <c r="B372" s="33" t="s">
        <v>14807</v>
      </c>
      <c r="C372" s="35" t="str">
        <f t="shared" si="10"/>
        <v>C00966:1</v>
      </c>
      <c r="D372" s="37" t="str">
        <f t="shared" si="11"/>
        <v>C00966 : 2-Dehydropantoate</v>
      </c>
    </row>
    <row r="373" spans="1:4">
      <c r="A373" s="33" t="s">
        <v>13924</v>
      </c>
      <c r="B373" s="33" t="s">
        <v>14342</v>
      </c>
      <c r="C373" s="35" t="str">
        <f t="shared" si="10"/>
        <v>C00979:1</v>
      </c>
      <c r="D373" s="37" t="str">
        <f t="shared" si="11"/>
        <v>C00979 : O-Acetyl-L-serine</v>
      </c>
    </row>
    <row r="374" spans="1:4">
      <c r="A374" s="33" t="s">
        <v>10304</v>
      </c>
      <c r="B374" s="33" t="s">
        <v>14343</v>
      </c>
      <c r="C374" s="35" t="str">
        <f t="shared" si="10"/>
        <v>C00984:1</v>
      </c>
      <c r="D374" s="37" t="str">
        <f t="shared" si="11"/>
        <v>C00984 : alpha-D-Galactose</v>
      </c>
    </row>
    <row r="375" spans="1:4">
      <c r="A375" s="33" t="s">
        <v>13607</v>
      </c>
      <c r="B375" s="33" t="s">
        <v>14344</v>
      </c>
      <c r="C375" s="35" t="str">
        <f t="shared" si="10"/>
        <v>C00993:1</v>
      </c>
      <c r="D375" s="37" t="str">
        <f t="shared" si="11"/>
        <v>C00993 : D-Alanyl-D-alanine</v>
      </c>
    </row>
    <row r="376" spans="1:4">
      <c r="A376" s="33" t="s">
        <v>13586</v>
      </c>
      <c r="B376" s="33" t="s">
        <v>14808</v>
      </c>
      <c r="C376" s="35" t="str">
        <f t="shared" si="10"/>
        <v>C00997:1</v>
      </c>
      <c r="D376" s="37" t="str">
        <f t="shared" si="11"/>
        <v>C00997 : Ferricytochrome c2</v>
      </c>
    </row>
    <row r="377" spans="1:4">
      <c r="A377" s="33" t="s">
        <v>13587</v>
      </c>
      <c r="B377" s="33" t="s">
        <v>14809</v>
      </c>
      <c r="C377" s="35" t="str">
        <f t="shared" si="10"/>
        <v>C01000:1</v>
      </c>
      <c r="D377" s="37" t="str">
        <f t="shared" si="11"/>
        <v>C01000 : Ferrocytochrome c2</v>
      </c>
    </row>
    <row r="378" spans="1:4">
      <c r="A378" s="33" t="s">
        <v>13310</v>
      </c>
      <c r="B378" s="33" t="s">
        <v>14345</v>
      </c>
      <c r="C378" s="35" t="str">
        <f t="shared" si="10"/>
        <v>C01005:1</v>
      </c>
      <c r="D378" s="37" t="str">
        <f t="shared" si="11"/>
        <v>C01005 : O-Phospho-L-serine</v>
      </c>
    </row>
    <row r="379" spans="1:4">
      <c r="A379" s="33" t="s">
        <v>13315</v>
      </c>
      <c r="B379" s="33" t="s">
        <v>14810</v>
      </c>
      <c r="C379" s="35" t="str">
        <f t="shared" si="10"/>
        <v>C01024:1</v>
      </c>
      <c r="D379" s="37" t="str">
        <f t="shared" si="11"/>
        <v>C01024 : Hydroxymethylbilane</v>
      </c>
    </row>
    <row r="380" spans="1:4">
      <c r="A380" s="33" t="s">
        <v>13910</v>
      </c>
      <c r="B380" s="33" t="s">
        <v>14811</v>
      </c>
      <c r="C380" s="35" t="str">
        <f t="shared" si="10"/>
        <v>C01037:1</v>
      </c>
      <c r="D380" s="37" t="str">
        <f t="shared" si="11"/>
        <v>C01037 : 7,8-Diaminononanoate</v>
      </c>
    </row>
    <row r="381" spans="1:4">
      <c r="A381" s="33" t="s">
        <v>13298</v>
      </c>
      <c r="B381" s="33" t="s">
        <v>14346</v>
      </c>
      <c r="C381" s="35" t="str">
        <f t="shared" si="10"/>
        <v>C01050:1</v>
      </c>
      <c r="D381" s="37" t="str">
        <f t="shared" si="11"/>
        <v>C01050 : UDP-N-acetylmuramate</v>
      </c>
    </row>
    <row r="382" spans="1:4">
      <c r="A382" s="33" t="s">
        <v>8044</v>
      </c>
      <c r="B382" s="33" t="s">
        <v>14812</v>
      </c>
      <c r="C382" s="35" t="str">
        <f t="shared" si="10"/>
        <v>C01051:1</v>
      </c>
      <c r="D382" s="37" t="str">
        <f t="shared" si="11"/>
        <v>C01051 : Uroporphyrinogen III</v>
      </c>
    </row>
    <row r="383" spans="1:4">
      <c r="A383" s="33" t="s">
        <v>13830</v>
      </c>
      <c r="B383" s="33" t="s">
        <v>14813</v>
      </c>
      <c r="C383" s="35" t="str">
        <f t="shared" si="10"/>
        <v>C01063:1</v>
      </c>
      <c r="D383" s="37" t="str">
        <f t="shared" si="11"/>
        <v>C01063 : Pimeloyl-CoA</v>
      </c>
    </row>
    <row r="384" spans="1:4">
      <c r="A384" s="33" t="s">
        <v>13358</v>
      </c>
      <c r="B384" s="33" t="s">
        <v>14814</v>
      </c>
      <c r="C384" s="35" t="str">
        <f t="shared" si="10"/>
        <v>C01077:1</v>
      </c>
      <c r="D384" s="37" t="str">
        <f t="shared" si="11"/>
        <v>C01077 : O-Acetyl-L-homoserine</v>
      </c>
    </row>
    <row r="385" spans="1:4">
      <c r="A385" s="33" t="s">
        <v>13325</v>
      </c>
      <c r="B385" s="33" t="s">
        <v>14815</v>
      </c>
      <c r="C385" s="35" t="str">
        <f t="shared" ref="C385:C448" si="12">CONCATENATE(A385,":","1")</f>
        <v>C01079:1</v>
      </c>
      <c r="D385" s="37" t="str">
        <f t="shared" si="11"/>
        <v>C01079 : Protoporphyrinogen IX</v>
      </c>
    </row>
    <row r="386" spans="1:4">
      <c r="A386" s="33" t="s">
        <v>13608</v>
      </c>
      <c r="B386" s="33" t="s">
        <v>14816</v>
      </c>
      <c r="C386" s="35" t="str">
        <f t="shared" si="12"/>
        <v>C01081:1</v>
      </c>
      <c r="D386" s="37" t="str">
        <f t="shared" si="11"/>
        <v>C01081 : Thiamin monophosphate</v>
      </c>
    </row>
    <row r="387" spans="1:4">
      <c r="A387" s="33" t="s">
        <v>13282</v>
      </c>
      <c r="B387" s="33" t="s">
        <v>14817</v>
      </c>
      <c r="C387" s="35" t="str">
        <f t="shared" si="12"/>
        <v>C01083:1</v>
      </c>
      <c r="D387" s="37" t="str">
        <f t="shared" ref="D387:D450" si="13">CONCATENATE(A387," : ",B387)</f>
        <v>C01083 : alpha,alpha-Trehalose</v>
      </c>
    </row>
    <row r="388" spans="1:4">
      <c r="A388" s="33" t="s">
        <v>10367</v>
      </c>
      <c r="B388" s="33" t="s">
        <v>14818</v>
      </c>
      <c r="C388" s="35" t="str">
        <f t="shared" si="12"/>
        <v>C01086:1</v>
      </c>
      <c r="D388" s="37" t="str">
        <f t="shared" si="13"/>
        <v>C01086 : (3R)-3-Hydroxyacyl-CoA</v>
      </c>
    </row>
    <row r="389" spans="1:4">
      <c r="A389" s="33" t="s">
        <v>13831</v>
      </c>
      <c r="B389" s="33" t="s">
        <v>14819</v>
      </c>
      <c r="C389" s="35" t="str">
        <f t="shared" si="12"/>
        <v>C01092:1</v>
      </c>
      <c r="D389" s="37" t="str">
        <f t="shared" si="13"/>
        <v>C01092 : 8-Amino-7-oxononanoate</v>
      </c>
    </row>
    <row r="390" spans="1:4">
      <c r="A390" s="33" t="s">
        <v>9998</v>
      </c>
      <c r="B390" s="33" t="s">
        <v>14347</v>
      </c>
      <c r="C390" s="35" t="str">
        <f t="shared" si="12"/>
        <v>C01094:1</v>
      </c>
      <c r="D390" s="37" t="str">
        <f t="shared" si="13"/>
        <v>C01094 : D-Fructose 1-phosphate</v>
      </c>
    </row>
    <row r="391" spans="1:4">
      <c r="A391" s="33" t="s">
        <v>13598</v>
      </c>
      <c r="B391" s="33" t="s">
        <v>14348</v>
      </c>
      <c r="C391" s="35" t="str">
        <f t="shared" si="12"/>
        <v>C01097:1</v>
      </c>
      <c r="D391" s="37" t="str">
        <f t="shared" si="13"/>
        <v>C01097 : D-Tagatose 6-phosphate</v>
      </c>
    </row>
    <row r="392" spans="1:4">
      <c r="A392" s="33" t="s">
        <v>13439</v>
      </c>
      <c r="B392" s="33" t="s">
        <v>14820</v>
      </c>
      <c r="C392" s="35" t="str">
        <f t="shared" si="12"/>
        <v>C01100:1</v>
      </c>
      <c r="D392" s="37" t="str">
        <f t="shared" si="13"/>
        <v>C01100 : L-Histidinol phosphate</v>
      </c>
    </row>
    <row r="393" spans="1:4">
      <c r="A393" s="33" t="s">
        <v>13581</v>
      </c>
      <c r="B393" s="33" t="s">
        <v>14349</v>
      </c>
      <c r="C393" s="35" t="str">
        <f t="shared" si="12"/>
        <v>C01102:1</v>
      </c>
      <c r="D393" s="37" t="str">
        <f t="shared" si="13"/>
        <v>C01102 : O-Phospho-L-homoserine</v>
      </c>
    </row>
    <row r="394" spans="1:4">
      <c r="A394" s="33" t="s">
        <v>13975</v>
      </c>
      <c r="B394" s="33" t="s">
        <v>14350</v>
      </c>
      <c r="C394" s="35" t="str">
        <f t="shared" si="12"/>
        <v>C01103:1</v>
      </c>
      <c r="D394" s="37" t="str">
        <f t="shared" si="13"/>
        <v xml:space="preserve">C01103 : Orotidine 5'-phosphate </v>
      </c>
    </row>
    <row r="395" spans="1:4">
      <c r="A395" s="33" t="s">
        <v>13928</v>
      </c>
      <c r="B395" s="33" t="s">
        <v>14821</v>
      </c>
      <c r="C395" s="35" t="str">
        <f t="shared" si="12"/>
        <v>C01110:1</v>
      </c>
      <c r="D395" s="37" t="str">
        <f t="shared" si="13"/>
        <v>C01110 : 5-Amino-2-oxopentanoic acid</v>
      </c>
    </row>
    <row r="396" spans="1:4">
      <c r="A396" s="33" t="s">
        <v>13905</v>
      </c>
      <c r="B396" s="33" t="s">
        <v>14822</v>
      </c>
      <c r="C396" s="35" t="str">
        <f t="shared" si="12"/>
        <v>C01118:1</v>
      </c>
      <c r="D396" s="37" t="str">
        <f t="shared" si="13"/>
        <v>C01118 : O-Succinyl-L-homoserine</v>
      </c>
    </row>
    <row r="397" spans="1:4">
      <c r="A397" s="33" t="s">
        <v>13496</v>
      </c>
      <c r="B397" s="33" t="s">
        <v>14823</v>
      </c>
      <c r="C397" s="35" t="str">
        <f t="shared" si="12"/>
        <v>C01122:1</v>
      </c>
      <c r="D397" s="37" t="str">
        <f t="shared" si="13"/>
        <v>C01122 : cis-2,3-Dehydroacyl-CoA</v>
      </c>
    </row>
    <row r="398" spans="1:4">
      <c r="A398" s="33" t="s">
        <v>14014</v>
      </c>
      <c r="B398" s="33" t="s">
        <v>14824</v>
      </c>
      <c r="C398" s="35" t="str">
        <f t="shared" si="12"/>
        <v>C01132:1</v>
      </c>
      <c r="D398" s="37" t="str">
        <f t="shared" si="13"/>
        <v>C01132 : N-Acetyl-D-galactosamine</v>
      </c>
    </row>
    <row r="399" spans="1:4">
      <c r="A399" s="33" t="s">
        <v>13541</v>
      </c>
      <c r="B399" s="33" t="s">
        <v>14351</v>
      </c>
      <c r="C399" s="35" t="str">
        <f t="shared" si="12"/>
        <v>C01134:1</v>
      </c>
      <c r="D399" s="37" t="str">
        <f t="shared" si="13"/>
        <v>C01134 : Pantetheine 4'-phosphate</v>
      </c>
    </row>
    <row r="400" spans="1:4">
      <c r="A400" s="33" t="s">
        <v>10340</v>
      </c>
      <c r="B400" s="33" t="s">
        <v>14825</v>
      </c>
      <c r="C400" s="35" t="str">
        <f t="shared" si="12"/>
        <v>C01144:1</v>
      </c>
      <c r="D400" s="37" t="str">
        <f t="shared" si="13"/>
        <v>C01144 : (S)-3-Hydroxybutanoyl-CoA</v>
      </c>
    </row>
    <row r="401" spans="1:4">
      <c r="A401" s="33" t="s">
        <v>13988</v>
      </c>
      <c r="B401" s="33" t="s">
        <v>14826</v>
      </c>
      <c r="C401" s="35" t="str">
        <f t="shared" si="12"/>
        <v>C01149:1</v>
      </c>
      <c r="D401" s="37" t="str">
        <f t="shared" si="13"/>
        <v>C01149 : 4-Trimethylammoniobutanal</v>
      </c>
    </row>
    <row r="402" spans="1:4">
      <c r="A402" s="33" t="s">
        <v>14084</v>
      </c>
      <c r="B402" s="33" t="s">
        <v>14827</v>
      </c>
      <c r="C402" s="35" t="str">
        <f t="shared" si="12"/>
        <v>C01153:1</v>
      </c>
      <c r="D402" s="37" t="str">
        <f t="shared" si="13"/>
        <v>C01153 : Orthophosphoric monoester</v>
      </c>
    </row>
    <row r="403" spans="1:4">
      <c r="A403" s="33" t="s">
        <v>13308</v>
      </c>
      <c r="B403" s="33" t="s">
        <v>14828</v>
      </c>
      <c r="C403" s="35" t="str">
        <f t="shared" si="12"/>
        <v>C01157:1</v>
      </c>
      <c r="D403" s="37" t="str">
        <f t="shared" si="13"/>
        <v>C01157 : Hydroxyproline</v>
      </c>
    </row>
    <row r="404" spans="1:4">
      <c r="A404" s="33" t="s">
        <v>8279</v>
      </c>
      <c r="B404" s="33" t="s">
        <v>14829</v>
      </c>
      <c r="C404" s="35" t="str">
        <f t="shared" si="12"/>
        <v>C01163:1</v>
      </c>
      <c r="D404" s="37" t="str">
        <f t="shared" si="13"/>
        <v>C01163 : 3-Carboxy-cis,cis-muconate</v>
      </c>
    </row>
    <row r="405" spans="1:4">
      <c r="A405" s="33" t="s">
        <v>13875</v>
      </c>
      <c r="B405" s="33" t="s">
        <v>14830</v>
      </c>
      <c r="C405" s="35" t="str">
        <f t="shared" si="12"/>
        <v>C01165:1</v>
      </c>
      <c r="D405" s="37" t="str">
        <f t="shared" si="13"/>
        <v>C01165 : L-Glutamate 5-semialdehyde</v>
      </c>
    </row>
    <row r="406" spans="1:4">
      <c r="A406" s="33" t="s">
        <v>10331</v>
      </c>
      <c r="B406" s="33" t="s">
        <v>14352</v>
      </c>
      <c r="C406" s="35" t="str">
        <f t="shared" si="12"/>
        <v>C01172:1</v>
      </c>
      <c r="D406" s="37" t="str">
        <f t="shared" si="13"/>
        <v>C01172 : beta-D-Glucose 6-phosphate</v>
      </c>
    </row>
    <row r="407" spans="1:4">
      <c r="A407" s="33" t="s">
        <v>13443</v>
      </c>
      <c r="B407" s="33" t="s">
        <v>14831</v>
      </c>
      <c r="C407" s="35" t="str">
        <f t="shared" si="12"/>
        <v>C01177:1</v>
      </c>
      <c r="D407" s="37" t="str">
        <f t="shared" si="13"/>
        <v>C01177 : Inositol 1-phosphate</v>
      </c>
    </row>
    <row r="408" spans="1:4">
      <c r="A408" s="33" t="s">
        <v>13733</v>
      </c>
      <c r="B408" s="33" t="s">
        <v>14353</v>
      </c>
      <c r="C408" s="35" t="str">
        <f t="shared" si="12"/>
        <v>C01179:1</v>
      </c>
      <c r="D408" s="37" t="str">
        <f t="shared" si="13"/>
        <v>C01179 : 3-(4-Hydroxyphenyl)pyruvate</v>
      </c>
    </row>
    <row r="409" spans="1:4">
      <c r="A409" s="33" t="s">
        <v>13989</v>
      </c>
      <c r="B409" s="33" t="s">
        <v>14832</v>
      </c>
      <c r="C409" s="35" t="str">
        <f t="shared" si="12"/>
        <v>C01181:1</v>
      </c>
      <c r="D409" s="37" t="str">
        <f t="shared" si="13"/>
        <v>C01181 : 4-Trimethylammoniobutanoate</v>
      </c>
    </row>
    <row r="410" spans="1:4">
      <c r="A410" s="33" t="s">
        <v>13438</v>
      </c>
      <c r="B410" s="33" t="s">
        <v>14354</v>
      </c>
      <c r="C410" s="35" t="str">
        <f t="shared" si="12"/>
        <v>C01185:1</v>
      </c>
      <c r="D410" s="37" t="str">
        <f t="shared" si="13"/>
        <v>C01185 : Nicotinate D-ribonucleotide</v>
      </c>
    </row>
    <row r="411" spans="1:4">
      <c r="A411" s="33" t="s">
        <v>13327</v>
      </c>
      <c r="B411" s="33" t="s">
        <v>14833</v>
      </c>
      <c r="C411" s="35" t="str">
        <f t="shared" si="12"/>
        <v>C01188:1</v>
      </c>
      <c r="D411" s="37" t="str">
        <f t="shared" si="13"/>
        <v>C01188 : 3-Hydroxy-2-methylpropanoate</v>
      </c>
    </row>
    <row r="412" spans="1:4">
      <c r="A412" s="33" t="s">
        <v>13688</v>
      </c>
      <c r="B412" s="33" t="s">
        <v>14834</v>
      </c>
      <c r="C412" s="35" t="str">
        <f t="shared" si="12"/>
        <v>C01194:1</v>
      </c>
      <c r="D412" s="37" t="str">
        <f t="shared" si="13"/>
        <v>C01194 : 1-Phosphatidyl-D-myo-inositol</v>
      </c>
    </row>
    <row r="413" spans="1:4">
      <c r="A413" s="33" t="s">
        <v>14048</v>
      </c>
      <c r="B413" s="33" t="s">
        <v>14835</v>
      </c>
      <c r="C413" s="35" t="str">
        <f t="shared" si="12"/>
        <v>C01209:1</v>
      </c>
      <c r="D413" s="37" t="str">
        <f t="shared" si="13"/>
        <v>C01209 : Malonyl-[acyl-carrier protein]</v>
      </c>
    </row>
    <row r="414" spans="1:4">
      <c r="A414" s="33" t="s">
        <v>13740</v>
      </c>
      <c r="B414" s="33" t="s">
        <v>14355</v>
      </c>
      <c r="C414" s="35" t="str">
        <f t="shared" si="12"/>
        <v>C01212:1</v>
      </c>
      <c r="D414" s="37" t="str">
        <f t="shared" si="13"/>
        <v>C01212 : UDP-N-acetylmuramoyl-L-alanine</v>
      </c>
    </row>
    <row r="415" spans="1:4">
      <c r="A415" s="33" t="s">
        <v>13544</v>
      </c>
      <c r="B415" s="33" t="s">
        <v>14356</v>
      </c>
      <c r="C415" s="35" t="str">
        <f t="shared" si="12"/>
        <v>C01217:1</v>
      </c>
      <c r="D415" s="37" t="str">
        <f t="shared" si="13"/>
        <v>C01217 : 5,6,7,8-Tetrahydromethanopterin</v>
      </c>
    </row>
    <row r="416" spans="1:4">
      <c r="A416" s="33" t="s">
        <v>13305</v>
      </c>
      <c r="B416" s="33" t="s">
        <v>14836</v>
      </c>
      <c r="C416" s="35" t="str">
        <f t="shared" si="12"/>
        <v>C01228:1</v>
      </c>
      <c r="D416" s="37" t="str">
        <f t="shared" si="13"/>
        <v>C01228 : Guanosine 3',5'-bis(diphosphate)</v>
      </c>
    </row>
    <row r="417" spans="1:4">
      <c r="A417" s="33" t="s">
        <v>13345</v>
      </c>
      <c r="B417" s="33" t="s">
        <v>14837</v>
      </c>
      <c r="C417" s="35" t="str">
        <f t="shared" si="12"/>
        <v>C01229:1</v>
      </c>
      <c r="D417" s="37" t="str">
        <f t="shared" si="13"/>
        <v>C01229 : Phospholipid olefinic fatty acid</v>
      </c>
    </row>
    <row r="418" spans="1:4">
      <c r="A418" s="33" t="s">
        <v>14075</v>
      </c>
      <c r="B418" s="33" t="s">
        <v>14838</v>
      </c>
      <c r="C418" s="35" t="str">
        <f t="shared" si="12"/>
        <v>C01233:1</v>
      </c>
      <c r="D418" s="37" t="str">
        <f t="shared" si="13"/>
        <v>C01233 : sn-Glycero-3-phosphoethanolamine</v>
      </c>
    </row>
    <row r="419" spans="1:4">
      <c r="A419" s="33" t="s">
        <v>13654</v>
      </c>
      <c r="B419" s="33" t="s">
        <v>14357</v>
      </c>
      <c r="C419" s="35" t="str">
        <f t="shared" si="12"/>
        <v>C01236:1</v>
      </c>
      <c r="D419" s="37" t="str">
        <f t="shared" si="13"/>
        <v>C01236 : D-Glucono-1,5-lactone 6-phosphate</v>
      </c>
    </row>
    <row r="420" spans="1:4">
      <c r="A420" s="33" t="s">
        <v>13770</v>
      </c>
      <c r="B420" s="33" t="s">
        <v>14839</v>
      </c>
      <c r="C420" s="35" t="str">
        <f t="shared" si="12"/>
        <v>C01242:1</v>
      </c>
      <c r="D420" s="37" t="str">
        <f t="shared" si="13"/>
        <v>C01242 : [Protein]-S8-aminomethyldihydrolipoyllysine</v>
      </c>
    </row>
    <row r="421" spans="1:4">
      <c r="A421" s="33" t="s">
        <v>13614</v>
      </c>
      <c r="B421" s="33" t="s">
        <v>14840</v>
      </c>
      <c r="C421" s="35" t="str">
        <f t="shared" si="12"/>
        <v>C01250:1</v>
      </c>
      <c r="D421" s="37" t="str">
        <f t="shared" si="13"/>
        <v>C01250 : N-Acetyl-L-glutamate 5-semialdehyde</v>
      </c>
    </row>
    <row r="422" spans="1:4">
      <c r="A422" s="33" t="s">
        <v>13694</v>
      </c>
      <c r="B422" s="33" t="s">
        <v>14358</v>
      </c>
      <c r="C422" s="35" t="str">
        <f t="shared" si="12"/>
        <v>C01260:1</v>
      </c>
      <c r="D422" s="37" t="str">
        <f t="shared" si="13"/>
        <v>C01260 : P1,P4-Bis(5'-adenosyl)tetraphosphate</v>
      </c>
    </row>
    <row r="423" spans="1:4">
      <c r="A423" s="33" t="s">
        <v>13731</v>
      </c>
      <c r="B423" s="33" t="s">
        <v>14841</v>
      </c>
      <c r="C423" s="35" t="str">
        <f t="shared" si="12"/>
        <v>C01267:1</v>
      </c>
      <c r="D423" s="37" t="str">
        <f t="shared" si="13"/>
        <v>C01267 : 3-(Imidazol-4-yl)-2-oxopropyl phosphate</v>
      </c>
    </row>
    <row r="424" spans="1:4">
      <c r="A424" s="33" t="s">
        <v>8762</v>
      </c>
      <c r="B424" s="33" t="s">
        <v>14842</v>
      </c>
      <c r="C424" s="35" t="str">
        <f t="shared" si="12"/>
        <v>C01269:1</v>
      </c>
      <c r="D424" s="37" t="str">
        <f t="shared" si="13"/>
        <v>C01269 : 5-O-(1-Carboxyvinyl)-3-phosphoshikimate</v>
      </c>
    </row>
    <row r="425" spans="1:4">
      <c r="A425" s="33" t="s">
        <v>13502</v>
      </c>
      <c r="B425" s="33" t="s">
        <v>14843</v>
      </c>
      <c r="C425" s="35" t="str">
        <f t="shared" si="12"/>
        <v>C01271:1</v>
      </c>
      <c r="D425" s="37" t="str">
        <f t="shared" si="13"/>
        <v>C01271 : (3R)-3-Hydroxyacyl-[acyl-carrier protein]</v>
      </c>
    </row>
    <row r="426" spans="1:4">
      <c r="A426" s="33" t="s">
        <v>8278</v>
      </c>
      <c r="B426" s="33" t="s">
        <v>14844</v>
      </c>
      <c r="C426" s="35" t="str">
        <f t="shared" si="12"/>
        <v>C01278:1</v>
      </c>
      <c r="D426" s="37" t="str">
        <f t="shared" si="13"/>
        <v>C01278 : 2-Carboxy-2,5-dihydro-5-oxofuran-2-acetate</v>
      </c>
    </row>
    <row r="427" spans="1:4">
      <c r="A427" s="33" t="s">
        <v>13637</v>
      </c>
      <c r="B427" s="33" t="s">
        <v>14359</v>
      </c>
      <c r="C427" s="35" t="str">
        <f t="shared" si="12"/>
        <v>C01279:1</v>
      </c>
      <c r="D427" s="37" t="str">
        <f t="shared" si="13"/>
        <v>C01279 : 4-Amino-5-hydroxymethyl-2-methylpyrimidine</v>
      </c>
    </row>
    <row r="428" spans="1:4">
      <c r="A428" s="33" t="s">
        <v>13782</v>
      </c>
      <c r="B428" s="33" t="s">
        <v>14845</v>
      </c>
      <c r="C428" s="35" t="str">
        <f t="shared" si="12"/>
        <v>C01281:1</v>
      </c>
      <c r="D428" s="37" t="str">
        <f t="shared" si="13"/>
        <v>C01281 : [L-Glutamate:ammonia ligase (ADP-forming)]</v>
      </c>
    </row>
    <row r="429" spans="1:4">
      <c r="A429" s="33" t="s">
        <v>14013</v>
      </c>
      <c r="B429" s="33" t="s">
        <v>14846</v>
      </c>
      <c r="C429" s="35" t="str">
        <f t="shared" si="12"/>
        <v>C01290:1</v>
      </c>
      <c r="D429" s="37" t="str">
        <f t="shared" si="13"/>
        <v>C01290 : Lactosylceramide</v>
      </c>
    </row>
    <row r="430" spans="1:4">
      <c r="A430" s="33" t="s">
        <v>13783</v>
      </c>
      <c r="B430" s="33" t="s">
        <v>14847</v>
      </c>
      <c r="C430" s="35" t="str">
        <f t="shared" si="12"/>
        <v>C01299:1</v>
      </c>
      <c r="D430" s="37" t="str">
        <f t="shared" si="13"/>
        <v>C01299 : Adenylyl-[L-glutamate:ammonia ligase (ADP-forming)]</v>
      </c>
    </row>
    <row r="431" spans="1:4">
      <c r="A431" s="33" t="s">
        <v>13955</v>
      </c>
      <c r="B431" s="33" t="s">
        <v>14848</v>
      </c>
      <c r="C431" s="35" t="str">
        <f t="shared" si="12"/>
        <v>C01300:1</v>
      </c>
      <c r="D431" s="37" t="str">
        <f t="shared" si="13"/>
        <v>C01300 : 6-(Hydroxymethyl)-7,8-dihydropterin</v>
      </c>
    </row>
    <row r="432" spans="1:4">
      <c r="A432" s="33" t="s">
        <v>9049</v>
      </c>
      <c r="B432" s="33" t="s">
        <v>14849</v>
      </c>
      <c r="C432" s="35" t="str">
        <f t="shared" si="12"/>
        <v>C01302:1</v>
      </c>
      <c r="D432" s="37" t="str">
        <f t="shared" si="13"/>
        <v>C01302 : 1-(2-Carboxyphenylamino)-1-deoxy-D-ribulose 5-phosphate</v>
      </c>
    </row>
    <row r="433" spans="1:4">
      <c r="A433" s="33" t="s">
        <v>13627</v>
      </c>
      <c r="B433" s="33" t="s">
        <v>14850</v>
      </c>
      <c r="C433" s="35" t="str">
        <f t="shared" si="12"/>
        <v>C01326:1</v>
      </c>
      <c r="D433" s="37" t="str">
        <f t="shared" si="13"/>
        <v>C01326 : Hydrogen cyanide</v>
      </c>
    </row>
    <row r="434" spans="1:4">
      <c r="A434" s="33" t="s">
        <v>13707</v>
      </c>
      <c r="B434" s="33" t="s">
        <v>14851</v>
      </c>
      <c r="C434" s="35" t="str">
        <f t="shared" si="12"/>
        <v>C01335:1</v>
      </c>
      <c r="D434" s="37" t="str">
        <f t="shared" si="13"/>
        <v>C01335 : ROH</v>
      </c>
    </row>
    <row r="435" spans="1:4">
      <c r="A435" s="33" t="s">
        <v>13856</v>
      </c>
      <c r="B435" s="33" t="s">
        <v>14852</v>
      </c>
      <c r="C435" s="35" t="str">
        <f t="shared" si="12"/>
        <v>C01336:1</v>
      </c>
      <c r="D435" s="37" t="str">
        <f t="shared" si="13"/>
        <v>C01336 : Aryl thiol</v>
      </c>
    </row>
    <row r="436" spans="1:4">
      <c r="A436" s="33" t="s">
        <v>13883</v>
      </c>
      <c r="B436" s="33" t="s">
        <v>14853</v>
      </c>
      <c r="C436" s="35" t="str">
        <f t="shared" si="12"/>
        <v>C01344:1</v>
      </c>
      <c r="D436" s="37" t="str">
        <f t="shared" si="13"/>
        <v>C01344 : dIDP</v>
      </c>
    </row>
    <row r="437" spans="1:4">
      <c r="A437" s="33" t="s">
        <v>13884</v>
      </c>
      <c r="B437" s="33" t="s">
        <v>14854</v>
      </c>
      <c r="C437" s="35" t="str">
        <f t="shared" si="12"/>
        <v>C01345:1</v>
      </c>
      <c r="D437" s="37" t="str">
        <f t="shared" si="13"/>
        <v>C01345 : dITP</v>
      </c>
    </row>
    <row r="438" spans="1:4">
      <c r="A438" s="33" t="s">
        <v>13882</v>
      </c>
      <c r="B438" s="33" t="s">
        <v>14360</v>
      </c>
      <c r="C438" s="35" t="str">
        <f t="shared" si="12"/>
        <v>C01346:1</v>
      </c>
      <c r="D438" s="37" t="str">
        <f t="shared" si="13"/>
        <v>C01346 : dUDP</v>
      </c>
    </row>
    <row r="439" spans="1:4">
      <c r="A439" s="33" t="s">
        <v>13719</v>
      </c>
      <c r="B439" s="33" t="s">
        <v>14855</v>
      </c>
      <c r="C439" s="35" t="str">
        <f t="shared" si="12"/>
        <v>C01352:1</v>
      </c>
      <c r="D439" s="37" t="str">
        <f t="shared" si="13"/>
        <v>C01352 : FADH2</v>
      </c>
    </row>
    <row r="440" spans="1:4">
      <c r="A440" s="33" t="s">
        <v>9929</v>
      </c>
      <c r="B440" s="33" t="s">
        <v>14856</v>
      </c>
      <c r="C440" s="35" t="str">
        <f t="shared" si="12"/>
        <v>C01353:1</v>
      </c>
      <c r="D440" s="37" t="str">
        <f t="shared" si="13"/>
        <v>C01353 : Carbonic acid</v>
      </c>
    </row>
    <row r="441" spans="1:4">
      <c r="A441" s="33" t="s">
        <v>10198</v>
      </c>
      <c r="B441" s="33" t="s">
        <v>14857</v>
      </c>
      <c r="C441" s="35" t="str">
        <f t="shared" si="12"/>
        <v>C01380:1</v>
      </c>
      <c r="D441" s="37" t="str">
        <f t="shared" si="13"/>
        <v>C01380 : Ethylene glycol</v>
      </c>
    </row>
    <row r="442" spans="1:4">
      <c r="A442" s="33" t="s">
        <v>14071</v>
      </c>
      <c r="B442" s="33" t="s">
        <v>14858</v>
      </c>
      <c r="C442" s="35" t="str">
        <f t="shared" si="12"/>
        <v>C01402:1</v>
      </c>
      <c r="D442" s="37" t="str">
        <f t="shared" si="13"/>
        <v>C01402 : Anilide</v>
      </c>
    </row>
    <row r="443" spans="1:4">
      <c r="A443" s="33" t="s">
        <v>13366</v>
      </c>
      <c r="B443" s="33" t="s">
        <v>14859</v>
      </c>
      <c r="C443" s="35" t="str">
        <f t="shared" si="12"/>
        <v>C01416:1</v>
      </c>
      <c r="D443" s="37" t="str">
        <f t="shared" si="13"/>
        <v>C01416 : Cocaine</v>
      </c>
    </row>
    <row r="444" spans="1:4">
      <c r="A444" s="33" t="s">
        <v>13277</v>
      </c>
      <c r="B444" s="33" t="s">
        <v>14860</v>
      </c>
      <c r="C444" s="35" t="str">
        <f t="shared" si="12"/>
        <v>C01419:1</v>
      </c>
      <c r="D444" s="37" t="str">
        <f t="shared" si="13"/>
        <v>C01419 : Cys-Gly</v>
      </c>
    </row>
    <row r="445" spans="1:4">
      <c r="A445" s="33" t="s">
        <v>13810</v>
      </c>
      <c r="B445" s="33" t="s">
        <v>14361</v>
      </c>
      <c r="C445" s="35" t="str">
        <f t="shared" si="12"/>
        <v>C01450:1</v>
      </c>
      <c r="D445" s="37" t="str">
        <f t="shared" si="13"/>
        <v>C01450 : Ketone</v>
      </c>
    </row>
    <row r="446" spans="1:4">
      <c r="A446" s="33" t="s">
        <v>8855</v>
      </c>
      <c r="B446" s="33" t="s">
        <v>14861</v>
      </c>
      <c r="C446" s="35" t="str">
        <f t="shared" si="12"/>
        <v>C01486:1</v>
      </c>
      <c r="D446" s="37" t="str">
        <f t="shared" si="13"/>
        <v>C01486 : Chlorous acid</v>
      </c>
    </row>
    <row r="447" spans="1:4">
      <c r="A447" s="33" t="s">
        <v>13549</v>
      </c>
      <c r="B447" s="33" t="s">
        <v>14362</v>
      </c>
      <c r="C447" s="35" t="str">
        <f t="shared" si="12"/>
        <v>C01528:1</v>
      </c>
      <c r="D447" s="37" t="str">
        <f t="shared" si="13"/>
        <v>C01528 : Hydrogen Selenide</v>
      </c>
    </row>
    <row r="448" spans="1:4">
      <c r="A448" s="33" t="s">
        <v>13790</v>
      </c>
      <c r="B448" s="33" t="s">
        <v>14363</v>
      </c>
      <c r="C448" s="35" t="str">
        <f t="shared" si="12"/>
        <v>C01545:1</v>
      </c>
      <c r="D448" s="37" t="str">
        <f t="shared" si="13"/>
        <v>C01545 : Octanal</v>
      </c>
    </row>
    <row r="449" spans="1:4">
      <c r="A449" s="33" t="s">
        <v>13670</v>
      </c>
      <c r="B449" s="33" t="s">
        <v>14364</v>
      </c>
      <c r="C449" s="35" t="str">
        <f t="shared" ref="C449:C512" si="14">CONCATENATE(A449,":","1")</f>
        <v>C01563:1</v>
      </c>
      <c r="D449" s="37" t="str">
        <f t="shared" si="13"/>
        <v>C01563 : Carbamate</v>
      </c>
    </row>
    <row r="450" spans="1:4">
      <c r="A450" s="33" t="s">
        <v>13194</v>
      </c>
      <c r="B450" s="33" t="s">
        <v>14862</v>
      </c>
      <c r="C450" s="35" t="str">
        <f t="shared" si="14"/>
        <v>C01609:1</v>
      </c>
      <c r="D450" s="37" t="str">
        <f t="shared" si="13"/>
        <v>C01609 : Protamine</v>
      </c>
    </row>
    <row r="451" spans="1:4">
      <c r="A451" s="33" t="s">
        <v>13809</v>
      </c>
      <c r="B451" s="33" t="s">
        <v>14365</v>
      </c>
      <c r="C451" s="35" t="str">
        <f t="shared" si="14"/>
        <v>C01612:1</v>
      </c>
      <c r="D451" s="37" t="str">
        <f t="shared" ref="D451:D514" si="15">CONCATENATE(A451," : ",B451)</f>
        <v>C01612 : Secondary alcohol</v>
      </c>
    </row>
    <row r="452" spans="1:4">
      <c r="A452" s="33" t="s">
        <v>13564</v>
      </c>
      <c r="B452" s="33" t="s">
        <v>14366</v>
      </c>
      <c r="C452" s="35" t="str">
        <f t="shared" si="14"/>
        <v>C01613:1</v>
      </c>
      <c r="D452" s="37" t="str">
        <f t="shared" si="15"/>
        <v>C01613 : Stachyose</v>
      </c>
    </row>
    <row r="453" spans="1:4">
      <c r="A453" s="33" t="s">
        <v>13391</v>
      </c>
      <c r="B453" s="33" t="s">
        <v>14863</v>
      </c>
      <c r="C453" s="35" t="str">
        <f t="shared" si="14"/>
        <v>C01628:1</v>
      </c>
      <c r="D453" s="37" t="str">
        <f t="shared" si="15"/>
        <v>C01628 : Vitamin K</v>
      </c>
    </row>
    <row r="454" spans="1:4">
      <c r="A454" s="33" t="s">
        <v>13675</v>
      </c>
      <c r="B454" s="33" t="s">
        <v>14367</v>
      </c>
      <c r="C454" s="35" t="str">
        <f t="shared" si="14"/>
        <v>C01635:1</v>
      </c>
      <c r="D454" s="37" t="str">
        <f t="shared" si="15"/>
        <v>C01635 : tRNA(Ala)</v>
      </c>
    </row>
    <row r="455" spans="1:4">
      <c r="A455" s="33" t="s">
        <v>13579</v>
      </c>
      <c r="B455" s="33" t="s">
        <v>14368</v>
      </c>
      <c r="C455" s="35" t="str">
        <f t="shared" si="14"/>
        <v>C01636:1</v>
      </c>
      <c r="D455" s="37" t="str">
        <f t="shared" si="15"/>
        <v>C01636 : tRNA(Arg)</v>
      </c>
    </row>
    <row r="456" spans="1:4">
      <c r="A456" s="33" t="s">
        <v>13677</v>
      </c>
      <c r="B456" s="33" t="s">
        <v>14369</v>
      </c>
      <c r="C456" s="35" t="str">
        <f t="shared" si="14"/>
        <v>C01638:1</v>
      </c>
      <c r="D456" s="37" t="str">
        <f t="shared" si="15"/>
        <v>C01638 : tRNA(Asp)</v>
      </c>
    </row>
    <row r="457" spans="1:4">
      <c r="A457" s="33" t="s">
        <v>13944</v>
      </c>
      <c r="B457" s="33" t="s">
        <v>14370</v>
      </c>
      <c r="C457" s="35" t="str">
        <f t="shared" si="14"/>
        <v>C01639:1</v>
      </c>
      <c r="D457" s="37" t="str">
        <f t="shared" si="15"/>
        <v>C01639 : tRNA(Cys)</v>
      </c>
    </row>
    <row r="458" spans="1:4">
      <c r="A458" s="33" t="s">
        <v>13314</v>
      </c>
      <c r="B458" s="33" t="s">
        <v>14371</v>
      </c>
      <c r="C458" s="35" t="str">
        <f t="shared" si="14"/>
        <v>C01641:1</v>
      </c>
      <c r="D458" s="37" t="str">
        <f t="shared" si="15"/>
        <v>C01641 : tRNA(Glu)</v>
      </c>
    </row>
    <row r="459" spans="1:4">
      <c r="A459" s="33" t="s">
        <v>13840</v>
      </c>
      <c r="B459" s="33" t="s">
        <v>14372</v>
      </c>
      <c r="C459" s="35" t="str">
        <f t="shared" si="14"/>
        <v>C01642:1</v>
      </c>
      <c r="D459" s="37" t="str">
        <f t="shared" si="15"/>
        <v>C01642 : tRNA(Gly)</v>
      </c>
    </row>
    <row r="460" spans="1:4">
      <c r="A460" s="33" t="s">
        <v>13684</v>
      </c>
      <c r="B460" s="33" t="s">
        <v>14864</v>
      </c>
      <c r="C460" s="35" t="str">
        <f t="shared" si="14"/>
        <v>C01643:1</v>
      </c>
      <c r="D460" s="37" t="str">
        <f t="shared" si="15"/>
        <v>C01643 : tRNA(His)</v>
      </c>
    </row>
    <row r="461" spans="1:4">
      <c r="A461" s="33" t="s">
        <v>13738</v>
      </c>
      <c r="B461" s="33" t="s">
        <v>14373</v>
      </c>
      <c r="C461" s="35" t="str">
        <f t="shared" si="14"/>
        <v>C01644:1</v>
      </c>
      <c r="D461" s="37" t="str">
        <f t="shared" si="15"/>
        <v>C01644 : tRNA(Ile)</v>
      </c>
    </row>
    <row r="462" spans="1:4">
      <c r="A462" s="33" t="s">
        <v>14082</v>
      </c>
      <c r="B462" s="33" t="s">
        <v>14374</v>
      </c>
      <c r="C462" s="35" t="str">
        <f t="shared" si="14"/>
        <v>C01645:1</v>
      </c>
      <c r="D462" s="37" t="str">
        <f t="shared" si="15"/>
        <v>C01645 : tRNA(Leu)</v>
      </c>
    </row>
    <row r="463" spans="1:4">
      <c r="A463" s="33" t="s">
        <v>13953</v>
      </c>
      <c r="B463" s="33" t="s">
        <v>14375</v>
      </c>
      <c r="C463" s="35" t="str">
        <f t="shared" si="14"/>
        <v>C01646:1</v>
      </c>
      <c r="D463" s="37" t="str">
        <f t="shared" si="15"/>
        <v>C01646 : tRNA(Lys)</v>
      </c>
    </row>
    <row r="464" spans="1:4">
      <c r="A464" s="33" t="s">
        <v>13473</v>
      </c>
      <c r="B464" s="33" t="s">
        <v>14376</v>
      </c>
      <c r="C464" s="35" t="str">
        <f t="shared" si="14"/>
        <v>C01647:1</v>
      </c>
      <c r="D464" s="37" t="str">
        <f t="shared" si="15"/>
        <v>C01647 : tRNA(Met)</v>
      </c>
    </row>
    <row r="465" spans="1:4">
      <c r="A465" s="33" t="s">
        <v>13612</v>
      </c>
      <c r="B465" s="33" t="s">
        <v>14377</v>
      </c>
      <c r="C465" s="35" t="str">
        <f t="shared" si="14"/>
        <v>C01648:1</v>
      </c>
      <c r="D465" s="37" t="str">
        <f t="shared" si="15"/>
        <v>C01648 : tRNA(Phe)</v>
      </c>
    </row>
    <row r="466" spans="1:4">
      <c r="A466" s="33" t="s">
        <v>13716</v>
      </c>
      <c r="B466" s="33" t="s">
        <v>14378</v>
      </c>
      <c r="C466" s="35" t="str">
        <f t="shared" si="14"/>
        <v>C01649:1</v>
      </c>
      <c r="D466" s="37" t="str">
        <f t="shared" si="15"/>
        <v>C01649 : tRNA(Pro)</v>
      </c>
    </row>
    <row r="467" spans="1:4">
      <c r="A467" s="33" t="s">
        <v>14065</v>
      </c>
      <c r="B467" s="33" t="s">
        <v>14379</v>
      </c>
      <c r="C467" s="35" t="str">
        <f t="shared" si="14"/>
        <v>C01650:1</v>
      </c>
      <c r="D467" s="37" t="str">
        <f t="shared" si="15"/>
        <v>C01650 : tRNA(Ser)</v>
      </c>
    </row>
    <row r="468" spans="1:4">
      <c r="A468" s="33" t="s">
        <v>13696</v>
      </c>
      <c r="B468" s="33" t="s">
        <v>14380</v>
      </c>
      <c r="C468" s="35" t="str">
        <f t="shared" si="14"/>
        <v>C01651:1</v>
      </c>
      <c r="D468" s="37" t="str">
        <f t="shared" si="15"/>
        <v>C01651 : tRNA(Thr)</v>
      </c>
    </row>
    <row r="469" spans="1:4">
      <c r="A469" s="33" t="s">
        <v>13360</v>
      </c>
      <c r="B469" s="33" t="s">
        <v>14381</v>
      </c>
      <c r="C469" s="35" t="str">
        <f t="shared" si="14"/>
        <v>C01652:1</v>
      </c>
      <c r="D469" s="37" t="str">
        <f t="shared" si="15"/>
        <v>C01652 : tRNA(Trp)</v>
      </c>
    </row>
    <row r="470" spans="1:4">
      <c r="A470" s="33" t="s">
        <v>13894</v>
      </c>
      <c r="B470" s="33" t="s">
        <v>14382</v>
      </c>
      <c r="C470" s="35" t="str">
        <f t="shared" si="14"/>
        <v>C01653:1</v>
      </c>
      <c r="D470" s="37" t="str">
        <f t="shared" si="15"/>
        <v>C01653 : tRNA(Val)</v>
      </c>
    </row>
    <row r="471" spans="1:4">
      <c r="A471" s="33" t="s">
        <v>13835</v>
      </c>
      <c r="B471" s="33" t="s">
        <v>14865</v>
      </c>
      <c r="C471" s="35" t="str">
        <f t="shared" si="14"/>
        <v>C01656:1</v>
      </c>
      <c r="D471" s="37" t="str">
        <f t="shared" si="15"/>
        <v>C01656 : 3-Oxo acid</v>
      </c>
    </row>
    <row r="472" spans="1:4">
      <c r="A472" s="33" t="s">
        <v>14011</v>
      </c>
      <c r="B472" s="33" t="s">
        <v>14866</v>
      </c>
      <c r="C472" s="35" t="str">
        <f t="shared" si="14"/>
        <v>C01674:1</v>
      </c>
      <c r="D472" s="37" t="str">
        <f t="shared" si="15"/>
        <v>C01674 : Chitobiose</v>
      </c>
    </row>
    <row r="473" spans="1:4">
      <c r="A473" s="33" t="s">
        <v>13413</v>
      </c>
      <c r="B473" s="33" t="s">
        <v>14867</v>
      </c>
      <c r="C473" s="35" t="str">
        <f t="shared" si="14"/>
        <v>C01755:1</v>
      </c>
      <c r="D473" s="37" t="str">
        <f t="shared" si="15"/>
        <v>C01755 : Thiocyanate</v>
      </c>
    </row>
    <row r="474" spans="1:4">
      <c r="A474" s="33" t="s">
        <v>13824</v>
      </c>
      <c r="B474" s="33" t="s">
        <v>14383</v>
      </c>
      <c r="C474" s="35" t="str">
        <f t="shared" si="14"/>
        <v>C01762:1</v>
      </c>
      <c r="D474" s="37" t="str">
        <f t="shared" si="15"/>
        <v>C01762 : Xanthosine</v>
      </c>
    </row>
    <row r="475" spans="1:4">
      <c r="A475" s="33" t="s">
        <v>13430</v>
      </c>
      <c r="B475" s="33" t="s">
        <v>14384</v>
      </c>
      <c r="C475" s="35" t="str">
        <f t="shared" si="14"/>
        <v>C01801:1</v>
      </c>
      <c r="D475" s="37" t="str">
        <f t="shared" si="15"/>
        <v>C01801 : Deoxyribose</v>
      </c>
    </row>
    <row r="476" spans="1:4">
      <c r="A476" s="33" t="s">
        <v>13680</v>
      </c>
      <c r="B476" s="33" t="s">
        <v>14868</v>
      </c>
      <c r="C476" s="35" t="str">
        <f t="shared" si="14"/>
        <v>C01847:1</v>
      </c>
      <c r="D476" s="37" t="str">
        <f t="shared" si="15"/>
        <v>C01847 : Reduced FMN</v>
      </c>
    </row>
    <row r="477" spans="1:4">
      <c r="A477" s="33" t="s">
        <v>13199</v>
      </c>
      <c r="B477" s="33" t="s">
        <v>14869</v>
      </c>
      <c r="C477" s="35" t="str">
        <f t="shared" si="14"/>
        <v>C01909:1</v>
      </c>
      <c r="D477" s="37" t="str">
        <f t="shared" si="15"/>
        <v>C01909 : Dethiobiotin</v>
      </c>
    </row>
    <row r="478" spans="1:4">
      <c r="A478" s="33" t="s">
        <v>13734</v>
      </c>
      <c r="B478" s="33" t="s">
        <v>14870</v>
      </c>
      <c r="C478" s="35" t="str">
        <f t="shared" si="14"/>
        <v>C01929:1</v>
      </c>
      <c r="D478" s="37" t="str">
        <f t="shared" si="15"/>
        <v>C01929 : L-Histidinal</v>
      </c>
    </row>
    <row r="479" spans="1:4">
      <c r="A479" s="33" t="s">
        <v>13954</v>
      </c>
      <c r="B479" s="33" t="s">
        <v>14385</v>
      </c>
      <c r="C479" s="35" t="str">
        <f t="shared" si="14"/>
        <v>C01931:1</v>
      </c>
      <c r="D479" s="37" t="str">
        <f t="shared" si="15"/>
        <v>C01931 : L-Lysyl-tRNA</v>
      </c>
    </row>
    <row r="480" spans="1:4">
      <c r="A480" s="33" t="s">
        <v>13420</v>
      </c>
      <c r="B480" s="33" t="s">
        <v>14871</v>
      </c>
      <c r="C480" s="35" t="str">
        <f t="shared" si="14"/>
        <v>C01935:1</v>
      </c>
      <c r="D480" s="37" t="str">
        <f t="shared" si="15"/>
        <v>C01935 : Maltodextrin</v>
      </c>
    </row>
    <row r="481" spans="1:4">
      <c r="A481" s="33" t="s">
        <v>13853</v>
      </c>
      <c r="B481" s="33" t="s">
        <v>14872</v>
      </c>
      <c r="C481" s="35" t="str">
        <f t="shared" si="14"/>
        <v>C01962:1</v>
      </c>
      <c r="D481" s="37" t="str">
        <f t="shared" si="15"/>
        <v>C01962 : Thiocysteine</v>
      </c>
    </row>
    <row r="482" spans="1:4">
      <c r="A482" s="33" t="s">
        <v>13247</v>
      </c>
      <c r="B482" s="33" t="s">
        <v>14386</v>
      </c>
      <c r="C482" s="35" t="str">
        <f t="shared" si="14"/>
        <v>C01977:1</v>
      </c>
      <c r="D482" s="37" t="str">
        <f t="shared" si="15"/>
        <v>C01977 : tRNA guanine</v>
      </c>
    </row>
    <row r="483" spans="1:4">
      <c r="A483" s="33" t="s">
        <v>14083</v>
      </c>
      <c r="B483" s="33" t="s">
        <v>14387</v>
      </c>
      <c r="C483" s="35" t="str">
        <f t="shared" si="14"/>
        <v>C02047:1</v>
      </c>
      <c r="D483" s="37" t="str">
        <f t="shared" si="15"/>
        <v>C02047 : L-Leucyl-tRNA</v>
      </c>
    </row>
    <row r="484" spans="1:4">
      <c r="A484" s="33" t="s">
        <v>13288</v>
      </c>
      <c r="B484" s="33" t="s">
        <v>14873</v>
      </c>
      <c r="C484" s="35" t="str">
        <f t="shared" si="14"/>
        <v>C02051:1</v>
      </c>
      <c r="D484" s="37" t="str">
        <f t="shared" si="15"/>
        <v>C02051 : Lipoylprotein</v>
      </c>
    </row>
    <row r="485" spans="1:4">
      <c r="A485" s="33" t="s">
        <v>13393</v>
      </c>
      <c r="B485" s="33" t="s">
        <v>14874</v>
      </c>
      <c r="C485" s="35" t="str">
        <f t="shared" si="14"/>
        <v>C02059:1</v>
      </c>
      <c r="D485" s="37" t="str">
        <f t="shared" si="15"/>
        <v>C02059 : Phylloquinone</v>
      </c>
    </row>
    <row r="486" spans="1:4">
      <c r="A486" s="33" t="s">
        <v>13923</v>
      </c>
      <c r="B486" s="33" t="s">
        <v>14388</v>
      </c>
      <c r="C486" s="35" t="str">
        <f t="shared" si="14"/>
        <v>C02090:1</v>
      </c>
      <c r="D486" s="37" t="str">
        <f t="shared" si="15"/>
        <v>C02090 : Trypanothione</v>
      </c>
    </row>
    <row r="487" spans="1:4">
      <c r="A487" s="33" t="s">
        <v>8687</v>
      </c>
      <c r="B487" s="33" t="s">
        <v>14389</v>
      </c>
      <c r="C487" s="35" t="str">
        <f t="shared" si="14"/>
        <v>C02097:1</v>
      </c>
      <c r="D487" s="37" t="str">
        <f t="shared" si="15"/>
        <v>C02097 : dTDP-galactose</v>
      </c>
    </row>
    <row r="488" spans="1:4">
      <c r="A488" s="33" t="s">
        <v>13594</v>
      </c>
      <c r="B488" s="33" t="s">
        <v>14390</v>
      </c>
      <c r="C488" s="35" t="str">
        <f t="shared" si="14"/>
        <v>C02128:1</v>
      </c>
      <c r="D488" s="37" t="str">
        <f t="shared" si="15"/>
        <v>C02128 : 5'-Phospho-DNA</v>
      </c>
    </row>
    <row r="489" spans="1:4">
      <c r="A489" s="33" t="s">
        <v>13726</v>
      </c>
      <c r="B489" s="33" t="s">
        <v>14391</v>
      </c>
      <c r="C489" s="35" t="str">
        <f t="shared" si="14"/>
        <v>C02133:1</v>
      </c>
      <c r="D489" s="37" t="str">
        <f t="shared" si="15"/>
        <v xml:space="preserve">C02133 : Acyl phosphate </v>
      </c>
    </row>
    <row r="490" spans="1:4">
      <c r="A490" s="33" t="s">
        <v>13580</v>
      </c>
      <c r="B490" s="33" t="s">
        <v>14392</v>
      </c>
      <c r="C490" s="35" t="str">
        <f t="shared" si="14"/>
        <v>C02163:1</v>
      </c>
      <c r="D490" s="37" t="str">
        <f t="shared" si="15"/>
        <v>C02163 : L-Arginyl-tRNA(Arg)</v>
      </c>
    </row>
    <row r="491" spans="1:4">
      <c r="A491" s="33" t="s">
        <v>13990</v>
      </c>
      <c r="B491" s="33" t="s">
        <v>14875</v>
      </c>
      <c r="C491" s="35" t="str">
        <f t="shared" si="14"/>
        <v>C02170:1</v>
      </c>
      <c r="D491" s="37" t="str">
        <f t="shared" si="15"/>
        <v>C02170 : Methylmalonate</v>
      </c>
    </row>
    <row r="492" spans="1:4">
      <c r="A492" s="33" t="s">
        <v>13465</v>
      </c>
      <c r="B492" s="33" t="s">
        <v>14876</v>
      </c>
      <c r="C492" s="35" t="str">
        <f t="shared" si="14"/>
        <v>C02189:1</v>
      </c>
      <c r="D492" s="37" t="str">
        <f t="shared" si="15"/>
        <v>C02189 : [Protein]-L-serine</v>
      </c>
    </row>
    <row r="493" spans="1:4">
      <c r="A493" s="33" t="s">
        <v>13326</v>
      </c>
      <c r="B493" s="33" t="s">
        <v>14877</v>
      </c>
      <c r="C493" s="35" t="str">
        <f t="shared" si="14"/>
        <v>C02191:1</v>
      </c>
      <c r="D493" s="37" t="str">
        <f t="shared" si="15"/>
        <v>C02191 : Protoporphyrin</v>
      </c>
    </row>
    <row r="494" spans="1:4">
      <c r="A494" s="33" t="s">
        <v>14091</v>
      </c>
      <c r="B494" s="33" t="s">
        <v>14393</v>
      </c>
      <c r="C494" s="35" t="str">
        <f t="shared" si="14"/>
        <v>C02211:1</v>
      </c>
      <c r="D494" s="37" t="str">
        <f t="shared" si="15"/>
        <v>C02211 : tRNA precursor</v>
      </c>
    </row>
    <row r="495" spans="1:4">
      <c r="A495" s="33" t="s">
        <v>8792</v>
      </c>
      <c r="B495" s="33" t="s">
        <v>14878</v>
      </c>
      <c r="C495" s="35" t="str">
        <f t="shared" si="14"/>
        <v>C02218:1</v>
      </c>
      <c r="D495" s="37" t="str">
        <f t="shared" si="15"/>
        <v>C02218 : Dehydroalanine</v>
      </c>
    </row>
    <row r="496" spans="1:4">
      <c r="A496" s="33" t="s">
        <v>8162</v>
      </c>
      <c r="B496" s="33" t="s">
        <v>14879</v>
      </c>
      <c r="C496" s="35" t="str">
        <f t="shared" si="14"/>
        <v>C02225:1</v>
      </c>
      <c r="D496" s="37" t="str">
        <f t="shared" si="15"/>
        <v>C02225 : 2-Methylcitrate</v>
      </c>
    </row>
    <row r="497" spans="1:4">
      <c r="A497" s="33" t="s">
        <v>13926</v>
      </c>
      <c r="B497" s="33" t="s">
        <v>14880</v>
      </c>
      <c r="C497" s="35" t="str">
        <f t="shared" si="14"/>
        <v>C02265:1</v>
      </c>
      <c r="D497" s="37" t="str">
        <f t="shared" si="15"/>
        <v>C02265 : D-Phenylalanine</v>
      </c>
    </row>
    <row r="498" spans="1:4">
      <c r="A498" s="33" t="s">
        <v>13851</v>
      </c>
      <c r="B498" s="33" t="s">
        <v>14881</v>
      </c>
      <c r="C498" s="35" t="str">
        <f t="shared" si="14"/>
        <v>C02291:1</v>
      </c>
      <c r="D498" s="37" t="str">
        <f t="shared" si="15"/>
        <v>C02291 : L-Cystathionine</v>
      </c>
    </row>
    <row r="499" spans="1:4">
      <c r="A499" s="33" t="s">
        <v>13561</v>
      </c>
      <c r="B499" s="33" t="s">
        <v>14394</v>
      </c>
      <c r="C499" s="35" t="str">
        <f t="shared" si="14"/>
        <v>C02336:1</v>
      </c>
      <c r="D499" s="37" t="str">
        <f t="shared" si="15"/>
        <v>C02336 : beta-D-Fructose</v>
      </c>
    </row>
    <row r="500" spans="1:4">
      <c r="A500" s="33" t="s">
        <v>13768</v>
      </c>
      <c r="B500" s="33" t="s">
        <v>14395</v>
      </c>
      <c r="C500" s="35" t="str">
        <f t="shared" si="14"/>
        <v>C02356:1</v>
      </c>
      <c r="D500" s="37" t="str">
        <f t="shared" si="15"/>
        <v>C02356 : (S)-2-Aminobutanoate</v>
      </c>
    </row>
    <row r="501" spans="1:4">
      <c r="A501" s="33" t="s">
        <v>13962</v>
      </c>
      <c r="B501" s="33" t="s">
        <v>14396</v>
      </c>
      <c r="C501" s="35" t="str">
        <f t="shared" si="14"/>
        <v>C02380:1</v>
      </c>
      <c r="D501" s="37" t="str">
        <f t="shared" si="15"/>
        <v>C02380 : 6-Mercaptopurine</v>
      </c>
    </row>
    <row r="502" spans="1:4">
      <c r="A502" s="33" t="s">
        <v>13363</v>
      </c>
      <c r="B502" s="33" t="s">
        <v>14882</v>
      </c>
      <c r="C502" s="35" t="str">
        <f t="shared" si="14"/>
        <v>C02391:1</v>
      </c>
      <c r="D502" s="37" t="str">
        <f t="shared" si="15"/>
        <v>C02391 : Ester</v>
      </c>
    </row>
    <row r="503" spans="1:4">
      <c r="A503" s="33" t="s">
        <v>13841</v>
      </c>
      <c r="B503" s="33" t="s">
        <v>14397</v>
      </c>
      <c r="C503" s="35" t="str">
        <f t="shared" si="14"/>
        <v>C02412:1</v>
      </c>
      <c r="D503" s="37" t="str">
        <f t="shared" si="15"/>
        <v>C02412 : Glycyl-tRNA(Gly)</v>
      </c>
    </row>
    <row r="504" spans="1:4">
      <c r="A504" s="33" t="s">
        <v>13474</v>
      </c>
      <c r="B504" s="33" t="s">
        <v>14398</v>
      </c>
      <c r="C504" s="35" t="str">
        <f t="shared" si="14"/>
        <v>C02430:1</v>
      </c>
      <c r="D504" s="37" t="str">
        <f t="shared" si="15"/>
        <v>C02430 : L-Methionyl-tRNA</v>
      </c>
    </row>
    <row r="505" spans="1:4">
      <c r="A505" s="33" t="s">
        <v>13316</v>
      </c>
      <c r="B505" s="33" t="s">
        <v>14883</v>
      </c>
      <c r="C505" s="35" t="str">
        <f t="shared" si="14"/>
        <v>C02463:1</v>
      </c>
      <c r="D505" s="37" t="str">
        <f t="shared" si="15"/>
        <v>C02463 : Precorrin 2</v>
      </c>
    </row>
    <row r="506" spans="1:4">
      <c r="A506" s="33" t="s">
        <v>13320</v>
      </c>
      <c r="B506" s="33" t="s">
        <v>14884</v>
      </c>
      <c r="C506" s="35" t="str">
        <f t="shared" si="14"/>
        <v>C02469:1</v>
      </c>
      <c r="D506" s="37" t="str">
        <f t="shared" si="15"/>
        <v>C02469 : Uroporphyrin III</v>
      </c>
    </row>
    <row r="507" spans="1:4">
      <c r="A507" s="33" t="s">
        <v>8494</v>
      </c>
      <c r="B507" s="33" t="s">
        <v>14885</v>
      </c>
      <c r="C507" s="35" t="str">
        <f t="shared" si="14"/>
        <v>C02504:1</v>
      </c>
      <c r="D507" s="37" t="str">
        <f t="shared" si="15"/>
        <v>C02504 : alpha-Isopropylmalate</v>
      </c>
    </row>
    <row r="508" spans="1:4">
      <c r="A508" s="33" t="s">
        <v>13818</v>
      </c>
      <c r="B508" s="33" t="s">
        <v>14399</v>
      </c>
      <c r="C508" s="35" t="str">
        <f t="shared" si="14"/>
        <v>C02520:1</v>
      </c>
      <c r="D508" s="37" t="str">
        <f t="shared" si="15"/>
        <v>C02520 : 5'-Ribonucleotide</v>
      </c>
    </row>
    <row r="509" spans="1:4">
      <c r="A509" s="33" t="s">
        <v>13311</v>
      </c>
      <c r="B509" s="33" t="s">
        <v>14886</v>
      </c>
      <c r="C509" s="35" t="str">
        <f t="shared" si="14"/>
        <v>C02532:1</v>
      </c>
      <c r="D509" s="37" t="str">
        <f t="shared" si="15"/>
        <v>C02532 : O-Phospho-D-serine</v>
      </c>
    </row>
    <row r="510" spans="1:4">
      <c r="A510" s="33" t="s">
        <v>14066</v>
      </c>
      <c r="B510" s="33" t="s">
        <v>14400</v>
      </c>
      <c r="C510" s="35" t="str">
        <f t="shared" si="14"/>
        <v>C02553:1</v>
      </c>
      <c r="D510" s="37" t="str">
        <f t="shared" si="15"/>
        <v>C02553 : L-Seryl-tRNA(Ser)</v>
      </c>
    </row>
    <row r="511" spans="1:4">
      <c r="A511" s="33" t="s">
        <v>13895</v>
      </c>
      <c r="B511" s="33" t="s">
        <v>14401</v>
      </c>
      <c r="C511" s="35" t="str">
        <f t="shared" si="14"/>
        <v>C02554:1</v>
      </c>
      <c r="D511" s="37" t="str">
        <f t="shared" si="15"/>
        <v xml:space="preserve">C02554 : L-Valyl-tRNA(Val) </v>
      </c>
    </row>
    <row r="512" spans="1:4">
      <c r="A512" s="33" t="s">
        <v>14000</v>
      </c>
      <c r="B512" s="33" t="s">
        <v>14887</v>
      </c>
      <c r="C512" s="35" t="str">
        <f t="shared" si="14"/>
        <v>C02576:1</v>
      </c>
      <c r="D512" s="37" t="str">
        <f t="shared" si="15"/>
        <v>C02576 : Perillyl aldehyde</v>
      </c>
    </row>
    <row r="513" spans="1:4">
      <c r="A513" s="33" t="s">
        <v>13602</v>
      </c>
      <c r="B513" s="33" t="s">
        <v>14888</v>
      </c>
      <c r="C513" s="35" t="str">
        <f t="shared" ref="C513:C576" si="16">CONCATENATE(A513,":","1")</f>
        <v>C02630:1</v>
      </c>
      <c r="D513" s="37" t="str">
        <f t="shared" si="15"/>
        <v>C02630 : 2-Hydroxyglutarate</v>
      </c>
    </row>
    <row r="514" spans="1:4">
      <c r="A514" s="33" t="s">
        <v>13605</v>
      </c>
      <c r="B514" s="33" t="s">
        <v>14889</v>
      </c>
      <c r="C514" s="35" t="str">
        <f t="shared" si="16"/>
        <v>C02631:1</v>
      </c>
      <c r="D514" s="37" t="str">
        <f t="shared" si="15"/>
        <v>C02631 : 2-Isopropylmaleate</v>
      </c>
    </row>
    <row r="515" spans="1:4">
      <c r="A515" s="33" t="s">
        <v>13672</v>
      </c>
      <c r="B515" s="33" t="s">
        <v>14890</v>
      </c>
      <c r="C515" s="35" t="str">
        <f t="shared" si="16"/>
        <v>C02637:1</v>
      </c>
      <c r="D515" s="37" t="str">
        <f t="shared" ref="D515:D578" si="17">CONCATENATE(A515," : ",B515)</f>
        <v>C02637 : 3-Dehydroshikimate</v>
      </c>
    </row>
    <row r="516" spans="1:4">
      <c r="A516" s="33" t="s">
        <v>13833</v>
      </c>
      <c r="B516" s="33" t="s">
        <v>14891</v>
      </c>
      <c r="C516" s="35" t="str">
        <f t="shared" si="16"/>
        <v>C02656:1</v>
      </c>
      <c r="D516" s="37" t="str">
        <f t="shared" si="17"/>
        <v>C02656 : Pimelate</v>
      </c>
    </row>
    <row r="517" spans="1:4">
      <c r="A517" s="33" t="s">
        <v>14004</v>
      </c>
      <c r="B517" s="33" t="s">
        <v>14892</v>
      </c>
      <c r="C517" s="35" t="str">
        <f t="shared" si="16"/>
        <v>C02670:1</v>
      </c>
      <c r="D517" s="37" t="str">
        <f t="shared" si="17"/>
        <v>C02670 : D-Glucuronolactone</v>
      </c>
    </row>
    <row r="518" spans="1:4">
      <c r="A518" s="33" t="s">
        <v>13717</v>
      </c>
      <c r="B518" s="33" t="s">
        <v>14402</v>
      </c>
      <c r="C518" s="35" t="str">
        <f t="shared" si="16"/>
        <v>C02702:1</v>
      </c>
      <c r="D518" s="37" t="str">
        <f t="shared" si="17"/>
        <v>C02702 : L-Prolyl-tRNA(Pro)</v>
      </c>
    </row>
    <row r="519" spans="1:4">
      <c r="A519" s="33" t="s">
        <v>14100</v>
      </c>
      <c r="B519" s="33" t="s">
        <v>14893</v>
      </c>
      <c r="C519" s="35" t="str">
        <f t="shared" si="16"/>
        <v>C02713:1</v>
      </c>
      <c r="D519" s="37" t="str">
        <f t="shared" si="17"/>
        <v>C02713 : N-Acetylmuramate</v>
      </c>
    </row>
    <row r="520" spans="1:4">
      <c r="A520" s="33" t="s">
        <v>13195</v>
      </c>
      <c r="B520" s="33" t="s">
        <v>14894</v>
      </c>
      <c r="C520" s="35" t="str">
        <f t="shared" si="16"/>
        <v>C02729:1</v>
      </c>
      <c r="D520" s="37" t="str">
        <f t="shared" si="17"/>
        <v>C02729 : O-Phosphoprotamine</v>
      </c>
    </row>
    <row r="521" spans="1:4">
      <c r="A521" s="33" t="s">
        <v>13334</v>
      </c>
      <c r="B521" s="33" t="s">
        <v>14895</v>
      </c>
      <c r="C521" s="35" t="str">
        <f t="shared" si="16"/>
        <v>C02730:1</v>
      </c>
      <c r="D521" s="37" t="str">
        <f t="shared" si="17"/>
        <v>C02730 : 2-Succinylbenzoate</v>
      </c>
    </row>
    <row r="522" spans="1:4">
      <c r="A522" s="33" t="s">
        <v>13644</v>
      </c>
      <c r="B522" s="33" t="s">
        <v>14896</v>
      </c>
      <c r="C522" s="35" t="str">
        <f t="shared" si="16"/>
        <v>C02739:1</v>
      </c>
      <c r="D522" s="37" t="str">
        <f t="shared" si="17"/>
        <v>C02739 : 1-(5-Phospho-D-ribosyl)-ATP</v>
      </c>
    </row>
    <row r="523" spans="1:4">
      <c r="A523" s="33" t="s">
        <v>13211</v>
      </c>
      <c r="B523" s="33" t="s">
        <v>14403</v>
      </c>
      <c r="C523" s="35" t="str">
        <f t="shared" si="16"/>
        <v>C02743:1</v>
      </c>
      <c r="D523" s="37" t="str">
        <f t="shared" si="17"/>
        <v>C02743 : [Protein]-L-cysteine </v>
      </c>
    </row>
    <row r="524" spans="1:4">
      <c r="A524" s="33" t="s">
        <v>13854</v>
      </c>
      <c r="B524" s="33" t="s">
        <v>14897</v>
      </c>
      <c r="C524" s="35" t="str">
        <f t="shared" si="16"/>
        <v>C02749:1</v>
      </c>
      <c r="D524" s="37" t="str">
        <f t="shared" si="17"/>
        <v>C02749 : S-Alkyl-L-cysteine</v>
      </c>
    </row>
    <row r="525" spans="1:4">
      <c r="A525" s="33" t="s">
        <v>8111</v>
      </c>
      <c r="B525" s="33" t="s">
        <v>14404</v>
      </c>
      <c r="C525" s="35" t="str">
        <f t="shared" si="16"/>
        <v>C02764:1</v>
      </c>
      <c r="D525" s="37" t="str">
        <f t="shared" si="17"/>
        <v>C02764 : tRNA pseudouridine</v>
      </c>
    </row>
    <row r="526" spans="1:4">
      <c r="A526" s="33" t="s">
        <v>13903</v>
      </c>
      <c r="B526" s="33" t="s">
        <v>14898</v>
      </c>
      <c r="C526" s="35" t="str">
        <f t="shared" si="16"/>
        <v>C02780:1</v>
      </c>
      <c r="D526" s="37" t="str">
        <f t="shared" si="17"/>
        <v>C02780 : 2,5-Didehydro-D-gluconate</v>
      </c>
    </row>
    <row r="527" spans="1:4">
      <c r="A527" s="33" t="s">
        <v>13992</v>
      </c>
      <c r="B527" s="33" t="s">
        <v>14899</v>
      </c>
      <c r="C527" s="35" t="str">
        <f t="shared" si="16"/>
        <v>C02835:1</v>
      </c>
      <c r="D527" s="37" t="str">
        <f t="shared" si="17"/>
        <v>C02835 : Imidazole-4-acetate</v>
      </c>
    </row>
    <row r="528" spans="1:4">
      <c r="A528" s="33" t="s">
        <v>13632</v>
      </c>
      <c r="B528" s="33" t="s">
        <v>14405</v>
      </c>
      <c r="C528" s="35" t="str">
        <f t="shared" si="16"/>
        <v>C02839:1</v>
      </c>
      <c r="D528" s="37" t="str">
        <f t="shared" si="17"/>
        <v>C02839 : L-Tyrosyl-tRNA(Tyr)</v>
      </c>
    </row>
    <row r="529" spans="1:4">
      <c r="A529" s="33" t="s">
        <v>13270</v>
      </c>
      <c r="B529" s="33" t="s">
        <v>14900</v>
      </c>
      <c r="C529" s="35" t="str">
        <f t="shared" si="16"/>
        <v>C02843:1</v>
      </c>
      <c r="D529" s="37" t="str">
        <f t="shared" si="17"/>
        <v>C02843 : Long-chain acyl-CoA</v>
      </c>
    </row>
    <row r="530" spans="1:4">
      <c r="A530" s="33" t="s">
        <v>13467</v>
      </c>
      <c r="B530" s="33" t="s">
        <v>14901</v>
      </c>
      <c r="C530" s="35" t="str">
        <f t="shared" si="16"/>
        <v>C02863:1</v>
      </c>
      <c r="D530" s="37" t="str">
        <f t="shared" si="17"/>
        <v>C02863 : 3-O-(alpha-D-Mannosyl)-L-serinyl-[protein]</v>
      </c>
    </row>
    <row r="531" spans="1:4">
      <c r="A531" s="33" t="s">
        <v>13972</v>
      </c>
      <c r="B531" s="33" t="s">
        <v>14406</v>
      </c>
      <c r="C531" s="35" t="str">
        <f t="shared" si="16"/>
        <v>C02876:1</v>
      </c>
      <c r="D531" s="37" t="str">
        <f t="shared" si="17"/>
        <v>C02876 : Propanoyl phosphate</v>
      </c>
    </row>
    <row r="532" spans="1:4">
      <c r="A532" s="33" t="s">
        <v>13849</v>
      </c>
      <c r="B532" s="33" t="s">
        <v>14902</v>
      </c>
      <c r="C532" s="35" t="str">
        <f t="shared" si="16"/>
        <v>C02882:1</v>
      </c>
      <c r="D532" s="37" t="str">
        <f t="shared" si="17"/>
        <v>C02882 : L-Cysteine-S-conjugate</v>
      </c>
    </row>
    <row r="533" spans="1:4">
      <c r="A533" s="33" t="s">
        <v>13801</v>
      </c>
      <c r="B533" s="33" t="s">
        <v>14407</v>
      </c>
      <c r="C533" s="35" t="str">
        <f t="shared" si="16"/>
        <v>C02909:1</v>
      </c>
      <c r="D533" s="37" t="str">
        <f t="shared" si="17"/>
        <v>C02909 : (2-Naphthyl)methanol</v>
      </c>
    </row>
    <row r="534" spans="1:4">
      <c r="A534" s="33" t="s">
        <v>13997</v>
      </c>
      <c r="B534" s="33" t="s">
        <v>14903</v>
      </c>
      <c r="C534" s="35" t="str">
        <f t="shared" si="16"/>
        <v>C02946:1</v>
      </c>
      <c r="D534" s="37" t="str">
        <f t="shared" si="17"/>
        <v>C02946 : 4-Acetamidobutanoate</v>
      </c>
    </row>
    <row r="535" spans="1:4">
      <c r="A535" s="33" t="s">
        <v>13453</v>
      </c>
      <c r="B535" s="33" t="s">
        <v>14408</v>
      </c>
      <c r="C535" s="35" t="str">
        <f t="shared" si="16"/>
        <v>C02953:1</v>
      </c>
      <c r="D535" s="37" t="str">
        <f t="shared" si="17"/>
        <v>C02953 : 7,8-Dihydrobiopterin</v>
      </c>
    </row>
    <row r="536" spans="1:4">
      <c r="A536" s="33" t="s">
        <v>13904</v>
      </c>
      <c r="B536" s="33" t="s">
        <v>14409</v>
      </c>
      <c r="C536" s="35" t="str">
        <f t="shared" si="16"/>
        <v>C02962:1</v>
      </c>
      <c r="D536" s="37" t="str">
        <f t="shared" si="17"/>
        <v>C02962 : D-Allose 6-phosphate</v>
      </c>
    </row>
    <row r="537" spans="1:4">
      <c r="A537" s="33" t="s">
        <v>14058</v>
      </c>
      <c r="B537" s="33" t="s">
        <v>14904</v>
      </c>
      <c r="C537" s="35" t="str">
        <f t="shared" si="16"/>
        <v>C02970:1</v>
      </c>
      <c r="D537" s="37" t="str">
        <f t="shared" si="17"/>
        <v>C02970 : Decaprenol phosphate</v>
      </c>
    </row>
    <row r="538" spans="1:4">
      <c r="A538" s="33" t="s">
        <v>13287</v>
      </c>
      <c r="B538" s="33" t="s">
        <v>14905</v>
      </c>
      <c r="C538" s="35" t="str">
        <f t="shared" si="16"/>
        <v>C02972:1</v>
      </c>
      <c r="D538" s="37" t="str">
        <f t="shared" si="17"/>
        <v>C02972 : Dihydrolipoylprotein</v>
      </c>
    </row>
    <row r="539" spans="1:4">
      <c r="A539" s="33" t="s">
        <v>13678</v>
      </c>
      <c r="B539" s="33" t="s">
        <v>14410</v>
      </c>
      <c r="C539" s="35" t="str">
        <f t="shared" si="16"/>
        <v>C02984:1</v>
      </c>
      <c r="D539" s="37" t="str">
        <f t="shared" si="17"/>
        <v>C02984 : L-Aspartyl-tRNA(Asp)</v>
      </c>
    </row>
    <row r="540" spans="1:4">
      <c r="A540" s="33" t="s">
        <v>13313</v>
      </c>
      <c r="B540" s="33" t="s">
        <v>14411</v>
      </c>
      <c r="C540" s="35" t="str">
        <f t="shared" si="16"/>
        <v>C02987:1</v>
      </c>
      <c r="D540" s="37" t="str">
        <f t="shared" si="17"/>
        <v>C02987 : L-Glutamyl-tRNA(Glu)</v>
      </c>
    </row>
    <row r="541" spans="1:4">
      <c r="A541" s="33" t="s">
        <v>13685</v>
      </c>
      <c r="B541" s="33" t="s">
        <v>14906</v>
      </c>
      <c r="C541" s="35" t="str">
        <f t="shared" si="16"/>
        <v>C02988:1</v>
      </c>
      <c r="D541" s="37" t="str">
        <f t="shared" si="17"/>
        <v>C02988 : L-Histidyl-tRNA(His)</v>
      </c>
    </row>
    <row r="542" spans="1:4">
      <c r="A542" s="33" t="s">
        <v>13697</v>
      </c>
      <c r="B542" s="33" t="s">
        <v>14412</v>
      </c>
      <c r="C542" s="35" t="str">
        <f t="shared" si="16"/>
        <v>C02992:1</v>
      </c>
      <c r="D542" s="37" t="str">
        <f t="shared" si="17"/>
        <v>C02992 : L-Threonyl-tRNA(Thr)</v>
      </c>
    </row>
    <row r="543" spans="1:4">
      <c r="A543" s="33" t="s">
        <v>14099</v>
      </c>
      <c r="B543" s="33" t="s">
        <v>14907</v>
      </c>
      <c r="C543" s="35" t="str">
        <f t="shared" si="16"/>
        <v>C02999:1</v>
      </c>
      <c r="D543" s="37" t="str">
        <f t="shared" si="17"/>
        <v>C02999 : N-Acetylmuramoyl-Ala</v>
      </c>
    </row>
    <row r="544" spans="1:4">
      <c r="A544" s="33" t="s">
        <v>13698</v>
      </c>
      <c r="B544" s="33" t="s">
        <v>14413</v>
      </c>
      <c r="C544" s="35" t="str">
        <f t="shared" si="16"/>
        <v>C03023:1</v>
      </c>
      <c r="D544" s="37" t="str">
        <f t="shared" si="17"/>
        <v xml:space="preserve">C03023 : Peptide-L-methionine </v>
      </c>
    </row>
    <row r="545" spans="1:4">
      <c r="A545" s="33" t="s">
        <v>14117</v>
      </c>
      <c r="B545" s="33" t="s">
        <v>14908</v>
      </c>
      <c r="C545" s="35" t="str">
        <f t="shared" si="16"/>
        <v>C03024:1</v>
      </c>
      <c r="D545" s="37" t="str">
        <f t="shared" si="17"/>
        <v>C03024 : [Reduced NADPH---hemoprotein reductase]</v>
      </c>
    </row>
    <row r="546" spans="1:4">
      <c r="A546" s="33" t="s">
        <v>13349</v>
      </c>
      <c r="B546" s="33" t="s">
        <v>14414</v>
      </c>
      <c r="C546" s="35" t="str">
        <f t="shared" si="16"/>
        <v>C03028:1</v>
      </c>
      <c r="D546" s="37" t="str">
        <f t="shared" si="17"/>
        <v xml:space="preserve">C03028 : Thiamine Triphosphate </v>
      </c>
    </row>
    <row r="547" spans="1:4">
      <c r="A547" s="33" t="s">
        <v>13497</v>
      </c>
      <c r="B547" s="33" t="s">
        <v>14909</v>
      </c>
      <c r="C547" s="35" t="str">
        <f t="shared" si="16"/>
        <v>C03069:1</v>
      </c>
      <c r="D547" s="37" t="str">
        <f t="shared" si="17"/>
        <v>C03069 : 3-Methylcrotonyl-CoA</v>
      </c>
    </row>
    <row r="548" spans="1:4">
      <c r="A548" s="33" t="s">
        <v>13254</v>
      </c>
      <c r="B548" s="33" t="s">
        <v>14415</v>
      </c>
      <c r="C548" s="35" t="str">
        <f t="shared" si="16"/>
        <v>C03082:1</v>
      </c>
      <c r="D548" s="37" t="str">
        <f t="shared" si="17"/>
        <v>C03082 : 4-Phospho-L-aspartate</v>
      </c>
    </row>
    <row r="549" spans="1:4">
      <c r="A549" s="33" t="s">
        <v>13937</v>
      </c>
      <c r="B549" s="33" t="s">
        <v>14416</v>
      </c>
      <c r="C549" s="35" t="str">
        <f t="shared" si="16"/>
        <v>C03090:1</v>
      </c>
      <c r="D549" s="37" t="str">
        <f t="shared" si="17"/>
        <v>C03090 : 5-Phosphoribosylamine</v>
      </c>
    </row>
    <row r="550" spans="1:4">
      <c r="A550" s="33" t="s">
        <v>8092</v>
      </c>
      <c r="B550" s="33" t="s">
        <v>14910</v>
      </c>
      <c r="C550" s="35" t="str">
        <f t="shared" si="16"/>
        <v>C03103:1</v>
      </c>
      <c r="D550" s="37" t="str">
        <f t="shared" si="17"/>
        <v>C03103 : Cyclobutadipyrimidine</v>
      </c>
    </row>
    <row r="551" spans="1:4">
      <c r="A551" s="33" t="s">
        <v>13763</v>
      </c>
      <c r="B551" s="33" t="s">
        <v>14911</v>
      </c>
      <c r="C551" s="35" t="str">
        <f t="shared" si="16"/>
        <v>C03114:1</v>
      </c>
      <c r="D551" s="37" t="str">
        <f t="shared" si="17"/>
        <v>C03114 : Dimethylbenzimidazole</v>
      </c>
    </row>
    <row r="552" spans="1:4">
      <c r="A552" s="33" t="s">
        <v>14073</v>
      </c>
      <c r="B552" s="33" t="s">
        <v>14912</v>
      </c>
      <c r="C552" s="35" t="str">
        <f t="shared" si="16"/>
        <v>C03120:1</v>
      </c>
      <c r="D552" s="37" t="str">
        <f t="shared" si="17"/>
        <v>C03120 : Glycerophosphodiester</v>
      </c>
    </row>
    <row r="553" spans="1:4">
      <c r="A553" s="33" t="s">
        <v>13945</v>
      </c>
      <c r="B553" s="33" t="s">
        <v>14417</v>
      </c>
      <c r="C553" s="35" t="str">
        <f t="shared" si="16"/>
        <v>C03125:1</v>
      </c>
      <c r="D553" s="37" t="str">
        <f t="shared" si="17"/>
        <v>C03125 : L-Cysteinyl-tRNA(Cys)</v>
      </c>
    </row>
    <row r="554" spans="1:4">
      <c r="A554" s="33" t="s">
        <v>13739</v>
      </c>
      <c r="B554" s="33" t="s">
        <v>14418</v>
      </c>
      <c r="C554" s="35" t="str">
        <f t="shared" si="16"/>
        <v>C03127:1</v>
      </c>
      <c r="D554" s="37" t="str">
        <f t="shared" si="17"/>
        <v>C03127 : L-Isoleucyl-tRNA(Ile)</v>
      </c>
    </row>
    <row r="555" spans="1:4">
      <c r="A555" s="33" t="s">
        <v>13823</v>
      </c>
      <c r="B555" s="33" t="s">
        <v>14419</v>
      </c>
      <c r="C555" s="35" t="str">
        <f t="shared" si="16"/>
        <v>C03150:1</v>
      </c>
      <c r="D555" s="37" t="str">
        <f t="shared" si="17"/>
        <v>C03150 : Nicotinamide-beta-riboside</v>
      </c>
    </row>
    <row r="556" spans="1:4">
      <c r="A556" s="33" t="s">
        <v>8068</v>
      </c>
      <c r="B556" s="33" t="s">
        <v>14913</v>
      </c>
      <c r="C556" s="35" t="str">
        <f t="shared" si="16"/>
        <v>C03160:1</v>
      </c>
      <c r="D556" s="37" t="str">
        <f t="shared" si="17"/>
        <v>C03160 : 2-Succinylbenzoyl-CoA</v>
      </c>
    </row>
    <row r="557" spans="1:4">
      <c r="A557" s="33" t="s">
        <v>14118</v>
      </c>
      <c r="B557" s="33" t="s">
        <v>14914</v>
      </c>
      <c r="C557" s="35" t="str">
        <f t="shared" si="16"/>
        <v>C03161:1</v>
      </c>
      <c r="D557" s="37" t="str">
        <f t="shared" si="17"/>
        <v>C03161 : [Oxidized NADPH---hemoprotein reductase]</v>
      </c>
    </row>
    <row r="558" spans="1:4">
      <c r="A558" s="33" t="s">
        <v>13408</v>
      </c>
      <c r="B558" s="33" t="s">
        <v>14915</v>
      </c>
      <c r="C558" s="35" t="str">
        <f t="shared" si="16"/>
        <v>C03169:1</v>
      </c>
      <c r="D558" s="37" t="str">
        <f t="shared" si="17"/>
        <v>C03169 : Pyrimidine nucleoside</v>
      </c>
    </row>
    <row r="559" spans="1:4">
      <c r="A559" s="33" t="s">
        <v>13922</v>
      </c>
      <c r="B559" s="33" t="s">
        <v>14420</v>
      </c>
      <c r="C559" s="35" t="str">
        <f t="shared" si="16"/>
        <v>C03170:1</v>
      </c>
      <c r="D559" s="37" t="str">
        <f t="shared" si="17"/>
        <v>C03170 : Trypanothione disulfide</v>
      </c>
    </row>
    <row r="560" spans="1:4">
      <c r="A560" s="33" t="s">
        <v>13434</v>
      </c>
      <c r="B560" s="33" t="s">
        <v>14916</v>
      </c>
      <c r="C560" s="35" t="str">
        <f t="shared" si="16"/>
        <v>C03175:1</v>
      </c>
      <c r="D560" s="37" t="str">
        <f t="shared" si="17"/>
        <v>C03175 : Shikimate 3-phosphate</v>
      </c>
    </row>
    <row r="561" spans="1:4">
      <c r="A561" s="33" t="s">
        <v>13482</v>
      </c>
      <c r="B561" s="33" t="s">
        <v>14917</v>
      </c>
      <c r="C561" s="35" t="str">
        <f t="shared" si="16"/>
        <v>C03221:1</v>
      </c>
      <c r="D561" s="37" t="str">
        <f t="shared" si="17"/>
        <v>C03221 : 2-trans-Dodecenoyl-CoA</v>
      </c>
    </row>
    <row r="562" spans="1:4">
      <c r="A562" s="33" t="s">
        <v>13445</v>
      </c>
      <c r="B562" s="33" t="s">
        <v>14918</v>
      </c>
      <c r="C562" s="35" t="str">
        <f t="shared" si="16"/>
        <v>C03232:1</v>
      </c>
      <c r="D562" s="37" t="str">
        <f t="shared" si="17"/>
        <v>C03232 : 3-Phosphonooxypyruvate</v>
      </c>
    </row>
    <row r="563" spans="1:4">
      <c r="A563" s="33" t="s">
        <v>13930</v>
      </c>
      <c r="B563" s="33" t="s">
        <v>14919</v>
      </c>
      <c r="C563" s="35" t="str">
        <f t="shared" si="16"/>
        <v>C03239:1</v>
      </c>
      <c r="D563" s="37" t="str">
        <f t="shared" si="17"/>
        <v>C03239 : 6-Amino-2-oxohexanoate</v>
      </c>
    </row>
    <row r="564" spans="1:4">
      <c r="A564" s="33" t="s">
        <v>13323</v>
      </c>
      <c r="B564" s="33" t="s">
        <v>14920</v>
      </c>
      <c r="C564" s="35" t="str">
        <f t="shared" si="16"/>
        <v>C03263:1</v>
      </c>
      <c r="D564" s="37" t="str">
        <f t="shared" si="17"/>
        <v>C03263 : Coproporphyrinogen III</v>
      </c>
    </row>
    <row r="565" spans="1:4">
      <c r="A565" s="33" t="s">
        <v>14016</v>
      </c>
      <c r="B565" s="33" t="s">
        <v>14921</v>
      </c>
      <c r="C565" s="35" t="str">
        <f t="shared" si="16"/>
        <v>C03272:1</v>
      </c>
      <c r="D565" s="37" t="str">
        <f t="shared" si="17"/>
        <v>C03272 : Globoside</v>
      </c>
    </row>
    <row r="566" spans="1:4">
      <c r="A566" s="33" t="s">
        <v>13219</v>
      </c>
      <c r="B566" s="33" t="s">
        <v>14922</v>
      </c>
      <c r="C566" s="35" t="str">
        <f t="shared" si="16"/>
        <v>C03273:1</v>
      </c>
      <c r="D566" s="37" t="str">
        <f t="shared" si="17"/>
        <v>C03273 : 5-Oxopentanoate</v>
      </c>
    </row>
    <row r="567" spans="1:4">
      <c r="A567" s="33" t="s">
        <v>13876</v>
      </c>
      <c r="B567" s="33" t="s">
        <v>14923</v>
      </c>
      <c r="C567" s="35" t="str">
        <f t="shared" si="16"/>
        <v>C03287:1</v>
      </c>
      <c r="D567" s="37" t="str">
        <f t="shared" si="17"/>
        <v>C03287 : L-Glutamyl 5-phosphate</v>
      </c>
    </row>
    <row r="568" spans="1:4">
      <c r="A568" s="33" t="s">
        <v>13659</v>
      </c>
      <c r="B568" s="33" t="s">
        <v>14421</v>
      </c>
      <c r="C568" s="35" t="str">
        <f t="shared" si="16"/>
        <v>C03294:1</v>
      </c>
      <c r="D568" s="37" t="str">
        <f t="shared" si="17"/>
        <v>C03294 : N-Formylmethionyl-tRNA</v>
      </c>
    </row>
    <row r="569" spans="1:4">
      <c r="A569" s="33" t="s">
        <v>13394</v>
      </c>
      <c r="B569" s="33" t="s">
        <v>14924</v>
      </c>
      <c r="C569" s="35" t="str">
        <f t="shared" si="16"/>
        <v>C03313:1</v>
      </c>
      <c r="D569" s="37" t="str">
        <f t="shared" si="17"/>
        <v>C03313 : Phylloquino</v>
      </c>
    </row>
    <row r="570" spans="1:4">
      <c r="A570" s="33" t="s">
        <v>13837</v>
      </c>
      <c r="B570" s="33" t="s">
        <v>14925</v>
      </c>
      <c r="C570" s="35" t="str">
        <f t="shared" si="16"/>
        <v>C03344:1</v>
      </c>
      <c r="D570" s="37" t="str">
        <f t="shared" si="17"/>
        <v>C03344 : 2-Methylacetoacetyl-CoA</v>
      </c>
    </row>
    <row r="571" spans="1:4">
      <c r="A571" s="33" t="s">
        <v>13484</v>
      </c>
      <c r="B571" s="33" t="s">
        <v>14926</v>
      </c>
      <c r="C571" s="35" t="str">
        <f t="shared" si="16"/>
        <v>C03345:1</v>
      </c>
      <c r="D571" s="37" t="str">
        <f t="shared" si="17"/>
        <v>C03345 : 2-Methylbut-2-enoyl-CoA</v>
      </c>
    </row>
    <row r="572" spans="1:4">
      <c r="A572" s="33" t="s">
        <v>10381</v>
      </c>
      <c r="B572" s="33" t="s">
        <v>14422</v>
      </c>
      <c r="C572" s="35" t="str">
        <f t="shared" si="16"/>
        <v>C03356:1</v>
      </c>
      <c r="D572" s="37" t="str">
        <f t="shared" si="17"/>
        <v>C03356 : 3-Phospho-D-erythronate</v>
      </c>
    </row>
    <row r="573" spans="1:4">
      <c r="A573" s="33" t="s">
        <v>14086</v>
      </c>
      <c r="B573" s="33" t="s">
        <v>14927</v>
      </c>
      <c r="C573" s="35" t="str">
        <f t="shared" si="16"/>
        <v>C03360:1</v>
      </c>
      <c r="D573" s="37" t="str">
        <f t="shared" si="17"/>
        <v>C03360 : 4-Nitrophenyl phosphate</v>
      </c>
    </row>
    <row r="574" spans="1:4">
      <c r="A574" s="33" t="s">
        <v>13427</v>
      </c>
      <c r="B574" s="33" t="s">
        <v>14423</v>
      </c>
      <c r="C574" s="35" t="str">
        <f t="shared" si="16"/>
        <v>C03373:1</v>
      </c>
      <c r="D574" s="37" t="str">
        <f t="shared" si="17"/>
        <v>C03373 : Aminoimidazole Ribotide</v>
      </c>
    </row>
    <row r="575" spans="1:4">
      <c r="A575" s="33" t="s">
        <v>13874</v>
      </c>
      <c r="B575" s="33" t="s">
        <v>14928</v>
      </c>
      <c r="C575" s="35" t="str">
        <f t="shared" si="16"/>
        <v>C03391:1</v>
      </c>
      <c r="D575" s="37" t="str">
        <f t="shared" si="17"/>
        <v>C03391 : DNA 6-methylaminopurine</v>
      </c>
    </row>
    <row r="576" spans="1:4">
      <c r="A576" s="33" t="s">
        <v>14040</v>
      </c>
      <c r="B576" s="33" t="s">
        <v>14929</v>
      </c>
      <c r="C576" s="35" t="str">
        <f t="shared" si="16"/>
        <v>C03405:1</v>
      </c>
      <c r="D576" s="37" t="str">
        <f t="shared" si="17"/>
        <v>C03405 : Lactosylceramide sulfate</v>
      </c>
    </row>
    <row r="577" spans="1:4">
      <c r="A577" s="33" t="s">
        <v>8545</v>
      </c>
      <c r="B577" s="33" t="s">
        <v>14930</v>
      </c>
      <c r="C577" s="35" t="str">
        <f t="shared" ref="C577:C640" si="18">CONCATENATE(A577,":","1")</f>
        <v>C03406:1</v>
      </c>
      <c r="D577" s="37" t="str">
        <f t="shared" si="17"/>
        <v>C03406 : N-(L-Arginino)succinate</v>
      </c>
    </row>
    <row r="578" spans="1:4">
      <c r="A578" s="33" t="s">
        <v>9936</v>
      </c>
      <c r="B578" s="33" t="s">
        <v>14931</v>
      </c>
      <c r="C578" s="35" t="str">
        <f t="shared" si="18"/>
        <v>C03427:1</v>
      </c>
      <c r="D578" s="37" t="str">
        <f t="shared" si="17"/>
        <v>C03427 : Prephytoene diphosphate</v>
      </c>
    </row>
    <row r="579" spans="1:4">
      <c r="A579" s="33" t="s">
        <v>13872</v>
      </c>
      <c r="B579" s="33" t="s">
        <v>14932</v>
      </c>
      <c r="C579" s="35" t="str">
        <f t="shared" si="18"/>
        <v>C03454:1</v>
      </c>
      <c r="D579" s="37" t="str">
        <f t="shared" ref="D579:D642" si="19">CONCATENATE(A579," : ",B579)</f>
        <v>C03454 : 1-Alkenyl-2-acylglycerol</v>
      </c>
    </row>
    <row r="580" spans="1:4">
      <c r="A580" s="33" t="s">
        <v>13485</v>
      </c>
      <c r="B580" s="33" t="s">
        <v>14933</v>
      </c>
      <c r="C580" s="35" t="str">
        <f t="shared" si="18"/>
        <v>C03460:1</v>
      </c>
      <c r="D580" s="37" t="str">
        <f t="shared" si="19"/>
        <v>C03460 : 2-Methylprop-2-enoyl-CoA</v>
      </c>
    </row>
    <row r="581" spans="1:4">
      <c r="A581" s="33" t="s">
        <v>9197</v>
      </c>
      <c r="B581" s="33" t="s">
        <v>14424</v>
      </c>
      <c r="C581" s="35" t="str">
        <f t="shared" si="18"/>
        <v>C03479:1</v>
      </c>
      <c r="D581" s="37" t="str">
        <f t="shared" si="19"/>
        <v>C03479 : Folinic Acid</v>
      </c>
    </row>
    <row r="582" spans="1:4">
      <c r="A582" s="33" t="s">
        <v>13539</v>
      </c>
      <c r="B582" s="33" t="s">
        <v>14425</v>
      </c>
      <c r="C582" s="35" t="str">
        <f t="shared" si="18"/>
        <v>C03492:1</v>
      </c>
      <c r="D582" s="37" t="str">
        <f t="shared" si="19"/>
        <v>C03492 : D-4'-Phosphopantothenate</v>
      </c>
    </row>
    <row r="583" spans="1:4">
      <c r="A583" s="33" t="s">
        <v>9609</v>
      </c>
      <c r="B583" s="33" t="s">
        <v>14934</v>
      </c>
      <c r="C583" s="35" t="str">
        <f t="shared" si="18"/>
        <v>C03506:1</v>
      </c>
      <c r="D583" s="37" t="str">
        <f t="shared" si="19"/>
        <v>C03506 : Indoleglycerol phosphate</v>
      </c>
    </row>
    <row r="584" spans="1:4">
      <c r="A584" s="33" t="s">
        <v>13613</v>
      </c>
      <c r="B584" s="33" t="s">
        <v>14426</v>
      </c>
      <c r="C584" s="35" t="str">
        <f t="shared" si="18"/>
        <v>C03511:1</v>
      </c>
      <c r="D584" s="37" t="str">
        <f t="shared" si="19"/>
        <v>C03511 : L-Phenylalanyl-tRNA(Phe)</v>
      </c>
    </row>
    <row r="585" spans="1:4">
      <c r="A585" s="33" t="s">
        <v>13361</v>
      </c>
      <c r="B585" s="33" t="s">
        <v>14427</v>
      </c>
      <c r="C585" s="35" t="str">
        <f t="shared" si="18"/>
        <v>C03512:1</v>
      </c>
      <c r="D585" s="37" t="str">
        <f t="shared" si="19"/>
        <v>C03512 : L-Tryptophanyl-tRNA(Trp)</v>
      </c>
    </row>
    <row r="586" spans="1:4">
      <c r="A586" s="33" t="s">
        <v>13635</v>
      </c>
      <c r="B586" s="33" t="s">
        <v>14935</v>
      </c>
      <c r="C586" s="35" t="str">
        <f t="shared" si="18"/>
        <v>C03516:1</v>
      </c>
      <c r="D586" s="37" t="str">
        <f t="shared" si="19"/>
        <v>C03516 : Magnesium protoporphyrin</v>
      </c>
    </row>
    <row r="587" spans="1:4">
      <c r="A587" s="33" t="s">
        <v>13525</v>
      </c>
      <c r="B587" s="33" t="s">
        <v>14428</v>
      </c>
      <c r="C587" s="35" t="str">
        <f t="shared" si="18"/>
        <v>C03523:1</v>
      </c>
      <c r="D587" s="37" t="str">
        <f t="shared" si="19"/>
        <v xml:space="preserve">C03523 : N-Substituted amino acid </v>
      </c>
    </row>
    <row r="588" spans="1:4">
      <c r="A588" s="33" t="s">
        <v>8008</v>
      </c>
      <c r="B588" s="33" t="s">
        <v>14429</v>
      </c>
      <c r="C588" s="35" t="str">
        <f t="shared" si="18"/>
        <v>C03539:1</v>
      </c>
      <c r="D588" s="37" t="str">
        <f t="shared" si="19"/>
        <v>C03539 : S-Ribosyl-L-homocysteine</v>
      </c>
    </row>
    <row r="589" spans="1:4">
      <c r="A589" s="33" t="s">
        <v>13889</v>
      </c>
      <c r="B589" s="33" t="s">
        <v>14936</v>
      </c>
      <c r="C589" s="35" t="str">
        <f t="shared" si="18"/>
        <v>C03541:1</v>
      </c>
      <c r="D589" s="37" t="str">
        <f t="shared" si="19"/>
        <v>C03541 : THF-polyglutamate</v>
      </c>
    </row>
    <row r="590" spans="1:4">
      <c r="A590" s="33" t="s">
        <v>13444</v>
      </c>
      <c r="B590" s="33" t="s">
        <v>14937</v>
      </c>
      <c r="C590" s="35" t="str">
        <f t="shared" si="18"/>
        <v>C03546:1</v>
      </c>
      <c r="D590" s="37" t="str">
        <f t="shared" si="19"/>
        <v>C03546 : myo-Inositol 4-phosphate</v>
      </c>
    </row>
    <row r="591" spans="1:4">
      <c r="A591" s="33" t="s">
        <v>13227</v>
      </c>
      <c r="B591" s="33" t="s">
        <v>14938</v>
      </c>
      <c r="C591" s="35" t="str">
        <f t="shared" si="18"/>
        <v>C03561:1</v>
      </c>
      <c r="D591" s="37" t="str">
        <f t="shared" si="19"/>
        <v>C03561 : (R)-3-Hydroxybutanoyl-CoA</v>
      </c>
    </row>
    <row r="592" spans="1:4">
      <c r="A592" s="33" t="s">
        <v>13663</v>
      </c>
      <c r="B592" s="33" t="s">
        <v>14430</v>
      </c>
      <c r="C592" s="35" t="str">
        <f t="shared" si="18"/>
        <v>C03617:1</v>
      </c>
      <c r="D592" s="37" t="str">
        <f t="shared" si="19"/>
        <v>C03617 : L-Methionylaminoacyl-tRNA</v>
      </c>
    </row>
    <row r="593" spans="1:4">
      <c r="A593" s="33" t="s">
        <v>7846</v>
      </c>
      <c r="B593" s="33" t="s">
        <v>14431</v>
      </c>
      <c r="C593" s="35" t="str">
        <f t="shared" si="18"/>
        <v>C03633:1</v>
      </c>
      <c r="D593" s="37" t="str">
        <f t="shared" si="19"/>
        <v>C03633 : Peptidylproline (omega=0)</v>
      </c>
    </row>
    <row r="594" spans="1:4">
      <c r="A594" s="33" t="s">
        <v>13332</v>
      </c>
      <c r="B594" s="33" t="s">
        <v>14939</v>
      </c>
      <c r="C594" s="35" t="str">
        <f t="shared" si="18"/>
        <v>C03657:1</v>
      </c>
      <c r="D594" s="37" t="str">
        <f t="shared" si="19"/>
        <v>C03657 : 1,4-Dihydroxy-2-naphthoate</v>
      </c>
    </row>
    <row r="595" spans="1:4">
      <c r="A595" s="33" t="s">
        <v>8421</v>
      </c>
      <c r="B595" s="33" t="s">
        <v>14940</v>
      </c>
      <c r="C595" s="35" t="str">
        <f t="shared" si="18"/>
        <v>C03680:1</v>
      </c>
      <c r="D595" s="37" t="str">
        <f t="shared" si="19"/>
        <v>C03680 : 4-Imidazolone-5-propanoate</v>
      </c>
    </row>
    <row r="596" spans="1:4">
      <c r="A596" s="33" t="s">
        <v>13714</v>
      </c>
      <c r="B596" s="33" t="s">
        <v>14432</v>
      </c>
      <c r="C596" s="35" t="str">
        <f t="shared" si="18"/>
        <v>C03688:1</v>
      </c>
      <c r="D596" s="37" t="str">
        <f t="shared" si="19"/>
        <v>C03688 : Apo-[acyl-carrier protein]</v>
      </c>
    </row>
    <row r="597" spans="1:4">
      <c r="A597" s="33" t="s">
        <v>13530</v>
      </c>
      <c r="B597" s="33" t="s">
        <v>14941</v>
      </c>
      <c r="C597" s="35" t="str">
        <f t="shared" si="18"/>
        <v>C03722:1</v>
      </c>
      <c r="D597" s="37" t="str">
        <f t="shared" si="19"/>
        <v>C03722 : Quinolinate</v>
      </c>
    </row>
    <row r="598" spans="1:4">
      <c r="A598" s="33" t="s">
        <v>13919</v>
      </c>
      <c r="B598" s="33" t="s">
        <v>14433</v>
      </c>
      <c r="C598" s="35" t="str">
        <f t="shared" si="18"/>
        <v>C03723:1</v>
      </c>
      <c r="D598" s="37" t="str">
        <f t="shared" si="19"/>
        <v>C03723 : Ribonucleoside diphosphate</v>
      </c>
    </row>
    <row r="599" spans="1:4">
      <c r="A599" s="33" t="s">
        <v>9500</v>
      </c>
      <c r="B599" s="33" t="s">
        <v>14942</v>
      </c>
      <c r="C599" s="35" t="str">
        <f t="shared" si="18"/>
        <v>C03733:1</v>
      </c>
      <c r="D599" s="37" t="str">
        <f t="shared" si="19"/>
        <v>C03733 : UDP-alpha-D-galactofuranose</v>
      </c>
    </row>
    <row r="600" spans="1:4">
      <c r="A600" s="33" t="s">
        <v>8057</v>
      </c>
      <c r="B600" s="33" t="s">
        <v>14943</v>
      </c>
      <c r="C600" s="35" t="str">
        <f t="shared" si="18"/>
        <v>C03741:1</v>
      </c>
      <c r="D600" s="37" t="str">
        <f t="shared" si="19"/>
        <v>C03741 : (S)-4-Amino-5-oxopentanoate</v>
      </c>
    </row>
    <row r="601" spans="1:4">
      <c r="A601" s="33" t="s">
        <v>13932</v>
      </c>
      <c r="B601" s="33" t="s">
        <v>14944</v>
      </c>
      <c r="C601" s="35" t="str">
        <f t="shared" si="18"/>
        <v>C03771:1</v>
      </c>
      <c r="D601" s="37" t="str">
        <f t="shared" si="19"/>
        <v>C03771 : 5-Guanidino-2-oxopentanoate</v>
      </c>
    </row>
    <row r="602" spans="1:4">
      <c r="A602" s="33" t="s">
        <v>13599</v>
      </c>
      <c r="B602" s="33" t="s">
        <v>14434</v>
      </c>
      <c r="C602" s="35" t="str">
        <f t="shared" si="18"/>
        <v>C03785:1</v>
      </c>
      <c r="D602" s="37" t="str">
        <f t="shared" si="19"/>
        <v>C03785 : D-Tagatose 1,6-bisphosphate</v>
      </c>
    </row>
    <row r="603" spans="1:4">
      <c r="A603" s="33" t="s">
        <v>13939</v>
      </c>
      <c r="B603" s="33" t="s">
        <v>14435</v>
      </c>
      <c r="C603" s="35" t="str">
        <f t="shared" si="18"/>
        <v>C03794:1</v>
      </c>
      <c r="D603" s="37" t="str">
        <f t="shared" si="19"/>
        <v>C03794 : N6-(1,2-Dicarboxyethyl)-AMP</v>
      </c>
    </row>
    <row r="604" spans="1:4">
      <c r="A604" s="33" t="s">
        <v>7845</v>
      </c>
      <c r="B604" s="33" t="s">
        <v>14436</v>
      </c>
      <c r="C604" s="35" t="str">
        <f t="shared" si="18"/>
        <v>C03798:1</v>
      </c>
      <c r="D604" s="37" t="str">
        <f t="shared" si="19"/>
        <v>C03798 : Peptidylproline (omega=180)</v>
      </c>
    </row>
    <row r="605" spans="1:4">
      <c r="A605" s="33" t="s">
        <v>13212</v>
      </c>
      <c r="B605" s="33" t="s">
        <v>14437</v>
      </c>
      <c r="C605" s="35" t="str">
        <f t="shared" si="18"/>
        <v>C03800:1</v>
      </c>
      <c r="D605" s="37" t="str">
        <f t="shared" si="19"/>
        <v>C03800 : Protein S-methyl-L-cysteine</v>
      </c>
    </row>
    <row r="606" spans="1:4">
      <c r="A606" s="33" t="s">
        <v>13461</v>
      </c>
      <c r="B606" s="33" t="s">
        <v>14438</v>
      </c>
      <c r="C606" s="35" t="str">
        <f t="shared" si="18"/>
        <v>C03838:1</v>
      </c>
      <c r="D606" s="37" t="str">
        <f t="shared" si="19"/>
        <v>C03838 : 5'-Phosphoribosylglycinamide</v>
      </c>
    </row>
    <row r="607" spans="1:4">
      <c r="A607" s="33" t="s">
        <v>13464</v>
      </c>
      <c r="B607" s="33" t="s">
        <v>14945</v>
      </c>
      <c r="C607" s="35" t="str">
        <f t="shared" si="18"/>
        <v>C03862:1</v>
      </c>
      <c r="D607" s="37" t="str">
        <f t="shared" si="19"/>
        <v>C03862 : Dolichyl phosphate D-mannose</v>
      </c>
    </row>
    <row r="608" spans="1:4">
      <c r="A608" s="33" t="s">
        <v>13524</v>
      </c>
      <c r="B608" s="33" t="s">
        <v>14439</v>
      </c>
      <c r="C608" s="35" t="str">
        <f t="shared" si="18"/>
        <v>C03880:1</v>
      </c>
      <c r="D608" s="37" t="str">
        <f t="shared" si="19"/>
        <v>C03880 : N-Substituted aminoacyl-tRNA</v>
      </c>
    </row>
    <row r="609" spans="1:4">
      <c r="A609" s="33" t="s">
        <v>13711</v>
      </c>
      <c r="B609" s="33" t="s">
        <v>14440</v>
      </c>
      <c r="C609" s="35" t="str">
        <f t="shared" si="18"/>
        <v>C03892:1</v>
      </c>
      <c r="D609" s="37" t="str">
        <f t="shared" si="19"/>
        <v>C03892 : Phosphatidylglycerophosphate</v>
      </c>
    </row>
    <row r="610" spans="1:4">
      <c r="A610" s="33" t="s">
        <v>14080</v>
      </c>
      <c r="B610" s="33" t="s">
        <v>14441</v>
      </c>
      <c r="C610" s="35" t="str">
        <f t="shared" si="18"/>
        <v>C03895:1</v>
      </c>
      <c r="D610" s="37" t="str">
        <f t="shared" si="19"/>
        <v>C03895 : Peptide-L-methionine (S)-S-oxide</v>
      </c>
    </row>
    <row r="611" spans="1:4">
      <c r="A611" s="33" t="s">
        <v>13307</v>
      </c>
      <c r="B611" s="33" t="s">
        <v>14946</v>
      </c>
      <c r="C611" s="35" t="str">
        <f t="shared" si="18"/>
        <v>C03912:1</v>
      </c>
      <c r="D611" s="37" t="str">
        <f t="shared" si="19"/>
        <v>C03912 : (S)-1-Pyrroline-5-carboxylate</v>
      </c>
    </row>
    <row r="612" spans="1:4">
      <c r="A612" s="33" t="s">
        <v>14049</v>
      </c>
      <c r="B612" s="33" t="s">
        <v>14947</v>
      </c>
      <c r="C612" s="35" t="str">
        <f t="shared" si="18"/>
        <v>C03939:1</v>
      </c>
      <c r="D612" s="37" t="str">
        <f t="shared" si="19"/>
        <v>C03939 : Acetyl-[acyl-carrier protein]</v>
      </c>
    </row>
    <row r="613" spans="1:4">
      <c r="A613" s="33" t="s">
        <v>13554</v>
      </c>
      <c r="B613" s="33" t="s">
        <v>14442</v>
      </c>
      <c r="C613" s="35" t="str">
        <f t="shared" si="18"/>
        <v>C03972:1</v>
      </c>
      <c r="D613" s="37" t="str">
        <f t="shared" si="19"/>
        <v>C03972 : 2,3,4,5-Tetrahydrodipicolinate</v>
      </c>
    </row>
    <row r="614" spans="1:4">
      <c r="A614" s="33" t="s">
        <v>9564</v>
      </c>
      <c r="B614" s="33" t="s">
        <v>14948</v>
      </c>
      <c r="C614" s="35" t="str">
        <f t="shared" si="18"/>
        <v>C04006:1</v>
      </c>
      <c r="D614" s="37" t="str">
        <f t="shared" si="19"/>
        <v>C04006 : 1D-myo-Inositol 3-phosphate</v>
      </c>
    </row>
    <row r="615" spans="1:4">
      <c r="A615" s="33" t="s">
        <v>8471</v>
      </c>
      <c r="B615" s="33" t="s">
        <v>14949</v>
      </c>
      <c r="C615" s="35" t="str">
        <f t="shared" si="18"/>
        <v>C04039:1</v>
      </c>
      <c r="D615" s="37" t="str">
        <f t="shared" si="19"/>
        <v>C04039 : 2,3-Dihydroxy-3-methylbutanoate</v>
      </c>
    </row>
    <row r="616" spans="1:4">
      <c r="A616" s="33" t="s">
        <v>13687</v>
      </c>
      <c r="B616" s="33" t="s">
        <v>14443</v>
      </c>
      <c r="C616" s="35" t="str">
        <f t="shared" si="18"/>
        <v>C04051:1</v>
      </c>
      <c r="D616" s="37" t="str">
        <f t="shared" si="19"/>
        <v>C04051 : 5-Amino-4-imidazolecarboxyamide</v>
      </c>
    </row>
    <row r="617" spans="1:4">
      <c r="A617" s="33" t="s">
        <v>13542</v>
      </c>
      <c r="B617" s="33" t="s">
        <v>14444</v>
      </c>
      <c r="C617" s="35" t="str">
        <f t="shared" si="18"/>
        <v>C04079:1</v>
      </c>
      <c r="D617" s="37" t="str">
        <f t="shared" si="19"/>
        <v>C04079 : N-((R)-Pantothenoyl)-L-cysteine</v>
      </c>
    </row>
    <row r="618" spans="1:4">
      <c r="A618" s="33" t="s">
        <v>14030</v>
      </c>
      <c r="B618" s="33" t="s">
        <v>14950</v>
      </c>
      <c r="C618" s="35" t="str">
        <f t="shared" si="18"/>
        <v>C04132:1</v>
      </c>
      <c r="D618" s="37" t="str">
        <f t="shared" si="19"/>
        <v>C04132 : N-Acetyl-D-glucosamine 6-sulfate</v>
      </c>
    </row>
    <row r="619" spans="1:4">
      <c r="A619" s="33" t="s">
        <v>13615</v>
      </c>
      <c r="B619" s="33" t="s">
        <v>14951</v>
      </c>
      <c r="C619" s="35" t="str">
        <f t="shared" si="18"/>
        <v>C04133:1</v>
      </c>
      <c r="D619" s="37" t="str">
        <f t="shared" si="19"/>
        <v>C04133 : N-Acetyl-L-glutamate 5-phosphate</v>
      </c>
    </row>
    <row r="620" spans="1:4">
      <c r="A620" s="33" t="s">
        <v>10136</v>
      </c>
      <c r="B620" s="33" t="s">
        <v>14952</v>
      </c>
      <c r="C620" s="35" t="str">
        <f t="shared" si="18"/>
        <v>C04136:1</v>
      </c>
      <c r="D620" s="37" t="str">
        <f t="shared" si="19"/>
        <v>C04136 : N-Acyl-D-glucosamine 6-phosphate</v>
      </c>
    </row>
    <row r="621" spans="1:4">
      <c r="A621" s="33" t="s">
        <v>13184</v>
      </c>
      <c r="B621" s="33" t="s">
        <v>14445</v>
      </c>
      <c r="C621" s="35" t="str">
        <f t="shared" si="18"/>
        <v>C04144:1</v>
      </c>
      <c r="D621" s="37" t="str">
        <f t="shared" si="19"/>
        <v>C04144 : Tetrahydropteroyltri-L-glutamate</v>
      </c>
    </row>
    <row r="622" spans="1:4">
      <c r="A622" s="33" t="s">
        <v>13557</v>
      </c>
      <c r="B622" s="33" t="s">
        <v>14953</v>
      </c>
      <c r="C622" s="35" t="str">
        <f t="shared" si="18"/>
        <v>C04152:1</v>
      </c>
      <c r="D622" s="37" t="str">
        <f t="shared" si="19"/>
        <v>C04152 : rRNA containing N1-methylguanine</v>
      </c>
    </row>
    <row r="623" spans="1:4">
      <c r="A623" s="33" t="s">
        <v>13609</v>
      </c>
      <c r="B623" s="33" t="s">
        <v>14446</v>
      </c>
      <c r="C623" s="35" t="str">
        <f t="shared" si="18"/>
        <v>C04153:1</v>
      </c>
      <c r="D623" s="37" t="str">
        <f t="shared" si="19"/>
        <v>C04153 : rRNA containing N2-methylguanine</v>
      </c>
    </row>
    <row r="624" spans="1:4">
      <c r="A624" s="33" t="s">
        <v>13725</v>
      </c>
      <c r="B624" s="33" t="s">
        <v>14447</v>
      </c>
      <c r="C624" s="35" t="str">
        <f t="shared" si="18"/>
        <v>C04157:1</v>
      </c>
      <c r="D624" s="37" t="str">
        <f t="shared" si="19"/>
        <v>C04157 : tRNA containing N1-methylguanine</v>
      </c>
    </row>
    <row r="625" spans="1:4">
      <c r="A625" s="33" t="s">
        <v>14046</v>
      </c>
      <c r="B625" s="33" t="s">
        <v>14448</v>
      </c>
      <c r="C625" s="35" t="str">
        <f t="shared" si="18"/>
        <v>C04160:1</v>
      </c>
      <c r="D625" s="37" t="str">
        <f t="shared" si="19"/>
        <v>C04160 : tRNA containing N7-methylguanine</v>
      </c>
    </row>
    <row r="626" spans="1:4">
      <c r="A626" s="33" t="s">
        <v>10457</v>
      </c>
      <c r="B626" s="33" t="s">
        <v>14954</v>
      </c>
      <c r="C626" s="35" t="str">
        <f t="shared" si="18"/>
        <v>C04181:1</v>
      </c>
      <c r="D626" s="37" t="str">
        <f t="shared" si="19"/>
        <v>C04181 : 3-Hydroxy-3-methyl-2-oxobutanoic acid</v>
      </c>
    </row>
    <row r="627" spans="1:4">
      <c r="A627" s="33" t="s">
        <v>13339</v>
      </c>
      <c r="B627" s="33" t="s">
        <v>14955</v>
      </c>
      <c r="C627" s="35" t="str">
        <f t="shared" si="18"/>
        <v>C04216:1</v>
      </c>
      <c r="D627" s="37" t="str">
        <f t="shared" si="19"/>
        <v>C04216 : all-trans-Heptaprenyl diphosphate</v>
      </c>
    </row>
    <row r="628" spans="1:4">
      <c r="A628" s="33" t="s">
        <v>14109</v>
      </c>
      <c r="B628" s="33" t="s">
        <v>14956</v>
      </c>
      <c r="C628" s="35" t="str">
        <f t="shared" si="18"/>
        <v>C04218:1</v>
      </c>
      <c r="D628" s="37" t="str">
        <f t="shared" si="19"/>
        <v>C04218 : alpha,alpha'-Trehalose 6-mycolate</v>
      </c>
    </row>
    <row r="629" spans="1:4">
      <c r="A629" s="33" t="s">
        <v>13395</v>
      </c>
      <c r="B629" s="33" t="s">
        <v>14957</v>
      </c>
      <c r="C629" s="35" t="str">
        <f t="shared" si="18"/>
        <v>C04225:1</v>
      </c>
      <c r="D629" s="37" t="str">
        <f t="shared" si="19"/>
        <v>C04225 : (Z)-But-2-ene-1,2,3-tricarboxylate</v>
      </c>
    </row>
    <row r="630" spans="1:4">
      <c r="A630" s="33" t="s">
        <v>13918</v>
      </c>
      <c r="B630" s="33" t="s">
        <v>14449</v>
      </c>
      <c r="C630" s="35" t="str">
        <f t="shared" si="18"/>
        <v>C04232:1</v>
      </c>
      <c r="D630" s="37" t="str">
        <f t="shared" si="19"/>
        <v>C04232 : 2'-Deoxyribonucleoside diphosphate</v>
      </c>
    </row>
    <row r="631" spans="1:4">
      <c r="A631" s="33" t="s">
        <v>8484</v>
      </c>
      <c r="B631" s="33" t="s">
        <v>14958</v>
      </c>
      <c r="C631" s="35" t="str">
        <f t="shared" si="18"/>
        <v>C04236:1</v>
      </c>
      <c r="D631" s="37" t="str">
        <f t="shared" si="19"/>
        <v>C04236 : (2S)-2-Isopropyl-3-oxosuccinate</v>
      </c>
    </row>
    <row r="632" spans="1:4">
      <c r="A632" s="33" t="s">
        <v>13705</v>
      </c>
      <c r="B632" s="33" t="s">
        <v>14450</v>
      </c>
      <c r="C632" s="35" t="str">
        <f t="shared" si="18"/>
        <v>C04242:1</v>
      </c>
      <c r="D632" s="37" t="str">
        <f t="shared" si="19"/>
        <v>C04242 : 5-Fluorodeoxyuridine monophosphate</v>
      </c>
    </row>
    <row r="633" spans="1:4">
      <c r="A633" s="33" t="s">
        <v>13210</v>
      </c>
      <c r="B633" s="33" t="s">
        <v>14451</v>
      </c>
      <c r="C633" s="35" t="str">
        <f t="shared" si="18"/>
        <v>C04250:1</v>
      </c>
      <c r="D633" s="37" t="str">
        <f t="shared" si="19"/>
        <v>C04250 : DNA containing 6-O-methylguanine</v>
      </c>
    </row>
    <row r="634" spans="1:4">
      <c r="A634" s="33" t="s">
        <v>10138</v>
      </c>
      <c r="B634" s="33" t="s">
        <v>14959</v>
      </c>
      <c r="C634" s="35" t="str">
        <f t="shared" si="18"/>
        <v>C04257:1</v>
      </c>
      <c r="D634" s="37" t="str">
        <f t="shared" si="19"/>
        <v>C04257 : N-Acetyl-D-mannosamine 6-phosphate</v>
      </c>
    </row>
    <row r="635" spans="1:4">
      <c r="A635" s="33" t="s">
        <v>13662</v>
      </c>
      <c r="B635" s="33" t="s">
        <v>14452</v>
      </c>
      <c r="C635" s="35" t="str">
        <f t="shared" si="18"/>
        <v>C04258:1</v>
      </c>
      <c r="D635" s="37" t="str">
        <f t="shared" si="19"/>
        <v>C04258 : N-Formyl-L-methionylaminoacyl-tRNA</v>
      </c>
    </row>
    <row r="636" spans="1:4">
      <c r="A636" s="33" t="s">
        <v>13709</v>
      </c>
      <c r="B636" s="33" t="s">
        <v>14453</v>
      </c>
      <c r="C636" s="35" t="str">
        <f t="shared" si="18"/>
        <v>C04261:1</v>
      </c>
      <c r="D636" s="37" t="str">
        <f t="shared" si="19"/>
        <v>C04261 : Protein N(pi)-phospho-L-histidine</v>
      </c>
    </row>
    <row r="637" spans="1:4">
      <c r="A637" s="33" t="s">
        <v>10445</v>
      </c>
      <c r="B637" s="33" t="s">
        <v>14960</v>
      </c>
      <c r="C637" s="35" t="str">
        <f t="shared" si="18"/>
        <v>C04272:1</v>
      </c>
      <c r="D637" s="37" t="str">
        <f t="shared" si="19"/>
        <v>C04272 : (R)-2,3-Dihydroxy-3-methylbutanoate</v>
      </c>
    </row>
    <row r="638" spans="1:4">
      <c r="A638" s="33" t="s">
        <v>13309</v>
      </c>
      <c r="B638" s="33" t="s">
        <v>14961</v>
      </c>
      <c r="C638" s="35" t="str">
        <f t="shared" si="18"/>
        <v>C04281:1</v>
      </c>
      <c r="D638" s="37" t="str">
        <f t="shared" si="19"/>
        <v>C04281 : L-1-Pyrroline-3-hydroxy-5-carboxylate</v>
      </c>
    </row>
    <row r="639" spans="1:4">
      <c r="A639" s="33" t="s">
        <v>13638</v>
      </c>
      <c r="B639" s="33" t="s">
        <v>14962</v>
      </c>
      <c r="C639" s="35" t="str">
        <f t="shared" si="18"/>
        <v>C04294:1</v>
      </c>
      <c r="D639" s="37" t="str">
        <f t="shared" si="19"/>
        <v>C04294 : 5-(2-Hydroxyethyl)-4-methylthiazole</v>
      </c>
    </row>
    <row r="640" spans="1:4">
      <c r="A640" s="33" t="s">
        <v>13532</v>
      </c>
      <c r="B640" s="33" t="s">
        <v>14454</v>
      </c>
      <c r="C640" s="35" t="str">
        <f t="shared" si="18"/>
        <v>C04309:1</v>
      </c>
      <c r="D640" s="37" t="str">
        <f t="shared" si="19"/>
        <v>C04309 : Phosphoenol-4-deoxy-3-tetrulosonate</v>
      </c>
    </row>
    <row r="641" spans="1:4">
      <c r="A641" s="33" t="s">
        <v>13639</v>
      </c>
      <c r="B641" s="33" t="s">
        <v>14963</v>
      </c>
      <c r="C641" s="35" t="str">
        <f t="shared" ref="C641:C704" si="20">CONCATENATE(A641,":","1")</f>
        <v>C04327:1</v>
      </c>
      <c r="D641" s="37" t="str">
        <f t="shared" si="19"/>
        <v>C04327 : 4-Methyl-5-(2-phosphooxyethyl)thiazole</v>
      </c>
    </row>
    <row r="642" spans="1:4">
      <c r="A642" s="33" t="s">
        <v>13657</v>
      </c>
      <c r="B642" s="33" t="s">
        <v>14964</v>
      </c>
      <c r="C642" s="35" t="str">
        <f t="shared" si="20"/>
        <v>C04332:1</v>
      </c>
      <c r="D642" s="37" t="str">
        <f t="shared" si="19"/>
        <v>C04332 : 6,7-Dimethyl-8-(D-ribityl)lumazine</v>
      </c>
    </row>
    <row r="643" spans="1:4">
      <c r="A643" s="33" t="s">
        <v>13346</v>
      </c>
      <c r="B643" s="33" t="s">
        <v>14965</v>
      </c>
      <c r="C643" s="35" t="str">
        <f t="shared" si="20"/>
        <v>C04340:1</v>
      </c>
      <c r="D643" s="37" t="str">
        <f t="shared" ref="D643:D706" si="21">CONCATENATE(A643," : ",B643)</f>
        <v>C04340 : Phospholipid cyclopropane fatty acid</v>
      </c>
    </row>
    <row r="644" spans="1:4">
      <c r="A644" s="33" t="s">
        <v>13543</v>
      </c>
      <c r="B644" s="33" t="s">
        <v>14455</v>
      </c>
      <c r="C644" s="35" t="str">
        <f t="shared" si="20"/>
        <v>C04352:1</v>
      </c>
      <c r="D644" s="37" t="str">
        <f t="shared" si="21"/>
        <v>C04352 : ( R )- 4' - Phosphopantothenoyl -L-cysteine</v>
      </c>
    </row>
    <row r="645" spans="1:4">
      <c r="A645" s="33" t="s">
        <v>13462</v>
      </c>
      <c r="B645" s="33" t="s">
        <v>14456</v>
      </c>
      <c r="C645" s="35" t="str">
        <f t="shared" si="20"/>
        <v>C04376:1</v>
      </c>
      <c r="D645" s="37" t="str">
        <f t="shared" si="21"/>
        <v>C04376 : 5'-Phosphoribosyl-N-formylglycinamide</v>
      </c>
    </row>
    <row r="646" spans="1:4">
      <c r="A646" s="33" t="s">
        <v>13545</v>
      </c>
      <c r="B646" s="33" t="s">
        <v>14457</v>
      </c>
      <c r="C646" s="35" t="str">
        <f t="shared" si="20"/>
        <v>C04377:1</v>
      </c>
      <c r="D646" s="37" t="str">
        <f t="shared" si="21"/>
        <v>C04377 : 5,10-Methylenetetrahydromenthanopterin</v>
      </c>
    </row>
    <row r="647" spans="1:4">
      <c r="A647" s="33" t="s">
        <v>13483</v>
      </c>
      <c r="B647" s="33" t="s">
        <v>14966</v>
      </c>
      <c r="C647" s="35" t="str">
        <f t="shared" si="20"/>
        <v>C04405:1</v>
      </c>
      <c r="D647" s="37" t="str">
        <f t="shared" si="21"/>
        <v>C04405 : (2S,3S)-3-Hydroxy-2-methylbutanoyl-CoA</v>
      </c>
    </row>
    <row r="648" spans="1:4">
      <c r="A648" s="33" t="s">
        <v>10465</v>
      </c>
      <c r="B648" s="33" t="s">
        <v>14967</v>
      </c>
      <c r="C648" s="35" t="str">
        <f t="shared" si="20"/>
        <v>C04411:1</v>
      </c>
      <c r="D648" s="37" t="str">
        <f t="shared" si="21"/>
        <v>C04411 : (2R,3S)-3-Isopropylmalate</v>
      </c>
    </row>
    <row r="649" spans="1:4">
      <c r="A649" s="33" t="s">
        <v>13432</v>
      </c>
      <c r="B649" s="33" t="s">
        <v>14968</v>
      </c>
      <c r="C649" s="35" t="str">
        <f t="shared" si="20"/>
        <v>C04419:1</v>
      </c>
      <c r="D649" s="37" t="str">
        <f t="shared" si="21"/>
        <v>C04419 : Carboxybiotin-carboxyl-carrier protein</v>
      </c>
    </row>
    <row r="650" spans="1:4">
      <c r="A650" s="33" t="s">
        <v>13197</v>
      </c>
      <c r="B650" s="33" t="s">
        <v>14969</v>
      </c>
      <c r="C650" s="35" t="str">
        <f t="shared" si="20"/>
        <v>C04421:1</v>
      </c>
      <c r="D650" s="37" t="str">
        <f t="shared" si="21"/>
        <v>C04421 : N-Succinyl-LL-2,6-diaminoheptanedioate</v>
      </c>
    </row>
    <row r="651" spans="1:4">
      <c r="A651" s="33" t="s">
        <v>13911</v>
      </c>
      <c r="B651" s="33" t="s">
        <v>14970</v>
      </c>
      <c r="C651" s="35" t="str">
        <f t="shared" si="20"/>
        <v>C04425:1</v>
      </c>
      <c r="D651" s="37" t="str">
        <f t="shared" si="21"/>
        <v>C04425 : S-Adenosyl-4-methylthio-2-oxobutanoate</v>
      </c>
    </row>
    <row r="652" spans="1:4">
      <c r="A652" s="33" t="s">
        <v>13710</v>
      </c>
      <c r="B652" s="33" t="s">
        <v>14458</v>
      </c>
      <c r="C652" s="35" t="str">
        <f t="shared" si="20"/>
        <v>C04432:1</v>
      </c>
      <c r="D652" s="37" t="str">
        <f t="shared" si="21"/>
        <v>C04432 : tRNA containing 6-isopentenyladenosine</v>
      </c>
    </row>
    <row r="653" spans="1:4">
      <c r="A653" s="33" t="s">
        <v>13283</v>
      </c>
      <c r="B653" s="33" t="s">
        <v>14971</v>
      </c>
      <c r="C653" s="35" t="str">
        <f t="shared" si="20"/>
        <v>C04465:1</v>
      </c>
      <c r="D653" s="37" t="str">
        <f t="shared" si="21"/>
        <v>C04465 : alpha,alpha'-Trehalose 6,6'-bismycolate</v>
      </c>
    </row>
    <row r="654" spans="1:4">
      <c r="A654" s="33" t="s">
        <v>13182</v>
      </c>
      <c r="B654" s="33" t="s">
        <v>14459</v>
      </c>
      <c r="C654" s="35" t="str">
        <f t="shared" si="20"/>
        <v>C04489:1</v>
      </c>
      <c r="D654" s="37" t="str">
        <f t="shared" si="21"/>
        <v>C04489 : 5-Methyltetrahydropteroyltri-L-glutamate</v>
      </c>
    </row>
    <row r="655" spans="1:4">
      <c r="A655" s="33" t="s">
        <v>13304</v>
      </c>
      <c r="B655" s="33" t="s">
        <v>14972</v>
      </c>
      <c r="C655" s="35" t="str">
        <f t="shared" si="20"/>
        <v>C04494:1</v>
      </c>
      <c r="D655" s="37" t="str">
        <f t="shared" si="21"/>
        <v>C04494 : Guanosine 3'-diphosphate 5'-triphosphate</v>
      </c>
    </row>
    <row r="656" spans="1:4">
      <c r="A656" s="33" t="s">
        <v>13636</v>
      </c>
      <c r="B656" s="33" t="s">
        <v>14973</v>
      </c>
      <c r="C656" s="35" t="str">
        <f t="shared" si="20"/>
        <v>C04536:1</v>
      </c>
      <c r="D656" s="37" t="str">
        <f t="shared" si="21"/>
        <v>C04536 : Magnesium protoporphyrin monomethyl ester</v>
      </c>
    </row>
    <row r="657" spans="1:4">
      <c r="A657" s="33" t="s">
        <v>13974</v>
      </c>
      <c r="B657" s="33" t="s">
        <v>14974</v>
      </c>
      <c r="C657" s="35" t="str">
        <f t="shared" si="20"/>
        <v>C04545:1</v>
      </c>
      <c r="D657" s="37" t="str">
        <f t="shared" si="21"/>
        <v>C04545 : tRNA containing 2'-O-methylguanosine</v>
      </c>
    </row>
    <row r="658" spans="1:4">
      <c r="A658" s="33" t="s">
        <v>13993</v>
      </c>
      <c r="B658" s="33" t="s">
        <v>14975</v>
      </c>
      <c r="C658" s="35" t="str">
        <f t="shared" si="20"/>
        <v>C04554:1</v>
      </c>
      <c r="D658" s="37" t="str">
        <f t="shared" si="21"/>
        <v>C04554 : 3alpha,7alpha-Dihydroxy-5beta-cholestanate</v>
      </c>
    </row>
    <row r="659" spans="1:4">
      <c r="A659" s="33" t="s">
        <v>13628</v>
      </c>
      <c r="B659" s="33" t="s">
        <v>14460</v>
      </c>
      <c r="C659" s="35" t="str">
        <f t="shared" si="20"/>
        <v>C04556:1</v>
      </c>
      <c r="D659" s="37" t="str">
        <f t="shared" si="21"/>
        <v>C04556 : 4-Amino-2-methyl-5-(phosphooxymethyl)pyrimidine</v>
      </c>
    </row>
    <row r="660" spans="1:4">
      <c r="A660" s="33" t="s">
        <v>13646</v>
      </c>
      <c r="B660" s="33" t="s">
        <v>14461</v>
      </c>
      <c r="C660" s="35" t="str">
        <f t="shared" si="20"/>
        <v>C04574:1</v>
      </c>
      <c r="D660" s="37" t="str">
        <f t="shared" si="21"/>
        <v>C04574 : di-trans,poly-cis-Undecaprenyl diphosphate</v>
      </c>
    </row>
    <row r="661" spans="1:4">
      <c r="A661" s="33" t="s">
        <v>13504</v>
      </c>
      <c r="B661" s="33" t="s">
        <v>14976</v>
      </c>
      <c r="C661" s="35" t="str">
        <f t="shared" si="20"/>
        <v>C04618:1</v>
      </c>
      <c r="D661" s="37" t="str">
        <f t="shared" si="21"/>
        <v>C04618 : (3R)-3-Hydroxybutanoyl-[acyl-carrier protein]</v>
      </c>
    </row>
    <row r="662" spans="1:4">
      <c r="A662" s="33" t="s">
        <v>13506</v>
      </c>
      <c r="B662" s="33" t="s">
        <v>14977</v>
      </c>
      <c r="C662" s="35" t="str">
        <f t="shared" si="20"/>
        <v>C04619:1</v>
      </c>
      <c r="D662" s="37" t="str">
        <f t="shared" si="21"/>
        <v>C04619 : (3R)-3-Hydroxydecanoyl-[acyl-carrier protein]</v>
      </c>
    </row>
    <row r="663" spans="1:4">
      <c r="A663" s="33" t="s">
        <v>13508</v>
      </c>
      <c r="B663" s="33" t="s">
        <v>14978</v>
      </c>
      <c r="C663" s="35" t="str">
        <f t="shared" si="20"/>
        <v>C04620:1</v>
      </c>
      <c r="D663" s="37" t="str">
        <f t="shared" si="21"/>
        <v>C04620 : (3R)-3-Hydroxyoctanoyl-[acyl-carrier protein]</v>
      </c>
    </row>
    <row r="664" spans="1:4">
      <c r="A664" s="33" t="s">
        <v>13299</v>
      </c>
      <c r="B664" s="33" t="s">
        <v>14462</v>
      </c>
      <c r="C664" s="35" t="str">
        <f t="shared" si="20"/>
        <v>C04631:1</v>
      </c>
      <c r="D664" s="37" t="str">
        <f t="shared" si="21"/>
        <v>C04631 : UDP-N-acetyl-3-(1-carboxyvinyl)-D-glucosamine</v>
      </c>
    </row>
    <row r="665" spans="1:4">
      <c r="A665" s="33" t="s">
        <v>13510</v>
      </c>
      <c r="B665" s="33" t="s">
        <v>14979</v>
      </c>
      <c r="C665" s="35" t="str">
        <f t="shared" si="20"/>
        <v>C04633:1</v>
      </c>
      <c r="D665" s="37" t="str">
        <f t="shared" si="21"/>
        <v>C04633 : (3R)-3-Hydroxypalmitoyl-[acyl-carrier protein]</v>
      </c>
    </row>
    <row r="666" spans="1:4">
      <c r="A666" s="33" t="s">
        <v>13936</v>
      </c>
      <c r="B666" s="33" t="s">
        <v>14463</v>
      </c>
      <c r="C666" s="35" t="str">
        <f t="shared" si="20"/>
        <v>C04640:1</v>
      </c>
      <c r="D666" s="37" t="str">
        <f t="shared" si="21"/>
        <v>C04640 : 2-(Formamido)-N1-(5'-phosphoribosyl)acetamidine</v>
      </c>
    </row>
    <row r="667" spans="1:4">
      <c r="A667" s="33" t="s">
        <v>13355</v>
      </c>
      <c r="B667" s="33" t="s">
        <v>14464</v>
      </c>
      <c r="C667" s="35" t="str">
        <f t="shared" si="20"/>
        <v>C04646:1</v>
      </c>
      <c r="D667" s="37" t="str">
        <f t="shared" si="21"/>
        <v>C04646 : 6-Thioinosine-5'-monophosphate</v>
      </c>
    </row>
    <row r="668" spans="1:4">
      <c r="A668" s="33" t="s">
        <v>13967</v>
      </c>
      <c r="B668" s="33" t="s">
        <v>14980</v>
      </c>
      <c r="C668" s="35" t="str">
        <f t="shared" si="20"/>
        <v>C04650:1</v>
      </c>
      <c r="D668" s="37" t="str">
        <f t="shared" si="21"/>
        <v>C04650 : L-Phosphinothricin</v>
      </c>
    </row>
    <row r="669" spans="1:4">
      <c r="A669" s="33" t="s">
        <v>13730</v>
      </c>
      <c r="B669" s="33" t="s">
        <v>14981</v>
      </c>
      <c r="C669" s="35" t="str">
        <f t="shared" si="20"/>
        <v>C04666:1</v>
      </c>
      <c r="D669" s="37" t="str">
        <f t="shared" si="21"/>
        <v>C04666 : D-erythro-1-(Imidazol-4-yl)glycerol 3-phosphate</v>
      </c>
    </row>
    <row r="670" spans="1:4">
      <c r="A670" s="33" t="s">
        <v>13686</v>
      </c>
      <c r="B670" s="33" t="s">
        <v>14465</v>
      </c>
      <c r="C670" s="35" t="str">
        <f t="shared" si="20"/>
        <v>C04677:1</v>
      </c>
      <c r="D670" s="37" t="str">
        <f t="shared" si="21"/>
        <v>C04677 : 1-(5'-Phosphoribosyl)-5-amino-4-imidazolecarboxamide</v>
      </c>
    </row>
    <row r="671" spans="1:4">
      <c r="A671" s="33" t="s">
        <v>13422</v>
      </c>
      <c r="B671" s="33" t="s">
        <v>14982</v>
      </c>
      <c r="C671" s="35" t="str">
        <f t="shared" si="20"/>
        <v>C04681:1</v>
      </c>
      <c r="D671" s="37" t="str">
        <f t="shared" si="21"/>
        <v>C04681 : [Acetyl-CoA:carbon-dioxide ligase (ADP-forming)]</v>
      </c>
    </row>
    <row r="672" spans="1:4">
      <c r="A672" s="33" t="s">
        <v>13512</v>
      </c>
      <c r="B672" s="33" t="s">
        <v>14983</v>
      </c>
      <c r="C672" s="35" t="str">
        <f t="shared" si="20"/>
        <v>C04688:1</v>
      </c>
      <c r="D672" s="37" t="str">
        <f t="shared" si="21"/>
        <v>C04688 : (3R)-3-Hydroxytetradecanoyl-[acyl-carrier protein]</v>
      </c>
    </row>
    <row r="673" spans="1:4">
      <c r="A673" s="33" t="s">
        <v>8754</v>
      </c>
      <c r="B673" s="33" t="s">
        <v>14984</v>
      </c>
      <c r="C673" s="35" t="str">
        <f t="shared" si="20"/>
        <v>C04691:1</v>
      </c>
      <c r="D673" s="37" t="str">
        <f t="shared" si="21"/>
        <v>C04691 : 2-Dehydro-3-deoxy-D-arabino-heptonate 7-phosphate</v>
      </c>
    </row>
    <row r="674" spans="1:4">
      <c r="A674" s="33" t="s">
        <v>13753</v>
      </c>
      <c r="B674" s="33" t="s">
        <v>14466</v>
      </c>
      <c r="C674" s="35" t="str">
        <f t="shared" si="20"/>
        <v>C04702:1</v>
      </c>
      <c r="D674" s="37" t="str">
        <f t="shared" si="21"/>
        <v>C04702 : UDPMurNAc(oyl-L-Ala-D-gamma-Glu-L-Lys-D-Ala-D-Ala)</v>
      </c>
    </row>
    <row r="675" spans="1:4">
      <c r="A675" s="33" t="s">
        <v>14018</v>
      </c>
      <c r="B675" s="33" t="s">
        <v>14985</v>
      </c>
      <c r="C675" s="35" t="str">
        <f t="shared" si="20"/>
        <v>C04730:1</v>
      </c>
      <c r="D675" s="37" t="str">
        <f t="shared" si="21"/>
        <v>C04730 : GM3</v>
      </c>
    </row>
    <row r="676" spans="1:4">
      <c r="A676" s="33" t="s">
        <v>13655</v>
      </c>
      <c r="B676" s="33" t="s">
        <v>14986</v>
      </c>
      <c r="C676" s="35" t="str">
        <f t="shared" si="20"/>
        <v>C04732:1</v>
      </c>
      <c r="D676" s="37" t="str">
        <f t="shared" si="21"/>
        <v>C04732 : 5-Amino-6-(1-D-ribitylamino)uracil</v>
      </c>
    </row>
    <row r="677" spans="1:4">
      <c r="A677" s="33" t="s">
        <v>13421</v>
      </c>
      <c r="B677" s="33" t="s">
        <v>14987</v>
      </c>
      <c r="C677" s="35" t="str">
        <f t="shared" si="20"/>
        <v>C04735:1</v>
      </c>
      <c r="D677" s="37" t="str">
        <f t="shared" si="21"/>
        <v>C04735 : Apo-[acetyl-CoA:carbon-dioxide ligase (ADP-forming)]</v>
      </c>
    </row>
    <row r="678" spans="1:4">
      <c r="A678" s="33" t="s">
        <v>14015</v>
      </c>
      <c r="B678" s="33" t="s">
        <v>14988</v>
      </c>
      <c r="C678" s="35" t="str">
        <f t="shared" si="20"/>
        <v>C04737:1</v>
      </c>
      <c r="D678" s="37" t="str">
        <f t="shared" si="21"/>
        <v>C04737 : alpha-D-Galactosyl-(1-&gt;4)-beta-D-galactosyl-(1-&gt;4)-beta-D-glucosyl-(1&lt;-&gt;1)-ceramide</v>
      </c>
    </row>
    <row r="679" spans="1:4">
      <c r="A679" s="33" t="s">
        <v>13938</v>
      </c>
      <c r="B679" s="33" t="s">
        <v>14467</v>
      </c>
      <c r="C679" s="35" t="str">
        <f t="shared" si="20"/>
        <v>C04751:1</v>
      </c>
      <c r="D679" s="37" t="str">
        <f t="shared" si="21"/>
        <v>C04751 : 1-(5-Phospho-D-ribosyl)-5-amino-4-imidazolecarboxylate</v>
      </c>
    </row>
    <row r="680" spans="1:4">
      <c r="A680" s="33" t="s">
        <v>13871</v>
      </c>
      <c r="B680" s="33" t="s">
        <v>14468</v>
      </c>
      <c r="C680" s="35" t="str">
        <f t="shared" si="20"/>
        <v>C04756:1</v>
      </c>
      <c r="D680" s="37" t="str">
        <f t="shared" si="21"/>
        <v>C04756 : O-1-Alk-1-enyl-2-acyl-sn-glycero-3-phosphoethanolamine</v>
      </c>
    </row>
    <row r="681" spans="1:4">
      <c r="A681" s="33" t="s">
        <v>13765</v>
      </c>
      <c r="B681" s="33" t="s">
        <v>14989</v>
      </c>
      <c r="C681" s="35" t="str">
        <f t="shared" si="20"/>
        <v>C04778:1</v>
      </c>
      <c r="D681" s="37" t="str">
        <f t="shared" si="21"/>
        <v>C04778 : N1-(5-Phospho-alpha-D-ribosyl)-5,6-dimethylbenzimidazole</v>
      </c>
    </row>
    <row r="682" spans="1:4">
      <c r="A682" s="33" t="s">
        <v>13956</v>
      </c>
      <c r="B682" s="33" t="s">
        <v>14990</v>
      </c>
      <c r="C682" s="35" t="str">
        <f t="shared" si="20"/>
        <v>C04807:1</v>
      </c>
      <c r="D682" s="37" t="str">
        <f t="shared" si="21"/>
        <v>C04807 : 6-Hydroxymethyl-7,8-dihydropterin diphosphate</v>
      </c>
    </row>
    <row r="683" spans="1:4">
      <c r="A683" s="33" t="s">
        <v>9897</v>
      </c>
      <c r="B683" s="33" t="s">
        <v>14469</v>
      </c>
      <c r="C683" s="35" t="str">
        <f t="shared" si="20"/>
        <v>C04823:1</v>
      </c>
      <c r="D683" s="37" t="str">
        <f t="shared" si="21"/>
        <v>C04823 : 1-(5'-Phosphoribosyl)-5-amino-4-(N-succinocarboxamide)-imidazole</v>
      </c>
    </row>
    <row r="684" spans="1:4">
      <c r="A684" s="33" t="s">
        <v>13741</v>
      </c>
      <c r="B684" s="33" t="s">
        <v>14470</v>
      </c>
      <c r="C684" s="35" t="str">
        <f t="shared" si="20"/>
        <v>C04851:1</v>
      </c>
      <c r="D684" s="37" t="str">
        <f t="shared" si="21"/>
        <v>C04851 : MurAc(oyl-L-Ala-D-gamma-Glu-L-Lys-D-Ala-D-Ala)-diphospho-undecaprenol</v>
      </c>
    </row>
    <row r="685" spans="1:4">
      <c r="A685" s="33" t="s">
        <v>13957</v>
      </c>
      <c r="B685" s="33" t="s">
        <v>14991</v>
      </c>
      <c r="C685" s="35" t="str">
        <f t="shared" si="20"/>
        <v>C04874:1</v>
      </c>
      <c r="D685" s="37" t="str">
        <f t="shared" si="21"/>
        <v>C04874 : 7,8-Dihydroneopterin</v>
      </c>
    </row>
    <row r="686" spans="1:4">
      <c r="A686" s="33" t="s">
        <v>13756</v>
      </c>
      <c r="B686" s="33" t="s">
        <v>14471</v>
      </c>
      <c r="C686" s="35" t="str">
        <f t="shared" si="20"/>
        <v>C04877:1</v>
      </c>
      <c r="D686" s="37" t="str">
        <f t="shared" si="21"/>
        <v>C04877 : UDP-N-acetylmuramoyl-L-alanyl-gamma-D-glutamyl-meso-2,6-diaminopimelate</v>
      </c>
    </row>
    <row r="687" spans="1:4">
      <c r="A687" s="33" t="s">
        <v>13754</v>
      </c>
      <c r="B687" s="33" t="s">
        <v>14472</v>
      </c>
      <c r="C687" s="35" t="str">
        <f t="shared" si="20"/>
        <v>C04882:1</v>
      </c>
      <c r="D687" s="37" t="str">
        <f t="shared" si="21"/>
        <v xml:space="preserve">C04882 : UDP-N-acetylmuramoyl-L-alanyl-D-glutamyl-6-carboxyl-L-lysyl-D-alanyl-D-alanine </v>
      </c>
    </row>
    <row r="688" spans="1:4">
      <c r="A688" s="33" t="s">
        <v>14017</v>
      </c>
      <c r="B688" s="33" t="s">
        <v>14992</v>
      </c>
      <c r="C688" s="35" t="str">
        <f t="shared" si="20"/>
        <v>C04884:1</v>
      </c>
      <c r="D688" s="37" t="str">
        <f t="shared" si="21"/>
        <v>C04884 : N-Acetyl-D-galactosaminyl-(N-acetylneuraminyl)-D-galactosyl-D-glucosylceramide</v>
      </c>
    </row>
    <row r="689" spans="1:4">
      <c r="A689" s="33" t="s">
        <v>13817</v>
      </c>
      <c r="B689" s="33" t="s">
        <v>14993</v>
      </c>
      <c r="C689" s="35" t="str">
        <f t="shared" si="20"/>
        <v>C04895:1</v>
      </c>
      <c r="D689" s="37" t="str">
        <f t="shared" si="21"/>
        <v>C04895 : 7,8-Dihydroneopterin 3'-triphosphate</v>
      </c>
    </row>
    <row r="690" spans="1:4">
      <c r="A690" s="33" t="s">
        <v>9053</v>
      </c>
      <c r="B690" s="33" t="s">
        <v>14994</v>
      </c>
      <c r="C690" s="35" t="str">
        <f t="shared" si="20"/>
        <v>C04896:1</v>
      </c>
      <c r="D690" s="37" t="str">
        <f t="shared" si="21"/>
        <v>C04896 : 5-(5-Phospho-D-ribosylaminoformimino)-1-(5-phosphoribosyl)-imidazole-4-carboxamide</v>
      </c>
    </row>
    <row r="691" spans="1:4">
      <c r="A691" s="33" t="s">
        <v>9054</v>
      </c>
      <c r="B691" s="33" t="s">
        <v>14995</v>
      </c>
      <c r="C691" s="35" t="str">
        <f t="shared" si="20"/>
        <v>C04916:1</v>
      </c>
      <c r="D691" s="37" t="str">
        <f t="shared" si="21"/>
        <v>C04916 : N-(5'-Phospho-D-1'-ribulosylformimino)-5-amino-1-(5''-phospho-D-ribosyl)-4-imidazolecarboxamide</v>
      </c>
    </row>
    <row r="692" spans="1:4">
      <c r="A692" s="33" t="s">
        <v>13495</v>
      </c>
      <c r="B692" s="33" t="s">
        <v>14996</v>
      </c>
      <c r="C692" s="35" t="str">
        <f t="shared" si="20"/>
        <v>C05067:1</v>
      </c>
      <c r="D692" s="37" t="str">
        <f t="shared" si="21"/>
        <v>C05067 : (3E)-3-Enoyl-CoA</v>
      </c>
    </row>
    <row r="693" spans="1:4">
      <c r="A693" s="33" t="s">
        <v>10371</v>
      </c>
      <c r="B693" s="33" t="s">
        <v>14997</v>
      </c>
      <c r="C693" s="35" t="str">
        <f t="shared" si="20"/>
        <v>C05116:1</v>
      </c>
      <c r="D693" s="37" t="str">
        <f t="shared" si="21"/>
        <v>C05116 : 3-Hydroxybutanoyl-CoA</v>
      </c>
    </row>
    <row r="694" spans="1:4">
      <c r="A694" s="33" t="s">
        <v>13224</v>
      </c>
      <c r="B694" s="33" t="s">
        <v>14998</v>
      </c>
      <c r="C694" s="35" t="str">
        <f t="shared" si="20"/>
        <v>C05125:1</v>
      </c>
      <c r="D694" s="37" t="str">
        <f t="shared" si="21"/>
        <v>C05125 : 2-(alpha-Hydroxyethyl)thiamine diphosphate</v>
      </c>
    </row>
    <row r="695" spans="1:4">
      <c r="A695" s="33" t="s">
        <v>13991</v>
      </c>
      <c r="B695" s="33" t="s">
        <v>14999</v>
      </c>
      <c r="C695" s="35" t="str">
        <f t="shared" si="20"/>
        <v>C05130:1</v>
      </c>
      <c r="D695" s="37" t="str">
        <f t="shared" si="21"/>
        <v>C05130 : Imidazole-4-acetaldehyde</v>
      </c>
    </row>
    <row r="696" spans="1:4">
      <c r="A696" s="33" t="s">
        <v>8794</v>
      </c>
      <c r="B696" s="33" t="s">
        <v>15000</v>
      </c>
      <c r="C696" s="35" t="str">
        <f t="shared" si="20"/>
        <v>C05167:1</v>
      </c>
      <c r="D696" s="37" t="str">
        <f t="shared" si="21"/>
        <v>C05167 : alpha-Amino acid</v>
      </c>
    </row>
    <row r="697" spans="1:4">
      <c r="A697" s="33" t="s">
        <v>13550</v>
      </c>
      <c r="B697" s="33" t="s">
        <v>15001</v>
      </c>
      <c r="C697" s="35" t="str">
        <f t="shared" si="20"/>
        <v>C05172:1</v>
      </c>
      <c r="D697" s="37" t="str">
        <f t="shared" si="21"/>
        <v>C05172 : Selenophosphoric acid</v>
      </c>
    </row>
    <row r="698" spans="1:4">
      <c r="A698" s="33" t="s">
        <v>13913</v>
      </c>
      <c r="B698" s="33" t="s">
        <v>15002</v>
      </c>
      <c r="C698" s="35" t="str">
        <f t="shared" si="20"/>
        <v>C05196:1</v>
      </c>
      <c r="D698" s="37" t="str">
        <f t="shared" si="21"/>
        <v>C05196 : Dihydroflavodoxin</v>
      </c>
    </row>
    <row r="699" spans="1:4">
      <c r="A699" s="33" t="s">
        <v>13914</v>
      </c>
      <c r="B699" s="33" t="s">
        <v>15003</v>
      </c>
      <c r="C699" s="35" t="str">
        <f t="shared" si="20"/>
        <v>C05197:1</v>
      </c>
      <c r="D699" s="37" t="str">
        <f t="shared" si="21"/>
        <v>C05197 : Protein glycine</v>
      </c>
    </row>
    <row r="700" spans="1:4">
      <c r="A700" s="33" t="s">
        <v>13629</v>
      </c>
      <c r="B700" s="33" t="s">
        <v>14473</v>
      </c>
      <c r="C700" s="35" t="str">
        <f t="shared" si="20"/>
        <v>C05198:1</v>
      </c>
      <c r="D700" s="37" t="str">
        <f t="shared" si="21"/>
        <v>C05198 : 5'-Deoxyadenosine</v>
      </c>
    </row>
    <row r="701" spans="1:4">
      <c r="A701" s="33" t="s">
        <v>13915</v>
      </c>
      <c r="B701" s="33" t="s">
        <v>15004</v>
      </c>
      <c r="C701" s="35" t="str">
        <f t="shared" si="20"/>
        <v>C05199:1</v>
      </c>
      <c r="D701" s="37" t="str">
        <f t="shared" si="21"/>
        <v>C05199 : Flavodoxin semiquinone</v>
      </c>
    </row>
    <row r="702" spans="1:4">
      <c r="A702" s="33" t="s">
        <v>14050</v>
      </c>
      <c r="B702" s="33" t="s">
        <v>15005</v>
      </c>
      <c r="C702" s="35" t="str">
        <f t="shared" si="20"/>
        <v>C05223:1</v>
      </c>
      <c r="D702" s="37" t="str">
        <f t="shared" si="21"/>
        <v>C05223 : Dodecanoyl-[acyl-carrier protein]</v>
      </c>
    </row>
    <row r="703" spans="1:4">
      <c r="A703" s="33" t="s">
        <v>10350</v>
      </c>
      <c r="B703" s="33" t="s">
        <v>15006</v>
      </c>
      <c r="C703" s="35" t="str">
        <f t="shared" si="20"/>
        <v>C05258:1</v>
      </c>
      <c r="D703" s="37" t="str">
        <f t="shared" si="21"/>
        <v>C05258 : (S)-3-Hydroxyhexadecanoyl-CoA</v>
      </c>
    </row>
    <row r="704" spans="1:4">
      <c r="A704" s="33" t="s">
        <v>10352</v>
      </c>
      <c r="B704" s="33" t="s">
        <v>15007</v>
      </c>
      <c r="C704" s="35" t="str">
        <f t="shared" si="20"/>
        <v>C05260:1</v>
      </c>
      <c r="D704" s="37" t="str">
        <f t="shared" si="21"/>
        <v>C05260 : (S)-3-Hydroxytetradecanoyl-CoA</v>
      </c>
    </row>
    <row r="705" spans="1:4">
      <c r="A705" s="33" t="s">
        <v>10344</v>
      </c>
      <c r="B705" s="33" t="s">
        <v>15008</v>
      </c>
      <c r="C705" s="35" t="str">
        <f t="shared" ref="C705:C768" si="22">CONCATENATE(A705,":","1")</f>
        <v>C05262:1</v>
      </c>
      <c r="D705" s="37" t="str">
        <f t="shared" si="21"/>
        <v>C05262 : (S)-3-Hydroxydodecanoyl-CoA</v>
      </c>
    </row>
    <row r="706" spans="1:4">
      <c r="A706" s="33" t="s">
        <v>13488</v>
      </c>
      <c r="B706" s="33" t="s">
        <v>15009</v>
      </c>
      <c r="C706" s="35" t="str">
        <f t="shared" si="22"/>
        <v>C05264:1</v>
      </c>
      <c r="D706" s="37" t="str">
        <f t="shared" si="21"/>
        <v>C05264 : (S)-Hydroxydecanoyl-CoA</v>
      </c>
    </row>
    <row r="707" spans="1:4">
      <c r="A707" s="33" t="s">
        <v>10356</v>
      </c>
      <c r="B707" s="33" t="s">
        <v>15010</v>
      </c>
      <c r="C707" s="35" t="str">
        <f t="shared" si="22"/>
        <v>C05266:1</v>
      </c>
      <c r="D707" s="37" t="str">
        <f t="shared" ref="D707:D770" si="23">CONCATENATE(A707," : ",B707)</f>
        <v>C05266 : (S)-3-Hydroxyoctanoyl-CoA</v>
      </c>
    </row>
    <row r="708" spans="1:4">
      <c r="A708" s="33" t="s">
        <v>10358</v>
      </c>
      <c r="B708" s="33" t="s">
        <v>15011</v>
      </c>
      <c r="C708" s="35" t="str">
        <f t="shared" si="22"/>
        <v>C05268:1</v>
      </c>
      <c r="D708" s="37" t="str">
        <f t="shared" si="23"/>
        <v>C05268 : S)-Hydroxyhexanoyl-CoA</v>
      </c>
    </row>
    <row r="709" spans="1:4">
      <c r="A709" s="33" t="s">
        <v>13838</v>
      </c>
      <c r="B709" s="33" t="s">
        <v>15012</v>
      </c>
      <c r="C709" s="35" t="str">
        <f t="shared" si="22"/>
        <v>C05269:1</v>
      </c>
      <c r="D709" s="37" t="str">
        <f t="shared" si="23"/>
        <v>C05269 : 3-Oxohexanoyl-CoA</v>
      </c>
    </row>
    <row r="710" spans="1:4">
      <c r="A710" s="33" t="s">
        <v>13491</v>
      </c>
      <c r="B710" s="33" t="s">
        <v>15013</v>
      </c>
      <c r="C710" s="35" t="str">
        <f t="shared" si="22"/>
        <v>C05271:1</v>
      </c>
      <c r="D710" s="37" t="str">
        <f t="shared" si="23"/>
        <v>C05271 : trans-Hex-2-enoyl-CoA</v>
      </c>
    </row>
    <row r="711" spans="1:4">
      <c r="A711" s="33" t="s">
        <v>13486</v>
      </c>
      <c r="B711" s="33" t="s">
        <v>15014</v>
      </c>
      <c r="C711" s="35" t="str">
        <f t="shared" si="22"/>
        <v>C05272:1</v>
      </c>
      <c r="D711" s="37" t="str">
        <f t="shared" si="23"/>
        <v>C05272 : trans-Hexadec-2-enoyl-CoA</v>
      </c>
    </row>
    <row r="712" spans="1:4">
      <c r="A712" s="33" t="s">
        <v>13487</v>
      </c>
      <c r="B712" s="33" t="s">
        <v>15015</v>
      </c>
      <c r="C712" s="35" t="str">
        <f t="shared" si="22"/>
        <v>C05273:1</v>
      </c>
      <c r="D712" s="37" t="str">
        <f t="shared" si="23"/>
        <v>C05273 : trans-Tetradec-2-enoyl-CoA</v>
      </c>
    </row>
    <row r="713" spans="1:4">
      <c r="A713" s="33" t="s">
        <v>13489</v>
      </c>
      <c r="B713" s="33" t="s">
        <v>15016</v>
      </c>
      <c r="C713" s="35" t="str">
        <f t="shared" si="22"/>
        <v>C05275:1</v>
      </c>
      <c r="D713" s="37" t="str">
        <f t="shared" si="23"/>
        <v>C05275 : trans-Dec-2-enoyl-CoA</v>
      </c>
    </row>
    <row r="714" spans="1:4">
      <c r="A714" s="33" t="s">
        <v>13490</v>
      </c>
      <c r="B714" s="33" t="s">
        <v>15017</v>
      </c>
      <c r="C714" s="35" t="str">
        <f t="shared" si="22"/>
        <v>C05276:1</v>
      </c>
      <c r="D714" s="37" t="str">
        <f t="shared" si="23"/>
        <v>C05276 : trans-Oct-2-enoyl-CoA</v>
      </c>
    </row>
    <row r="715" spans="1:4">
      <c r="A715" s="33" t="s">
        <v>14110</v>
      </c>
      <c r="B715" s="33" t="s">
        <v>15018</v>
      </c>
      <c r="C715" s="35" t="str">
        <f t="shared" si="22"/>
        <v>C05309:1</v>
      </c>
      <c r="D715" s="37" t="str">
        <f t="shared" si="23"/>
        <v>C05309 : Semiquinone</v>
      </c>
    </row>
    <row r="716" spans="1:4">
      <c r="A716" s="33" t="s">
        <v>13916</v>
      </c>
      <c r="B716" s="33" t="s">
        <v>15019</v>
      </c>
      <c r="C716" s="35" t="str">
        <f t="shared" si="22"/>
        <v>C05312:1</v>
      </c>
      <c r="D716" s="37" t="str">
        <f t="shared" si="23"/>
        <v>C05312 : Protein glycin-2-yl radical</v>
      </c>
    </row>
    <row r="717" spans="1:4">
      <c r="A717" s="33" t="s">
        <v>13187</v>
      </c>
      <c r="B717" s="33" t="s">
        <v>14474</v>
      </c>
      <c r="C717" s="35" t="str">
        <f t="shared" si="22"/>
        <v>C05335:1</v>
      </c>
      <c r="D717" s="37" t="str">
        <f t="shared" si="23"/>
        <v>C05335 : L-Selenomethionine</v>
      </c>
    </row>
    <row r="718" spans="1:4">
      <c r="A718" s="33" t="s">
        <v>13475</v>
      </c>
      <c r="B718" s="33" t="s">
        <v>14475</v>
      </c>
      <c r="C718" s="35" t="str">
        <f t="shared" si="22"/>
        <v>C05336:1</v>
      </c>
      <c r="D718" s="37" t="str">
        <f t="shared" si="23"/>
        <v>C05336 : Selenomethionyl-tRNA(Met)</v>
      </c>
    </row>
    <row r="719" spans="1:4">
      <c r="A719" s="33" t="s">
        <v>8265</v>
      </c>
      <c r="B719" s="33" t="s">
        <v>14476</v>
      </c>
      <c r="C719" s="35" t="str">
        <f t="shared" si="22"/>
        <v>C05345:1</v>
      </c>
      <c r="D719" s="37" t="str">
        <f t="shared" si="23"/>
        <v>C05345 : beta-D-Fructose 6-phosphate</v>
      </c>
    </row>
    <row r="720" spans="1:4">
      <c r="A720" s="33" t="s">
        <v>13588</v>
      </c>
      <c r="B720" s="33" t="s">
        <v>15020</v>
      </c>
      <c r="C720" s="35" t="str">
        <f t="shared" si="22"/>
        <v>C05357:1</v>
      </c>
      <c r="D720" s="37" t="str">
        <f t="shared" si="23"/>
        <v>C05357 : Oxidized azurin</v>
      </c>
    </row>
    <row r="721" spans="1:4">
      <c r="A721" s="33" t="s">
        <v>13589</v>
      </c>
      <c r="B721" s="33" t="s">
        <v>15021</v>
      </c>
      <c r="C721" s="35" t="str">
        <f t="shared" si="22"/>
        <v>C05358:1</v>
      </c>
      <c r="D721" s="37" t="str">
        <f t="shared" si="23"/>
        <v>C05358 : Reduced azurin</v>
      </c>
    </row>
    <row r="722" spans="1:4">
      <c r="A722" s="33" t="s">
        <v>14111</v>
      </c>
      <c r="B722" s="33" t="s">
        <v>15022</v>
      </c>
      <c r="C722" s="35" t="str">
        <f t="shared" si="22"/>
        <v>C05359:1</v>
      </c>
      <c r="D722" s="37" t="str">
        <f t="shared" si="23"/>
        <v>C05359 : e-</v>
      </c>
    </row>
    <row r="723" spans="1:4">
      <c r="A723" s="33" t="s">
        <v>13381</v>
      </c>
      <c r="B723" s="33" t="s">
        <v>15023</v>
      </c>
      <c r="C723" s="35" t="str">
        <f t="shared" si="22"/>
        <v>C05361:1</v>
      </c>
      <c r="D723" s="37" t="str">
        <f t="shared" si="23"/>
        <v>C05361 : Hydrazine</v>
      </c>
    </row>
    <row r="724" spans="1:4">
      <c r="A724" s="33" t="s">
        <v>10000</v>
      </c>
      <c r="B724" s="33" t="s">
        <v>14477</v>
      </c>
      <c r="C724" s="35" t="str">
        <f t="shared" si="22"/>
        <v>C05378:1</v>
      </c>
      <c r="D724" s="37" t="str">
        <f t="shared" si="23"/>
        <v>C05378 : beta-D-Fructose 1,6-bisphosphate</v>
      </c>
    </row>
    <row r="725" spans="1:4">
      <c r="A725" s="33" t="s">
        <v>10264</v>
      </c>
      <c r="B725" s="33" t="s">
        <v>15024</v>
      </c>
      <c r="C725" s="35" t="str">
        <f t="shared" si="22"/>
        <v>C05379:1</v>
      </c>
      <c r="D725" s="37" t="str">
        <f t="shared" si="23"/>
        <v>C05379 : Oxalosuccinate</v>
      </c>
    </row>
    <row r="726" spans="1:4">
      <c r="A726" s="33" t="s">
        <v>13547</v>
      </c>
      <c r="B726" s="33" t="s">
        <v>14478</v>
      </c>
      <c r="C726" s="35" t="str">
        <f t="shared" si="22"/>
        <v>C05382:1</v>
      </c>
      <c r="D726" s="37" t="str">
        <f t="shared" si="23"/>
        <v>C05382 : Sedoheptulose 7-phosphate</v>
      </c>
    </row>
    <row r="727" spans="1:4">
      <c r="A727" s="33" t="s">
        <v>13563</v>
      </c>
      <c r="B727" s="33" t="s">
        <v>14479</v>
      </c>
      <c r="C727" s="35" t="str">
        <f t="shared" si="22"/>
        <v>C05402:1</v>
      </c>
      <c r="D727" s="37" t="str">
        <f t="shared" si="23"/>
        <v>C05402 : Melibiose</v>
      </c>
    </row>
    <row r="728" spans="1:4">
      <c r="A728" s="33" t="s">
        <v>13565</v>
      </c>
      <c r="B728" s="33" t="s">
        <v>14480</v>
      </c>
      <c r="C728" s="35" t="str">
        <f t="shared" si="22"/>
        <v>C05404:1</v>
      </c>
      <c r="D728" s="37" t="str">
        <f t="shared" si="23"/>
        <v>C05404 : D-Gal alpha 1-&gt;6D-Gal alpha 1-&gt;6D-Glucose</v>
      </c>
    </row>
    <row r="729" spans="1:4">
      <c r="A729" s="33" t="s">
        <v>13947</v>
      </c>
      <c r="B729" s="33" t="s">
        <v>15025</v>
      </c>
      <c r="C729" s="35" t="str">
        <f t="shared" si="22"/>
        <v>C05413:1</v>
      </c>
      <c r="D729" s="37" t="str">
        <f t="shared" si="23"/>
        <v>C05413 : all-trans-Phytoene</v>
      </c>
    </row>
    <row r="730" spans="1:4">
      <c r="A730" s="33" t="s">
        <v>13946</v>
      </c>
      <c r="B730" s="33" t="s">
        <v>15026</v>
      </c>
      <c r="C730" s="35" t="str">
        <f t="shared" si="22"/>
        <v>C05421:1</v>
      </c>
      <c r="D730" s="37" t="str">
        <f t="shared" si="23"/>
        <v>C05421 : 15-cis-Phytoene</v>
      </c>
    </row>
    <row r="731" spans="1:4">
      <c r="A731" s="33" t="s">
        <v>13791</v>
      </c>
      <c r="B731" s="33" t="s">
        <v>14481</v>
      </c>
      <c r="C731" s="35" t="str">
        <f t="shared" si="22"/>
        <v>C05444:1</v>
      </c>
      <c r="D731" s="37" t="str">
        <f t="shared" si="23"/>
        <v>C05444 : 3alpha,7alpha,26-Trihydroxy-5beta-cholestane</v>
      </c>
    </row>
    <row r="732" spans="1:4">
      <c r="A732" s="33" t="s">
        <v>13792</v>
      </c>
      <c r="B732" s="33" t="s">
        <v>14482</v>
      </c>
      <c r="C732" s="35" t="str">
        <f t="shared" si="22"/>
        <v>C05445:1</v>
      </c>
      <c r="D732" s="37" t="str">
        <f t="shared" si="23"/>
        <v>C05445 : 3alpha,7alpha-Dihydroxy-5beta-cholestan-26-al</v>
      </c>
    </row>
    <row r="733" spans="1:4">
      <c r="A733" s="33" t="s">
        <v>13829</v>
      </c>
      <c r="B733" s="33" t="s">
        <v>14483</v>
      </c>
      <c r="C733" s="35" t="str">
        <f t="shared" si="22"/>
        <v>C05512:1</v>
      </c>
      <c r="D733" s="37" t="str">
        <f t="shared" si="23"/>
        <v>C05512 : Deoxyinosine</v>
      </c>
    </row>
    <row r="734" spans="1:4">
      <c r="A734" s="33" t="s">
        <v>14096</v>
      </c>
      <c r="B734" s="33" t="s">
        <v>14484</v>
      </c>
      <c r="C734" s="35" t="str">
        <f t="shared" si="22"/>
        <v>C05526:1</v>
      </c>
      <c r="D734" s="37" t="str">
        <f t="shared" si="23"/>
        <v>C05526 : S-Glutathionyl-L-cysteine</v>
      </c>
    </row>
    <row r="735" spans="1:4">
      <c r="A735" s="33" t="s">
        <v>13899</v>
      </c>
      <c r="B735" s="33" t="s">
        <v>14485</v>
      </c>
      <c r="C735" s="35" t="str">
        <f t="shared" si="22"/>
        <v>C05528:1</v>
      </c>
      <c r="D735" s="37" t="str">
        <f t="shared" si="23"/>
        <v>C05528 : 3-Sulfopyruvate</v>
      </c>
    </row>
    <row r="736" spans="1:4">
      <c r="A736" s="33" t="s">
        <v>13793</v>
      </c>
      <c r="B736" s="33" t="s">
        <v>14486</v>
      </c>
      <c r="C736" s="35" t="str">
        <f t="shared" si="22"/>
        <v>C05576:1</v>
      </c>
      <c r="D736" s="37" t="str">
        <f t="shared" si="23"/>
        <v>C05576 : 3,4-Dihydroxyphenylethyleneglycol</v>
      </c>
    </row>
    <row r="737" spans="1:4">
      <c r="A737" s="33" t="s">
        <v>13794</v>
      </c>
      <c r="B737" s="33" t="s">
        <v>14487</v>
      </c>
      <c r="C737" s="35" t="str">
        <f t="shared" si="22"/>
        <v>C05577:1</v>
      </c>
      <c r="D737" s="37" t="str">
        <f t="shared" si="23"/>
        <v>C05577 : 3,4-Dihydroxymandelaldehyde</v>
      </c>
    </row>
    <row r="738" spans="1:4">
      <c r="A738" s="33" t="s">
        <v>13994</v>
      </c>
      <c r="B738" s="33" t="s">
        <v>15027</v>
      </c>
      <c r="C738" s="35" t="str">
        <f t="shared" si="22"/>
        <v>C05634:1</v>
      </c>
      <c r="D738" s="37" t="str">
        <f t="shared" si="23"/>
        <v>C05634 : 5-Hydroxyindoleacetaldehyde</v>
      </c>
    </row>
    <row r="739" spans="1:4">
      <c r="A739" s="33" t="s">
        <v>13995</v>
      </c>
      <c r="B739" s="33" t="s">
        <v>15028</v>
      </c>
      <c r="C739" s="35" t="str">
        <f t="shared" si="22"/>
        <v>C05635:1</v>
      </c>
      <c r="D739" s="37" t="str">
        <f t="shared" si="23"/>
        <v>C05635 : 5-Hydroxyindoleacetate</v>
      </c>
    </row>
    <row r="740" spans="1:4">
      <c r="A740" s="33" t="s">
        <v>13259</v>
      </c>
      <c r="B740" s="33" t="s">
        <v>15029</v>
      </c>
      <c r="C740" s="35" t="str">
        <f t="shared" si="22"/>
        <v>C05640:1</v>
      </c>
      <c r="D740" s="37" t="str">
        <f t="shared" si="23"/>
        <v>C05640 : Cinnavalininate</v>
      </c>
    </row>
    <row r="741" spans="1:4">
      <c r="A741" s="33" t="s">
        <v>13981</v>
      </c>
      <c r="B741" s="33" t="s">
        <v>15030</v>
      </c>
      <c r="C741" s="35" t="str">
        <f t="shared" si="22"/>
        <v>C05665:1</v>
      </c>
      <c r="D741" s="37" t="str">
        <f t="shared" si="23"/>
        <v>C05665 : 3-Aminopropanal</v>
      </c>
    </row>
    <row r="742" spans="1:4">
      <c r="A742" s="33" t="s">
        <v>10342</v>
      </c>
      <c r="B742" s="33" t="s">
        <v>15031</v>
      </c>
      <c r="C742" s="35" t="str">
        <f t="shared" si="22"/>
        <v>C05668:1</v>
      </c>
      <c r="D742" s="37" t="str">
        <f t="shared" si="23"/>
        <v>C05668 : 3-Hydroxypropionyl-CoA</v>
      </c>
    </row>
    <row r="743" spans="1:4">
      <c r="A743" s="33" t="s">
        <v>14097</v>
      </c>
      <c r="B743" s="33" t="s">
        <v>14488</v>
      </c>
      <c r="C743" s="35" t="str">
        <f t="shared" si="22"/>
        <v>C05684:1</v>
      </c>
      <c r="D743" s="37" t="str">
        <f t="shared" si="23"/>
        <v>C05684 : Selenite</v>
      </c>
    </row>
    <row r="744" spans="1:4">
      <c r="A744" s="33" t="s">
        <v>14009</v>
      </c>
      <c r="B744" s="33" t="s">
        <v>15032</v>
      </c>
      <c r="C744" s="35" t="str">
        <f t="shared" si="22"/>
        <v>C05686:1</v>
      </c>
      <c r="D744" s="37" t="str">
        <f t="shared" si="23"/>
        <v>C05686 : Adenylylselenate</v>
      </c>
    </row>
    <row r="745" spans="1:4">
      <c r="A745" s="33" t="s">
        <v>13908</v>
      </c>
      <c r="B745" s="33" t="s">
        <v>14489</v>
      </c>
      <c r="C745" s="35" t="str">
        <f t="shared" si="22"/>
        <v>C05688:1</v>
      </c>
      <c r="D745" s="37" t="str">
        <f t="shared" si="23"/>
        <v>C05688 : L-Selenocysteine</v>
      </c>
    </row>
    <row r="746" spans="1:4">
      <c r="A746" s="33" t="s">
        <v>13859</v>
      </c>
      <c r="B746" s="33" t="s">
        <v>15033</v>
      </c>
      <c r="C746" s="35" t="str">
        <f t="shared" si="22"/>
        <v>C05689:1</v>
      </c>
      <c r="D746" s="37" t="str">
        <f t="shared" si="23"/>
        <v>C05689 : Se-Methyl-L-selenocysteine</v>
      </c>
    </row>
    <row r="747" spans="1:4">
      <c r="A747" s="33" t="s">
        <v>13664</v>
      </c>
      <c r="B747" s="33" t="s">
        <v>14490</v>
      </c>
      <c r="C747" s="35" t="str">
        <f t="shared" si="22"/>
        <v>C05691:1</v>
      </c>
      <c r="D747" s="37" t="str">
        <f t="shared" si="23"/>
        <v>C05691 : Se-Adenosylselenomethionine</v>
      </c>
    </row>
    <row r="748" spans="1:4">
      <c r="A748" s="33" t="s">
        <v>14008</v>
      </c>
      <c r="B748" s="33" t="s">
        <v>15034</v>
      </c>
      <c r="C748" s="35" t="str">
        <f t="shared" si="22"/>
        <v>C05697:1</v>
      </c>
      <c r="D748" s="37" t="str">
        <f t="shared" si="23"/>
        <v>C05697 : Selenate</v>
      </c>
    </row>
    <row r="749" spans="1:4">
      <c r="A749" s="33" t="s">
        <v>13186</v>
      </c>
      <c r="B749" s="33" t="s">
        <v>14491</v>
      </c>
      <c r="C749" s="35" t="str">
        <f t="shared" si="22"/>
        <v>C05698:1</v>
      </c>
      <c r="D749" s="37" t="str">
        <f t="shared" si="23"/>
        <v>C05698 : Selenohomocysteine</v>
      </c>
    </row>
    <row r="750" spans="1:4">
      <c r="A750" s="33" t="s">
        <v>13858</v>
      </c>
      <c r="B750" s="33" t="s">
        <v>15035</v>
      </c>
      <c r="C750" s="35" t="str">
        <f t="shared" si="22"/>
        <v>C05699:1</v>
      </c>
      <c r="D750" s="37" t="str">
        <f t="shared" si="23"/>
        <v>C05699 : L-Selenocystathionine</v>
      </c>
    </row>
    <row r="751" spans="1:4">
      <c r="A751" s="33" t="s">
        <v>13907</v>
      </c>
      <c r="B751" s="33" t="s">
        <v>15036</v>
      </c>
      <c r="C751" s="35" t="str">
        <f t="shared" si="22"/>
        <v>C05702:1</v>
      </c>
      <c r="D751" s="37" t="str">
        <f t="shared" si="23"/>
        <v>C05702 : O-Phosphorylhomoserine</v>
      </c>
    </row>
    <row r="752" spans="1:4">
      <c r="A752" s="33" t="s">
        <v>13860</v>
      </c>
      <c r="B752" s="33" t="s">
        <v>14492</v>
      </c>
      <c r="C752" s="35" t="str">
        <f t="shared" si="22"/>
        <v>C05703:1</v>
      </c>
      <c r="D752" s="37" t="str">
        <f t="shared" si="23"/>
        <v>C05703 : Methaneselenol</v>
      </c>
    </row>
    <row r="753" spans="1:4">
      <c r="A753" s="33" t="s">
        <v>13281</v>
      </c>
      <c r="B753" s="33" t="s">
        <v>15037</v>
      </c>
      <c r="C753" s="35" t="str">
        <f t="shared" si="22"/>
        <v>C05726:1</v>
      </c>
      <c r="D753" s="37" t="str">
        <f t="shared" si="23"/>
        <v>C05726 : S-Substituted L-cysteine</v>
      </c>
    </row>
    <row r="754" spans="1:4">
      <c r="A754" s="33" t="s">
        <v>13534</v>
      </c>
      <c r="B754" s="33" t="s">
        <v>15038</v>
      </c>
      <c r="C754" s="35" t="str">
        <f t="shared" si="22"/>
        <v>C05727:1</v>
      </c>
      <c r="D754" s="37" t="str">
        <f t="shared" si="23"/>
        <v>C05727 : S-Substituted N-acetyl-L-cysteine</v>
      </c>
    </row>
    <row r="755" spans="1:4">
      <c r="A755" s="33" t="s">
        <v>13280</v>
      </c>
      <c r="B755" s="33" t="s">
        <v>15039</v>
      </c>
      <c r="C755" s="35" t="str">
        <f t="shared" si="22"/>
        <v>C05729:1</v>
      </c>
      <c r="D755" s="37" t="str">
        <f t="shared" si="23"/>
        <v>C05729 : R-S-Cysteinylglycine</v>
      </c>
    </row>
    <row r="756" spans="1:4">
      <c r="A756" s="33" t="s">
        <v>13505</v>
      </c>
      <c r="B756" s="33" t="s">
        <v>15040</v>
      </c>
      <c r="C756" s="35" t="str">
        <f t="shared" si="22"/>
        <v>C05744:1</v>
      </c>
      <c r="D756" s="37" t="str">
        <f t="shared" si="23"/>
        <v>C05744 : Acetoacetyl-[acp]</v>
      </c>
    </row>
    <row r="757" spans="1:4">
      <c r="A757" s="33" t="s">
        <v>14051</v>
      </c>
      <c r="B757" s="33" t="s">
        <v>15041</v>
      </c>
      <c r="C757" s="35" t="str">
        <f t="shared" si="22"/>
        <v>C05745:1</v>
      </c>
      <c r="D757" s="37" t="str">
        <f t="shared" si="23"/>
        <v>C05745 : Butyryl-[acp]</v>
      </c>
    </row>
    <row r="758" spans="1:4">
      <c r="A758" s="33" t="s">
        <v>13515</v>
      </c>
      <c r="B758" s="33" t="s">
        <v>15042</v>
      </c>
      <c r="C758" s="35" t="str">
        <f t="shared" si="22"/>
        <v>C05746:1</v>
      </c>
      <c r="D758" s="37" t="str">
        <f t="shared" si="23"/>
        <v>C05746 : 3-Oxohexanoyl-[acp]</v>
      </c>
    </row>
    <row r="759" spans="1:4">
      <c r="A759" s="33" t="s">
        <v>13514</v>
      </c>
      <c r="B759" s="33" t="s">
        <v>15043</v>
      </c>
      <c r="C759" s="35" t="str">
        <f t="shared" si="22"/>
        <v>C05747:1</v>
      </c>
      <c r="D759" s="37" t="str">
        <f t="shared" si="23"/>
        <v>C05747 : (3R)-3-Hydroxyhexanoyl-[acyl-carrier protein]</v>
      </c>
    </row>
    <row r="760" spans="1:4">
      <c r="A760" s="33" t="s">
        <v>14052</v>
      </c>
      <c r="B760" s="33" t="s">
        <v>15044</v>
      </c>
      <c r="C760" s="35" t="str">
        <f t="shared" si="22"/>
        <v>C05749:1</v>
      </c>
      <c r="D760" s="37" t="str">
        <f t="shared" si="23"/>
        <v>C05749 : Hexanoyl-[acp]</v>
      </c>
    </row>
    <row r="761" spans="1:4">
      <c r="A761" s="33" t="s">
        <v>13509</v>
      </c>
      <c r="B761" s="33" t="s">
        <v>15045</v>
      </c>
      <c r="C761" s="35" t="str">
        <f t="shared" si="22"/>
        <v>C05750:1</v>
      </c>
      <c r="D761" s="37" t="str">
        <f t="shared" si="23"/>
        <v>C05750 : 3-Oxooctanoyl-[acp]</v>
      </c>
    </row>
    <row r="762" spans="1:4">
      <c r="A762" s="33" t="s">
        <v>13771</v>
      </c>
      <c r="B762" s="33" t="s">
        <v>15046</v>
      </c>
      <c r="C762" s="35" t="str">
        <f t="shared" si="22"/>
        <v>C05752:1</v>
      </c>
      <c r="D762" s="37" t="str">
        <f t="shared" si="23"/>
        <v>C05752 : Octanoyl-[acp]</v>
      </c>
    </row>
    <row r="763" spans="1:4">
      <c r="A763" s="33" t="s">
        <v>13507</v>
      </c>
      <c r="B763" s="33" t="s">
        <v>15047</v>
      </c>
      <c r="C763" s="35" t="str">
        <f t="shared" si="22"/>
        <v>C05753:1</v>
      </c>
      <c r="D763" s="37" t="str">
        <f t="shared" si="23"/>
        <v>C05753 : 3-Oxodecanoyl-[acp]</v>
      </c>
    </row>
    <row r="764" spans="1:4">
      <c r="A764" s="33" t="s">
        <v>14053</v>
      </c>
      <c r="B764" s="33" t="s">
        <v>15048</v>
      </c>
      <c r="C764" s="35" t="str">
        <f t="shared" si="22"/>
        <v>C05755:1</v>
      </c>
      <c r="D764" s="37" t="str">
        <f t="shared" si="23"/>
        <v>C05755 : Decanoyl-[acp]</v>
      </c>
    </row>
    <row r="765" spans="1:4">
      <c r="A765" s="33" t="s">
        <v>13517</v>
      </c>
      <c r="B765" s="33" t="s">
        <v>15049</v>
      </c>
      <c r="C765" s="35" t="str">
        <f t="shared" si="22"/>
        <v>C05756:1</v>
      </c>
      <c r="D765" s="37" t="str">
        <f t="shared" si="23"/>
        <v>C05756 : 3-Oxododecanoyl-[acp]</v>
      </c>
    </row>
    <row r="766" spans="1:4">
      <c r="A766" s="33" t="s">
        <v>13516</v>
      </c>
      <c r="B766" s="33" t="s">
        <v>15050</v>
      </c>
      <c r="C766" s="35" t="str">
        <f t="shared" si="22"/>
        <v>C05757:1</v>
      </c>
      <c r="D766" s="37" t="str">
        <f t="shared" si="23"/>
        <v>C05757 : (3R)-3-Hydroxydodecanoyl-[acyl-carrier protein]</v>
      </c>
    </row>
    <row r="767" spans="1:4">
      <c r="A767" s="33" t="s">
        <v>13513</v>
      </c>
      <c r="B767" s="33" t="s">
        <v>15051</v>
      </c>
      <c r="C767" s="35" t="str">
        <f t="shared" si="22"/>
        <v>C05759:1</v>
      </c>
      <c r="D767" s="37" t="str">
        <f t="shared" si="23"/>
        <v>C05759 : 3-Oxotetradecanoyl-[acp]</v>
      </c>
    </row>
    <row r="768" spans="1:4">
      <c r="A768" s="33" t="s">
        <v>14054</v>
      </c>
      <c r="B768" s="33" t="s">
        <v>15052</v>
      </c>
      <c r="C768" s="35" t="str">
        <f t="shared" si="22"/>
        <v>C05761:1</v>
      </c>
      <c r="D768" s="37" t="str">
        <f t="shared" si="23"/>
        <v>C05761 : Tetradecanoyl-[acp]</v>
      </c>
    </row>
    <row r="769" spans="1:4">
      <c r="A769" s="33" t="s">
        <v>13511</v>
      </c>
      <c r="B769" s="33" t="s">
        <v>15053</v>
      </c>
      <c r="C769" s="35" t="str">
        <f t="shared" ref="C769:C832" si="24">CONCATENATE(A769,":","1")</f>
        <v>C05762:1</v>
      </c>
      <c r="D769" s="37" t="str">
        <f t="shared" si="23"/>
        <v>C05762 : 3-Oxohexadecanoyl-[acp]</v>
      </c>
    </row>
    <row r="770" spans="1:4">
      <c r="A770" s="33" t="s">
        <v>14055</v>
      </c>
      <c r="B770" s="33" t="s">
        <v>15054</v>
      </c>
      <c r="C770" s="35" t="str">
        <f t="shared" si="24"/>
        <v>C05764:1</v>
      </c>
      <c r="D770" s="37" t="str">
        <f t="shared" si="23"/>
        <v>C05764 : Hexadecanoyl-[acp]</v>
      </c>
    </row>
    <row r="771" spans="1:4">
      <c r="A771" s="33" t="s">
        <v>10244</v>
      </c>
      <c r="B771" s="33" t="s">
        <v>15055</v>
      </c>
      <c r="C771" s="35" t="str">
        <f t="shared" si="24"/>
        <v>C05766:1</v>
      </c>
      <c r="D771" s="37" t="str">
        <f t="shared" ref="D771:D834" si="25">CONCATENATE(A771," : ",B771)</f>
        <v>C05766 : Uroporphyrinogen I</v>
      </c>
    </row>
    <row r="772" spans="1:4">
      <c r="A772" s="33" t="s">
        <v>13324</v>
      </c>
      <c r="B772" s="33" t="s">
        <v>15056</v>
      </c>
      <c r="C772" s="35" t="str">
        <f t="shared" si="24"/>
        <v>C05768:1</v>
      </c>
      <c r="D772" s="37" t="str">
        <f t="shared" si="25"/>
        <v>C05768 : Coproporphyrinogen I</v>
      </c>
    </row>
    <row r="773" spans="1:4">
      <c r="A773" s="33" t="s">
        <v>14068</v>
      </c>
      <c r="B773" s="33" t="s">
        <v>15057</v>
      </c>
      <c r="C773" s="35" t="str">
        <f t="shared" si="24"/>
        <v>C05775:1</v>
      </c>
      <c r="D773" s="37" t="str">
        <f t="shared" si="25"/>
        <v>C05775 : alpha-Ribazole</v>
      </c>
    </row>
    <row r="774" spans="1:4">
      <c r="A774" s="33" t="s">
        <v>13321</v>
      </c>
      <c r="B774" s="33" t="s">
        <v>15058</v>
      </c>
      <c r="C774" s="35" t="str">
        <f t="shared" si="24"/>
        <v>C05778:1</v>
      </c>
      <c r="D774" s="37" t="str">
        <f t="shared" si="25"/>
        <v>C05778 : Sirohydrochlorin</v>
      </c>
    </row>
    <row r="775" spans="1:4">
      <c r="A775" s="33" t="s">
        <v>13337</v>
      </c>
      <c r="B775" s="33" t="s">
        <v>15059</v>
      </c>
      <c r="C775" s="35" t="str">
        <f t="shared" si="24"/>
        <v>C05819:1</v>
      </c>
      <c r="D775" s="37" t="str">
        <f t="shared" si="25"/>
        <v>C05819 : Menaquinol</v>
      </c>
    </row>
    <row r="776" spans="1:4">
      <c r="A776" s="33" t="s">
        <v>14079</v>
      </c>
      <c r="B776" s="33" t="s">
        <v>14493</v>
      </c>
      <c r="C776" s="35" t="str">
        <f t="shared" si="24"/>
        <v>C05823:1</v>
      </c>
      <c r="D776" s="37" t="str">
        <f t="shared" si="25"/>
        <v>C05823 : 3-Mercaptolactate</v>
      </c>
    </row>
    <row r="777" spans="1:4">
      <c r="A777" s="33" t="s">
        <v>13531</v>
      </c>
      <c r="B777" s="33" t="s">
        <v>15060</v>
      </c>
      <c r="C777" s="35" t="str">
        <f t="shared" si="24"/>
        <v>C05840:1</v>
      </c>
      <c r="D777" s="37" t="str">
        <f t="shared" si="25"/>
        <v>C05840 : Iminoaspartate</v>
      </c>
    </row>
    <row r="778" spans="1:4">
      <c r="A778" s="33" t="s">
        <v>13825</v>
      </c>
      <c r="B778" s="33" t="s">
        <v>14494</v>
      </c>
      <c r="C778" s="35" t="str">
        <f t="shared" si="24"/>
        <v>C05841:1</v>
      </c>
      <c r="D778" s="37" t="str">
        <f t="shared" si="25"/>
        <v>C05841 : Nicotinate D-ribonucleoside</v>
      </c>
    </row>
    <row r="779" spans="1:4">
      <c r="A779" s="33" t="s">
        <v>13331</v>
      </c>
      <c r="B779" s="33" t="s">
        <v>15061</v>
      </c>
      <c r="C779" s="35" t="str">
        <f t="shared" si="24"/>
        <v>C05847:1</v>
      </c>
      <c r="D779" s="37" t="str">
        <f t="shared" si="25"/>
        <v>C05847 : all-trans-Polyprenyl diphosphate</v>
      </c>
    </row>
    <row r="780" spans="1:4">
      <c r="A780" s="33" t="s">
        <v>13392</v>
      </c>
      <c r="B780" s="33" t="s">
        <v>15062</v>
      </c>
      <c r="C780" s="35" t="str">
        <f t="shared" si="24"/>
        <v>C05850:1</v>
      </c>
      <c r="D780" s="37" t="str">
        <f t="shared" si="25"/>
        <v>C05850 : Reduced Vitamin K</v>
      </c>
    </row>
    <row r="781" spans="1:4">
      <c r="A781" s="33" t="s">
        <v>13755</v>
      </c>
      <c r="B781" s="33" t="s">
        <v>14495</v>
      </c>
      <c r="C781" s="35" t="str">
        <f t="shared" si="24"/>
        <v>C05892:1</v>
      </c>
      <c r="D781" s="37" t="str">
        <f t="shared" si="25"/>
        <v>C05892 : UDP-N-acetylmuramoyl-L-alanyl-gamma-D-glutamyl-L-lysine</v>
      </c>
    </row>
    <row r="782" spans="1:4">
      <c r="A782" s="33" t="s">
        <v>13742</v>
      </c>
      <c r="B782" s="33" t="s">
        <v>14496</v>
      </c>
      <c r="C782" s="35" t="str">
        <f t="shared" si="24"/>
        <v>C05893:1</v>
      </c>
      <c r="D782" s="37" t="str">
        <f t="shared" si="25"/>
        <v>C05893 : Undecaprenyl-diphospho-N-acetylmuramoyl-(N-acetylglucosamine)-L-alanyl-gamma-D-glutamyl-L-lysyl-D-alanyl-D-alanine</v>
      </c>
    </row>
    <row r="783" spans="1:4">
      <c r="A783" s="33" t="s">
        <v>13746</v>
      </c>
      <c r="B783" s="33" t="s">
        <v>14497</v>
      </c>
      <c r="C783" s="35" t="str">
        <f t="shared" si="24"/>
        <v>C05897:1</v>
      </c>
      <c r="D783" s="37" t="str">
        <f t="shared" si="25"/>
        <v>C05897 : Undecaprenyl-diphospho-N-acetylmuramoyl-L-alanyl-D-glutamyl-meso-2,6-diaminopimeloyl-D-alanyl-D-alanine</v>
      </c>
    </row>
    <row r="784" spans="1:4">
      <c r="A784" s="33" t="s">
        <v>13747</v>
      </c>
      <c r="B784" s="33" t="s">
        <v>14498</v>
      </c>
      <c r="C784" s="35" t="str">
        <f t="shared" si="24"/>
        <v>C05898:1</v>
      </c>
      <c r="D784" s="37" t="str">
        <f t="shared" si="25"/>
        <v>C05898 : Undecaprenyl-diphospho-N-acetylmuramoyl-(N-acetylglucosamine)-L-alanyl-D-glutamyl-meso-2,6-diaminopimeloyl-D-alanyl-D-alanine</v>
      </c>
    </row>
    <row r="785" spans="1:4">
      <c r="A785" s="33" t="s">
        <v>13423</v>
      </c>
      <c r="B785" s="33" t="s">
        <v>15063</v>
      </c>
      <c r="C785" s="35" t="str">
        <f t="shared" si="24"/>
        <v>C05921:1</v>
      </c>
      <c r="D785" s="37" t="str">
        <f t="shared" si="25"/>
        <v>C05921 : Biotinyl-5'-AMP</v>
      </c>
    </row>
    <row r="786" spans="1:4">
      <c r="A786" s="33" t="s">
        <v>9276</v>
      </c>
      <c r="B786" s="33" t="s">
        <v>15064</v>
      </c>
      <c r="C786" s="35" t="str">
        <f t="shared" si="24"/>
        <v>C05922:1</v>
      </c>
      <c r="D786" s="37" t="str">
        <f t="shared" si="25"/>
        <v>C05922 : Formamidopyrimidine nucleoside triphosphate</v>
      </c>
    </row>
    <row r="787" spans="1:4">
      <c r="A787" s="33" t="s">
        <v>9282</v>
      </c>
      <c r="B787" s="33" t="s">
        <v>15065</v>
      </c>
      <c r="C787" s="35" t="str">
        <f t="shared" si="24"/>
        <v>C05923:1</v>
      </c>
      <c r="D787" s="37" t="str">
        <f t="shared" si="25"/>
        <v>C05923 : 2,5-Diaminopyrimidine nucleoside triphosphate</v>
      </c>
    </row>
    <row r="788" spans="1:4">
      <c r="A788" s="33" t="s">
        <v>13235</v>
      </c>
      <c r="B788" s="33" t="s">
        <v>15066</v>
      </c>
      <c r="C788" s="35" t="str">
        <f t="shared" si="24"/>
        <v>C05924:1</v>
      </c>
      <c r="D788" s="37" t="str">
        <f t="shared" si="25"/>
        <v>C05924 : Molybdopterin</v>
      </c>
    </row>
    <row r="789" spans="1:4">
      <c r="A789" s="33" t="s">
        <v>13891</v>
      </c>
      <c r="B789" s="33" t="s">
        <v>15067</v>
      </c>
      <c r="C789" s="35" t="str">
        <f t="shared" si="24"/>
        <v>C05928:1</v>
      </c>
      <c r="D789" s="37" t="str">
        <f t="shared" si="25"/>
        <v>C05928 : (6R)-10-Formyltetrahydropteroyldiglutamate</v>
      </c>
    </row>
    <row r="790" spans="1:4">
      <c r="A790" s="33" t="s">
        <v>13893</v>
      </c>
      <c r="B790" s="33" t="s">
        <v>15068</v>
      </c>
      <c r="C790" s="35" t="str">
        <f t="shared" si="24"/>
        <v>C05929:1</v>
      </c>
      <c r="D790" s="37" t="str">
        <f t="shared" si="25"/>
        <v>C05929 : 10-Formyltetrahydrofolylpolyglutamate</v>
      </c>
    </row>
    <row r="791" spans="1:4">
      <c r="A791" s="33" t="s">
        <v>13996</v>
      </c>
      <c r="B791" s="33" t="s">
        <v>15069</v>
      </c>
      <c r="C791" s="35" t="str">
        <f t="shared" si="24"/>
        <v>C05936:1</v>
      </c>
      <c r="D791" s="37" t="str">
        <f t="shared" si="25"/>
        <v>C05936 : N4-Acetylaminobutanal</v>
      </c>
    </row>
    <row r="792" spans="1:4">
      <c r="A792" s="33" t="s">
        <v>13934</v>
      </c>
      <c r="B792" s="33" t="s">
        <v>14499</v>
      </c>
      <c r="C792" s="35" t="str">
        <f t="shared" si="24"/>
        <v>C05946:1</v>
      </c>
      <c r="D792" s="37" t="str">
        <f t="shared" si="25"/>
        <v>C05946 : (4R)-4-Hydroxy-2-oxoglutarate</v>
      </c>
    </row>
    <row r="793" spans="1:4">
      <c r="A793" s="33" t="s">
        <v>13935</v>
      </c>
      <c r="B793" s="33" t="s">
        <v>14500</v>
      </c>
      <c r="C793" s="35" t="str">
        <f t="shared" si="24"/>
        <v>C05947:1</v>
      </c>
      <c r="D793" s="37" t="str">
        <f t="shared" si="25"/>
        <v>C05947 : L-erythro-4-Hydroxyglutamate</v>
      </c>
    </row>
    <row r="794" spans="1:4">
      <c r="A794" s="33" t="s">
        <v>14078</v>
      </c>
      <c r="B794" s="33" t="s">
        <v>14501</v>
      </c>
      <c r="C794" s="35" t="str">
        <f t="shared" si="24"/>
        <v>C05984:1</v>
      </c>
      <c r="D794" s="37" t="str">
        <f t="shared" si="25"/>
        <v xml:space="preserve">C05984 : 2-Hydroxybutanoic acid </v>
      </c>
    </row>
    <row r="795" spans="1:4">
      <c r="A795" s="33" t="s">
        <v>13986</v>
      </c>
      <c r="B795" s="33" t="s">
        <v>15070</v>
      </c>
      <c r="C795" s="35" t="str">
        <f t="shared" si="24"/>
        <v>C05985:1</v>
      </c>
      <c r="D795" s="37" t="str">
        <f t="shared" si="25"/>
        <v>C05985 : 2-Propynal</v>
      </c>
    </row>
    <row r="796" spans="1:4">
      <c r="A796" s="33" t="s">
        <v>10369</v>
      </c>
      <c r="B796" s="33" t="s">
        <v>15071</v>
      </c>
      <c r="C796" s="35" t="str">
        <f t="shared" si="24"/>
        <v>C05998:1</v>
      </c>
      <c r="D796" s="37" t="str">
        <f t="shared" si="25"/>
        <v>C05998 : 3-Hydroxyisovaleryl-CoA</v>
      </c>
    </row>
    <row r="797" spans="1:4">
      <c r="A797" s="33" t="s">
        <v>10349</v>
      </c>
      <c r="B797" s="33" t="s">
        <v>15072</v>
      </c>
      <c r="C797" s="35" t="str">
        <f t="shared" si="24"/>
        <v>C06000:1</v>
      </c>
      <c r="D797" s="37" t="str">
        <f t="shared" si="25"/>
        <v>C06000 : (S)-3-Hydroxyisobutyryl-CoA</v>
      </c>
    </row>
    <row r="798" spans="1:4">
      <c r="A798" s="33" t="s">
        <v>13329</v>
      </c>
      <c r="B798" s="33" t="s">
        <v>15073</v>
      </c>
      <c r="C798" s="35" t="str">
        <f t="shared" si="24"/>
        <v>C06001:1</v>
      </c>
      <c r="D798" s="37" t="str">
        <f t="shared" si="25"/>
        <v>C06001 : (S)-3-Hydroxyisobutyrate</v>
      </c>
    </row>
    <row r="799" spans="1:4">
      <c r="A799" s="33" t="s">
        <v>13330</v>
      </c>
      <c r="B799" s="33" t="s">
        <v>15074</v>
      </c>
      <c r="C799" s="35" t="str">
        <f t="shared" si="24"/>
        <v>C06002:1</v>
      </c>
      <c r="D799" s="37" t="str">
        <f t="shared" si="25"/>
        <v>C06002 : (S)-Methylmalonate semialdehyde</v>
      </c>
    </row>
    <row r="800" spans="1:4">
      <c r="A800" s="33" t="s">
        <v>10455</v>
      </c>
      <c r="B800" s="33" t="s">
        <v>15075</v>
      </c>
      <c r="C800" s="35" t="str">
        <f t="shared" si="24"/>
        <v>C06006:1</v>
      </c>
      <c r="D800" s="37" t="str">
        <f t="shared" si="25"/>
        <v>C06006 : (S)-2-Aceto-2-hydroxybutanoate</v>
      </c>
    </row>
    <row r="801" spans="1:4">
      <c r="A801" s="33" t="s">
        <v>10447</v>
      </c>
      <c r="B801" s="33" t="s">
        <v>15076</v>
      </c>
      <c r="C801" s="35" t="str">
        <f t="shared" si="24"/>
        <v>C06007:1</v>
      </c>
      <c r="D801" s="37" t="str">
        <f t="shared" si="25"/>
        <v>C06007 : (R)-2,3-Dihydroxy-3-methylpentanoate</v>
      </c>
    </row>
    <row r="802" spans="1:4">
      <c r="A802" s="33" t="s">
        <v>8200</v>
      </c>
      <c r="B802" s="33" t="s">
        <v>15077</v>
      </c>
      <c r="C802" s="35" t="str">
        <f t="shared" si="24"/>
        <v>C06010:1</v>
      </c>
      <c r="D802" s="37" t="str">
        <f t="shared" si="25"/>
        <v>C06010 : (S)-2-Acetolactate</v>
      </c>
    </row>
    <row r="803" spans="1:4">
      <c r="A803" s="33" t="s">
        <v>13604</v>
      </c>
      <c r="B803" s="33" t="s">
        <v>15078</v>
      </c>
      <c r="C803" s="35" t="str">
        <f t="shared" si="24"/>
        <v>C06032:1</v>
      </c>
      <c r="D803" s="37" t="str">
        <f t="shared" si="25"/>
        <v>C06032 : D-erythro-3-Methylmalate</v>
      </c>
    </row>
    <row r="804" spans="1:4">
      <c r="A804" s="33" t="s">
        <v>13447</v>
      </c>
      <c r="B804" s="33" t="s">
        <v>15079</v>
      </c>
      <c r="C804" s="35" t="str">
        <f t="shared" si="24"/>
        <v>C06054:1</v>
      </c>
      <c r="D804" s="37" t="str">
        <f t="shared" si="25"/>
        <v>C06054 : 2-Oxo-3-hydroxy-4-phosphobutanoate</v>
      </c>
    </row>
    <row r="805" spans="1:4">
      <c r="A805" s="33" t="s">
        <v>13446</v>
      </c>
      <c r="B805" s="33" t="s">
        <v>14502</v>
      </c>
      <c r="C805" s="35" t="str">
        <f t="shared" si="24"/>
        <v>C06055:1</v>
      </c>
      <c r="D805" s="37" t="str">
        <f t="shared" si="25"/>
        <v>C06055 : O-Phospho-4-hydroxy-L-threonine</v>
      </c>
    </row>
    <row r="806" spans="1:4">
      <c r="A806" s="33" t="s">
        <v>13781</v>
      </c>
      <c r="B806" s="33" t="s">
        <v>14503</v>
      </c>
      <c r="C806" s="35" t="str">
        <f t="shared" si="24"/>
        <v>C06056:1</v>
      </c>
      <c r="D806" s="37" t="str">
        <f t="shared" si="25"/>
        <v>C06056 : 4-Hydroxy-L-threonine</v>
      </c>
    </row>
    <row r="807" spans="1:4">
      <c r="A807" s="33" t="s">
        <v>14044</v>
      </c>
      <c r="B807" s="33" t="s">
        <v>15080</v>
      </c>
      <c r="C807" s="35" t="str">
        <f t="shared" si="24"/>
        <v>C06060:1</v>
      </c>
      <c r="D807" s="37" t="str">
        <f t="shared" si="25"/>
        <v>C06060 : Amidine</v>
      </c>
    </row>
    <row r="808" spans="1:4">
      <c r="A808" s="33" t="s">
        <v>13861</v>
      </c>
      <c r="B808" s="33" t="s">
        <v>15081</v>
      </c>
      <c r="C808" s="35" t="str">
        <f t="shared" si="24"/>
        <v>C06099:1</v>
      </c>
      <c r="D808" s="37" t="str">
        <f t="shared" si="25"/>
        <v>C06099 : (R)-Limonene</v>
      </c>
    </row>
    <row r="809" spans="1:4">
      <c r="A809" s="33" t="s">
        <v>14012</v>
      </c>
      <c r="B809" s="33" t="s">
        <v>15082</v>
      </c>
      <c r="C809" s="35" t="str">
        <f t="shared" si="24"/>
        <v>C06135:1</v>
      </c>
      <c r="D809" s="37" t="str">
        <f t="shared" si="25"/>
        <v>C06135 : GA2</v>
      </c>
    </row>
    <row r="810" spans="1:4">
      <c r="A810" s="33" t="s">
        <v>9278</v>
      </c>
      <c r="B810" s="33" t="s">
        <v>15083</v>
      </c>
      <c r="C810" s="35" t="str">
        <f t="shared" si="24"/>
        <v>C06148:1</v>
      </c>
      <c r="D810" s="37" t="str">
        <f t="shared" si="25"/>
        <v>C06148 : 2,5-Diamino-6-(5'-triphosphoryl-3',4'-trihydroxy-2'-oxopentyl)-amino-4-oxopyrimidine</v>
      </c>
    </row>
    <row r="811" spans="1:4">
      <c r="A811" s="33" t="s">
        <v>13350</v>
      </c>
      <c r="B811" s="33" t="s">
        <v>14504</v>
      </c>
      <c r="C811" s="35" t="str">
        <f t="shared" si="24"/>
        <v>C06156:1</v>
      </c>
      <c r="D811" s="37" t="str">
        <f t="shared" si="25"/>
        <v>C06156 : alpha-D-Glucosamine 1-phosphate</v>
      </c>
    </row>
    <row r="812" spans="1:4">
      <c r="A812" s="33" t="s">
        <v>13828</v>
      </c>
      <c r="B812" s="33" t="s">
        <v>14505</v>
      </c>
      <c r="C812" s="35" t="str">
        <f t="shared" si="24"/>
        <v>C06196:1</v>
      </c>
      <c r="D812" s="37" t="str">
        <f t="shared" si="25"/>
        <v>C06196 : 2'-Deoxyinosine 5'-phosphate</v>
      </c>
    </row>
    <row r="813" spans="1:4">
      <c r="A813" s="33" t="s">
        <v>13728</v>
      </c>
      <c r="B813" s="33" t="s">
        <v>15084</v>
      </c>
      <c r="C813" s="35" t="str">
        <f t="shared" si="24"/>
        <v>C06206:1</v>
      </c>
      <c r="D813" s="37" t="str">
        <f t="shared" si="25"/>
        <v>C06206 : Benzoyl phosphate</v>
      </c>
    </row>
    <row r="814" spans="1:4">
      <c r="A814" s="33" t="s">
        <v>13237</v>
      </c>
      <c r="B814" s="33" t="s">
        <v>15085</v>
      </c>
      <c r="C814" s="35" t="str">
        <f t="shared" si="24"/>
        <v>C06232:1</v>
      </c>
      <c r="D814" s="37" t="str">
        <f t="shared" si="25"/>
        <v>C06232 : Molybdate</v>
      </c>
    </row>
    <row r="815" spans="1:4">
      <c r="A815" s="33" t="s">
        <v>13424</v>
      </c>
      <c r="B815" s="33" t="s">
        <v>15086</v>
      </c>
      <c r="C815" s="35" t="str">
        <f t="shared" si="24"/>
        <v>C06249:1</v>
      </c>
      <c r="D815" s="37" t="str">
        <f t="shared" si="25"/>
        <v>C06249 : Apo-[carboxylase]</v>
      </c>
    </row>
    <row r="816" spans="1:4">
      <c r="A816" s="33" t="s">
        <v>13425</v>
      </c>
      <c r="B816" s="33" t="s">
        <v>15087</v>
      </c>
      <c r="C816" s="35" t="str">
        <f t="shared" si="24"/>
        <v>C06250:1</v>
      </c>
      <c r="D816" s="37" t="str">
        <f t="shared" si="25"/>
        <v>C06250 : Holo-[carboxylase]</v>
      </c>
    </row>
    <row r="817" spans="1:4">
      <c r="A817" s="33" t="s">
        <v>10276</v>
      </c>
      <c r="B817" s="33" t="s">
        <v>15088</v>
      </c>
      <c r="C817" s="35" t="str">
        <f t="shared" si="24"/>
        <v>C06367:1</v>
      </c>
      <c r="D817" s="37" t="str">
        <f t="shared" si="25"/>
        <v>C06367 : 1-Carboxyvinyl carboxyphosphonate</v>
      </c>
    </row>
    <row r="818" spans="1:4">
      <c r="A818" s="33" t="s">
        <v>13396</v>
      </c>
      <c r="B818" s="33" t="s">
        <v>15089</v>
      </c>
      <c r="C818" s="35" t="str">
        <f t="shared" si="24"/>
        <v>C06368:1</v>
      </c>
      <c r="D818" s="37" t="str">
        <f t="shared" si="25"/>
        <v>C06368 : 3-(Hydrohydroxyphosphoryl)pyruvate</v>
      </c>
    </row>
    <row r="819" spans="1:4">
      <c r="A819" s="33" t="s">
        <v>13551</v>
      </c>
      <c r="B819" s="33" t="s">
        <v>14506</v>
      </c>
      <c r="C819" s="35" t="str">
        <f t="shared" si="24"/>
        <v>C06481:1</v>
      </c>
      <c r="D819" s="37" t="str">
        <f t="shared" si="25"/>
        <v>C06481 : L-Seryl-tRNA(Sec)</v>
      </c>
    </row>
    <row r="820" spans="1:4">
      <c r="A820" s="33" t="s">
        <v>13552</v>
      </c>
      <c r="B820" s="33" t="s">
        <v>15090</v>
      </c>
      <c r="C820" s="35" t="str">
        <f t="shared" si="24"/>
        <v>C06482:1</v>
      </c>
      <c r="D820" s="37" t="str">
        <f t="shared" si="25"/>
        <v>C06482 : L-Selenocysteinyl-tRNA(Sec)</v>
      </c>
    </row>
    <row r="821" spans="1:4">
      <c r="A821" s="33" t="s">
        <v>13261</v>
      </c>
      <c r="B821" s="33" t="s">
        <v>15091</v>
      </c>
      <c r="C821" s="35" t="str">
        <f t="shared" si="24"/>
        <v>C06548:1</v>
      </c>
      <c r="D821" s="37" t="str">
        <f t="shared" si="25"/>
        <v>C06548 : Ethylene oxide</v>
      </c>
    </row>
    <row r="822" spans="1:4">
      <c r="A822" s="33" t="s">
        <v>13795</v>
      </c>
      <c r="B822" s="33" t="s">
        <v>14507</v>
      </c>
      <c r="C822" s="35" t="str">
        <f t="shared" si="24"/>
        <v>C06611:1</v>
      </c>
      <c r="D822" s="37" t="str">
        <f t="shared" si="25"/>
        <v>C06611 : trans-3-Chloro-2-propene-1-ol</v>
      </c>
    </row>
    <row r="823" spans="1:4">
      <c r="A823" s="33" t="s">
        <v>13797</v>
      </c>
      <c r="B823" s="33" t="s">
        <v>14508</v>
      </c>
      <c r="C823" s="35" t="str">
        <f t="shared" si="24"/>
        <v>C06612:1</v>
      </c>
      <c r="D823" s="37" t="str">
        <f t="shared" si="25"/>
        <v>C06612 : cis-3-Chloro-2-propene-1-ol</v>
      </c>
    </row>
    <row r="824" spans="1:4">
      <c r="A824" s="33" t="s">
        <v>13796</v>
      </c>
      <c r="B824" s="33" t="s">
        <v>14509</v>
      </c>
      <c r="C824" s="35" t="str">
        <f t="shared" si="24"/>
        <v>C06613:1</v>
      </c>
      <c r="D824" s="37" t="str">
        <f t="shared" si="25"/>
        <v>C06613 : trans-3-Chloroallyl aldehyde</v>
      </c>
    </row>
    <row r="825" spans="1:4">
      <c r="A825" s="33" t="s">
        <v>14006</v>
      </c>
      <c r="B825" s="33" t="s">
        <v>15092</v>
      </c>
      <c r="C825" s="35" t="str">
        <f t="shared" si="24"/>
        <v>C06614:1</v>
      </c>
      <c r="D825" s="37" t="str">
        <f t="shared" si="25"/>
        <v>C06614 : trans-3-Chloroacrylic acid</v>
      </c>
    </row>
    <row r="826" spans="1:4">
      <c r="A826" s="33" t="s">
        <v>14007</v>
      </c>
      <c r="B826" s="33" t="s">
        <v>15093</v>
      </c>
      <c r="C826" s="35" t="str">
        <f t="shared" si="24"/>
        <v>C06615:1</v>
      </c>
      <c r="D826" s="37" t="str">
        <f t="shared" si="25"/>
        <v>C06615 : cis-3-Chloroacrylic acid</v>
      </c>
    </row>
    <row r="827" spans="1:4">
      <c r="A827" s="33" t="s">
        <v>13761</v>
      </c>
      <c r="B827" s="33" t="s">
        <v>15094</v>
      </c>
      <c r="C827" s="35" t="str">
        <f t="shared" si="24"/>
        <v>C06697:1</v>
      </c>
      <c r="D827" s="37" t="str">
        <f t="shared" si="25"/>
        <v>C06697 : Arsenite</v>
      </c>
    </row>
    <row r="828" spans="1:4">
      <c r="A828" s="33" t="s">
        <v>13275</v>
      </c>
      <c r="B828" s="33" t="s">
        <v>15095</v>
      </c>
      <c r="C828" s="35" t="str">
        <f t="shared" si="24"/>
        <v>C06717:1</v>
      </c>
      <c r="D828" s="37" t="str">
        <f t="shared" si="25"/>
        <v>C06717 : Mycothiol</v>
      </c>
    </row>
    <row r="829" spans="1:4">
      <c r="A829" s="33" t="s">
        <v>13274</v>
      </c>
      <c r="B829" s="33" t="s">
        <v>15096</v>
      </c>
      <c r="C829" s="35" t="str">
        <f t="shared" si="24"/>
        <v>C06718:1</v>
      </c>
      <c r="D829" s="37" t="str">
        <f t="shared" si="25"/>
        <v>C06718 : S-Formylmycothiol</v>
      </c>
    </row>
    <row r="830" spans="1:4">
      <c r="A830" s="33" t="s">
        <v>13998</v>
      </c>
      <c r="B830" s="33" t="s">
        <v>15097</v>
      </c>
      <c r="C830" s="35" t="str">
        <f t="shared" si="24"/>
        <v>C06754:1</v>
      </c>
      <c r="D830" s="37" t="str">
        <f t="shared" si="25"/>
        <v>C06754 : Chloroacetaldehyde</v>
      </c>
    </row>
    <row r="831" spans="1:4">
      <c r="A831" s="33" t="s">
        <v>13999</v>
      </c>
      <c r="B831" s="33" t="s">
        <v>15098</v>
      </c>
      <c r="C831" s="35" t="str">
        <f t="shared" si="24"/>
        <v>C06755:1</v>
      </c>
      <c r="D831" s="37" t="str">
        <f t="shared" si="25"/>
        <v>C06755 : Chloroacetic acid</v>
      </c>
    </row>
    <row r="832" spans="1:4">
      <c r="A832" s="33" t="s">
        <v>13815</v>
      </c>
      <c r="B832" s="33" t="s">
        <v>14510</v>
      </c>
      <c r="C832" s="35" t="str">
        <f t="shared" si="24"/>
        <v>C06899:1</v>
      </c>
      <c r="D832" s="37" t="str">
        <f t="shared" si="25"/>
        <v>C06899 : Chloral hydrate</v>
      </c>
    </row>
    <row r="833" spans="1:4">
      <c r="A833" s="33" t="s">
        <v>13380</v>
      </c>
      <c r="B833" s="33" t="s">
        <v>15099</v>
      </c>
      <c r="C833" s="35" t="str">
        <f t="shared" ref="C833:C896" si="26">CONCATENATE(A833,":","1")</f>
        <v>C07054:1</v>
      </c>
      <c r="D833" s="37" t="str">
        <f t="shared" si="25"/>
        <v>C07054 : Isoniazid</v>
      </c>
    </row>
    <row r="834" spans="1:4">
      <c r="A834" s="33" t="s">
        <v>13385</v>
      </c>
      <c r="B834" s="33" t="s">
        <v>15100</v>
      </c>
      <c r="C834" s="35" t="str">
        <f t="shared" si="26"/>
        <v>C07073:1</v>
      </c>
      <c r="D834" s="37" t="str">
        <f t="shared" si="25"/>
        <v>C07073 : Lidocaine</v>
      </c>
    </row>
    <row r="835" spans="1:4">
      <c r="A835" s="33" t="s">
        <v>13901</v>
      </c>
      <c r="B835" s="33" t="s">
        <v>15101</v>
      </c>
      <c r="C835" s="35" t="str">
        <f t="shared" si="26"/>
        <v>C07113:1</v>
      </c>
      <c r="D835" s="37" t="str">
        <f t="shared" ref="D835:D898" si="27">CONCATENATE(A835," : ",B835)</f>
        <v>C07113 : Acetophenone</v>
      </c>
    </row>
    <row r="836" spans="1:4">
      <c r="A836" s="33" t="s">
        <v>13862</v>
      </c>
      <c r="B836" s="33" t="s">
        <v>15102</v>
      </c>
      <c r="C836" s="35" t="str">
        <f t="shared" si="26"/>
        <v>C07271:1</v>
      </c>
      <c r="D836" s="37" t="str">
        <f t="shared" si="27"/>
        <v>C07271 : Limonene-1,2-epoxide</v>
      </c>
    </row>
    <row r="837" spans="1:4">
      <c r="A837" s="33" t="s">
        <v>13379</v>
      </c>
      <c r="B837" s="33" t="s">
        <v>15103</v>
      </c>
      <c r="C837" s="35" t="str">
        <f t="shared" si="26"/>
        <v>C07446:1</v>
      </c>
      <c r="D837" s="37" t="str">
        <f t="shared" si="27"/>
        <v>C07446 : Isonicotinic acid</v>
      </c>
    </row>
    <row r="838" spans="1:4">
      <c r="A838" s="33" t="s">
        <v>13378</v>
      </c>
      <c r="B838" s="33" t="s">
        <v>15104</v>
      </c>
      <c r="C838" s="35" t="str">
        <f t="shared" si="26"/>
        <v>C07447:1</v>
      </c>
      <c r="D838" s="37" t="str">
        <f t="shared" si="27"/>
        <v>C07447 : Acetylhydrazine</v>
      </c>
    </row>
    <row r="839" spans="1:4">
      <c r="A839" s="33" t="s">
        <v>13816</v>
      </c>
      <c r="B839" s="33" t="s">
        <v>14511</v>
      </c>
      <c r="C839" s="35" t="str">
        <f t="shared" si="26"/>
        <v>C07490:1</v>
      </c>
      <c r="D839" s="37" t="str">
        <f t="shared" si="27"/>
        <v>C07490 : Trichloroethanol</v>
      </c>
    </row>
    <row r="840" spans="1:4">
      <c r="A840" s="33" t="s">
        <v>13377</v>
      </c>
      <c r="B840" s="33" t="s">
        <v>15105</v>
      </c>
      <c r="C840" s="35" t="str">
        <f t="shared" si="26"/>
        <v>C07585:1</v>
      </c>
      <c r="D840" s="37" t="str">
        <f t="shared" si="27"/>
        <v>C07585 : N-Acetylisoniazid</v>
      </c>
    </row>
    <row r="841" spans="1:4">
      <c r="A841" s="33" t="s">
        <v>13803</v>
      </c>
      <c r="B841" s="33" t="s">
        <v>14512</v>
      </c>
      <c r="C841" s="35" t="str">
        <f t="shared" si="26"/>
        <v>C07645:1</v>
      </c>
      <c r="D841" s="37" t="str">
        <f t="shared" si="27"/>
        <v>C07645 : Aldophosphamide</v>
      </c>
    </row>
    <row r="842" spans="1:4">
      <c r="A842" s="33" t="s">
        <v>13965</v>
      </c>
      <c r="B842" s="33" t="s">
        <v>14513</v>
      </c>
      <c r="C842" s="35" t="str">
        <f t="shared" si="26"/>
        <v>C07648:1</v>
      </c>
      <c r="D842" s="37" t="str">
        <f t="shared" si="27"/>
        <v>C07648 : Thioguanine</v>
      </c>
    </row>
    <row r="843" spans="1:4">
      <c r="A843" s="33" t="s">
        <v>13976</v>
      </c>
      <c r="B843" s="33" t="s">
        <v>14514</v>
      </c>
      <c r="C843" s="35" t="str">
        <f t="shared" si="26"/>
        <v>C07649:1</v>
      </c>
      <c r="D843" s="37" t="str">
        <f t="shared" si="27"/>
        <v>C07649 : 5-FU</v>
      </c>
    </row>
    <row r="844" spans="1:4">
      <c r="A844" s="33" t="s">
        <v>14112</v>
      </c>
      <c r="B844" s="33" t="s">
        <v>15106</v>
      </c>
      <c r="C844" s="35" t="str">
        <f t="shared" si="26"/>
        <v>C08249:1</v>
      </c>
      <c r="D844" s="37" t="str">
        <f t="shared" si="27"/>
        <v>C08249 : Pyrimidine 5'-deoxynucleotide</v>
      </c>
    </row>
    <row r="845" spans="1:4">
      <c r="A845" s="33" t="s">
        <v>13808</v>
      </c>
      <c r="B845" s="33" t="s">
        <v>14515</v>
      </c>
      <c r="C845" s="35" t="str">
        <f t="shared" si="26"/>
        <v>C08492:1</v>
      </c>
      <c r="D845" s="37" t="str">
        <f t="shared" si="27"/>
        <v>C08492 : 3-Hexenol</v>
      </c>
    </row>
    <row r="846" spans="1:4">
      <c r="A846" s="33" t="s">
        <v>13890</v>
      </c>
      <c r="B846" s="33" t="s">
        <v>15107</v>
      </c>
      <c r="C846" s="35" t="str">
        <f t="shared" si="26"/>
        <v>C09332:1</v>
      </c>
      <c r="D846" s="37" t="str">
        <f t="shared" si="27"/>
        <v>C09332 : THF-L-glutamate</v>
      </c>
    </row>
    <row r="847" spans="1:4">
      <c r="A847" s="33" t="s">
        <v>13383</v>
      </c>
      <c r="B847" s="33" t="s">
        <v>15108</v>
      </c>
      <c r="C847" s="35" t="str">
        <f t="shared" si="26"/>
        <v>C11004:1</v>
      </c>
      <c r="D847" s="37" t="str">
        <f t="shared" si="27"/>
        <v>C11004 : 2,6-Dimethylaniline</v>
      </c>
    </row>
    <row r="848" spans="1:4">
      <c r="A848" s="33" t="s">
        <v>13880</v>
      </c>
      <c r="B848" s="33" t="s">
        <v>15109</v>
      </c>
      <c r="C848" s="35" t="str">
        <f t="shared" si="26"/>
        <v>C11038:1</v>
      </c>
      <c r="D848" s="37" t="str">
        <f t="shared" si="27"/>
        <v>C11038 : 2'-Deoxy-5-hydroxymethylcytidine-5'-diphosphate</v>
      </c>
    </row>
    <row r="849" spans="1:4">
      <c r="A849" s="33" t="s">
        <v>10167</v>
      </c>
      <c r="B849" s="33" t="s">
        <v>14516</v>
      </c>
      <c r="C849" s="35" t="str">
        <f t="shared" si="26"/>
        <v>C11039:1</v>
      </c>
      <c r="D849" s="37" t="str">
        <f t="shared" si="27"/>
        <v>C11039 : 2'-Deoxy-5-hydroxymethylcytidine-5'-triphosphate</v>
      </c>
    </row>
    <row r="850" spans="1:4">
      <c r="A850" s="33" t="s">
        <v>13370</v>
      </c>
      <c r="B850" s="33" t="s">
        <v>15110</v>
      </c>
      <c r="C850" s="35" t="str">
        <f t="shared" si="26"/>
        <v>C11173:1</v>
      </c>
      <c r="D850" s="37" t="str">
        <f t="shared" si="27"/>
        <v>C11173 : SN-38</v>
      </c>
    </row>
    <row r="851" spans="1:4">
      <c r="A851" s="33" t="s">
        <v>13762</v>
      </c>
      <c r="B851" s="33" t="s">
        <v>15111</v>
      </c>
      <c r="C851" s="35" t="str">
        <f t="shared" si="26"/>
        <v>C11215:1</v>
      </c>
      <c r="D851" s="37" t="str">
        <f t="shared" si="27"/>
        <v>C11215 : Arsenate ion</v>
      </c>
    </row>
    <row r="852" spans="1:4">
      <c r="A852" s="33" t="s">
        <v>13900</v>
      </c>
      <c r="B852" s="33" t="s">
        <v>15112</v>
      </c>
      <c r="C852" s="35" t="str">
        <f t="shared" si="26"/>
        <v>C11348:1</v>
      </c>
      <c r="D852" s="37" t="str">
        <f t="shared" si="27"/>
        <v>C11348 : (S)-1-Phenylethanol</v>
      </c>
    </row>
    <row r="853" spans="1:4">
      <c r="A853" s="33" t="s">
        <v>14061</v>
      </c>
      <c r="B853" s="33" t="s">
        <v>15113</v>
      </c>
      <c r="C853" s="35" t="str">
        <f t="shared" si="26"/>
        <v>C11355:1</v>
      </c>
      <c r="D853" s="37" t="str">
        <f t="shared" si="27"/>
        <v>C11355 : 4-Amino-4-deoxychorismate</v>
      </c>
    </row>
    <row r="854" spans="1:4">
      <c r="A854" s="33" t="s">
        <v>13723</v>
      </c>
      <c r="B854" s="33" t="s">
        <v>15114</v>
      </c>
      <c r="C854" s="35" t="str">
        <f t="shared" si="26"/>
        <v>C11434:1</v>
      </c>
      <c r="D854" s="37" t="str">
        <f t="shared" si="27"/>
        <v>C11434 : 2-C-Methyl-D-erythritol 4-phosphate</v>
      </c>
    </row>
    <row r="855" spans="1:4">
      <c r="A855" s="33" t="s">
        <v>13478</v>
      </c>
      <c r="B855" s="33" t="s">
        <v>15115</v>
      </c>
      <c r="C855" s="35" t="str">
        <f t="shared" si="26"/>
        <v>C11435:1</v>
      </c>
      <c r="D855" s="37" t="str">
        <f t="shared" si="27"/>
        <v>C11435 : 4-(Cytidine 5'-diphospho)-2-C-methyl-D-erythritol</v>
      </c>
    </row>
    <row r="856" spans="1:4">
      <c r="A856" s="33" t="s">
        <v>9921</v>
      </c>
      <c r="B856" s="33" t="s">
        <v>15116</v>
      </c>
      <c r="C856" s="35" t="str">
        <f t="shared" si="26"/>
        <v>C11436:1</v>
      </c>
      <c r="D856" s="37" t="str">
        <f t="shared" si="27"/>
        <v>C11436 : 2-Phospho-4-(cytidine 5'-diphospho)-2-C-methyl-D-erythritol</v>
      </c>
    </row>
    <row r="857" spans="1:4">
      <c r="A857" s="33" t="s">
        <v>13622</v>
      </c>
      <c r="B857" s="33" t="s">
        <v>14517</v>
      </c>
      <c r="C857" s="35" t="str">
        <f t="shared" si="26"/>
        <v>C11437:1</v>
      </c>
      <c r="D857" s="37" t="str">
        <f t="shared" si="27"/>
        <v>C11437 : 1-Deoxy-D-xylulose 5-phosphate</v>
      </c>
    </row>
    <row r="858" spans="1:4">
      <c r="A858" s="33" t="s">
        <v>13660</v>
      </c>
      <c r="B858" s="33" t="s">
        <v>14518</v>
      </c>
      <c r="C858" s="35" t="str">
        <f t="shared" si="26"/>
        <v>C11439:1</v>
      </c>
      <c r="D858" s="37" t="str">
        <f t="shared" si="27"/>
        <v>C11439 : Formyl-L-methionyl peptide</v>
      </c>
    </row>
    <row r="859" spans="1:4">
      <c r="A859" s="33" t="s">
        <v>13661</v>
      </c>
      <c r="B859" s="33" t="s">
        <v>14519</v>
      </c>
      <c r="C859" s="35" t="str">
        <f t="shared" si="26"/>
        <v>C11440:1</v>
      </c>
      <c r="D859" s="37" t="str">
        <f t="shared" si="27"/>
        <v>C11440 : Methionyl peptide</v>
      </c>
    </row>
    <row r="860" spans="1:4">
      <c r="A860" s="33" t="s">
        <v>13722</v>
      </c>
      <c r="B860" s="33" t="s">
        <v>15117</v>
      </c>
      <c r="C860" s="35" t="str">
        <f t="shared" si="26"/>
        <v>C11453:1</v>
      </c>
      <c r="D860" s="37" t="str">
        <f t="shared" si="27"/>
        <v>C11453 : 2-C-Methyl-D-erythritol 2,4-cyclodiphosphate</v>
      </c>
    </row>
    <row r="861" spans="1:4">
      <c r="A861" s="33" t="s">
        <v>13213</v>
      </c>
      <c r="B861" s="33" t="s">
        <v>14520</v>
      </c>
      <c r="C861" s="35" t="str">
        <f t="shared" si="26"/>
        <v>C11475:1</v>
      </c>
      <c r="D861" s="37" t="str">
        <f t="shared" si="27"/>
        <v>C11475 : DNA containing guanine</v>
      </c>
    </row>
    <row r="862" spans="1:4">
      <c r="A862" s="33" t="s">
        <v>14063</v>
      </c>
      <c r="B862" s="33" t="s">
        <v>14521</v>
      </c>
      <c r="C862" s="35" t="str">
        <f t="shared" si="26"/>
        <v>C11477:1</v>
      </c>
      <c r="D862" s="37" t="str">
        <f t="shared" si="27"/>
        <v>C11477 : Sugar</v>
      </c>
    </row>
    <row r="863" spans="1:4">
      <c r="A863" s="33" t="s">
        <v>13720</v>
      </c>
      <c r="B863" s="33" t="s">
        <v>15118</v>
      </c>
      <c r="C863" s="35" t="str">
        <f t="shared" si="26"/>
        <v>C11502:1</v>
      </c>
      <c r="D863" s="37" t="str">
        <f t="shared" si="27"/>
        <v>C11502 : Mycothione</v>
      </c>
    </row>
    <row r="864" spans="1:4">
      <c r="A864" s="33" t="s">
        <v>13898</v>
      </c>
      <c r="B864" s="33" t="s">
        <v>15119</v>
      </c>
      <c r="C864" s="35" t="str">
        <f t="shared" si="26"/>
        <v>C11537:1</v>
      </c>
      <c r="D864" s="37" t="str">
        <f t="shared" si="27"/>
        <v>C11537 : (2R)-3-Sulfolactate</v>
      </c>
    </row>
    <row r="865" spans="1:11">
      <c r="A865" s="33" t="s">
        <v>13384</v>
      </c>
      <c r="B865" s="33" t="s">
        <v>15120</v>
      </c>
      <c r="C865" s="35" t="str">
        <f t="shared" si="26"/>
        <v>C11735:1</v>
      </c>
      <c r="D865" s="37" t="str">
        <f t="shared" si="27"/>
        <v>C11735 : N-Ethylglycine</v>
      </c>
    </row>
    <row r="866" spans="1:11">
      <c r="A866" s="33" t="s">
        <v>13548</v>
      </c>
      <c r="B866" s="33" t="s">
        <v>15121</v>
      </c>
      <c r="C866" s="35" t="str">
        <f t="shared" si="26"/>
        <v>C11811:1</v>
      </c>
      <c r="D866" s="37" t="str">
        <f t="shared" si="27"/>
        <v>C11811 : 1-Hydroxy-2-methyl-2-butenyl 4-diphosphate</v>
      </c>
    </row>
    <row r="867" spans="1:11">
      <c r="A867" s="33" t="s">
        <v>13577</v>
      </c>
      <c r="B867" s="33" t="s">
        <v>15122</v>
      </c>
      <c r="C867" s="35" t="str">
        <f t="shared" si="26"/>
        <v>C11823:1</v>
      </c>
      <c r="D867" s="37" t="str">
        <f t="shared" si="27"/>
        <v>C11823 : 2,3-Ene acid</v>
      </c>
    </row>
    <row r="868" spans="1:11">
      <c r="A868" s="33" t="s">
        <v>13757</v>
      </c>
      <c r="B868" s="33" t="s">
        <v>14522</v>
      </c>
      <c r="C868" s="35" t="str">
        <f t="shared" si="26"/>
        <v>C11826:1</v>
      </c>
      <c r="D868" s="37" t="str">
        <f t="shared" si="27"/>
        <v>C11826 : [GlcNAc-(1-&gt;4)-Mur2Ac(oyl-L-Ala-g-D-Glu-L-Lys-D-Ala-D-Ala)]n-diphosphoundecaprenol</v>
      </c>
    </row>
    <row r="869" spans="1:11">
      <c r="A869" s="33" t="s">
        <v>13759</v>
      </c>
      <c r="B869" s="33" t="s">
        <v>14523</v>
      </c>
      <c r="C869" s="35" t="str">
        <f t="shared" si="26"/>
        <v>C11827:1</v>
      </c>
      <c r="D869" s="37" t="str">
        <f t="shared" si="27"/>
        <v>C11827 : [GlcNAc-(1-&gt;4)-Mur2Ac(oyl-L-Ala-g-D-Glu-A2pm-D-Ala-D-Ala)]n-diphosphoundecaprenol</v>
      </c>
    </row>
    <row r="870" spans="1:11">
      <c r="A870" s="33" t="s">
        <v>13300</v>
      </c>
      <c r="B870" s="33" t="s">
        <v>14524</v>
      </c>
      <c r="C870" s="35" t="str">
        <f t="shared" si="26"/>
        <v>C11838:1</v>
      </c>
      <c r="D870" s="37" t="str">
        <f t="shared" si="27"/>
        <v>C11838 : (S)-4,5-Dihydroxypentane-2,3-dione</v>
      </c>
    </row>
    <row r="871" spans="1:11">
      <c r="A871" s="33" t="s">
        <v>7979</v>
      </c>
      <c r="B871" s="33" t="s">
        <v>15123</v>
      </c>
      <c r="C871" s="35" t="str">
        <f t="shared" si="26"/>
        <v>C11907:1</v>
      </c>
      <c r="D871" s="37" t="str">
        <f t="shared" si="27"/>
        <v>C11907 : dTDP-4-oxo-6-deoxy-D-glucose</v>
      </c>
    </row>
    <row r="872" spans="1:11">
      <c r="A872" s="33" t="s">
        <v>14001</v>
      </c>
      <c r="B872" s="33" t="s">
        <v>15124</v>
      </c>
      <c r="C872" s="35" t="str">
        <f t="shared" si="26"/>
        <v>C11924:1</v>
      </c>
      <c r="D872" s="37" t="str">
        <f t="shared" si="27"/>
        <v>C11924 : Perillic acid</v>
      </c>
    </row>
    <row r="873" spans="1:11">
      <c r="A873" s="33" t="s">
        <v>13499</v>
      </c>
      <c r="B873" s="33" t="s">
        <v>15125</v>
      </c>
      <c r="C873" s="35" t="str">
        <f t="shared" si="26"/>
        <v>C11945:1</v>
      </c>
      <c r="D873" s="37" t="str">
        <f t="shared" si="27"/>
        <v>C11945 : trans-2-Methyl-5-isopropylhexa-2,5-dienoyl-CoA</v>
      </c>
    </row>
    <row r="874" spans="1:11">
      <c r="A874" s="33" t="s">
        <v>13498</v>
      </c>
      <c r="B874" s="33" t="s">
        <v>15126</v>
      </c>
      <c r="C874" s="35" t="str">
        <f t="shared" si="26"/>
        <v>C11946:1</v>
      </c>
      <c r="D874" s="37" t="str">
        <f t="shared" si="27"/>
        <v>C11946 : cis-2-Methyl-5-isopropylhexa-2,5-dienoyl-CoA</v>
      </c>
      <c r="E874" s="8"/>
      <c r="F874" s="8"/>
      <c r="G874" s="8"/>
      <c r="H874" s="8"/>
      <c r="I874" s="8"/>
      <c r="J874" s="8"/>
      <c r="K874" s="8"/>
    </row>
    <row r="875" spans="1:11">
      <c r="A875" s="33" t="s">
        <v>10373</v>
      </c>
      <c r="B875" s="33" t="s">
        <v>15127</v>
      </c>
      <c r="C875" s="35" t="str">
        <f t="shared" si="26"/>
        <v>C11947:1</v>
      </c>
      <c r="D875" s="37" t="str">
        <f t="shared" si="27"/>
        <v>C11947 : 3-Hydroxy-2,6-dimethyl-5-methylene-heptanoyl-CoA</v>
      </c>
    </row>
    <row r="876" spans="1:11">
      <c r="A876" s="33" t="s">
        <v>13651</v>
      </c>
      <c r="B876" s="33" t="s">
        <v>15128</v>
      </c>
      <c r="C876" s="35" t="str">
        <f t="shared" si="26"/>
        <v>C12214:1</v>
      </c>
      <c r="D876" s="37" t="str">
        <f t="shared" si="27"/>
        <v>C12214 : Aminofructose 6-phosphate</v>
      </c>
    </row>
    <row r="877" spans="1:11">
      <c r="A877" s="33" t="s">
        <v>13652</v>
      </c>
      <c r="B877" s="33" t="s">
        <v>15129</v>
      </c>
      <c r="C877" s="35" t="str">
        <f t="shared" si="26"/>
        <v>C12215:1</v>
      </c>
      <c r="D877" s="37" t="str">
        <f t="shared" si="27"/>
        <v>C12215 : Iminoerythrose 4-phosphate</v>
      </c>
    </row>
    <row r="878" spans="1:11">
      <c r="A878" s="33" t="s">
        <v>13367</v>
      </c>
      <c r="B878" s="33" t="s">
        <v>15130</v>
      </c>
      <c r="C878" s="35" t="str">
        <f t="shared" si="26"/>
        <v>C12448:1</v>
      </c>
      <c r="D878" s="37" t="str">
        <f t="shared" si="27"/>
        <v>C12448 : Ecgonine methyl ester</v>
      </c>
    </row>
    <row r="879" spans="1:11">
      <c r="A879" s="33" t="s">
        <v>13374</v>
      </c>
      <c r="B879" s="33" t="s">
        <v>15131</v>
      </c>
      <c r="C879" s="35" t="str">
        <f t="shared" si="26"/>
        <v>C12650:1</v>
      </c>
      <c r="D879" s="37" t="str">
        <f t="shared" si="27"/>
        <v>C12650 : Capecitabine</v>
      </c>
    </row>
    <row r="880" spans="1:11">
      <c r="A880" s="33" t="s">
        <v>13402</v>
      </c>
      <c r="B880" s="33" t="s">
        <v>15132</v>
      </c>
      <c r="C880" s="35" t="str">
        <f t="shared" si="26"/>
        <v>C12739:1</v>
      </c>
      <c r="D880" s="37" t="str">
        <f t="shared" si="27"/>
        <v>C12739 : 5'-Deoxy-5-fluorouridine</v>
      </c>
    </row>
    <row r="881" spans="1:4">
      <c r="A881" s="33" t="s">
        <v>13653</v>
      </c>
      <c r="B881" s="33" t="s">
        <v>15133</v>
      </c>
      <c r="C881" s="35" t="str">
        <f t="shared" si="26"/>
        <v>C13378:1</v>
      </c>
      <c r="D881" s="37" t="str">
        <f t="shared" si="27"/>
        <v>C13378 : alpha,beta-Dihydroxyethyl-TPP</v>
      </c>
    </row>
    <row r="882" spans="1:4">
      <c r="A882" s="33" t="s">
        <v>13799</v>
      </c>
      <c r="B882" s="33" t="s">
        <v>14525</v>
      </c>
      <c r="C882" s="35" t="str">
        <f t="shared" si="26"/>
        <v>C14089:1</v>
      </c>
      <c r="D882" s="37" t="str">
        <f t="shared" si="27"/>
        <v>C14089 : 1-Hydroxymethylnaphthalene</v>
      </c>
    </row>
    <row r="883" spans="1:4">
      <c r="A883" s="33" t="s">
        <v>13800</v>
      </c>
      <c r="B883" s="33" t="s">
        <v>14526</v>
      </c>
      <c r="C883" s="35" t="str">
        <f t="shared" si="26"/>
        <v>C14090:1</v>
      </c>
      <c r="D883" s="37" t="str">
        <f t="shared" si="27"/>
        <v>C14090 : 1-Naphthaldehyde</v>
      </c>
    </row>
    <row r="884" spans="1:4">
      <c r="A884" s="33" t="s">
        <v>13802</v>
      </c>
      <c r="B884" s="33" t="s">
        <v>14527</v>
      </c>
      <c r="C884" s="35" t="str">
        <f t="shared" si="26"/>
        <v>C14099:1</v>
      </c>
      <c r="D884" s="37" t="str">
        <f t="shared" si="27"/>
        <v>C14099 : 2-Naphthaldehyde</v>
      </c>
    </row>
    <row r="885" spans="1:4">
      <c r="A885" s="33" t="s">
        <v>13500</v>
      </c>
      <c r="B885" s="33" t="s">
        <v>15134</v>
      </c>
      <c r="C885" s="35" t="str">
        <f t="shared" si="26"/>
        <v>C14144:1</v>
      </c>
      <c r="D885" s="37" t="str">
        <f t="shared" si="27"/>
        <v>C14144 : 5-Carboxy-2-pentenoyl-CoA</v>
      </c>
    </row>
    <row r="886" spans="1:4">
      <c r="A886" s="33" t="s">
        <v>10376</v>
      </c>
      <c r="B886" s="33" t="s">
        <v>15135</v>
      </c>
      <c r="C886" s="35" t="str">
        <f t="shared" si="26"/>
        <v>C14145:1</v>
      </c>
      <c r="D886" s="37" t="str">
        <f t="shared" si="27"/>
        <v>C14145 : (3S)-3-Hydroxyadipyl-CoA</v>
      </c>
    </row>
    <row r="887" spans="1:4">
      <c r="A887" s="33" t="s">
        <v>10456</v>
      </c>
      <c r="B887" s="33" t="s">
        <v>15136</v>
      </c>
      <c r="C887" s="35" t="str">
        <f t="shared" si="26"/>
        <v>C14463:1</v>
      </c>
      <c r="D887" s="37" t="str">
        <f t="shared" si="27"/>
        <v>C14463 : (R)-3-Hydroxy-3-methyl-2-oxopentanoate</v>
      </c>
    </row>
    <row r="888" spans="1:4">
      <c r="A888" s="33" t="s">
        <v>13265</v>
      </c>
      <c r="B888" s="33" t="s">
        <v>15137</v>
      </c>
      <c r="C888" s="35" t="str">
        <f t="shared" si="26"/>
        <v>C14768:1</v>
      </c>
      <c r="D888" s="37" t="str">
        <f t="shared" si="27"/>
        <v>C14768 : 5,6-EET</v>
      </c>
    </row>
    <row r="889" spans="1:4">
      <c r="A889" s="33" t="s">
        <v>13264</v>
      </c>
      <c r="B889" s="33" t="s">
        <v>15138</v>
      </c>
      <c r="C889" s="35" t="str">
        <f t="shared" si="26"/>
        <v>C14769:1</v>
      </c>
      <c r="D889" s="37" t="str">
        <f t="shared" si="27"/>
        <v>C14769 : 8,9-EET</v>
      </c>
    </row>
    <row r="890" spans="1:4">
      <c r="A890" s="33" t="s">
        <v>13263</v>
      </c>
      <c r="B890" s="33" t="s">
        <v>15139</v>
      </c>
      <c r="C890" s="35" t="str">
        <f t="shared" si="26"/>
        <v>C14770:1</v>
      </c>
      <c r="D890" s="37" t="str">
        <f t="shared" si="27"/>
        <v>C14770 : 11,12-EET</v>
      </c>
    </row>
    <row r="891" spans="1:4">
      <c r="A891" s="33" t="s">
        <v>13262</v>
      </c>
      <c r="B891" s="33" t="s">
        <v>15140</v>
      </c>
      <c r="C891" s="35" t="str">
        <f t="shared" si="26"/>
        <v>C14771:1</v>
      </c>
      <c r="D891" s="37" t="str">
        <f t="shared" si="27"/>
        <v>C14771 : 14,15-EET</v>
      </c>
    </row>
    <row r="892" spans="1:4">
      <c r="A892" s="33" t="s">
        <v>10206</v>
      </c>
      <c r="B892" s="33" t="s">
        <v>15141</v>
      </c>
      <c r="C892" s="35" t="str">
        <f t="shared" si="26"/>
        <v>C14772:1</v>
      </c>
      <c r="D892" s="37" t="str">
        <f t="shared" si="27"/>
        <v>C14772 : 5,6-DHET</v>
      </c>
    </row>
    <row r="893" spans="1:4">
      <c r="A893" s="33" t="s">
        <v>10204</v>
      </c>
      <c r="B893" s="33" t="s">
        <v>15142</v>
      </c>
      <c r="C893" s="35" t="str">
        <f t="shared" si="26"/>
        <v>C14773:1</v>
      </c>
      <c r="D893" s="37" t="str">
        <f t="shared" si="27"/>
        <v>C14773 : 8,9-DHET</v>
      </c>
    </row>
    <row r="894" spans="1:4">
      <c r="A894" s="33" t="s">
        <v>10202</v>
      </c>
      <c r="B894" s="33" t="s">
        <v>15143</v>
      </c>
      <c r="C894" s="35" t="str">
        <f t="shared" si="26"/>
        <v>C14774:1</v>
      </c>
      <c r="D894" s="37" t="str">
        <f t="shared" si="27"/>
        <v>C14774 : 11,12-DHET</v>
      </c>
    </row>
    <row r="895" spans="1:4">
      <c r="A895" s="33" t="s">
        <v>10200</v>
      </c>
      <c r="B895" s="33" t="s">
        <v>15144</v>
      </c>
      <c r="C895" s="35" t="str">
        <f t="shared" si="26"/>
        <v>C14775:1</v>
      </c>
      <c r="D895" s="37" t="str">
        <f t="shared" si="27"/>
        <v>C14775 : 14,15-DHET</v>
      </c>
    </row>
    <row r="896" spans="1:4">
      <c r="A896" s="33" t="s">
        <v>13244</v>
      </c>
      <c r="B896" s="33" t="s">
        <v>15145</v>
      </c>
      <c r="C896" s="35" t="str">
        <f t="shared" si="26"/>
        <v>C14818:1</v>
      </c>
      <c r="D896" s="37" t="str">
        <f t="shared" si="27"/>
        <v>C14818 : Fe2+</v>
      </c>
    </row>
    <row r="897" spans="1:4">
      <c r="A897" s="33" t="s">
        <v>14101</v>
      </c>
      <c r="B897" s="33" t="s">
        <v>15146</v>
      </c>
      <c r="C897" s="35" t="str">
        <f t="shared" ref="C897:C960" si="28">CONCATENATE(A897,":","1")</f>
        <v>C14819:1</v>
      </c>
      <c r="D897" s="37" t="str">
        <f t="shared" si="27"/>
        <v>C14819 : Fe3+</v>
      </c>
    </row>
    <row r="898" spans="1:4">
      <c r="A898" s="33" t="s">
        <v>13706</v>
      </c>
      <c r="B898" s="33" t="s">
        <v>15147</v>
      </c>
      <c r="C898" s="35" t="str">
        <f t="shared" si="28"/>
        <v>C15498:1</v>
      </c>
      <c r="D898" s="37" t="str">
        <f t="shared" si="27"/>
        <v>C15498 : ROOH</v>
      </c>
    </row>
    <row r="899" spans="1:4">
      <c r="A899" s="33" t="s">
        <v>13319</v>
      </c>
      <c r="B899" s="33" t="s">
        <v>15148</v>
      </c>
      <c r="C899" s="35" t="str">
        <f t="shared" si="28"/>
        <v>C15527:1</v>
      </c>
      <c r="D899" s="37" t="str">
        <f t="shared" ref="D899:D962" si="29">CONCATENATE(A899," : ",B899)</f>
        <v>C15527 : Precorrin 1</v>
      </c>
    </row>
    <row r="900" spans="1:4">
      <c r="A900" s="33" t="s">
        <v>13643</v>
      </c>
      <c r="B900" s="33" t="s">
        <v>15149</v>
      </c>
      <c r="C900" s="35" t="str">
        <f t="shared" si="28"/>
        <v>C15542:1</v>
      </c>
      <c r="D900" s="37" t="str">
        <f t="shared" si="29"/>
        <v>C15542 : D-Mannosyl-1-phosphoundecaprenol</v>
      </c>
    </row>
    <row r="901" spans="1:4">
      <c r="A901" s="33" t="s">
        <v>13335</v>
      </c>
      <c r="B901" s="33" t="s">
        <v>15150</v>
      </c>
      <c r="C901" s="35" t="str">
        <f t="shared" si="28"/>
        <v>C15547:1</v>
      </c>
      <c r="D901" s="37" t="str">
        <f t="shared" si="29"/>
        <v>C15547 : 1,4-Dihydroxy-2-naphthoyl-CoA</v>
      </c>
    </row>
    <row r="902" spans="1:4">
      <c r="A902" s="33" t="s">
        <v>13656</v>
      </c>
      <c r="B902" s="33" t="s">
        <v>15151</v>
      </c>
      <c r="C902" s="35" t="str">
        <f t="shared" si="28"/>
        <v>C15556:1</v>
      </c>
      <c r="D902" s="37" t="str">
        <f t="shared" si="29"/>
        <v>C15556 : L-3,4-Dihydroxybutan-2-one 4-phosphate</v>
      </c>
    </row>
    <row r="903" spans="1:4">
      <c r="A903" s="33" t="s">
        <v>13214</v>
      </c>
      <c r="B903" s="33" t="s">
        <v>15152</v>
      </c>
      <c r="C903" s="35" t="str">
        <f t="shared" si="28"/>
        <v>C15561:1</v>
      </c>
      <c r="D903" s="37" t="str">
        <f t="shared" si="29"/>
        <v>C15561 : N-Benzylformamide</v>
      </c>
    </row>
    <row r="904" spans="1:4">
      <c r="A904" s="33" t="s">
        <v>13216</v>
      </c>
      <c r="B904" s="33" t="s">
        <v>15153</v>
      </c>
      <c r="C904" s="35" t="str">
        <f t="shared" si="28"/>
        <v>C15562:1</v>
      </c>
      <c r="D904" s="37" t="str">
        <f t="shared" si="29"/>
        <v>C15562 : Benzylamine</v>
      </c>
    </row>
    <row r="905" spans="1:4">
      <c r="A905" s="33" t="s">
        <v>13441</v>
      </c>
      <c r="B905" s="33" t="s">
        <v>15154</v>
      </c>
      <c r="C905" s="35" t="str">
        <f t="shared" si="28"/>
        <v>C15585:1</v>
      </c>
      <c r="D905" s="37" t="str">
        <f t="shared" si="29"/>
        <v>C15585 : myo-Inositol phosphate</v>
      </c>
    </row>
    <row r="906" spans="1:4">
      <c r="A906" s="33" t="s">
        <v>10196</v>
      </c>
      <c r="B906" s="33" t="s">
        <v>15155</v>
      </c>
      <c r="C906" s="35" t="str">
        <f t="shared" si="28"/>
        <v>C15588:1</v>
      </c>
      <c r="D906" s="37" t="str">
        <f t="shared" si="29"/>
        <v>C15588 : Glycol</v>
      </c>
    </row>
    <row r="907" spans="1:4">
      <c r="A907" s="33" t="s">
        <v>13293</v>
      </c>
      <c r="B907" s="33" t="s">
        <v>15156</v>
      </c>
      <c r="C907" s="35" t="str">
        <f t="shared" si="28"/>
        <v>C15602:1</v>
      </c>
      <c r="D907" s="37" t="str">
        <f t="shared" si="29"/>
        <v>C15602 : Quinone</v>
      </c>
    </row>
    <row r="908" spans="1:4">
      <c r="A908" s="33" t="s">
        <v>13294</v>
      </c>
      <c r="B908" s="33" t="s">
        <v>15157</v>
      </c>
      <c r="C908" s="35" t="str">
        <f t="shared" si="28"/>
        <v>C15603:1</v>
      </c>
      <c r="D908" s="37" t="str">
        <f t="shared" si="29"/>
        <v>C15603 : Hydroquinone</v>
      </c>
    </row>
    <row r="909" spans="1:4">
      <c r="A909" s="33" t="s">
        <v>13700</v>
      </c>
      <c r="B909" s="33" t="s">
        <v>14528</v>
      </c>
      <c r="C909" s="35" t="str">
        <f t="shared" si="28"/>
        <v>C15653:1</v>
      </c>
      <c r="D909" s="37" t="str">
        <f t="shared" si="29"/>
        <v>C15653 : Peptide-L-methionine (R)-S-oxide</v>
      </c>
    </row>
    <row r="910" spans="1:4">
      <c r="A910" s="33" t="s">
        <v>13428</v>
      </c>
      <c r="B910" s="33" t="s">
        <v>14529</v>
      </c>
      <c r="C910" s="35" t="str">
        <f t="shared" si="28"/>
        <v>C15667:1</v>
      </c>
      <c r="D910" s="37" t="str">
        <f t="shared" si="29"/>
        <v>C15667 : 5-Carboxyamino-1-(5-phospho-D-ribosyl)imidazole</v>
      </c>
    </row>
    <row r="911" spans="1:4">
      <c r="A911" s="33" t="s">
        <v>13902</v>
      </c>
      <c r="B911" s="33" t="s">
        <v>15158</v>
      </c>
      <c r="C911" s="35" t="str">
        <f t="shared" si="28"/>
        <v>C15673:1</v>
      </c>
      <c r="D911" s="37" t="str">
        <f t="shared" si="29"/>
        <v>C15673 : 2-Dehydro-L-idonate</v>
      </c>
    </row>
    <row r="912" spans="1:4">
      <c r="A912" s="33" t="s">
        <v>13623</v>
      </c>
      <c r="B912" s="33" t="s">
        <v>15159</v>
      </c>
      <c r="C912" s="35" t="str">
        <f t="shared" si="28"/>
        <v>C15809:1</v>
      </c>
      <c r="D912" s="37" t="str">
        <f t="shared" si="29"/>
        <v>C15809 : Iminoglycine</v>
      </c>
    </row>
    <row r="913" spans="1:4">
      <c r="A913" s="33" t="s">
        <v>13626</v>
      </c>
      <c r="B913" s="33" t="s">
        <v>15160</v>
      </c>
      <c r="C913" s="35" t="str">
        <f t="shared" si="28"/>
        <v>C15810:1</v>
      </c>
      <c r="D913" s="37" t="str">
        <f t="shared" si="29"/>
        <v>C15810 : Sulfur-carrier protein</v>
      </c>
    </row>
    <row r="914" spans="1:4">
      <c r="A914" s="33" t="s">
        <v>13591</v>
      </c>
      <c r="B914" s="33" t="s">
        <v>14530</v>
      </c>
      <c r="C914" s="35" t="str">
        <f t="shared" si="28"/>
        <v>C15811:1</v>
      </c>
      <c r="D914" s="37" t="str">
        <f t="shared" si="29"/>
        <v>C15811 : [Enzyme]-cysteine</v>
      </c>
    </row>
    <row r="915" spans="1:4">
      <c r="A915" s="33" t="s">
        <v>13592</v>
      </c>
      <c r="B915" s="33" t="s">
        <v>14531</v>
      </c>
      <c r="C915" s="35" t="str">
        <f t="shared" si="28"/>
        <v>C15812:1</v>
      </c>
      <c r="D915" s="37" t="str">
        <f t="shared" si="29"/>
        <v>C15812 : [Enzyme]-S-sulfanylcysteine</v>
      </c>
    </row>
    <row r="916" spans="1:4">
      <c r="A916" s="33" t="s">
        <v>13624</v>
      </c>
      <c r="B916" s="33" t="s">
        <v>14532</v>
      </c>
      <c r="C916" s="35" t="str">
        <f t="shared" si="28"/>
        <v>C15814:1</v>
      </c>
      <c r="D916" s="37" t="str">
        <f t="shared" si="29"/>
        <v>C15814 : Thiocarboxy-[sulfur-carrier protein]</v>
      </c>
    </row>
    <row r="917" spans="1:4">
      <c r="A917" s="33" t="s">
        <v>13290</v>
      </c>
      <c r="B917" s="33" t="s">
        <v>15161</v>
      </c>
      <c r="C917" s="35" t="str">
        <f t="shared" si="28"/>
        <v>C15972:1</v>
      </c>
      <c r="D917" s="37" t="str">
        <f t="shared" si="29"/>
        <v>C15972 : Enzyme N6-(lipoyl)lysine</v>
      </c>
    </row>
    <row r="918" spans="1:4">
      <c r="A918" s="33" t="s">
        <v>13289</v>
      </c>
      <c r="B918" s="33" t="s">
        <v>15162</v>
      </c>
      <c r="C918" s="35" t="str">
        <f t="shared" si="28"/>
        <v>C15973:1</v>
      </c>
      <c r="D918" s="37" t="str">
        <f t="shared" si="29"/>
        <v>C15973 : Enzyme N6-(dihydrolipoyl)lysine</v>
      </c>
    </row>
    <row r="919" spans="1:4">
      <c r="A919" s="33" t="s">
        <v>14081</v>
      </c>
      <c r="B919" s="33" t="s">
        <v>14533</v>
      </c>
      <c r="C919" s="35" t="str">
        <f t="shared" si="28"/>
        <v>C15999:1</v>
      </c>
      <c r="D919" s="37" t="str">
        <f t="shared" si="29"/>
        <v>C15999 : L-Methionine (S)-S-oxide</v>
      </c>
    </row>
    <row r="920" spans="1:4">
      <c r="A920" s="33" t="s">
        <v>13948</v>
      </c>
      <c r="B920" s="33" t="s">
        <v>15163</v>
      </c>
      <c r="C920" s="35" t="str">
        <f t="shared" si="28"/>
        <v>C16144:1</v>
      </c>
      <c r="D920" s="37" t="str">
        <f t="shared" si="29"/>
        <v>C16144 : 4,4'-Diapophytoene</v>
      </c>
    </row>
    <row r="921" spans="1:4">
      <c r="A921" s="33" t="s">
        <v>13952</v>
      </c>
      <c r="B921" s="33" t="s">
        <v>15164</v>
      </c>
      <c r="C921" s="35" t="str">
        <f t="shared" si="28"/>
        <v>C16145:1</v>
      </c>
      <c r="D921" s="37" t="str">
        <f t="shared" si="29"/>
        <v>C16145 : 4,4'-Diaponeurosporene</v>
      </c>
    </row>
    <row r="922" spans="1:4">
      <c r="A922" s="33" t="s">
        <v>13518</v>
      </c>
      <c r="B922" s="33" t="s">
        <v>15165</v>
      </c>
      <c r="C922" s="35" t="str">
        <f t="shared" si="28"/>
        <v>C16219:1</v>
      </c>
      <c r="D922" s="37" t="str">
        <f t="shared" si="29"/>
        <v>C16219 : 3-Oxostearoyl-[acp]</v>
      </c>
    </row>
    <row r="923" spans="1:4">
      <c r="A923" s="33" t="s">
        <v>13519</v>
      </c>
      <c r="B923" s="33" t="s">
        <v>15166</v>
      </c>
      <c r="C923" s="35" t="str">
        <f t="shared" si="28"/>
        <v>C16220:1</v>
      </c>
      <c r="D923" s="37" t="str">
        <f t="shared" si="29"/>
        <v>C16220 : (3R)-3-Hydroxyoctadecanoyl-[acyl-carrier protein]</v>
      </c>
    </row>
    <row r="924" spans="1:4">
      <c r="A924" s="33" t="s">
        <v>13773</v>
      </c>
      <c r="B924" s="33" t="s">
        <v>15167</v>
      </c>
      <c r="C924" s="35" t="str">
        <f t="shared" si="28"/>
        <v>C16236:1</v>
      </c>
      <c r="D924" s="37" t="str">
        <f t="shared" si="29"/>
        <v>C16236 : [Protein]-N6-(octanoyl)-L-lysine</v>
      </c>
    </row>
    <row r="925" spans="1:4">
      <c r="A925" s="33" t="s">
        <v>13286</v>
      </c>
      <c r="B925" s="33" t="s">
        <v>15168</v>
      </c>
      <c r="C925" s="35" t="str">
        <f t="shared" si="28"/>
        <v>C16237:1</v>
      </c>
      <c r="D925" s="37" t="str">
        <f t="shared" si="29"/>
        <v>C16237 : Protein N6-(lipoyl)lysine</v>
      </c>
    </row>
    <row r="926" spans="1:4">
      <c r="A926" s="33" t="s">
        <v>13778</v>
      </c>
      <c r="B926" s="33" t="s">
        <v>15169</v>
      </c>
      <c r="C926" s="35" t="str">
        <f t="shared" si="28"/>
        <v>C16239:1</v>
      </c>
      <c r="D926" s="37" t="str">
        <f t="shared" si="29"/>
        <v>C16239 : Lipoyl-[acp]</v>
      </c>
    </row>
    <row r="927" spans="1:4">
      <c r="A927" s="33" t="s">
        <v>13772</v>
      </c>
      <c r="B927" s="33" t="s">
        <v>15170</v>
      </c>
      <c r="C927" s="35" t="str">
        <f t="shared" si="28"/>
        <v>C16240:1</v>
      </c>
      <c r="D927" s="37" t="str">
        <f t="shared" si="29"/>
        <v>C16240 : [Lipoyl-carrier protein]-L-lysine</v>
      </c>
    </row>
    <row r="928" spans="1:4">
      <c r="A928" s="33" t="s">
        <v>13769</v>
      </c>
      <c r="B928" s="33" t="s">
        <v>15171</v>
      </c>
      <c r="C928" s="35" t="str">
        <f t="shared" si="28"/>
        <v>C16255:1</v>
      </c>
      <c r="D928" s="37" t="str">
        <f t="shared" si="29"/>
        <v>C16255 : [Dihydrolipoyllysine-residue acetyltransferase] S-acetyldihydrolipoyllysine</v>
      </c>
    </row>
    <row r="929" spans="1:4">
      <c r="A929" s="33" t="s">
        <v>13807</v>
      </c>
      <c r="B929" s="33" t="s">
        <v>14534</v>
      </c>
      <c r="C929" s="35" t="str">
        <f t="shared" si="28"/>
        <v>C16310:1</v>
      </c>
      <c r="D929" s="37" t="str">
        <f t="shared" si="29"/>
        <v>C16310 : 3-Hexenal</v>
      </c>
    </row>
    <row r="930" spans="1:4">
      <c r="A930" s="33" t="s">
        <v>13492</v>
      </c>
      <c r="B930" s="33" t="s">
        <v>15172</v>
      </c>
      <c r="C930" s="35" t="str">
        <f t="shared" si="28"/>
        <v>C16328:1</v>
      </c>
      <c r="D930" s="37" t="str">
        <f t="shared" si="29"/>
        <v>C16328 : trans-2-Enoyl-OPC8-CoA</v>
      </c>
    </row>
    <row r="931" spans="1:4">
      <c r="A931" s="33" t="s">
        <v>10360</v>
      </c>
      <c r="B931" s="4" t="s">
        <v>15173</v>
      </c>
      <c r="C931" s="35" t="str">
        <f t="shared" si="28"/>
        <v>C16329:1</v>
      </c>
      <c r="D931" s="37" t="str">
        <f t="shared" si="29"/>
        <v>C16329 : 3-Hydroxy-OPC8-CoA</v>
      </c>
    </row>
    <row r="932" spans="1:4">
      <c r="A932" s="33" t="s">
        <v>13493</v>
      </c>
      <c r="B932" s="33" t="s">
        <v>15174</v>
      </c>
      <c r="C932" s="35" t="str">
        <f t="shared" si="28"/>
        <v>C16332:1</v>
      </c>
      <c r="D932" s="37" t="str">
        <f t="shared" si="29"/>
        <v>C16332 : trans-2-Enoyl-OPC6-CoA</v>
      </c>
    </row>
    <row r="933" spans="1:4">
      <c r="A933" s="33" t="s">
        <v>10362</v>
      </c>
      <c r="B933" s="33" t="s">
        <v>15175</v>
      </c>
      <c r="C933" s="35" t="str">
        <f t="shared" si="28"/>
        <v>C16333:1</v>
      </c>
      <c r="D933" s="37" t="str">
        <f t="shared" si="29"/>
        <v>C16333 : 3-Hydroxy-OPC6-CoA</v>
      </c>
    </row>
    <row r="934" spans="1:4">
      <c r="A934" s="33" t="s">
        <v>13494</v>
      </c>
      <c r="B934" s="33" t="s">
        <v>15176</v>
      </c>
      <c r="C934" s="35" t="str">
        <f t="shared" si="28"/>
        <v>C16336:1</v>
      </c>
      <c r="D934" s="37" t="str">
        <f t="shared" si="29"/>
        <v>C16336 : trans-2-Enoyl-OPC4-CoA</v>
      </c>
    </row>
    <row r="935" spans="1:4">
      <c r="A935" s="33" t="s">
        <v>10364</v>
      </c>
      <c r="B935" s="33" t="s">
        <v>15177</v>
      </c>
      <c r="C935" s="35" t="str">
        <f t="shared" si="28"/>
        <v>C16337:1</v>
      </c>
      <c r="D935" s="37" t="str">
        <f t="shared" si="29"/>
        <v>C16337 : 3-Hydroxy-OPC4-CoA</v>
      </c>
    </row>
    <row r="936" spans="1:4">
      <c r="A936" s="33" t="s">
        <v>13798</v>
      </c>
      <c r="B936" s="33" t="s">
        <v>14535</v>
      </c>
      <c r="C936" s="35" t="str">
        <f t="shared" si="28"/>
        <v>C16348:1</v>
      </c>
      <c r="D936" s="37" t="str">
        <f t="shared" si="29"/>
        <v>C16348 : cis-3-Chloroallyl aldehyde</v>
      </c>
    </row>
    <row r="937" spans="1:4">
      <c r="A937" s="33" t="s">
        <v>13501</v>
      </c>
      <c r="B937" s="33" t="s">
        <v>15178</v>
      </c>
      <c r="C937" s="35" t="str">
        <f t="shared" si="28"/>
        <v>C16468:1</v>
      </c>
      <c r="D937" s="37" t="str">
        <f t="shared" si="29"/>
        <v>C16468 : (2E)-5-Methylhexa-2,4-dienoyl-CoA</v>
      </c>
    </row>
    <row r="938" spans="1:4">
      <c r="A938" s="33" t="s">
        <v>10378</v>
      </c>
      <c r="B938" s="33" t="s">
        <v>15179</v>
      </c>
      <c r="C938" s="35" t="str">
        <f t="shared" si="28"/>
        <v>C16469:1</v>
      </c>
      <c r="D938" s="37" t="str">
        <f t="shared" si="29"/>
        <v>C16469 : 3-Hydroxy-5-methylhex-4-enoyl-CoA</v>
      </c>
    </row>
    <row r="939" spans="1:4">
      <c r="A939" s="33" t="s">
        <v>14002</v>
      </c>
      <c r="B939" s="33" t="s">
        <v>15180</v>
      </c>
      <c r="C939" s="35" t="str">
        <f t="shared" si="28"/>
        <v>C16502:1</v>
      </c>
      <c r="D939" s="37" t="str">
        <f t="shared" si="29"/>
        <v>C16502 : Farnesoic acid</v>
      </c>
    </row>
    <row r="940" spans="1:4">
      <c r="A940" s="33" t="s">
        <v>13336</v>
      </c>
      <c r="B940" s="33" t="s">
        <v>15181</v>
      </c>
      <c r="C940" s="35" t="str">
        <f t="shared" si="28"/>
        <v>C16519:1</v>
      </c>
      <c r="D940" s="37" t="str">
        <f t="shared" si="29"/>
        <v>C16519 : 2-Succinyl-5-enolpyruvyl-6-hydroxy-3-cyclohexene-1-carboxylate</v>
      </c>
    </row>
    <row r="941" spans="1:4">
      <c r="A941" s="33" t="s">
        <v>13372</v>
      </c>
      <c r="B941" s="33" t="s">
        <v>15182</v>
      </c>
      <c r="C941" s="35" t="str">
        <f t="shared" si="28"/>
        <v>C16543:1</v>
      </c>
      <c r="D941" s="37" t="str">
        <f t="shared" si="29"/>
        <v>C16543 : NPC</v>
      </c>
    </row>
    <row r="942" spans="1:4">
      <c r="A942" s="33" t="s">
        <v>13804</v>
      </c>
      <c r="B942" s="33" t="s">
        <v>14536</v>
      </c>
      <c r="C942" s="35" t="str">
        <f t="shared" si="28"/>
        <v>C16551:1</v>
      </c>
      <c r="D942" s="37" t="str">
        <f t="shared" si="29"/>
        <v>C16551 : Alcophosphamide</v>
      </c>
    </row>
    <row r="943" spans="1:4">
      <c r="A943" s="33" t="s">
        <v>13382</v>
      </c>
      <c r="B943" s="33" t="s">
        <v>15183</v>
      </c>
      <c r="C943" s="35" t="str">
        <f t="shared" si="28"/>
        <v>C16561:1</v>
      </c>
      <c r="D943" s="37" t="str">
        <f t="shared" si="29"/>
        <v>C16561 : Monoethylglycinexylidide</v>
      </c>
    </row>
    <row r="944" spans="1:4">
      <c r="A944" s="33" t="s">
        <v>13805</v>
      </c>
      <c r="B944" s="33" t="s">
        <v>14537</v>
      </c>
      <c r="C944" s="35" t="str">
        <f t="shared" si="28"/>
        <v>C16586:1</v>
      </c>
      <c r="D944" s="37" t="str">
        <f t="shared" si="29"/>
        <v>C16586 : 2-Phenyl-1,3-propanediol monocarbamate</v>
      </c>
    </row>
    <row r="945" spans="1:4">
      <c r="A945" s="33" t="s">
        <v>13806</v>
      </c>
      <c r="B945" s="33" t="s">
        <v>14538</v>
      </c>
      <c r="C945" s="35" t="str">
        <f t="shared" si="28"/>
        <v>C16587:1</v>
      </c>
      <c r="D945" s="37" t="str">
        <f t="shared" si="29"/>
        <v>C16587 : 3-Carbamoyl-2-phenylpropionaldehyde</v>
      </c>
    </row>
    <row r="946" spans="1:4">
      <c r="A946" s="33" t="s">
        <v>13811</v>
      </c>
      <c r="B946" s="33" t="s">
        <v>14539</v>
      </c>
      <c r="C946" s="35" t="str">
        <f t="shared" si="28"/>
        <v>C16595:1</v>
      </c>
      <c r="D946" s="37" t="str">
        <f t="shared" si="29"/>
        <v>C16595 : 4-Hydroxy-5-phenyltetrahydro-1,3-oxazin-2-one</v>
      </c>
    </row>
    <row r="947" spans="1:4">
      <c r="A947" s="33" t="s">
        <v>13812</v>
      </c>
      <c r="B947" s="33" t="s">
        <v>14540</v>
      </c>
      <c r="C947" s="35" t="str">
        <f t="shared" si="28"/>
        <v>C16596:1</v>
      </c>
      <c r="D947" s="37" t="str">
        <f t="shared" si="29"/>
        <v>C16596 : 5-Phenyl-1,3-oxazinane-2,4-dione</v>
      </c>
    </row>
    <row r="948" spans="1:4">
      <c r="A948" s="33" t="s">
        <v>13963</v>
      </c>
      <c r="B948" s="33" t="s">
        <v>14541</v>
      </c>
      <c r="C948" s="35" t="str">
        <f t="shared" si="28"/>
        <v>C16614:1</v>
      </c>
      <c r="D948" s="37" t="str">
        <f t="shared" si="29"/>
        <v>C16614 : 6-Methylmercaptopurine</v>
      </c>
    </row>
    <row r="949" spans="1:4">
      <c r="A949" s="33" t="s">
        <v>13964</v>
      </c>
      <c r="B949" s="33" t="s">
        <v>14542</v>
      </c>
      <c r="C949" s="35" t="str">
        <f t="shared" si="28"/>
        <v>C16615:1</v>
      </c>
      <c r="D949" s="37" t="str">
        <f t="shared" si="29"/>
        <v>C16615 : 6-Methylthiopurine 5'-monophosphate ribonucleotide</v>
      </c>
    </row>
    <row r="950" spans="1:4">
      <c r="A950" s="33" t="s">
        <v>13356</v>
      </c>
      <c r="B950" s="33" t="s">
        <v>14543</v>
      </c>
      <c r="C950" s="35" t="str">
        <f t="shared" si="28"/>
        <v>C16618:1</v>
      </c>
      <c r="D950" s="37" t="str">
        <f t="shared" si="29"/>
        <v>C16618 : 6-Thioxanthine 5'-monophosphate</v>
      </c>
    </row>
    <row r="951" spans="1:4">
      <c r="A951" s="33" t="s">
        <v>13966</v>
      </c>
      <c r="B951" s="33" t="s">
        <v>14544</v>
      </c>
      <c r="C951" s="35" t="str">
        <f t="shared" si="28"/>
        <v>C16619:1</v>
      </c>
      <c r="D951" s="37" t="str">
        <f t="shared" si="29"/>
        <v>C16619 : 6-Thioguanosine monophosphate</v>
      </c>
    </row>
    <row r="952" spans="1:4">
      <c r="A952" s="33" t="s">
        <v>13977</v>
      </c>
      <c r="B952" s="33" t="s">
        <v>14545</v>
      </c>
      <c r="C952" s="35" t="str">
        <f t="shared" si="28"/>
        <v>C16634:1</v>
      </c>
      <c r="D952" s="37" t="str">
        <f t="shared" si="29"/>
        <v>C16634 : 5-Fluorouridine monophosphate</v>
      </c>
    </row>
    <row r="953" spans="1:4">
      <c r="A953" s="33" t="s">
        <v>13375</v>
      </c>
      <c r="B953" s="33" t="s">
        <v>15184</v>
      </c>
      <c r="C953" s="35" t="str">
        <f t="shared" si="28"/>
        <v>C16635:1</v>
      </c>
      <c r="D953" s="37" t="str">
        <f t="shared" si="29"/>
        <v>C16635 : 5'-Deoxy-5-fluorocytidine</v>
      </c>
    </row>
    <row r="954" spans="1:4">
      <c r="A954" s="33" t="s">
        <v>14067</v>
      </c>
      <c r="B954" s="33" t="s">
        <v>14546</v>
      </c>
      <c r="C954" s="35" t="str">
        <f t="shared" si="28"/>
        <v>C16636:1</v>
      </c>
      <c r="D954" s="37" t="str">
        <f t="shared" si="29"/>
        <v>C16636 : tRNA(Sec)</v>
      </c>
    </row>
    <row r="955" spans="1:4">
      <c r="A955" s="33" t="s">
        <v>13369</v>
      </c>
      <c r="B955" s="33" t="s">
        <v>15185</v>
      </c>
      <c r="C955" s="35" t="str">
        <f t="shared" si="28"/>
        <v>C16641:1</v>
      </c>
      <c r="D955" s="37" t="str">
        <f t="shared" si="29"/>
        <v>C16641 : Irinotecan</v>
      </c>
    </row>
    <row r="956" spans="1:4">
      <c r="A956" s="33" t="s">
        <v>13386</v>
      </c>
      <c r="B956" s="33" t="s">
        <v>15186</v>
      </c>
      <c r="C956" s="35" t="str">
        <f t="shared" si="28"/>
        <v>C16647:1</v>
      </c>
      <c r="D956" s="37" t="str">
        <f t="shared" si="29"/>
        <v>C16647 : N,N-Diethylglycine</v>
      </c>
    </row>
    <row r="957" spans="1:4">
      <c r="A957" s="33" t="s">
        <v>13921</v>
      </c>
      <c r="B957" s="33" t="s">
        <v>14547</v>
      </c>
      <c r="C957" s="35" t="str">
        <f t="shared" si="28"/>
        <v>C16663:1</v>
      </c>
      <c r="D957" s="37" t="str">
        <f t="shared" si="29"/>
        <v xml:space="preserve">C16663 : Tryparedoxin </v>
      </c>
    </row>
    <row r="958" spans="1:4">
      <c r="A958" s="33" t="s">
        <v>13920</v>
      </c>
      <c r="B958" s="33" t="s">
        <v>14548</v>
      </c>
      <c r="C958" s="35" t="str">
        <f t="shared" si="28"/>
        <v>C16664:1</v>
      </c>
      <c r="D958" s="37" t="str">
        <f t="shared" si="29"/>
        <v>C16664 : Tryparedoxin disulfide</v>
      </c>
    </row>
    <row r="959" spans="1:4">
      <c r="A959" s="33" t="s">
        <v>13248</v>
      </c>
      <c r="B959" s="33" t="s">
        <v>15187</v>
      </c>
      <c r="C959" s="35" t="str">
        <f t="shared" si="28"/>
        <v>C16675:1</v>
      </c>
      <c r="D959" s="37" t="str">
        <f t="shared" si="29"/>
        <v>C16675 : 7-Aminomethyl-7-carbaguanine</v>
      </c>
    </row>
    <row r="960" spans="1:4">
      <c r="A960" s="33" t="s">
        <v>13566</v>
      </c>
      <c r="B960" s="33" t="s">
        <v>14549</v>
      </c>
      <c r="C960" s="35" t="str">
        <f t="shared" si="28"/>
        <v>C16688:1</v>
      </c>
      <c r="D960" s="37" t="str">
        <f t="shared" si="29"/>
        <v>C16688 : Sucrose 6-phosphate</v>
      </c>
    </row>
    <row r="961" spans="1:4">
      <c r="A961" s="33" t="s">
        <v>13537</v>
      </c>
      <c r="B961" s="33" t="s">
        <v>15188</v>
      </c>
      <c r="C961" s="35" t="str">
        <f t="shared" ref="C961:C1024" si="30">CONCATENATE(A961,":","1")</f>
        <v>C16826:1</v>
      </c>
      <c r="D961" s="37" t="str">
        <f t="shared" si="29"/>
        <v>C16826 : 2-cis,6-trans-Farnesyl diphosphate</v>
      </c>
    </row>
    <row r="962" spans="1:4">
      <c r="A962" s="33" t="s">
        <v>13285</v>
      </c>
      <c r="B962" s="33" t="s">
        <v>15189</v>
      </c>
      <c r="C962" s="35" t="str">
        <f t="shared" si="30"/>
        <v>C16832:1</v>
      </c>
      <c r="D962" s="37" t="str">
        <f t="shared" si="29"/>
        <v>C16832 : [Protein]-N6-[(R)-dihydrolipoyl]-L-lysine</v>
      </c>
    </row>
    <row r="963" spans="1:4">
      <c r="A963" s="33" t="s">
        <v>13376</v>
      </c>
      <c r="B963" s="33" t="s">
        <v>15190</v>
      </c>
      <c r="C963" s="35" t="str">
        <f t="shared" si="30"/>
        <v>C16834:1</v>
      </c>
      <c r="D963" s="37" t="str">
        <f t="shared" ref="D963:D1026" si="31">CONCATENATE(A963," : ",B963)</f>
        <v>C16834 : 1-Pentanol</v>
      </c>
    </row>
    <row r="964" spans="1:4">
      <c r="A964" s="33" t="s">
        <v>13371</v>
      </c>
      <c r="B964" s="33" t="s">
        <v>15191</v>
      </c>
      <c r="C964" s="35" t="str">
        <f t="shared" si="30"/>
        <v>C16836:1</v>
      </c>
      <c r="D964" s="37" t="str">
        <f t="shared" si="31"/>
        <v>C16836 : 1,4'-Bipiperidine-1'-carboxylic acid</v>
      </c>
    </row>
    <row r="965" spans="1:4">
      <c r="A965" s="33" t="s">
        <v>13373</v>
      </c>
      <c r="B965" s="33" t="s">
        <v>15192</v>
      </c>
      <c r="C965" s="35" t="str">
        <f t="shared" si="30"/>
        <v>C16837:1</v>
      </c>
      <c r="D965" s="37" t="str">
        <f t="shared" si="31"/>
        <v>C16837 : 4-Amino-1-piperidinecarboxylic acid</v>
      </c>
    </row>
    <row r="966" spans="1:4">
      <c r="A966" s="33" t="s">
        <v>13200</v>
      </c>
      <c r="B966" s="33" t="s">
        <v>15193</v>
      </c>
      <c r="C966" s="35" t="str">
        <f t="shared" si="30"/>
        <v>C17023:1</v>
      </c>
      <c r="D966" s="37" t="str">
        <f t="shared" si="31"/>
        <v>C17023 : Sulfur donor</v>
      </c>
    </row>
    <row r="967" spans="1:4">
      <c r="A967" s="33" t="s">
        <v>9084</v>
      </c>
      <c r="B967" s="33" t="s">
        <v>15194</v>
      </c>
      <c r="C967" s="35" t="str">
        <f t="shared" si="30"/>
        <v>C17234:1</v>
      </c>
      <c r="D967" s="37" t="str">
        <f t="shared" si="31"/>
        <v>C17234 : 2-Aminobut-2-enoate</v>
      </c>
    </row>
    <row r="968" spans="1:4">
      <c r="A968" s="33" t="s">
        <v>13245</v>
      </c>
      <c r="B968" s="33" t="s">
        <v>14550</v>
      </c>
      <c r="C968" s="35" t="str">
        <f t="shared" si="30"/>
        <v>C17324:1</v>
      </c>
      <c r="D968" s="37" t="str">
        <f t="shared" si="31"/>
        <v>C17324 : tRNA adenine</v>
      </c>
    </row>
    <row r="969" spans="1:4">
      <c r="A969" s="33" t="s">
        <v>10249</v>
      </c>
      <c r="B969" s="33" t="s">
        <v>15195</v>
      </c>
      <c r="C969" s="35" t="str">
        <f t="shared" si="30"/>
        <v>C17509:1</v>
      </c>
      <c r="D969" s="37" t="str">
        <f t="shared" si="31"/>
        <v>C17509 : Thymine dimer</v>
      </c>
    </row>
    <row r="970" spans="1:4">
      <c r="A970" s="33" t="s">
        <v>10250</v>
      </c>
      <c r="B970" s="33" t="s">
        <v>15196</v>
      </c>
      <c r="C970" s="35" t="str">
        <f t="shared" si="30"/>
        <v>C17510:1</v>
      </c>
      <c r="D970" s="37" t="str">
        <f t="shared" si="31"/>
        <v>C17510 : Two thymine residues (in DNA)</v>
      </c>
    </row>
    <row r="971" spans="1:4">
      <c r="A971" s="33" t="s">
        <v>13641</v>
      </c>
      <c r="B971" s="33" t="s">
        <v>14551</v>
      </c>
      <c r="C971" s="35" t="str">
        <f t="shared" si="30"/>
        <v>C17556:1</v>
      </c>
      <c r="D971" s="37" t="str">
        <f t="shared" si="31"/>
        <v>C17556 : di-trans,poly-cis-Undecaprenyl phosphate</v>
      </c>
    </row>
    <row r="972" spans="1:4">
      <c r="A972" s="33" t="s">
        <v>10277</v>
      </c>
      <c r="B972" s="33" t="s">
        <v>15197</v>
      </c>
      <c r="C972" s="35" t="str">
        <f t="shared" si="30"/>
        <v>C17946:1</v>
      </c>
      <c r="D972" s="37" t="str">
        <f t="shared" si="31"/>
        <v>C17946 : Carboxyphosphonopyruvate</v>
      </c>
    </row>
    <row r="973" spans="1:4">
      <c r="A973" s="33" t="s">
        <v>13970</v>
      </c>
      <c r="B973" s="33" t="s">
        <v>15198</v>
      </c>
      <c r="C973" s="35" t="str">
        <f t="shared" si="30"/>
        <v>C17949:1</v>
      </c>
      <c r="D973" s="37" t="str">
        <f t="shared" si="31"/>
        <v>C17949 : N-Acetyldemethylphosphinothricin</v>
      </c>
    </row>
    <row r="974" spans="1:4">
      <c r="A974" s="33" t="s">
        <v>13968</v>
      </c>
      <c r="B974" s="33" t="s">
        <v>15199</v>
      </c>
      <c r="C974" s="35" t="str">
        <f t="shared" si="30"/>
        <v>C17952:1</v>
      </c>
      <c r="D974" s="37" t="str">
        <f t="shared" si="31"/>
        <v>C17952 : N-Acetylphosphinothricin</v>
      </c>
    </row>
    <row r="975" spans="1:4">
      <c r="A975" s="33" t="s">
        <v>13969</v>
      </c>
      <c r="B975" s="33" t="s">
        <v>15200</v>
      </c>
      <c r="C975" s="35" t="str">
        <f t="shared" si="30"/>
        <v>C17962:1</v>
      </c>
      <c r="D975" s="37" t="str">
        <f t="shared" si="31"/>
        <v>C17962 : Demethylphosphinothricin</v>
      </c>
    </row>
    <row r="976" spans="1:4">
      <c r="A976" s="33" t="s">
        <v>13417</v>
      </c>
      <c r="B976" s="33" t="s">
        <v>15201</v>
      </c>
      <c r="C976" s="35" t="str">
        <f t="shared" si="30"/>
        <v>C18026:1</v>
      </c>
      <c r="D976" s="37" t="str">
        <f t="shared" si="31"/>
        <v>C18026 : (2S)-Ethylmalonyl-CoA</v>
      </c>
    </row>
    <row r="977" spans="1:4">
      <c r="A977" s="33" t="s">
        <v>9502</v>
      </c>
      <c r="B977" s="33" t="s">
        <v>15202</v>
      </c>
      <c r="C977" s="35" t="str">
        <f t="shared" si="30"/>
        <v>C18094:1</v>
      </c>
      <c r="D977" s="37" t="str">
        <f t="shared" si="31"/>
        <v>C18094 : UDP-L-arabinofuranose</v>
      </c>
    </row>
    <row r="978" spans="1:4">
      <c r="A978" s="33" t="s">
        <v>9730</v>
      </c>
      <c r="B978" s="33" t="s">
        <v>14552</v>
      </c>
      <c r="C978" s="35" t="str">
        <f t="shared" si="30"/>
        <v>C18096:1</v>
      </c>
      <c r="D978" s="37" t="str">
        <f t="shared" si="31"/>
        <v>C18096 : D-Allulose 6-phosphate</v>
      </c>
    </row>
    <row r="979" spans="1:4">
      <c r="A979" s="33" t="s">
        <v>13273</v>
      </c>
      <c r="B979" s="33" t="s">
        <v>15203</v>
      </c>
      <c r="C979" s="35" t="str">
        <f t="shared" si="30"/>
        <v>C18235:1</v>
      </c>
      <c r="D979" s="37" t="str">
        <f t="shared" si="31"/>
        <v>C18235 : S-(Hydroxymethyl)mycothiol</v>
      </c>
    </row>
    <row r="980" spans="1:4">
      <c r="A980" s="33" t="s">
        <v>13238</v>
      </c>
      <c r="B980" s="33" t="s">
        <v>15204</v>
      </c>
      <c r="C980" s="35" t="str">
        <f t="shared" si="30"/>
        <v>C18237:1</v>
      </c>
      <c r="D980" s="37" t="str">
        <f t="shared" si="31"/>
        <v>C18237 : Molybdoenzyme molybdenum cofactor</v>
      </c>
    </row>
    <row r="981" spans="1:4">
      <c r="A981" s="33" t="s">
        <v>13234</v>
      </c>
      <c r="B981" s="33" t="s">
        <v>15205</v>
      </c>
      <c r="C981" s="35" t="str">
        <f t="shared" si="30"/>
        <v>C18239:1</v>
      </c>
      <c r="D981" s="37" t="str">
        <f t="shared" si="31"/>
        <v>C18239 : Precursor Z</v>
      </c>
    </row>
    <row r="982" spans="1:4">
      <c r="A982" s="33" t="s">
        <v>14098</v>
      </c>
      <c r="B982" s="33" t="s">
        <v>14553</v>
      </c>
      <c r="C982" s="35" t="str">
        <f t="shared" si="30"/>
        <v>C18902:1</v>
      </c>
      <c r="D982" s="37" t="str">
        <f t="shared" si="31"/>
        <v xml:space="preserve">C18902 : Methylselenic acid </v>
      </c>
    </row>
    <row r="983" spans="1:4">
      <c r="A983" s="33" t="s">
        <v>14093</v>
      </c>
      <c r="B983" s="33" t="s">
        <v>14554</v>
      </c>
      <c r="C983" s="35" t="str">
        <f t="shared" si="30"/>
        <v>C19078:1</v>
      </c>
      <c r="D983" s="37" t="str">
        <f t="shared" si="31"/>
        <v>C19078 : tRNA with a 3' cytidine</v>
      </c>
    </row>
    <row r="984" spans="1:4">
      <c r="A984" s="33" t="s">
        <v>14094</v>
      </c>
      <c r="B984" s="33" t="s">
        <v>14555</v>
      </c>
      <c r="C984" s="35" t="str">
        <f t="shared" si="30"/>
        <v>C19080:1</v>
      </c>
      <c r="D984" s="37" t="str">
        <f t="shared" si="31"/>
        <v>C19080 : tRNA with a 3' CC end</v>
      </c>
    </row>
    <row r="985" spans="1:4">
      <c r="A985" s="33" t="s">
        <v>13864</v>
      </c>
      <c r="B985" s="33" t="s">
        <v>15206</v>
      </c>
      <c r="C985" s="35" t="str">
        <f t="shared" si="30"/>
        <v>C19081:1</v>
      </c>
      <c r="D985" s="37" t="str">
        <f t="shared" si="31"/>
        <v>C19081 : (4S)-Limonene-1,2-epoxide</v>
      </c>
    </row>
    <row r="986" spans="1:4">
      <c r="A986" s="33" t="s">
        <v>14092</v>
      </c>
      <c r="B986" s="33" t="s">
        <v>14556</v>
      </c>
      <c r="C986" s="35" t="str">
        <f t="shared" si="30"/>
        <v>C19085:1</v>
      </c>
      <c r="D986" s="37" t="str">
        <f t="shared" si="31"/>
        <v>C19085 : tRNA with a 3' CCA end</v>
      </c>
    </row>
    <row r="987" spans="1:4">
      <c r="A987" s="33" t="s">
        <v>14056</v>
      </c>
      <c r="B987" s="33" t="s">
        <v>15207</v>
      </c>
      <c r="C987" s="35" t="str">
        <f t="shared" si="30"/>
        <v>C19673:1</v>
      </c>
      <c r="D987" s="37" t="str">
        <f t="shared" si="31"/>
        <v>C19673 : Malonyl-[acp] methyl ester</v>
      </c>
    </row>
    <row r="988" spans="1:4">
      <c r="A988" s="33" t="s">
        <v>13535</v>
      </c>
      <c r="B988" s="33" t="s">
        <v>15208</v>
      </c>
      <c r="C988" s="35" t="str">
        <f t="shared" si="30"/>
        <v>C19702:1</v>
      </c>
      <c r="D988" s="37" t="str">
        <f t="shared" si="31"/>
        <v>C19702 : 1-O-(2-Amino-2-deoxy-alpha-D-glucopyranosyl)-1D-myo-inositol</v>
      </c>
    </row>
    <row r="989" spans="1:4">
      <c r="A989" s="33" t="s">
        <v>13645</v>
      </c>
      <c r="B989" s="33" t="s">
        <v>15209</v>
      </c>
      <c r="C989" s="35" t="str">
        <f t="shared" si="30"/>
        <v>C19703:1</v>
      </c>
      <c r="D989" s="37" t="str">
        <f t="shared" si="31"/>
        <v>C19703 : 1-O-[2-(L-Cysteinamido)-2-deoxy-alpha-D-glucopyranosyl]-1D-myo-inositol</v>
      </c>
    </row>
    <row r="990" spans="1:4">
      <c r="A990" s="33" t="s">
        <v>13301</v>
      </c>
      <c r="B990" s="33" t="s">
        <v>15210</v>
      </c>
      <c r="C990" s="35" t="str">
        <f t="shared" si="30"/>
        <v>C19761:1</v>
      </c>
      <c r="D990" s="37" t="str">
        <f t="shared" si="31"/>
        <v>C19761 : 1-O-(2-Acetamido-2-deoxy-alpha-D-glucopyranosyl)-1D-myo-inositol 3-phosphate</v>
      </c>
    </row>
    <row r="991" spans="1:4">
      <c r="A991" s="33" t="s">
        <v>13553</v>
      </c>
      <c r="B991" s="33" t="s">
        <v>15211</v>
      </c>
      <c r="C991" s="35" t="str">
        <f t="shared" si="30"/>
        <v>C19784:1</v>
      </c>
      <c r="D991" s="37" t="str">
        <f t="shared" si="31"/>
        <v>C19784 : 1-O-(2-Acetamido-2-deoxy-alpha-D-glucopyranosyl)-1D-myo-inositol</v>
      </c>
    </row>
    <row r="992" spans="1:4">
      <c r="A992" s="33" t="s">
        <v>13949</v>
      </c>
      <c r="B992" s="33" t="s">
        <v>15212</v>
      </c>
      <c r="C992" s="35" t="str">
        <f t="shared" si="30"/>
        <v>C19797:1</v>
      </c>
      <c r="D992" s="37" t="str">
        <f t="shared" si="31"/>
        <v>C19797 : 4,4'-Diapolycopene</v>
      </c>
    </row>
    <row r="993" spans="1:4">
      <c r="A993" s="33" t="s">
        <v>13471</v>
      </c>
      <c r="B993" s="33" t="s">
        <v>15213</v>
      </c>
      <c r="C993" s="35" t="str">
        <f t="shared" si="30"/>
        <v>C19803:1</v>
      </c>
      <c r="D993" s="37" t="str">
        <f t="shared" si="31"/>
        <v>C19803 : [Protein]-L-threonine</v>
      </c>
    </row>
    <row r="994" spans="1:4">
      <c r="A994" s="33" t="s">
        <v>13950</v>
      </c>
      <c r="B994" s="33" t="s">
        <v>15214</v>
      </c>
      <c r="C994" s="35" t="str">
        <f t="shared" si="30"/>
        <v>C19840:1</v>
      </c>
      <c r="D994" s="37" t="str">
        <f t="shared" si="31"/>
        <v>C19840 : 4,4'-Diapophytofluene</v>
      </c>
    </row>
    <row r="995" spans="1:4">
      <c r="A995" s="33" t="s">
        <v>13951</v>
      </c>
      <c r="B995" s="33" t="s">
        <v>15215</v>
      </c>
      <c r="C995" s="35" t="str">
        <f t="shared" si="30"/>
        <v>C19841:1</v>
      </c>
      <c r="D995" s="37" t="str">
        <f t="shared" si="31"/>
        <v>C19841 : 4,4'-Diapo-zeta-carotene</v>
      </c>
    </row>
    <row r="996" spans="1:4">
      <c r="A996" s="33" t="s">
        <v>13832</v>
      </c>
      <c r="B996" s="33" t="s">
        <v>15216</v>
      </c>
      <c r="C996" s="35" t="str">
        <f t="shared" si="30"/>
        <v>C19845:1</v>
      </c>
      <c r="D996" s="37" t="str">
        <f t="shared" si="31"/>
        <v>C19845 : Pimeloyl-[acyl-carrier protein]</v>
      </c>
    </row>
    <row r="997" spans="1:4">
      <c r="A997" s="33" t="s">
        <v>13333</v>
      </c>
      <c r="B997" s="33" t="s">
        <v>15217</v>
      </c>
      <c r="C997" s="35" t="str">
        <f t="shared" si="30"/>
        <v>C19847:1</v>
      </c>
      <c r="D997" s="37" t="str">
        <f t="shared" si="31"/>
        <v>C19847 : Demethylmenaquinol</v>
      </c>
    </row>
    <row r="998" spans="1:4">
      <c r="A998" s="33" t="s">
        <v>13236</v>
      </c>
      <c r="B998" s="33" t="s">
        <v>15218</v>
      </c>
      <c r="C998" s="35" t="str">
        <f t="shared" si="30"/>
        <v>C19848:1</v>
      </c>
      <c r="D998" s="37" t="str">
        <f t="shared" si="31"/>
        <v>C19848 : Adenylated molybdopterin</v>
      </c>
    </row>
    <row r="999" spans="1:4">
      <c r="A999" s="33" t="s">
        <v>13842</v>
      </c>
      <c r="B999" s="33" t="s">
        <v>15219</v>
      </c>
      <c r="C999" s="35" t="str">
        <f t="shared" si="30"/>
        <v>C19853:1</v>
      </c>
      <c r="D999" s="37" t="str">
        <f t="shared" si="31"/>
        <v>C19853 : trans,polycis-Polyprenyl diphosphate</v>
      </c>
    </row>
    <row r="1000" spans="1:4">
      <c r="A1000" s="33" t="s">
        <v>13239</v>
      </c>
      <c r="B1000" s="33" t="s">
        <v>15220</v>
      </c>
      <c r="C1000" s="35" t="str">
        <f t="shared" si="30"/>
        <v>C19967:1</v>
      </c>
      <c r="D1000" s="37" t="str">
        <f t="shared" si="31"/>
        <v>C19967 : 8-Oxo-dGTP</v>
      </c>
    </row>
    <row r="1001" spans="1:4">
      <c r="A1001" s="33" t="s">
        <v>13240</v>
      </c>
      <c r="B1001" s="33" t="s">
        <v>15221</v>
      </c>
      <c r="C1001" s="35" t="str">
        <f t="shared" si="30"/>
        <v>C19968:1</v>
      </c>
      <c r="D1001" s="37" t="str">
        <f t="shared" si="31"/>
        <v>C19968 : 8-Oxo-dGMP</v>
      </c>
    </row>
    <row r="1002" spans="1:4">
      <c r="A1002" s="33" t="s">
        <v>13625</v>
      </c>
      <c r="B1002" s="33" t="s">
        <v>15222</v>
      </c>
      <c r="C1002" s="35" t="str">
        <f t="shared" si="30"/>
        <v>C20246:1</v>
      </c>
      <c r="D1002" s="37" t="str">
        <f t="shared" si="31"/>
        <v>C20246 : 2-[(2R,5Z)-2-Carboxy-4-methylthiazol-5(2H)-ylidene]ethyl phosphate</v>
      </c>
    </row>
    <row r="1003" spans="1:4">
      <c r="A1003" s="33" t="s">
        <v>13712</v>
      </c>
      <c r="B1003" s="33" t="s">
        <v>14557</v>
      </c>
      <c r="C1003" s="35" t="str">
        <f t="shared" si="30"/>
        <v>C20258:1</v>
      </c>
      <c r="D1003" s="37" t="str">
        <f t="shared" si="31"/>
        <v>C20258 : (2S,4S)-4-Hydroxy-2,3,4,5-tetrahydrodipicolinate</v>
      </c>
    </row>
    <row r="1004" spans="1:4">
      <c r="A1004" s="33" t="s">
        <v>14059</v>
      </c>
      <c r="B1004" s="33" t="s">
        <v>15223</v>
      </c>
      <c r="C1004" s="35" t="str">
        <f t="shared" si="30"/>
        <v>C20352:1</v>
      </c>
      <c r="D1004" s="37" t="str">
        <f t="shared" si="31"/>
        <v>C20352 : trans,octacis-Decaprenylphospho-beta-D-ribofuranose 5-phosphate</v>
      </c>
    </row>
    <row r="1005" spans="1:4">
      <c r="A1005" s="33" t="s">
        <v>13520</v>
      </c>
      <c r="B1005" s="33" t="s">
        <v>15224</v>
      </c>
      <c r="C1005" s="35" t="str">
        <f t="shared" si="30"/>
        <v>C20372:1</v>
      </c>
      <c r="D1005" s="37" t="str">
        <f t="shared" si="31"/>
        <v>C20372 : 3-Ketoglutaryl-[acp] methyl ester</v>
      </c>
    </row>
    <row r="1006" spans="1:4">
      <c r="A1006" s="33" t="s">
        <v>13521</v>
      </c>
      <c r="B1006" s="33" t="s">
        <v>15225</v>
      </c>
      <c r="C1006" s="35" t="str">
        <f t="shared" si="30"/>
        <v>C20373:1</v>
      </c>
      <c r="D1006" s="37" t="str">
        <f t="shared" si="31"/>
        <v>C20373 : 3-Hydroxyglutaryl-[acp] methyl ester</v>
      </c>
    </row>
    <row r="1007" spans="1:4">
      <c r="A1007" s="33" t="s">
        <v>14057</v>
      </c>
      <c r="B1007" s="33" t="s">
        <v>15226</v>
      </c>
      <c r="C1007" s="35" t="str">
        <f t="shared" si="30"/>
        <v>C20375:1</v>
      </c>
      <c r="D1007" s="37" t="str">
        <f t="shared" si="31"/>
        <v>C20375 : Glutaryl-[acp] methyl ester</v>
      </c>
    </row>
    <row r="1008" spans="1:4">
      <c r="A1008" s="33" t="s">
        <v>13522</v>
      </c>
      <c r="B1008" s="33" t="s">
        <v>15227</v>
      </c>
      <c r="C1008" s="35" t="str">
        <f t="shared" si="30"/>
        <v>C20376:1</v>
      </c>
      <c r="D1008" s="37" t="str">
        <f t="shared" si="31"/>
        <v>C20376 : 3-Ketopimeloyl-[acp] methyl ester</v>
      </c>
    </row>
    <row r="1009" spans="1:4">
      <c r="A1009" s="33" t="s">
        <v>13523</v>
      </c>
      <c r="B1009" s="33" t="s">
        <v>15228</v>
      </c>
      <c r="C1009" s="35" t="str">
        <f t="shared" si="30"/>
        <v>C20377:1</v>
      </c>
      <c r="D1009" s="37" t="str">
        <f t="shared" si="31"/>
        <v>C20377 : 3-Hydroxypimeloyl-[acp] methyl ester</v>
      </c>
    </row>
    <row r="1010" spans="1:4">
      <c r="A1010" s="33" t="s">
        <v>13249</v>
      </c>
      <c r="B1010" s="33" t="s">
        <v>15229</v>
      </c>
      <c r="C1010" s="35" t="str">
        <f t="shared" si="30"/>
        <v>C20446:1</v>
      </c>
      <c r="D1010" s="37" t="str">
        <f t="shared" si="31"/>
        <v>C20446 : tRNA 7-aminomethyl-7-carbaguanine</v>
      </c>
    </row>
    <row r="1011" spans="1:4">
      <c r="A1011" s="33" t="s">
        <v>13246</v>
      </c>
      <c r="B1011" s="33" t="s">
        <v>14558</v>
      </c>
      <c r="C1011" s="35" t="str">
        <f t="shared" si="30"/>
        <v>C20451:1</v>
      </c>
      <c r="D1011" s="37" t="str">
        <f t="shared" si="31"/>
        <v>C20451 : tRNA hypoxanthine</v>
      </c>
    </row>
    <row r="1012" spans="1:4">
      <c r="A1012" s="33" t="s">
        <v>13590</v>
      </c>
      <c r="B1012" s="33" t="s">
        <v>14559</v>
      </c>
      <c r="C1012" s="35" t="str">
        <f t="shared" si="30"/>
        <v>C20641:1</v>
      </c>
      <c r="D1012" s="37" t="str">
        <f t="shared" si="31"/>
        <v>C20641 : L-Threonylcarbamoyladenylate</v>
      </c>
    </row>
    <row r="1013" spans="1:4">
      <c r="A1013" s="33" t="s">
        <v>13476</v>
      </c>
      <c r="B1013" s="33" t="s">
        <v>14560</v>
      </c>
      <c r="C1013" s="35" t="str">
        <f t="shared" si="30"/>
        <v>C20648:1</v>
      </c>
      <c r="D1013" s="37" t="str">
        <f t="shared" si="31"/>
        <v>C20648 : Adenine in rRNA</v>
      </c>
    </row>
    <row r="1014" spans="1:4">
      <c r="A1014" s="33" t="s">
        <v>13472</v>
      </c>
      <c r="B1014" s="33" t="s">
        <v>15230</v>
      </c>
      <c r="C1014" s="35" t="str">
        <f t="shared" si="30"/>
        <v>C20722:1</v>
      </c>
      <c r="D1014" s="37" t="str">
        <f t="shared" si="31"/>
        <v>C20722 : 3-O-(alpha-D-Mannosyl)-L-threonyl-[protein]</v>
      </c>
    </row>
    <row r="1015" spans="1:4">
      <c r="A1015" s="33" t="s">
        <v>13533</v>
      </c>
      <c r="B1015" s="33" t="s">
        <v>15231</v>
      </c>
      <c r="C1015" s="35" t="str">
        <f t="shared" si="30"/>
        <v>C20732:1</v>
      </c>
      <c r="D1015" s="37" t="str">
        <f t="shared" si="31"/>
        <v>C20732 : Mycothiol S-conjugate</v>
      </c>
    </row>
    <row r="1016" spans="1:4">
      <c r="A1016" s="33" t="s">
        <v>13477</v>
      </c>
      <c r="B1016" s="33" t="s">
        <v>14561</v>
      </c>
      <c r="C1016" s="35" t="str">
        <f t="shared" si="30"/>
        <v>C20796:1</v>
      </c>
      <c r="D1016" s="37" t="str">
        <f t="shared" si="31"/>
        <v>C20796 : N6-Dimethyladenine in rRNA</v>
      </c>
    </row>
    <row r="1017" spans="1:4">
      <c r="A1017" s="33" t="s">
        <v>13344</v>
      </c>
      <c r="B1017" s="33" t="s">
        <v>14562</v>
      </c>
      <c r="C1017" s="35" t="str">
        <f t="shared" si="30"/>
        <v>C20864:1</v>
      </c>
      <c r="D1017" s="37" t="str">
        <f t="shared" si="31"/>
        <v>C20864 : 5'Triphospho-[mRNA]</v>
      </c>
    </row>
    <row r="1018" spans="1:4">
      <c r="A1018" s="33" t="s">
        <v>8793</v>
      </c>
      <c r="B1018" s="33" t="s">
        <v>15232</v>
      </c>
      <c r="C1018" s="35" t="str">
        <f t="shared" si="30"/>
        <v>C20904:1</v>
      </c>
      <c r="D1018" s="37" t="str">
        <f t="shared" si="31"/>
        <v>C20904 : 2-Iminopropanoate</v>
      </c>
    </row>
    <row r="1019" spans="1:4">
      <c r="A1019" s="33" t="s">
        <v>9085</v>
      </c>
      <c r="B1019" s="33" t="s">
        <v>15233</v>
      </c>
      <c r="C1019" s="35" t="str">
        <f t="shared" si="30"/>
        <v>C20905:1</v>
      </c>
      <c r="D1019" s="37" t="str">
        <f t="shared" si="31"/>
        <v>C20905 : 2-Iminobutanoate</v>
      </c>
    </row>
    <row r="1020" spans="1:4">
      <c r="A1020" s="33" t="s">
        <v>13671</v>
      </c>
      <c r="B1020" s="33" t="s">
        <v>14563</v>
      </c>
      <c r="C1020" s="35" t="str">
        <f t="shared" si="30"/>
        <v>C20969:1</v>
      </c>
      <c r="D1020" s="37" t="str">
        <f t="shared" si="31"/>
        <v>C20969 : Carboxyphosphate</v>
      </c>
    </row>
    <row r="1021" spans="1:4">
      <c r="A1021" s="33" t="s">
        <v>10168</v>
      </c>
      <c r="B1021" s="33" t="s">
        <v>14564</v>
      </c>
      <c r="C1021" s="35" t="str">
        <f t="shared" si="30"/>
        <v>C21031:1</v>
      </c>
      <c r="D1021" s="37" t="str">
        <f t="shared" si="31"/>
        <v>C21031 : 5-Hydroxymethylcytosine in DNA</v>
      </c>
    </row>
    <row r="1022" spans="1:4">
      <c r="A1022" s="33" t="s">
        <v>13436</v>
      </c>
      <c r="B1022" s="33" t="s">
        <v>15234</v>
      </c>
      <c r="C1022" s="35" t="str">
        <f t="shared" si="30"/>
        <v>C21113:1</v>
      </c>
      <c r="D1022" s="37" t="str">
        <f t="shared" si="31"/>
        <v>C21113 : NMNH</v>
      </c>
    </row>
    <row r="1023" spans="1:4">
      <c r="A1023" s="33" t="s">
        <v>14069</v>
      </c>
      <c r="B1023" s="33" t="s">
        <v>15235</v>
      </c>
      <c r="C1023" s="35" t="str">
        <f t="shared" si="30"/>
        <v>C21153:1</v>
      </c>
      <c r="D1023" s="37" t="str">
        <f t="shared" si="31"/>
        <v>C21153 : Adenosylcobalamin 5'-phosphate</v>
      </c>
    </row>
    <row r="1024" spans="1:4">
      <c r="A1024" s="33" t="s">
        <v>13593</v>
      </c>
      <c r="B1024" s="33" t="s">
        <v>15236</v>
      </c>
      <c r="C1024" s="35" t="str">
        <f t="shared" si="30"/>
        <v>C21440:1</v>
      </c>
      <c r="D1024" s="37" t="str">
        <f t="shared" si="31"/>
        <v>C21440 : [Protein]-S-sulfanyl-L-cysteine</v>
      </c>
    </row>
    <row r="1025" spans="1:4">
      <c r="A1025" s="33" t="s">
        <v>13689</v>
      </c>
      <c r="B1025" s="33" t="s">
        <v>15237</v>
      </c>
      <c r="C1025" s="35" t="str">
        <f t="shared" ref="C1025:C1088" si="32">CONCATENATE(A1025,":","1")</f>
        <v>C21606:1</v>
      </c>
      <c r="D1025" s="37" t="str">
        <f t="shared" si="31"/>
        <v>C21606 : 2-O-(alpha-D-Mannosyl)-1-phosphatidyl-1D-myo-inositol</v>
      </c>
    </row>
    <row r="1026" spans="1:4">
      <c r="A1026" s="33" t="s">
        <v>13886</v>
      </c>
      <c r="B1026" s="33" t="s">
        <v>14565</v>
      </c>
      <c r="C1026" s="35" t="str">
        <f t="shared" si="32"/>
        <v>C21748:1</v>
      </c>
      <c r="D1026" s="37" t="str">
        <f t="shared" si="31"/>
        <v>C21748 : 5-Fluorouridine diphosphate</v>
      </c>
    </row>
    <row r="1027" spans="1:4">
      <c r="A1027" s="33" t="s">
        <v>13887</v>
      </c>
      <c r="B1027" s="33" t="s">
        <v>15238</v>
      </c>
      <c r="C1027" s="35" t="str">
        <f t="shared" si="32"/>
        <v>C21749:1</v>
      </c>
      <c r="D1027" s="37" t="str">
        <f t="shared" ref="D1027:D1090" si="33">CONCATENATE(A1027," : ",B1027)</f>
        <v>C21749 : 5-Fluorouridine triphosphate</v>
      </c>
    </row>
    <row r="1028" spans="1:4">
      <c r="A1028" s="33" t="s">
        <v>13888</v>
      </c>
      <c r="B1028" s="33" t="s">
        <v>14566</v>
      </c>
      <c r="C1028" s="35" t="str">
        <f t="shared" si="32"/>
        <v>C21750:1</v>
      </c>
      <c r="D1028" s="37" t="str">
        <f t="shared" si="33"/>
        <v>C21750 : 5-Fluorodeoxyuridine diphosphate</v>
      </c>
    </row>
    <row r="1029" spans="1:4">
      <c r="A1029" s="33" t="s">
        <v>13704</v>
      </c>
      <c r="B1029" s="33" t="s">
        <v>15239</v>
      </c>
      <c r="C1029" s="35" t="str">
        <f t="shared" si="32"/>
        <v>C21751:1</v>
      </c>
      <c r="D1029" s="37" t="str">
        <f t="shared" si="33"/>
        <v>C21751 : 5-Fluorodeoxyuridine triphosphate</v>
      </c>
    </row>
    <row r="1030" spans="1:4">
      <c r="A1030" s="33" t="s">
        <v>14113</v>
      </c>
      <c r="B1030" s="33" t="s">
        <v>15240</v>
      </c>
      <c r="C1030" s="35" t="str">
        <f t="shared" si="32"/>
        <v>C22150:1</v>
      </c>
      <c r="D1030" s="37" t="str">
        <f t="shared" si="33"/>
        <v>C22150 : Reduced [2Fe-2S] ferredoxin</v>
      </c>
    </row>
    <row r="1031" spans="1:4">
      <c r="A1031" s="33" t="s">
        <v>14114</v>
      </c>
      <c r="B1031" s="33" t="s">
        <v>15241</v>
      </c>
      <c r="C1031" s="35" t="str">
        <f t="shared" si="32"/>
        <v>C22151:1</v>
      </c>
      <c r="D1031" s="37" t="str">
        <f t="shared" si="33"/>
        <v>C22151 : Oxidized [2Fe-2S] ferredoxin</v>
      </c>
    </row>
    <row r="1032" spans="1:4">
      <c r="A1032" s="33" t="s">
        <v>13779</v>
      </c>
      <c r="B1032" s="33" t="s">
        <v>15242</v>
      </c>
      <c r="C1032" s="35" t="str">
        <f t="shared" si="32"/>
        <v>C22154:1</v>
      </c>
      <c r="D1032" s="37" t="str">
        <f t="shared" si="33"/>
        <v>C22154 : [Fe-S] cluster scaffold protein carrying a [4Fe-4S]2+ cluster</v>
      </c>
    </row>
    <row r="1033" spans="1:4">
      <c r="A1033" s="33" t="s">
        <v>13780</v>
      </c>
      <c r="B1033" s="33" t="s">
        <v>15243</v>
      </c>
      <c r="C1033" s="35" t="str">
        <f t="shared" si="32"/>
        <v>C22155:1</v>
      </c>
      <c r="D1033" s="37" t="str">
        <f t="shared" si="33"/>
        <v>C22155 : [Fe-S] cluster scaffold protein</v>
      </c>
    </row>
    <row r="1034" spans="1:4">
      <c r="A1034" s="33" t="s">
        <v>13776</v>
      </c>
      <c r="B1034" s="33" t="s">
        <v>15244</v>
      </c>
      <c r="C1034" s="35" t="str">
        <f t="shared" si="32"/>
        <v>C22157:1</v>
      </c>
      <c r="D1034" s="37" t="str">
        <f t="shared" si="33"/>
        <v>C22157 : Glycine cleavage system H</v>
      </c>
    </row>
    <row r="1035" spans="1:4">
      <c r="A1035" s="33" t="s">
        <v>13774</v>
      </c>
      <c r="B1035" s="33" t="s">
        <v>15245</v>
      </c>
      <c r="C1035" s="35" t="str">
        <f t="shared" si="32"/>
        <v>C22158:1</v>
      </c>
      <c r="D1035" s="37" t="str">
        <f t="shared" si="33"/>
        <v>C22158 : Lipoyl-carrier protein E2</v>
      </c>
    </row>
    <row r="1036" spans="1:4">
      <c r="A1036" s="33" t="s">
        <v>13777</v>
      </c>
      <c r="B1036" s="33" t="s">
        <v>15246</v>
      </c>
      <c r="C1036" s="35" t="str">
        <f t="shared" si="32"/>
        <v>C22159:1</v>
      </c>
      <c r="D1036" s="37" t="str">
        <f t="shared" si="33"/>
        <v>C22159 : [Glycine cleavage system H]-N6-octanoyl-L-lysine</v>
      </c>
    </row>
    <row r="1037" spans="1:4">
      <c r="A1037" s="33" t="s">
        <v>13775</v>
      </c>
      <c r="B1037" s="33" t="s">
        <v>15247</v>
      </c>
      <c r="C1037" s="35" t="str">
        <f t="shared" si="32"/>
        <v>C22160:1</v>
      </c>
      <c r="D1037" s="37" t="str">
        <f t="shared" si="33"/>
        <v>C22160 : [Lipoyl-carrier protein E2]-N6-octanoyl-L-lysine</v>
      </c>
    </row>
    <row r="1038" spans="1:4">
      <c r="A1038" s="33" t="s">
        <v>13940</v>
      </c>
      <c r="B1038" s="33" t="s">
        <v>14567</v>
      </c>
      <c r="C1038" s="35" t="str">
        <f t="shared" si="32"/>
        <v>C22395:1</v>
      </c>
      <c r="D1038" s="37" t="str">
        <f t="shared" si="33"/>
        <v>C22395 :  N6-Succino-2-amino-2'-deoxyadenylate</v>
      </c>
    </row>
    <row r="1039" spans="1:4">
      <c r="A1039" s="33" t="s">
        <v>13674</v>
      </c>
      <c r="B1039" s="33" t="s">
        <v>15248</v>
      </c>
      <c r="C1039" s="35" t="str">
        <f t="shared" si="32"/>
        <v>C22438:1</v>
      </c>
      <c r="D1039" s="37" t="str">
        <f t="shared" si="33"/>
        <v>C22438 : 3,5-Dehydroshikimate</v>
      </c>
    </row>
    <row r="1040" spans="1:4">
      <c r="A1040" s="33" t="s">
        <v>13668</v>
      </c>
      <c r="B1040" s="33" t="s">
        <v>14568</v>
      </c>
      <c r="C1040" s="35" t="str">
        <f t="shared" si="32"/>
        <v>C22441:1</v>
      </c>
      <c r="D1040" s="37" t="str">
        <f t="shared" si="33"/>
        <v>C22441 : dZMP</v>
      </c>
    </row>
    <row r="1041" spans="1:4">
      <c r="A1041" s="33" t="s">
        <v>13669</v>
      </c>
      <c r="B1041" s="33" t="s">
        <v>14569</v>
      </c>
      <c r="C1041" s="35" t="str">
        <f t="shared" si="32"/>
        <v>C22442:1</v>
      </c>
      <c r="D1041" s="37" t="str">
        <f t="shared" si="33"/>
        <v>C22442 : dZDP</v>
      </c>
    </row>
    <row r="1042" spans="1:4">
      <c r="A1042" s="33" t="s">
        <v>13885</v>
      </c>
      <c r="B1042" s="33" t="s">
        <v>15249</v>
      </c>
      <c r="C1042" s="35" t="str">
        <f t="shared" si="32"/>
        <v>C22443:1</v>
      </c>
      <c r="D1042" s="37" t="str">
        <f t="shared" si="33"/>
        <v>C22443 : dZTP</v>
      </c>
    </row>
    <row r="1043" spans="1:4">
      <c r="A1043" s="33" t="s">
        <v>9776</v>
      </c>
      <c r="B1043" s="33" t="s">
        <v>15250</v>
      </c>
      <c r="C1043" s="35" t="str">
        <f t="shared" si="32"/>
        <v>C22458:1</v>
      </c>
      <c r="D1043" s="37" t="str">
        <f t="shared" si="33"/>
        <v>C22458 : 8-Amino-7-(carboxyamino)nonanoate</v>
      </c>
    </row>
    <row r="1044" spans="1:4">
      <c r="A1044" s="33" t="s">
        <v>14039</v>
      </c>
      <c r="B1044" s="33" t="s">
        <v>15251</v>
      </c>
      <c r="C1044" s="35" t="str">
        <f t="shared" si="32"/>
        <v>C22467:1</v>
      </c>
      <c r="D1044" s="37" t="str">
        <f t="shared" si="33"/>
        <v>C22467 : Gangliotriaosylceramide-II3 sulfate</v>
      </c>
    </row>
    <row r="1045" spans="1:4">
      <c r="A1045" s="33" t="s">
        <v>14115</v>
      </c>
      <c r="B1045" s="33" t="s">
        <v>15252</v>
      </c>
      <c r="C1045" s="35" t="str">
        <f t="shared" si="32"/>
        <v>C22876:1</v>
      </c>
      <c r="D1045" s="37" t="str">
        <f t="shared" si="33"/>
        <v>C22876 : Trehalose monomycolate</v>
      </c>
    </row>
    <row r="1046" spans="1:4">
      <c r="A1046" s="33" t="s">
        <v>13284</v>
      </c>
      <c r="B1046" s="33" t="s">
        <v>15253</v>
      </c>
      <c r="C1046" s="35" t="str">
        <f t="shared" si="32"/>
        <v>C22877:1</v>
      </c>
      <c r="D1046" s="37" t="str">
        <f t="shared" si="33"/>
        <v>C22877 : Trehalose dimycolate</v>
      </c>
    </row>
    <row r="1047" spans="1:4">
      <c r="A1047" s="33" t="s">
        <v>14022</v>
      </c>
      <c r="B1047" s="33" t="s">
        <v>14846</v>
      </c>
      <c r="C1047" s="35" t="str">
        <f t="shared" si="32"/>
        <v>G00092:1</v>
      </c>
      <c r="D1047" s="37" t="str">
        <f t="shared" si="33"/>
        <v>G00092 : Lactosylceramide</v>
      </c>
    </row>
    <row r="1048" spans="1:4">
      <c r="A1048" s="33" t="s">
        <v>14020</v>
      </c>
      <c r="B1048" s="33" t="s">
        <v>15254</v>
      </c>
      <c r="C1048" s="35" t="str">
        <f t="shared" si="32"/>
        <v>G00093:1</v>
      </c>
      <c r="D1048" s="37" t="str">
        <f t="shared" si="33"/>
        <v>G00093 : Globotriaosylceramide</v>
      </c>
    </row>
    <row r="1049" spans="1:4">
      <c r="A1049" s="33" t="s">
        <v>14019</v>
      </c>
      <c r="B1049" s="33" t="s">
        <v>14921</v>
      </c>
      <c r="C1049" s="35" t="str">
        <f t="shared" si="32"/>
        <v>G00094:1</v>
      </c>
      <c r="D1049" s="37" t="str">
        <f t="shared" si="33"/>
        <v>G00094 : Globoside</v>
      </c>
    </row>
    <row r="1050" spans="1:4">
      <c r="A1050" s="33" t="s">
        <v>14024</v>
      </c>
      <c r="B1050" s="33" t="s">
        <v>14985</v>
      </c>
      <c r="C1050" s="35" t="str">
        <f t="shared" si="32"/>
        <v>G00108:1</v>
      </c>
      <c r="D1050" s="37" t="str">
        <f t="shared" si="33"/>
        <v>G00108 : GM3</v>
      </c>
    </row>
    <row r="1051" spans="1:4">
      <c r="A1051" s="33" t="s">
        <v>14023</v>
      </c>
      <c r="B1051" s="33" t="s">
        <v>15255</v>
      </c>
      <c r="C1051" s="35" t="str">
        <f t="shared" si="32"/>
        <v>G00109:1</v>
      </c>
      <c r="D1051" s="37" t="str">
        <f t="shared" si="33"/>
        <v>G00109 : GM2</v>
      </c>
    </row>
    <row r="1052" spans="1:4">
      <c r="A1052" s="33" t="s">
        <v>14021</v>
      </c>
      <c r="B1052" s="33" t="s">
        <v>15082</v>
      </c>
      <c r="C1052" s="35" t="str">
        <f t="shared" si="32"/>
        <v>G00123:1</v>
      </c>
      <c r="D1052" s="37" t="str">
        <f t="shared" si="33"/>
        <v>G00123 : GA2</v>
      </c>
    </row>
    <row r="1053" spans="1:4">
      <c r="A1053" s="33" t="s">
        <v>13568</v>
      </c>
      <c r="B1053" s="33" t="s">
        <v>14307</v>
      </c>
      <c r="C1053" s="35" t="str">
        <f t="shared" si="32"/>
        <v>G00249:1</v>
      </c>
      <c r="D1053" s="37" t="str">
        <f t="shared" si="33"/>
        <v>G00249 : Raffinose</v>
      </c>
    </row>
    <row r="1054" spans="1:4">
      <c r="A1054" s="33" t="s">
        <v>13570</v>
      </c>
      <c r="B1054" s="33" t="s">
        <v>14366</v>
      </c>
      <c r="C1054" s="35" t="str">
        <f t="shared" si="32"/>
        <v>G00278:1</v>
      </c>
      <c r="D1054" s="37" t="str">
        <f t="shared" si="33"/>
        <v>G00278 : Stachyose</v>
      </c>
    </row>
    <row r="1055" spans="1:4">
      <c r="A1055" s="33" t="s">
        <v>13943</v>
      </c>
      <c r="B1055" s="33" t="s">
        <v>15256</v>
      </c>
      <c r="C1055" s="35" t="str">
        <f t="shared" si="32"/>
        <v>G00293:1</v>
      </c>
      <c r="D1055" s="37" t="str">
        <f t="shared" si="33"/>
        <v>G00293 : Trehalose</v>
      </c>
    </row>
    <row r="1056" spans="1:4">
      <c r="A1056" s="33" t="s">
        <v>13567</v>
      </c>
      <c r="B1056" s="33" t="s">
        <v>14184</v>
      </c>
      <c r="C1056" s="35" t="str">
        <f t="shared" si="32"/>
        <v>G00370:1</v>
      </c>
      <c r="D1056" s="37" t="str">
        <f t="shared" si="33"/>
        <v xml:space="preserve">G00370 : Sucrose </v>
      </c>
    </row>
    <row r="1057" spans="1:4">
      <c r="A1057" s="33" t="s">
        <v>13571</v>
      </c>
      <c r="B1057" s="33" t="s">
        <v>14570</v>
      </c>
      <c r="C1057" s="35" t="str">
        <f t="shared" si="32"/>
        <v>G00501:1</v>
      </c>
      <c r="D1057" s="37" t="str">
        <f t="shared" si="33"/>
        <v>G00501 : Manninotriose</v>
      </c>
    </row>
    <row r="1058" spans="1:4">
      <c r="A1058" s="33" t="s">
        <v>14033</v>
      </c>
      <c r="B1058" s="33" t="s">
        <v>15257</v>
      </c>
      <c r="C1058" s="35" t="str">
        <f t="shared" si="32"/>
        <v>G00711:1</v>
      </c>
      <c r="D1058" s="37" t="str">
        <f t="shared" si="33"/>
        <v>G00711 : (GlcA)1 (GlcNAc)2</v>
      </c>
    </row>
    <row r="1059" spans="1:4">
      <c r="A1059" s="33" t="s">
        <v>13569</v>
      </c>
      <c r="B1059" s="33" t="s">
        <v>14479</v>
      </c>
      <c r="C1059" s="35" t="str">
        <f t="shared" si="32"/>
        <v>G01275:1</v>
      </c>
      <c r="D1059" s="37" t="str">
        <f t="shared" si="33"/>
        <v>G01275 : Melibiose</v>
      </c>
    </row>
    <row r="1060" spans="1:4">
      <c r="A1060" s="33" t="s">
        <v>14027</v>
      </c>
      <c r="B1060" s="33" t="s">
        <v>15258</v>
      </c>
      <c r="C1060" s="35" t="str">
        <f t="shared" si="32"/>
        <v>G01391:1</v>
      </c>
      <c r="D1060" s="37" t="str">
        <f t="shared" si="33"/>
        <v>G01391 : (Gal)1 (GlcNAc)1 (S)1</v>
      </c>
    </row>
    <row r="1061" spans="1:4">
      <c r="A1061" s="33" t="s">
        <v>14037</v>
      </c>
      <c r="B1061" s="33" t="s">
        <v>15259</v>
      </c>
      <c r="C1061" s="35" t="str">
        <f t="shared" si="32"/>
        <v>G05477:1</v>
      </c>
      <c r="D1061" s="37" t="str">
        <f t="shared" si="33"/>
        <v>G05477 : (GlcNAc)3 (LFuc)2 (Man)3</v>
      </c>
    </row>
    <row r="1062" spans="1:4">
      <c r="A1062" s="33" t="s">
        <v>13942</v>
      </c>
      <c r="B1062" s="33" t="s">
        <v>15260</v>
      </c>
      <c r="C1062" s="35" t="str">
        <f t="shared" si="32"/>
        <v>G09795:1</v>
      </c>
      <c r="D1062" s="37" t="str">
        <f t="shared" si="33"/>
        <v>G09795 : Trehalose 6-phosphate</v>
      </c>
    </row>
    <row r="1063" spans="1:4">
      <c r="A1063" s="33" t="s">
        <v>14034</v>
      </c>
      <c r="B1063" s="33" t="s">
        <v>15261</v>
      </c>
      <c r="C1063" s="35" t="str">
        <f t="shared" si="32"/>
        <v>G10008:1</v>
      </c>
      <c r="D1063" s="37" t="str">
        <f t="shared" si="33"/>
        <v>G10008 : (GlcA)1 (GlcNAc)1</v>
      </c>
    </row>
    <row r="1064" spans="1:4">
      <c r="A1064" s="33" t="s">
        <v>14025</v>
      </c>
      <c r="B1064" s="33" t="s">
        <v>14866</v>
      </c>
      <c r="C1064" s="35" t="str">
        <f t="shared" si="32"/>
        <v>G10336:1</v>
      </c>
      <c r="D1064" s="37" t="str">
        <f t="shared" si="33"/>
        <v>G10336 : Chitobiose</v>
      </c>
    </row>
    <row r="1065" spans="1:4">
      <c r="A1065" s="33" t="s">
        <v>14042</v>
      </c>
      <c r="B1065" s="33" t="s">
        <v>14571</v>
      </c>
      <c r="C1065" s="35" t="str">
        <f t="shared" si="32"/>
        <v>G10495:1</v>
      </c>
      <c r="D1065" s="37" t="str">
        <f t="shared" si="33"/>
        <v>G10495 : 1,4-alpha-D-Glucan</v>
      </c>
    </row>
    <row r="1066" spans="1:4">
      <c r="A1066" s="33" t="s">
        <v>13572</v>
      </c>
      <c r="B1066" s="33" t="s">
        <v>14572</v>
      </c>
      <c r="C1066" s="35" t="str">
        <f t="shared" si="32"/>
        <v>G10508:1</v>
      </c>
      <c r="D1066" s="37" t="str">
        <f t="shared" si="33"/>
        <v>G10508 : Sucrose 6'-phosphate</v>
      </c>
    </row>
    <row r="1067" spans="1:4">
      <c r="A1067" s="33" t="s">
        <v>13419</v>
      </c>
      <c r="B1067" s="33" t="s">
        <v>14284</v>
      </c>
      <c r="C1067" s="35" t="str">
        <f t="shared" si="32"/>
        <v>G10545:1</v>
      </c>
      <c r="D1067" s="37" t="str">
        <f t="shared" si="33"/>
        <v>G10545 : Starch</v>
      </c>
    </row>
    <row r="1068" spans="1:4">
      <c r="A1068" s="33" t="s">
        <v>13749</v>
      </c>
      <c r="B1068" s="33" t="s">
        <v>14573</v>
      </c>
      <c r="C1068" s="35" t="str">
        <f t="shared" si="32"/>
        <v>G10550:1</v>
      </c>
      <c r="D1068" s="37" t="str">
        <f t="shared" si="33"/>
        <v>G10550 : (GlcNAc)1 (MurNAc)1 (D-Ala-D-Ala-Lys-D-Glu-Ala)1 (PP-Und)1</v>
      </c>
    </row>
    <row r="1069" spans="1:4">
      <c r="A1069" s="33" t="s">
        <v>13748</v>
      </c>
      <c r="B1069" s="33" t="s">
        <v>14574</v>
      </c>
      <c r="C1069" s="35" t="str">
        <f t="shared" si="32"/>
        <v>G10551:1</v>
      </c>
      <c r="D1069" s="37" t="str">
        <f t="shared" si="33"/>
        <v>G10551 : (MurNAc)1 (D-Ala-D-Ala-Lys-D-Glu-Ala)1 (PP-Und)1</v>
      </c>
    </row>
    <row r="1070" spans="1:4">
      <c r="A1070" s="33" t="s">
        <v>13743</v>
      </c>
      <c r="B1070" s="33" t="s">
        <v>14575</v>
      </c>
      <c r="C1070" s="35" t="str">
        <f t="shared" si="32"/>
        <v>G10552:1</v>
      </c>
      <c r="D1070" s="37" t="str">
        <f t="shared" si="33"/>
        <v>G10552 : (MurNAc)1 (D-Ala-D-Ala-Lys-gamma-D-Glu-Ala)1 (PP-Und)1</v>
      </c>
    </row>
    <row r="1071" spans="1:4">
      <c r="A1071" s="33" t="s">
        <v>13745</v>
      </c>
      <c r="B1071" s="33" t="s">
        <v>14576</v>
      </c>
      <c r="C1071" s="35" t="str">
        <f t="shared" si="32"/>
        <v>G10553:1</v>
      </c>
      <c r="D1071" s="37" t="str">
        <f t="shared" si="33"/>
        <v>G10553 : (GlcNAc)1 (MurNAc)1 (D-Ala-D-Ala-Lys-gamma-D-Glu-Ala)1 (PP-Und)1</v>
      </c>
    </row>
    <row r="1072" spans="1:4">
      <c r="A1072" s="33" t="s">
        <v>13758</v>
      </c>
      <c r="B1072" s="33" t="s">
        <v>14577</v>
      </c>
      <c r="C1072" s="35" t="str">
        <f t="shared" si="32"/>
        <v>G10554:1</v>
      </c>
      <c r="D1072" s="37" t="str">
        <f t="shared" si="33"/>
        <v>G10554 : (GlcNAc)1 (MurNAc)1 (*)1 (D-Ala-D-Ala-Lys-gamma-D-Glu-Ala)1 (PP-Und)1</v>
      </c>
    </row>
    <row r="1073" spans="1:4">
      <c r="A1073" s="33" t="s">
        <v>13751</v>
      </c>
      <c r="B1073" s="33" t="s">
        <v>14578</v>
      </c>
      <c r="C1073" s="35" t="str">
        <f t="shared" si="32"/>
        <v>G10555:1</v>
      </c>
      <c r="D1073" s="37" t="str">
        <f t="shared" si="33"/>
        <v>G10555 : (GlcNAc)1 (MurNAc)1 (D-Ala-D-Ala-A2pm-gamma-D-Glu-Ala)1 (PP-Und)1</v>
      </c>
    </row>
    <row r="1074" spans="1:4">
      <c r="A1074" s="33" t="s">
        <v>13750</v>
      </c>
      <c r="B1074" s="33" t="s">
        <v>14579</v>
      </c>
      <c r="C1074" s="35" t="str">
        <f t="shared" si="32"/>
        <v>G10556:1</v>
      </c>
      <c r="D1074" s="37" t="str">
        <f t="shared" si="33"/>
        <v>G10556 : (MurNAc)1 (D-Ala-D-Ala-A2pm-gamma-D-Glu-Ala)1 (PP-Und)1</v>
      </c>
    </row>
    <row r="1075" spans="1:4">
      <c r="A1075" s="33" t="s">
        <v>13760</v>
      </c>
      <c r="B1075" s="33" t="s">
        <v>14580</v>
      </c>
      <c r="C1075" s="35" t="str">
        <f t="shared" si="32"/>
        <v>G10557:1</v>
      </c>
      <c r="D1075" s="37" t="str">
        <f t="shared" si="33"/>
        <v>G10557 : (GlcNAc)1 (MurNAc)1 (*)1 (D-Ala-D-Ala-A2pm-gamma-D-Glu-Ala)1 (PP-Und)1</v>
      </c>
    </row>
    <row r="1076" spans="1:4">
      <c r="A1076" s="33" t="s">
        <v>14043</v>
      </c>
      <c r="B1076" s="33" t="s">
        <v>15262</v>
      </c>
      <c r="C1076" s="35" t="str">
        <f t="shared" si="32"/>
        <v>G10608:1</v>
      </c>
      <c r="D1076" s="37" t="str">
        <f t="shared" si="33"/>
        <v>G10608 : UDP-D-glucose</v>
      </c>
    </row>
    <row r="1077" spans="1:4">
      <c r="A1077" s="33" t="s">
        <v>13744</v>
      </c>
      <c r="B1077" s="33" t="s">
        <v>14581</v>
      </c>
      <c r="C1077" s="35" t="str">
        <f t="shared" si="32"/>
        <v>G10610:1</v>
      </c>
      <c r="D1077" s="37" t="str">
        <f t="shared" si="33"/>
        <v>G10610 : UDP-N-acetyl-D-glucosamine</v>
      </c>
    </row>
    <row r="1078" spans="1:4">
      <c r="A1078" s="33" t="s">
        <v>13690</v>
      </c>
      <c r="B1078" s="33" t="s">
        <v>15263</v>
      </c>
      <c r="C1078" s="35" t="str">
        <f t="shared" si="32"/>
        <v>G10614:1</v>
      </c>
      <c r="D1078" s="37" t="str">
        <f t="shared" si="33"/>
        <v>G10614 : GDP-D-mannose</v>
      </c>
    </row>
    <row r="1079" spans="1:4">
      <c r="A1079" s="33" t="s">
        <v>13468</v>
      </c>
      <c r="B1079" s="33" t="s">
        <v>14945</v>
      </c>
      <c r="C1079" s="35" t="str">
        <f t="shared" si="32"/>
        <v>G10617:1</v>
      </c>
      <c r="D1079" s="37" t="str">
        <f t="shared" si="33"/>
        <v>G10617 : Dolichyl phosphate D-mannose</v>
      </c>
    </row>
    <row r="1080" spans="1:4">
      <c r="A1080" s="33" t="s">
        <v>13231</v>
      </c>
      <c r="B1080" s="33" t="s">
        <v>14133</v>
      </c>
      <c r="C1080" s="35" t="str">
        <f t="shared" si="32"/>
        <v>G10619:1</v>
      </c>
      <c r="D1080" s="37" t="str">
        <f t="shared" si="33"/>
        <v>G10619 : UDP</v>
      </c>
    </row>
    <row r="1081" spans="1:4">
      <c r="A1081" s="33" t="s">
        <v>13691</v>
      </c>
      <c r="B1081" s="33" t="s">
        <v>14149</v>
      </c>
      <c r="C1081" s="35" t="str">
        <f t="shared" si="32"/>
        <v>G10620:1</v>
      </c>
      <c r="D1081" s="37" t="str">
        <f t="shared" si="33"/>
        <v>G10620 : GDP</v>
      </c>
    </row>
    <row r="1082" spans="1:4">
      <c r="A1082" s="33" t="s">
        <v>13469</v>
      </c>
      <c r="B1082" s="33" t="s">
        <v>14678</v>
      </c>
      <c r="C1082" s="35" t="str">
        <f t="shared" si="32"/>
        <v>G10622:1</v>
      </c>
      <c r="D1082" s="37" t="str">
        <f t="shared" si="33"/>
        <v>G10622 : Dolichyl phosphate</v>
      </c>
    </row>
    <row r="1083" spans="1:4">
      <c r="A1083" s="33" t="s">
        <v>14036</v>
      </c>
      <c r="B1083" s="33" t="s">
        <v>15264</v>
      </c>
      <c r="C1083" s="35" t="str">
        <f t="shared" si="32"/>
        <v>G10665:1</v>
      </c>
      <c r="D1083" s="37" t="str">
        <f t="shared" si="33"/>
        <v>G10665 : (GlcNAc)2 (LFuc)1 (Man)3 (Xyl)1 (Asn)1</v>
      </c>
    </row>
    <row r="1084" spans="1:4">
      <c r="A1084" s="33" t="s">
        <v>14038</v>
      </c>
      <c r="B1084" s="33" t="s">
        <v>15265</v>
      </c>
      <c r="C1084" s="35" t="str">
        <f t="shared" si="32"/>
        <v>G10920:1</v>
      </c>
      <c r="D1084" s="37" t="str">
        <f t="shared" si="33"/>
        <v>G10920 : (GlcNAc)2 (LFuc)2 (Man)3 (Asn)1</v>
      </c>
    </row>
    <row r="1085" spans="1:4">
      <c r="A1085" s="33" t="s">
        <v>14116</v>
      </c>
      <c r="B1085" s="33" t="s">
        <v>15095</v>
      </c>
      <c r="C1085" s="35" t="str">
        <f t="shared" si="32"/>
        <v>G11174:1</v>
      </c>
      <c r="D1085" s="37" t="str">
        <f t="shared" si="33"/>
        <v>G11174 : Mycothiol</v>
      </c>
    </row>
    <row r="1086" spans="1:4">
      <c r="A1086" s="33" t="s">
        <v>13721</v>
      </c>
      <c r="B1086" s="33" t="s">
        <v>15118</v>
      </c>
      <c r="C1086" s="35" t="str">
        <f t="shared" si="32"/>
        <v>G11175:1</v>
      </c>
      <c r="D1086" s="37" t="str">
        <f t="shared" si="33"/>
        <v>G11175 : Mycothione</v>
      </c>
    </row>
    <row r="1087" spans="1:4">
      <c r="A1087" s="33" t="s">
        <v>13692</v>
      </c>
      <c r="B1087" s="33" t="s">
        <v>15266</v>
      </c>
      <c r="C1087" s="35" t="str">
        <f t="shared" si="32"/>
        <v>G11291:1</v>
      </c>
      <c r="D1087" s="37" t="str">
        <f t="shared" si="33"/>
        <v>G11291 : Phosphatidyl-myo-inositol monomannoside</v>
      </c>
    </row>
    <row r="1088" spans="1:4">
      <c r="A1088" s="33" t="s">
        <v>13470</v>
      </c>
      <c r="B1088" s="33" t="s">
        <v>15267</v>
      </c>
      <c r="C1088" s="35" t="str">
        <f t="shared" si="32"/>
        <v>G13027:1</v>
      </c>
      <c r="D1088" s="37" t="str">
        <f t="shared" si="33"/>
        <v>G13027 : (Man)1 (Ser/Thr)1</v>
      </c>
    </row>
    <row r="1089" spans="1:4">
      <c r="A1089" s="33" t="s">
        <v>14035</v>
      </c>
      <c r="B1089" s="33" t="s">
        <v>15268</v>
      </c>
      <c r="C1089" s="35" t="str">
        <f t="shared" ref="C1089:C1098" si="34">CONCATENATE(A1089,":","1")</f>
        <v>G13056:1</v>
      </c>
      <c r="D1089" s="37" t="str">
        <f t="shared" si="33"/>
        <v>G13056 : (GlcNAc)4 (LFuc)1 (Man)3 (Xyl)1 (Asn)1</v>
      </c>
    </row>
    <row r="1090" spans="1:4">
      <c r="A1090" s="33" t="s">
        <v>14031</v>
      </c>
      <c r="B1090" s="33" t="s">
        <v>15269</v>
      </c>
      <c r="C1090" s="35" t="str">
        <f t="shared" si="34"/>
        <v>G13057:1</v>
      </c>
      <c r="D1090" s="37" t="str">
        <f t="shared" si="33"/>
        <v>G13057 : (Gal)1 (GlcNAc)3 (LFuc)1 (Man)3 (Asn)1</v>
      </c>
    </row>
    <row r="1091" spans="1:4">
      <c r="A1091" s="33" t="s">
        <v>14032</v>
      </c>
      <c r="B1091" s="33" t="s">
        <v>15270</v>
      </c>
      <c r="C1091" s="35" t="str">
        <f t="shared" si="34"/>
        <v>G13058:1</v>
      </c>
      <c r="D1091" s="37" t="str">
        <f t="shared" ref="D1091:D1098" si="35">CONCATENATE(A1091," : ",B1091)</f>
        <v>G13058 : (Gal)1 (GlcNAc)2 (LFuc)1 (Man)3 (Asn)1</v>
      </c>
    </row>
    <row r="1092" spans="1:4">
      <c r="A1092" s="33" t="s">
        <v>14029</v>
      </c>
      <c r="B1092" s="33" t="s">
        <v>15271</v>
      </c>
      <c r="C1092" s="35" t="str">
        <f t="shared" si="34"/>
        <v>G13073:1</v>
      </c>
      <c r="D1092" s="37" t="str">
        <f t="shared" si="35"/>
        <v>G13073 : (Gal)1 (GlcNAc)2 (S)2</v>
      </c>
    </row>
    <row r="1093" spans="1:4">
      <c r="A1093" s="33" t="s">
        <v>14026</v>
      </c>
      <c r="B1093" s="33" t="s">
        <v>15272</v>
      </c>
      <c r="C1093" s="35" t="str">
        <f t="shared" si="34"/>
        <v>G13074:1</v>
      </c>
      <c r="D1093" s="37" t="str">
        <f t="shared" si="35"/>
        <v>G13074 : (Gal)1 (GlcNAc)2 (S)1</v>
      </c>
    </row>
    <row r="1094" spans="1:4">
      <c r="A1094" s="33" t="s">
        <v>13230</v>
      </c>
      <c r="B1094" s="33" t="s">
        <v>15273</v>
      </c>
      <c r="C1094" s="35" t="str">
        <f t="shared" si="34"/>
        <v>G13119:1</v>
      </c>
      <c r="D1094" s="37" t="str">
        <f t="shared" si="35"/>
        <v>G13119 : Rhamnosyl-N-acetyl-glucosaminyl-decaprenyl diphosphate</v>
      </c>
    </row>
    <row r="1095" spans="1:4">
      <c r="A1095" s="33" t="s">
        <v>13232</v>
      </c>
      <c r="B1095" s="33" t="s">
        <v>15274</v>
      </c>
      <c r="C1095" s="35" t="str">
        <f t="shared" si="34"/>
        <v>G13120:1</v>
      </c>
      <c r="D1095" s="37" t="str">
        <f t="shared" si="35"/>
        <v>G13120 : Glycolipid 3</v>
      </c>
    </row>
    <row r="1096" spans="1:4">
      <c r="A1096" s="33" t="s">
        <v>13233</v>
      </c>
      <c r="B1096" s="33" t="s">
        <v>15275</v>
      </c>
      <c r="C1096" s="35" t="str">
        <f t="shared" si="34"/>
        <v>G13121:1</v>
      </c>
      <c r="D1096" s="37" t="str">
        <f t="shared" si="35"/>
        <v>G13121 : Glycolipid 4</v>
      </c>
    </row>
    <row r="1097" spans="1:4">
      <c r="A1097" s="33" t="s">
        <v>14060</v>
      </c>
      <c r="B1097" s="33" t="s">
        <v>15276</v>
      </c>
      <c r="C1097" s="35" t="str">
        <f t="shared" si="34"/>
        <v>G13122:1</v>
      </c>
      <c r="D1097" s="37" t="str">
        <f t="shared" si="35"/>
        <v>G13122 : Glycolipid 5</v>
      </c>
    </row>
    <row r="1098" spans="1:4">
      <c r="A1098" s="33" t="s">
        <v>13229</v>
      </c>
      <c r="B1098" s="33" t="s">
        <v>14942</v>
      </c>
      <c r="C1098" s="35" t="str">
        <f t="shared" si="34"/>
        <v>G13125:1</v>
      </c>
      <c r="D1098" s="37" t="str">
        <f t="shared" si="35"/>
        <v>G13125 : UDP-alpha-D-galactofuranose</v>
      </c>
    </row>
    <row r="1175" spans="1:1">
      <c r="A1175" s="30"/>
    </row>
    <row r="1176" spans="1:1">
      <c r="A1176" s="30"/>
    </row>
    <row r="1928" spans="3:3">
      <c r="C1928" s="1"/>
    </row>
  </sheetData>
  <sortState xmlns:xlrd2="http://schemas.microsoft.com/office/spreadsheetml/2017/richdata2" ref="A2:D1112">
    <sortCondition ref="A2:A1112"/>
  </sortState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8B01-1AA8-D840-A25B-BF7334131DEA}">
  <dimension ref="A1:N1183"/>
  <sheetViews>
    <sheetView zoomScale="97" workbookViewId="0"/>
  </sheetViews>
  <sheetFormatPr defaultColWidth="10.6640625" defaultRowHeight="16"/>
  <cols>
    <col min="1" max="1" width="5.6640625" customWidth="1"/>
    <col min="3" max="3" width="15" customWidth="1"/>
    <col min="5" max="5" width="19.33203125" customWidth="1"/>
    <col min="6" max="6" width="16.1640625" customWidth="1"/>
    <col min="7" max="7" width="31.83203125" customWidth="1"/>
    <col min="8" max="8" width="20.6640625" customWidth="1"/>
    <col min="9" max="9" width="18.83203125" customWidth="1"/>
    <col min="10" max="10" width="14.33203125" customWidth="1"/>
    <col min="11" max="11" width="33.33203125" customWidth="1"/>
    <col min="12" max="12" width="45.33203125" customWidth="1"/>
    <col min="13" max="13" width="59" customWidth="1"/>
    <col min="14" max="14" width="87.1640625" customWidth="1"/>
  </cols>
  <sheetData>
    <row r="1" spans="1:14" ht="44">
      <c r="A1" s="12" t="s">
        <v>12751</v>
      </c>
      <c r="B1" s="12" t="s">
        <v>12752</v>
      </c>
      <c r="C1" s="12" t="s">
        <v>12753</v>
      </c>
      <c r="D1" s="12" t="s">
        <v>12754</v>
      </c>
      <c r="E1" s="13" t="s">
        <v>12755</v>
      </c>
      <c r="F1" s="14" t="s">
        <v>12756</v>
      </c>
      <c r="G1" s="15" t="s">
        <v>12757</v>
      </c>
      <c r="H1" s="16" t="s">
        <v>12758</v>
      </c>
      <c r="I1" s="17" t="s">
        <v>12759</v>
      </c>
      <c r="J1" s="18" t="s">
        <v>12760</v>
      </c>
      <c r="K1" s="19" t="s">
        <v>12761</v>
      </c>
      <c r="L1" s="15" t="s">
        <v>12762</v>
      </c>
      <c r="M1" s="20" t="s">
        <v>12763</v>
      </c>
      <c r="N1" s="13" t="s">
        <v>12764</v>
      </c>
    </row>
    <row r="2" spans="1:14">
      <c r="A2" cm="1">
        <f t="array" ref="A2:A408">_xlfn.SEQUENCE(407)</f>
        <v>1</v>
      </c>
      <c r="B2" s="4" t="s">
        <v>7693</v>
      </c>
      <c r="C2" s="4" t="str">
        <f>CONCATENATE(D2,"_mRNA")</f>
        <v>E1.1.1.1_mRNA</v>
      </c>
      <c r="D2" s="4" t="s">
        <v>13048</v>
      </c>
      <c r="E2" s="22" t="str">
        <f>CONCATENATE("E",B2,"_kcat : 13.7")</f>
        <v>E1.1.1.1_kcat : 13.7</v>
      </c>
      <c r="F2" s="23" t="str">
        <f t="shared" ref="F2:F65" si="0">CONCATENATE("E",B2,"_km : 1")</f>
        <v>E1.1.1.1_km : 1</v>
      </c>
      <c r="G2" s="24" t="str">
        <f t="shared" ref="G2:G65" si="1">CONCATENATE(C2," : ",C2)</f>
        <v>E1.1.1.1_mRNA : E1.1.1.1_mRNA</v>
      </c>
      <c r="H2" s="25" t="str">
        <f t="shared" ref="H2:H65" si="2">CONCATENATE(D2," : ",D2)</f>
        <v>E1.1.1.1 : E1.1.1.1</v>
      </c>
      <c r="I2" s="26" t="str">
        <f>CONCATENATE(C2," : ","0")</f>
        <v>E1.1.1.1_mRNA : 0</v>
      </c>
      <c r="J2" s="27" t="str">
        <f>CONCATENATE(D2," : ","0")</f>
        <v>E1.1.1.1 : 0</v>
      </c>
      <c r="K2" s="28" t="str">
        <f>CONCATENATE("0.00292 - (0.0093 * ",C2,")")</f>
        <v>0.00292 - (0.0093 * E1.1.1.1_mRNA)</v>
      </c>
      <c r="L2" s="24" t="str">
        <f>CONCATENATE("(0.278 * ",C2,")"," - (0.00000278 * ",D2,")")</f>
        <v>(0.278 * E1.1.1.1_mRNA) - (0.00000278 * E1.1.1.1)</v>
      </c>
      <c r="M2" s="29" t="str">
        <f>CONCATENATE("mRNA",A2,": -&gt; ",C2," | ","0.00292"," - ","(","0.0093"," * ",C2,")")</f>
        <v>mRNA1: -&gt; E1.1.1.1_mRNA | 0.00292 - (0.0093 * E1.1.1.1_mRNA)</v>
      </c>
      <c r="N2" s="22" t="str">
        <f>CONCATENATE("Peptide",A2,": ",C2," -&gt; ",D2," | ","(","0.278"," * ",C2,")"," - ","(","0.000000278"," * ",D2,")")</f>
        <v>Peptide1: E1.1.1.1_mRNA -&gt; E1.1.1.1 | (0.278 * E1.1.1.1_mRNA) - (0.000000278 * E1.1.1.1)</v>
      </c>
    </row>
    <row r="3" spans="1:14">
      <c r="A3">
        <v>2</v>
      </c>
      <c r="B3" s="4" t="s">
        <v>7464</v>
      </c>
      <c r="C3" s="4" t="str">
        <f t="shared" ref="C3:C66" si="3">CONCATENATE(D3,"_mRNA")</f>
        <v>E1.1.1.100_mRNA</v>
      </c>
      <c r="D3" s="4" t="s">
        <v>12874</v>
      </c>
      <c r="E3" s="22" t="str">
        <f t="shared" ref="E3:E66" si="4">CONCATENATE("E",B3,"_kcat : 13.7")</f>
        <v>E1.1.1.100_kcat : 13.7</v>
      </c>
      <c r="F3" s="23" t="str">
        <f t="shared" si="0"/>
        <v>E1.1.1.100_km : 1</v>
      </c>
      <c r="G3" s="24" t="str">
        <f t="shared" si="1"/>
        <v>E1.1.1.100_mRNA : E1.1.1.100_mRNA</v>
      </c>
      <c r="H3" s="25" t="str">
        <f t="shared" si="2"/>
        <v>E1.1.1.100 : E1.1.1.100</v>
      </c>
      <c r="I3" s="26" t="str">
        <f t="shared" ref="I3:I66" si="5">CONCATENATE(C3," : ","0")</f>
        <v>E1.1.1.100_mRNA : 0</v>
      </c>
      <c r="J3" s="27" t="str">
        <f t="shared" ref="J3:J66" si="6">CONCATENATE(D3," : ","0")</f>
        <v>E1.1.1.100 : 0</v>
      </c>
      <c r="K3" s="28" t="str">
        <f t="shared" ref="K3:K66" si="7">CONCATENATE("0.00292 - (0.0093 * ",C3,")")</f>
        <v>0.00292 - (0.0093 * E1.1.1.100_mRNA)</v>
      </c>
      <c r="L3" s="24" t="str">
        <f t="shared" ref="L3:L66" si="8">CONCATENATE("(0.278 * ",C3,")"," - (0.00000278 * ",D3,")")</f>
        <v>(0.278 * E1.1.1.100_mRNA) - (0.00000278 * E1.1.1.100)</v>
      </c>
      <c r="M3" s="29" t="str">
        <f t="shared" ref="M3:M66" si="9">CONCATENATE("mRNA",A3,": -&gt; ",C3," | ","0.00292"," - ","(","0.0093"," * ",C3,")")</f>
        <v>mRNA2: -&gt; E1.1.1.100_mRNA | 0.00292 - (0.0093 * E1.1.1.100_mRNA)</v>
      </c>
      <c r="N3" s="22" t="str">
        <f t="shared" ref="N3:N66" si="10">CONCATENATE("Peptide",A3,": ",C3," -&gt; ",D3," | ","(","0.278"," * ",C3,")"," - ","(","0.000000278"," * ",D3,")")</f>
        <v>Peptide2: E1.1.1.100_mRNA -&gt; E1.1.1.100 | (0.278 * E1.1.1.100_mRNA) - (0.000000278 * E1.1.1.100)</v>
      </c>
    </row>
    <row r="4" spans="1:14">
      <c r="A4">
        <v>3</v>
      </c>
      <c r="B4" s="4" t="s">
        <v>7384</v>
      </c>
      <c r="C4" s="4" t="str">
        <f t="shared" si="3"/>
        <v>E1.1.1.205_mRNA</v>
      </c>
      <c r="D4" s="4" t="s">
        <v>12830</v>
      </c>
      <c r="E4" s="22" t="str">
        <f t="shared" si="4"/>
        <v>E1.1.1.205_kcat : 13.7</v>
      </c>
      <c r="F4" s="23" t="str">
        <f t="shared" si="0"/>
        <v>E1.1.1.205_km : 1</v>
      </c>
      <c r="G4" s="24" t="str">
        <f t="shared" si="1"/>
        <v>E1.1.1.205_mRNA : E1.1.1.205_mRNA</v>
      </c>
      <c r="H4" s="25" t="str">
        <f t="shared" si="2"/>
        <v>E1.1.1.205 : E1.1.1.205</v>
      </c>
      <c r="I4" s="26" t="str">
        <f t="shared" si="5"/>
        <v>E1.1.1.205_mRNA : 0</v>
      </c>
      <c r="J4" s="27" t="str">
        <f t="shared" si="6"/>
        <v>E1.1.1.205 : 0</v>
      </c>
      <c r="K4" s="28" t="str">
        <f t="shared" si="7"/>
        <v>0.00292 - (0.0093 * E1.1.1.205_mRNA)</v>
      </c>
      <c r="L4" s="24" t="str">
        <f t="shared" si="8"/>
        <v>(0.278 * E1.1.1.205_mRNA) - (0.00000278 * E1.1.1.205)</v>
      </c>
      <c r="M4" s="29" t="str">
        <f t="shared" si="9"/>
        <v>mRNA3: -&gt; E1.1.1.205_mRNA | 0.00292 - (0.0093 * E1.1.1.205_mRNA)</v>
      </c>
      <c r="N4" s="22" t="str">
        <f t="shared" si="10"/>
        <v>Peptide3: E1.1.1.205_mRNA -&gt; E1.1.1.205 | (0.278 * E1.1.1.205_mRNA) - (0.000000278 * E1.1.1.205)</v>
      </c>
    </row>
    <row r="5" spans="1:14">
      <c r="A5">
        <v>4</v>
      </c>
      <c r="B5" s="4" t="s">
        <v>7815</v>
      </c>
      <c r="C5" s="4" t="str">
        <f t="shared" si="3"/>
        <v>E1.1.1.22_mRNA</v>
      </c>
      <c r="D5" s="4" t="s">
        <v>13135</v>
      </c>
      <c r="E5" s="22" t="str">
        <f t="shared" si="4"/>
        <v>E1.1.1.22_kcat : 13.7</v>
      </c>
      <c r="F5" s="23" t="str">
        <f t="shared" si="0"/>
        <v>E1.1.1.22_km : 1</v>
      </c>
      <c r="G5" s="24" t="str">
        <f t="shared" si="1"/>
        <v>E1.1.1.22_mRNA : E1.1.1.22_mRNA</v>
      </c>
      <c r="H5" s="25" t="str">
        <f t="shared" si="2"/>
        <v>E1.1.1.22 : E1.1.1.22</v>
      </c>
      <c r="I5" s="26" t="str">
        <f t="shared" si="5"/>
        <v>E1.1.1.22_mRNA : 0</v>
      </c>
      <c r="J5" s="27" t="str">
        <f t="shared" si="6"/>
        <v>E1.1.1.22 : 0</v>
      </c>
      <c r="K5" s="28" t="str">
        <f t="shared" si="7"/>
        <v>0.00292 - (0.0093 * E1.1.1.22_mRNA)</v>
      </c>
      <c r="L5" s="24" t="str">
        <f t="shared" si="8"/>
        <v>(0.278 * E1.1.1.22_mRNA) - (0.00000278 * E1.1.1.22)</v>
      </c>
      <c r="M5" s="29" t="str">
        <f t="shared" si="9"/>
        <v>mRNA4: -&gt; E1.1.1.22_mRNA | 0.00292 - (0.0093 * E1.1.1.22_mRNA)</v>
      </c>
      <c r="N5" s="22" t="str">
        <f t="shared" si="10"/>
        <v>Peptide4: E1.1.1.22_mRNA -&gt; E1.1.1.22 | (0.278 * E1.1.1.22_mRNA) - (0.000000278 * E1.1.1.22)</v>
      </c>
    </row>
    <row r="6" spans="1:14">
      <c r="A6">
        <v>5</v>
      </c>
      <c r="B6" s="4" t="s">
        <v>7659</v>
      </c>
      <c r="C6" s="4" t="str">
        <f t="shared" si="3"/>
        <v>E1.1.1.23_mRNA</v>
      </c>
      <c r="D6" s="4" t="s">
        <v>13019</v>
      </c>
      <c r="E6" s="22" t="str">
        <f t="shared" si="4"/>
        <v>E1.1.1.23_kcat : 13.7</v>
      </c>
      <c r="F6" s="23" t="str">
        <f t="shared" si="0"/>
        <v>E1.1.1.23_km : 1</v>
      </c>
      <c r="G6" s="24" t="str">
        <f t="shared" si="1"/>
        <v>E1.1.1.23_mRNA : E1.1.1.23_mRNA</v>
      </c>
      <c r="H6" s="25" t="str">
        <f t="shared" si="2"/>
        <v>E1.1.1.23 : E1.1.1.23</v>
      </c>
      <c r="I6" s="26" t="str">
        <f t="shared" si="5"/>
        <v>E1.1.1.23_mRNA : 0</v>
      </c>
      <c r="J6" s="27" t="str">
        <f t="shared" si="6"/>
        <v>E1.1.1.23 : 0</v>
      </c>
      <c r="K6" s="28" t="str">
        <f t="shared" si="7"/>
        <v>0.00292 - (0.0093 * E1.1.1.23_mRNA)</v>
      </c>
      <c r="L6" s="24" t="str">
        <f t="shared" si="8"/>
        <v>(0.278 * E1.1.1.23_mRNA) - (0.00000278 * E1.1.1.23)</v>
      </c>
      <c r="M6" s="29" t="str">
        <f t="shared" si="9"/>
        <v>mRNA5: -&gt; E1.1.1.23_mRNA | 0.00292 - (0.0093 * E1.1.1.23_mRNA)</v>
      </c>
      <c r="N6" s="22" t="str">
        <f t="shared" si="10"/>
        <v>Peptide5: E1.1.1.23_mRNA -&gt; E1.1.1.23 | (0.278 * E1.1.1.23_mRNA) - (0.000000278 * E1.1.1.23)</v>
      </c>
    </row>
    <row r="7" spans="1:14">
      <c r="A7">
        <v>6</v>
      </c>
      <c r="B7" s="4" t="s">
        <v>7598</v>
      </c>
      <c r="C7" s="4" t="str">
        <f t="shared" si="3"/>
        <v>E1.1.1.25_mRNA</v>
      </c>
      <c r="D7" s="4" t="s">
        <v>12975</v>
      </c>
      <c r="E7" s="22" t="str">
        <f t="shared" si="4"/>
        <v>E1.1.1.25_kcat : 13.7</v>
      </c>
      <c r="F7" s="23" t="str">
        <f t="shared" si="0"/>
        <v>E1.1.1.25_km : 1</v>
      </c>
      <c r="G7" s="24" t="str">
        <f t="shared" si="1"/>
        <v>E1.1.1.25_mRNA : E1.1.1.25_mRNA</v>
      </c>
      <c r="H7" s="25" t="str">
        <f t="shared" si="2"/>
        <v>E1.1.1.25 : E1.1.1.25</v>
      </c>
      <c r="I7" s="26" t="str">
        <f t="shared" si="5"/>
        <v>E1.1.1.25_mRNA : 0</v>
      </c>
      <c r="J7" s="27" t="str">
        <f t="shared" si="6"/>
        <v>E1.1.1.25 : 0</v>
      </c>
      <c r="K7" s="28" t="str">
        <f t="shared" si="7"/>
        <v>0.00292 - (0.0093 * E1.1.1.25_mRNA)</v>
      </c>
      <c r="L7" s="24" t="str">
        <f t="shared" si="8"/>
        <v>(0.278 * E1.1.1.25_mRNA) - (0.00000278 * E1.1.1.25)</v>
      </c>
      <c r="M7" s="29" t="str">
        <f t="shared" si="9"/>
        <v>mRNA6: -&gt; E1.1.1.25_mRNA | 0.00292 - (0.0093 * E1.1.1.25_mRNA)</v>
      </c>
      <c r="N7" s="22" t="str">
        <f t="shared" si="10"/>
        <v>Peptide6: E1.1.1.25_mRNA -&gt; E1.1.1.25 | (0.278 * E1.1.1.25_mRNA) - (0.000000278 * E1.1.1.25)</v>
      </c>
    </row>
    <row r="8" spans="1:14">
      <c r="A8">
        <v>7</v>
      </c>
      <c r="B8" s="4" t="s">
        <v>7641</v>
      </c>
      <c r="C8" s="4" t="str">
        <f t="shared" si="3"/>
        <v>E1.1.1.267_mRNA</v>
      </c>
      <c r="D8" s="4" t="s">
        <v>13007</v>
      </c>
      <c r="E8" s="22" t="str">
        <f t="shared" si="4"/>
        <v>E1.1.1.267_kcat : 13.7</v>
      </c>
      <c r="F8" s="23" t="str">
        <f t="shared" si="0"/>
        <v>E1.1.1.267_km : 1</v>
      </c>
      <c r="G8" s="24" t="str">
        <f t="shared" si="1"/>
        <v>E1.1.1.267_mRNA : E1.1.1.267_mRNA</v>
      </c>
      <c r="H8" s="25" t="str">
        <f t="shared" si="2"/>
        <v>E1.1.1.267 : E1.1.1.267</v>
      </c>
      <c r="I8" s="26" t="str">
        <f t="shared" si="5"/>
        <v>E1.1.1.267_mRNA : 0</v>
      </c>
      <c r="J8" s="27" t="str">
        <f t="shared" si="6"/>
        <v>E1.1.1.267 : 0</v>
      </c>
      <c r="K8" s="28" t="str">
        <f t="shared" si="7"/>
        <v>0.00292 - (0.0093 * E1.1.1.267_mRNA)</v>
      </c>
      <c r="L8" s="24" t="str">
        <f t="shared" si="8"/>
        <v>(0.278 * E1.1.1.267_mRNA) - (0.00000278 * E1.1.1.267)</v>
      </c>
      <c r="M8" s="29" t="str">
        <f t="shared" si="9"/>
        <v>mRNA7: -&gt; E1.1.1.267_mRNA | 0.00292 - (0.0093 * E1.1.1.267_mRNA)</v>
      </c>
      <c r="N8" s="22" t="str">
        <f t="shared" si="10"/>
        <v>Peptide7: E1.1.1.267_mRNA -&gt; E1.1.1.267 | (0.278 * E1.1.1.267_mRNA) - (0.000000278 * E1.1.1.267)</v>
      </c>
    </row>
    <row r="9" spans="1:14">
      <c r="A9">
        <v>8</v>
      </c>
      <c r="B9" s="4" t="s">
        <v>7793</v>
      </c>
      <c r="C9" s="4" t="str">
        <f t="shared" si="3"/>
        <v>E1.1.1.27_mRNA</v>
      </c>
      <c r="D9" s="4" t="s">
        <v>13155</v>
      </c>
      <c r="E9" s="22" t="str">
        <f t="shared" si="4"/>
        <v>E1.1.1.27_kcat : 13.7</v>
      </c>
      <c r="F9" s="23" t="str">
        <f t="shared" si="0"/>
        <v>E1.1.1.27_km : 1</v>
      </c>
      <c r="G9" s="24" t="str">
        <f t="shared" si="1"/>
        <v>E1.1.1.27_mRNA : E1.1.1.27_mRNA</v>
      </c>
      <c r="H9" s="25" t="str">
        <f t="shared" si="2"/>
        <v>E1.1.1.27 : E1.1.1.27</v>
      </c>
      <c r="I9" s="26" t="str">
        <f t="shared" si="5"/>
        <v>E1.1.1.27_mRNA : 0</v>
      </c>
      <c r="J9" s="27" t="str">
        <f t="shared" si="6"/>
        <v>E1.1.1.27 : 0</v>
      </c>
      <c r="K9" s="28" t="str">
        <f t="shared" si="7"/>
        <v>0.00292 - (0.0093 * E1.1.1.27_mRNA)</v>
      </c>
      <c r="L9" s="24" t="str">
        <f t="shared" si="8"/>
        <v>(0.278 * E1.1.1.27_mRNA) - (0.00000278 * E1.1.1.27)</v>
      </c>
      <c r="M9" s="29" t="str">
        <f t="shared" si="9"/>
        <v>mRNA8: -&gt; E1.1.1.27_mRNA | 0.00292 - (0.0093 * E1.1.1.27_mRNA)</v>
      </c>
      <c r="N9" s="22" t="str">
        <f t="shared" si="10"/>
        <v>Peptide8: E1.1.1.27_mRNA -&gt; E1.1.1.27 | (0.278 * E1.1.1.27_mRNA) - (0.000000278 * E1.1.1.27)</v>
      </c>
    </row>
    <row r="10" spans="1:14">
      <c r="A10">
        <v>9</v>
      </c>
      <c r="B10" s="4" t="s">
        <v>7511</v>
      </c>
      <c r="C10" s="4" t="str">
        <f t="shared" si="3"/>
        <v>E1.1.1.3_mRNA</v>
      </c>
      <c r="D10" s="4" t="s">
        <v>12907</v>
      </c>
      <c r="E10" s="22" t="str">
        <f t="shared" si="4"/>
        <v>E1.1.1.3_kcat : 13.7</v>
      </c>
      <c r="F10" s="23" t="str">
        <f t="shared" si="0"/>
        <v>E1.1.1.3_km : 1</v>
      </c>
      <c r="G10" s="24" t="str">
        <f t="shared" si="1"/>
        <v>E1.1.1.3_mRNA : E1.1.1.3_mRNA</v>
      </c>
      <c r="H10" s="25" t="str">
        <f t="shared" si="2"/>
        <v>E1.1.1.3 : E1.1.1.3</v>
      </c>
      <c r="I10" s="26" t="str">
        <f t="shared" si="5"/>
        <v>E1.1.1.3_mRNA : 0</v>
      </c>
      <c r="J10" s="27" t="str">
        <f t="shared" si="6"/>
        <v>E1.1.1.3 : 0</v>
      </c>
      <c r="K10" s="28" t="str">
        <f t="shared" si="7"/>
        <v>0.00292 - (0.0093 * E1.1.1.3_mRNA)</v>
      </c>
      <c r="L10" s="24" t="str">
        <f t="shared" si="8"/>
        <v>(0.278 * E1.1.1.3_mRNA) - (0.00000278 * E1.1.1.3)</v>
      </c>
      <c r="M10" s="29" t="str">
        <f t="shared" si="9"/>
        <v>mRNA9: -&gt; E1.1.1.3_mRNA | 0.00292 - (0.0093 * E1.1.1.3_mRNA)</v>
      </c>
      <c r="N10" s="22" t="str">
        <f t="shared" si="10"/>
        <v>Peptide9: E1.1.1.3_mRNA -&gt; E1.1.1.3 | (0.278 * E1.1.1.3_mRNA) - (0.000000278 * E1.1.1.3)</v>
      </c>
    </row>
    <row r="11" spans="1:14">
      <c r="A11">
        <v>10</v>
      </c>
      <c r="B11" s="4" t="s">
        <v>7337</v>
      </c>
      <c r="C11" s="4" t="str">
        <f t="shared" si="3"/>
        <v>E1.1.1.306_mRNA</v>
      </c>
      <c r="D11" s="4" t="s">
        <v>12792</v>
      </c>
      <c r="E11" s="22" t="str">
        <f t="shared" si="4"/>
        <v>E1.1.1.306_kcat : 13.7</v>
      </c>
      <c r="F11" s="23" t="str">
        <f t="shared" si="0"/>
        <v>E1.1.1.306_km : 1</v>
      </c>
      <c r="G11" s="24" t="str">
        <f t="shared" si="1"/>
        <v>E1.1.1.306_mRNA : E1.1.1.306_mRNA</v>
      </c>
      <c r="H11" s="25" t="str">
        <f t="shared" si="2"/>
        <v>E1.1.1.306 : E1.1.1.306</v>
      </c>
      <c r="I11" s="26" t="str">
        <f t="shared" si="5"/>
        <v>E1.1.1.306_mRNA : 0</v>
      </c>
      <c r="J11" s="27" t="str">
        <f t="shared" si="6"/>
        <v>E1.1.1.306 : 0</v>
      </c>
      <c r="K11" s="28" t="str">
        <f t="shared" si="7"/>
        <v>0.00292 - (0.0093 * E1.1.1.306_mRNA)</v>
      </c>
      <c r="L11" s="24" t="str">
        <f t="shared" si="8"/>
        <v>(0.278 * E1.1.1.306_mRNA) - (0.00000278 * E1.1.1.306)</v>
      </c>
      <c r="M11" s="29" t="str">
        <f t="shared" si="9"/>
        <v>mRNA10: -&gt; E1.1.1.306_mRNA | 0.00292 - (0.0093 * E1.1.1.306_mRNA)</v>
      </c>
      <c r="N11" s="22" t="str">
        <f t="shared" si="10"/>
        <v>Peptide10: E1.1.1.306_mRNA -&gt; E1.1.1.306 | (0.278 * E1.1.1.306_mRNA) - (0.000000278 * E1.1.1.306)</v>
      </c>
    </row>
    <row r="12" spans="1:14">
      <c r="A12">
        <v>11</v>
      </c>
      <c r="B12" s="4" t="s">
        <v>7360</v>
      </c>
      <c r="C12" s="4" t="str">
        <f t="shared" si="3"/>
        <v>E1.1.1.31_mRNA</v>
      </c>
      <c r="D12" s="4" t="s">
        <v>12812</v>
      </c>
      <c r="E12" s="22" t="str">
        <f t="shared" si="4"/>
        <v>E1.1.1.31_kcat : 13.7</v>
      </c>
      <c r="F12" s="23" t="str">
        <f t="shared" si="0"/>
        <v>E1.1.1.31_km : 1</v>
      </c>
      <c r="G12" s="24" t="str">
        <f t="shared" si="1"/>
        <v>E1.1.1.31_mRNA : E1.1.1.31_mRNA</v>
      </c>
      <c r="H12" s="25" t="str">
        <f t="shared" si="2"/>
        <v>E1.1.1.31 : E1.1.1.31</v>
      </c>
      <c r="I12" s="26" t="str">
        <f t="shared" si="5"/>
        <v>E1.1.1.31_mRNA : 0</v>
      </c>
      <c r="J12" s="27" t="str">
        <f t="shared" si="6"/>
        <v>E1.1.1.31 : 0</v>
      </c>
      <c r="K12" s="28" t="str">
        <f t="shared" si="7"/>
        <v>0.00292 - (0.0093 * E1.1.1.31_mRNA)</v>
      </c>
      <c r="L12" s="24" t="str">
        <f t="shared" si="8"/>
        <v>(0.278 * E1.1.1.31_mRNA) - (0.00000278 * E1.1.1.31)</v>
      </c>
      <c r="M12" s="29" t="str">
        <f t="shared" si="9"/>
        <v>mRNA11: -&gt; E1.1.1.31_mRNA | 0.00292 - (0.0093 * E1.1.1.31_mRNA)</v>
      </c>
      <c r="N12" s="22" t="str">
        <f t="shared" si="10"/>
        <v>Peptide11: E1.1.1.31_mRNA -&gt; E1.1.1.31 | (0.278 * E1.1.1.31_mRNA) - (0.000000278 * E1.1.1.31)</v>
      </c>
    </row>
    <row r="13" spans="1:14">
      <c r="A13">
        <v>12</v>
      </c>
      <c r="B13" s="4" t="s">
        <v>7729</v>
      </c>
      <c r="C13" s="4" t="str">
        <f t="shared" si="3"/>
        <v>E1.1.1.311_mRNA</v>
      </c>
      <c r="D13" s="4" t="s">
        <v>13078</v>
      </c>
      <c r="E13" s="22" t="str">
        <f t="shared" si="4"/>
        <v>E1.1.1.311_kcat : 13.7</v>
      </c>
      <c r="F13" s="23" t="str">
        <f t="shared" si="0"/>
        <v>E1.1.1.311_km : 1</v>
      </c>
      <c r="G13" s="24" t="str">
        <f t="shared" si="1"/>
        <v>E1.1.1.311_mRNA : E1.1.1.311_mRNA</v>
      </c>
      <c r="H13" s="25" t="str">
        <f t="shared" si="2"/>
        <v>E1.1.1.311 : E1.1.1.311</v>
      </c>
      <c r="I13" s="26" t="str">
        <f t="shared" si="5"/>
        <v>E1.1.1.311_mRNA : 0</v>
      </c>
      <c r="J13" s="27" t="str">
        <f t="shared" si="6"/>
        <v>E1.1.1.311 : 0</v>
      </c>
      <c r="K13" s="28" t="str">
        <f t="shared" si="7"/>
        <v>0.00292 - (0.0093 * E1.1.1.311_mRNA)</v>
      </c>
      <c r="L13" s="24" t="str">
        <f t="shared" si="8"/>
        <v>(0.278 * E1.1.1.311_mRNA) - (0.00000278 * E1.1.1.311)</v>
      </c>
      <c r="M13" s="29" t="str">
        <f t="shared" si="9"/>
        <v>mRNA12: -&gt; E1.1.1.311_mRNA | 0.00292 - (0.0093 * E1.1.1.311_mRNA)</v>
      </c>
      <c r="N13" s="22" t="str">
        <f t="shared" si="10"/>
        <v>Peptide12: E1.1.1.311_mRNA -&gt; E1.1.1.311 | (0.278 * E1.1.1.311_mRNA) - (0.000000278 * E1.1.1.311)</v>
      </c>
    </row>
    <row r="14" spans="1:14">
      <c r="A14">
        <v>13</v>
      </c>
      <c r="B14" s="4" t="s">
        <v>7731</v>
      </c>
      <c r="C14" s="4" t="str">
        <f t="shared" si="3"/>
        <v>E1.1.1.346_mRNA</v>
      </c>
      <c r="D14" s="4" t="s">
        <v>13079</v>
      </c>
      <c r="E14" s="22" t="str">
        <f t="shared" si="4"/>
        <v>E1.1.1.346_kcat : 13.7</v>
      </c>
      <c r="F14" s="23" t="str">
        <f t="shared" si="0"/>
        <v>E1.1.1.346_km : 1</v>
      </c>
      <c r="G14" s="24" t="str">
        <f t="shared" si="1"/>
        <v>E1.1.1.346_mRNA : E1.1.1.346_mRNA</v>
      </c>
      <c r="H14" s="25" t="str">
        <f t="shared" si="2"/>
        <v>E1.1.1.346 : E1.1.1.346</v>
      </c>
      <c r="I14" s="26" t="str">
        <f t="shared" si="5"/>
        <v>E1.1.1.346_mRNA : 0</v>
      </c>
      <c r="J14" s="27" t="str">
        <f t="shared" si="6"/>
        <v>E1.1.1.346 : 0</v>
      </c>
      <c r="K14" s="28" t="str">
        <f t="shared" si="7"/>
        <v>0.00292 - (0.0093 * E1.1.1.346_mRNA)</v>
      </c>
      <c r="L14" s="24" t="str">
        <f t="shared" si="8"/>
        <v>(0.278 * E1.1.1.346_mRNA) - (0.00000278 * E1.1.1.346)</v>
      </c>
      <c r="M14" s="29" t="str">
        <f t="shared" si="9"/>
        <v>mRNA13: -&gt; E1.1.1.346_mRNA | 0.00292 - (0.0093 * E1.1.1.346_mRNA)</v>
      </c>
      <c r="N14" s="22" t="str">
        <f t="shared" si="10"/>
        <v>Peptide13: E1.1.1.346_mRNA -&gt; E1.1.1.346 | (0.278 * E1.1.1.346_mRNA) - (0.000000278 * E1.1.1.346)</v>
      </c>
    </row>
    <row r="15" spans="1:14">
      <c r="A15">
        <v>14</v>
      </c>
      <c r="B15" s="4" t="s">
        <v>7313</v>
      </c>
      <c r="C15" s="4" t="str">
        <f t="shared" si="3"/>
        <v>E1.1.1.36_mRNA</v>
      </c>
      <c r="D15" s="4" t="s">
        <v>12776</v>
      </c>
      <c r="E15" s="22" t="str">
        <f t="shared" si="4"/>
        <v>E1.1.1.36_kcat : 13.7</v>
      </c>
      <c r="F15" s="23" t="str">
        <f t="shared" si="0"/>
        <v>E1.1.1.36_km : 1</v>
      </c>
      <c r="G15" s="24" t="str">
        <f t="shared" si="1"/>
        <v>E1.1.1.36_mRNA : E1.1.1.36_mRNA</v>
      </c>
      <c r="H15" s="25" t="str">
        <f t="shared" si="2"/>
        <v>E1.1.1.36 : E1.1.1.36</v>
      </c>
      <c r="I15" s="26" t="str">
        <f t="shared" si="5"/>
        <v>E1.1.1.36_mRNA : 0</v>
      </c>
      <c r="J15" s="27" t="str">
        <f t="shared" si="6"/>
        <v>E1.1.1.36 : 0</v>
      </c>
      <c r="K15" s="28" t="str">
        <f t="shared" si="7"/>
        <v>0.00292 - (0.0093 * E1.1.1.36_mRNA)</v>
      </c>
      <c r="L15" s="24" t="str">
        <f t="shared" si="8"/>
        <v>(0.278 * E1.1.1.36_mRNA) - (0.00000278 * E1.1.1.36)</v>
      </c>
      <c r="M15" s="29" t="str">
        <f t="shared" si="9"/>
        <v>mRNA14: -&gt; E1.1.1.36_mRNA | 0.00292 - (0.0093 * E1.1.1.36_mRNA)</v>
      </c>
      <c r="N15" s="22" t="str">
        <f t="shared" si="10"/>
        <v>Peptide14: E1.1.1.36_mRNA -&gt; E1.1.1.36 | (0.278 * E1.1.1.36_mRNA) - (0.000000278 * E1.1.1.36)</v>
      </c>
    </row>
    <row r="16" spans="1:14">
      <c r="A16">
        <v>15</v>
      </c>
      <c r="B16" s="4" t="s">
        <v>7728</v>
      </c>
      <c r="C16" s="4" t="str">
        <f t="shared" si="3"/>
        <v>E1.1.1.37_mRNA</v>
      </c>
      <c r="D16" s="4" t="s">
        <v>13077</v>
      </c>
      <c r="E16" s="22" t="str">
        <f t="shared" si="4"/>
        <v>E1.1.1.37_kcat : 13.7</v>
      </c>
      <c r="F16" s="23" t="str">
        <f t="shared" si="0"/>
        <v>E1.1.1.37_km : 1</v>
      </c>
      <c r="G16" s="24" t="str">
        <f t="shared" si="1"/>
        <v>E1.1.1.37_mRNA : E1.1.1.37_mRNA</v>
      </c>
      <c r="H16" s="25" t="str">
        <f t="shared" si="2"/>
        <v>E1.1.1.37 : E1.1.1.37</v>
      </c>
      <c r="I16" s="26" t="str">
        <f t="shared" si="5"/>
        <v>E1.1.1.37_mRNA : 0</v>
      </c>
      <c r="J16" s="27" t="str">
        <f t="shared" si="6"/>
        <v>E1.1.1.37 : 0</v>
      </c>
      <c r="K16" s="28" t="str">
        <f t="shared" si="7"/>
        <v>0.00292 - (0.0093 * E1.1.1.37_mRNA)</v>
      </c>
      <c r="L16" s="24" t="str">
        <f t="shared" si="8"/>
        <v>(0.278 * E1.1.1.37_mRNA) - (0.00000278 * E1.1.1.37)</v>
      </c>
      <c r="M16" s="29" t="str">
        <f t="shared" si="9"/>
        <v>mRNA15: -&gt; E1.1.1.37_mRNA | 0.00292 - (0.0093 * E1.1.1.37_mRNA)</v>
      </c>
      <c r="N16" s="22" t="str">
        <f t="shared" si="10"/>
        <v>Peptide15: E1.1.1.37_mRNA -&gt; E1.1.1.37 | (0.278 * E1.1.1.37_mRNA) - (0.000000278 * E1.1.1.37)</v>
      </c>
    </row>
    <row r="17" spans="1:14">
      <c r="A17">
        <v>16</v>
      </c>
      <c r="B17" s="4" t="s">
        <v>7394</v>
      </c>
      <c r="C17" s="4" t="str">
        <f t="shared" si="3"/>
        <v>E1.1.1.42_mRNA</v>
      </c>
      <c r="D17" s="4" t="s">
        <v>12832</v>
      </c>
      <c r="E17" s="22" t="str">
        <f t="shared" si="4"/>
        <v>E1.1.1.42_kcat : 13.7</v>
      </c>
      <c r="F17" s="23" t="str">
        <f t="shared" si="0"/>
        <v>E1.1.1.42_km : 1</v>
      </c>
      <c r="G17" s="24" t="str">
        <f t="shared" si="1"/>
        <v>E1.1.1.42_mRNA : E1.1.1.42_mRNA</v>
      </c>
      <c r="H17" s="25" t="str">
        <f t="shared" si="2"/>
        <v>E1.1.1.42 : E1.1.1.42</v>
      </c>
      <c r="I17" s="26" t="str">
        <f t="shared" si="5"/>
        <v>E1.1.1.42_mRNA : 0</v>
      </c>
      <c r="J17" s="27" t="str">
        <f t="shared" si="6"/>
        <v>E1.1.1.42 : 0</v>
      </c>
      <c r="K17" s="28" t="str">
        <f t="shared" si="7"/>
        <v>0.00292 - (0.0093 * E1.1.1.42_mRNA)</v>
      </c>
      <c r="L17" s="24" t="str">
        <f t="shared" si="8"/>
        <v>(0.278 * E1.1.1.42_mRNA) - (0.00000278 * E1.1.1.42)</v>
      </c>
      <c r="M17" s="29" t="str">
        <f t="shared" si="9"/>
        <v>mRNA16: -&gt; E1.1.1.42_mRNA | 0.00292 - (0.0093 * E1.1.1.42_mRNA)</v>
      </c>
      <c r="N17" s="22" t="str">
        <f t="shared" si="10"/>
        <v>Peptide16: E1.1.1.42_mRNA -&gt; E1.1.1.42 | (0.278 * E1.1.1.42_mRNA) - (0.000000278 * E1.1.1.42)</v>
      </c>
    </row>
    <row r="18" spans="1:14">
      <c r="A18">
        <v>17</v>
      </c>
      <c r="B18" s="4" t="s">
        <v>7557</v>
      </c>
      <c r="C18" s="4" t="str">
        <f t="shared" si="3"/>
        <v>E1.1.1.44_mRNA</v>
      </c>
      <c r="D18" s="4" t="s">
        <v>12943</v>
      </c>
      <c r="E18" s="22" t="str">
        <f t="shared" si="4"/>
        <v>E1.1.1.44_kcat : 13.7</v>
      </c>
      <c r="F18" s="23" t="str">
        <f t="shared" si="0"/>
        <v>E1.1.1.44_km : 1</v>
      </c>
      <c r="G18" s="24" t="str">
        <f t="shared" si="1"/>
        <v>E1.1.1.44_mRNA : E1.1.1.44_mRNA</v>
      </c>
      <c r="H18" s="25" t="str">
        <f t="shared" si="2"/>
        <v>E1.1.1.44 : E1.1.1.44</v>
      </c>
      <c r="I18" s="26" t="str">
        <f t="shared" si="5"/>
        <v>E1.1.1.44_mRNA : 0</v>
      </c>
      <c r="J18" s="27" t="str">
        <f t="shared" si="6"/>
        <v>E1.1.1.44 : 0</v>
      </c>
      <c r="K18" s="28" t="str">
        <f t="shared" si="7"/>
        <v>0.00292 - (0.0093 * E1.1.1.44_mRNA)</v>
      </c>
      <c r="L18" s="24" t="str">
        <f t="shared" si="8"/>
        <v>(0.278 * E1.1.1.44_mRNA) - (0.00000278 * E1.1.1.44)</v>
      </c>
      <c r="M18" s="29" t="str">
        <f t="shared" si="9"/>
        <v>mRNA17: -&gt; E1.1.1.44_mRNA | 0.00292 - (0.0093 * E1.1.1.44_mRNA)</v>
      </c>
      <c r="N18" s="22" t="str">
        <f t="shared" si="10"/>
        <v>Peptide17: E1.1.1.44_mRNA -&gt; E1.1.1.44 | (0.278 * E1.1.1.44_mRNA) - (0.000000278 * E1.1.1.44)</v>
      </c>
    </row>
    <row r="19" spans="1:14">
      <c r="A19">
        <v>18</v>
      </c>
      <c r="B19" s="4" t="s">
        <v>7580</v>
      </c>
      <c r="C19" s="4" t="str">
        <f t="shared" si="3"/>
        <v>E1.1.1.49_mRNA</v>
      </c>
      <c r="D19" s="4" t="s">
        <v>12957</v>
      </c>
      <c r="E19" s="22" t="str">
        <f t="shared" si="4"/>
        <v>E1.1.1.49_kcat : 13.7</v>
      </c>
      <c r="F19" s="23" t="str">
        <f t="shared" si="0"/>
        <v>E1.1.1.49_km : 1</v>
      </c>
      <c r="G19" s="24" t="str">
        <f t="shared" si="1"/>
        <v>E1.1.1.49_mRNA : E1.1.1.49_mRNA</v>
      </c>
      <c r="H19" s="25" t="str">
        <f t="shared" si="2"/>
        <v>E1.1.1.49 : E1.1.1.49</v>
      </c>
      <c r="I19" s="26" t="str">
        <f t="shared" si="5"/>
        <v>E1.1.1.49_mRNA : 0</v>
      </c>
      <c r="J19" s="27" t="str">
        <f t="shared" si="6"/>
        <v>E1.1.1.49 : 0</v>
      </c>
      <c r="K19" s="28" t="str">
        <f t="shared" si="7"/>
        <v>0.00292 - (0.0093 * E1.1.1.49_mRNA)</v>
      </c>
      <c r="L19" s="24" t="str">
        <f t="shared" si="8"/>
        <v>(0.278 * E1.1.1.49_mRNA) - (0.00000278 * E1.1.1.49)</v>
      </c>
      <c r="M19" s="29" t="str">
        <f t="shared" si="9"/>
        <v>mRNA18: -&gt; E1.1.1.49_mRNA | 0.00292 - (0.0093 * E1.1.1.49_mRNA)</v>
      </c>
      <c r="N19" s="22" t="str">
        <f t="shared" si="10"/>
        <v>Peptide18: E1.1.1.49_mRNA -&gt; E1.1.1.49 | (0.278 * E1.1.1.49_mRNA) - (0.000000278 * E1.1.1.49)</v>
      </c>
    </row>
    <row r="20" spans="1:14">
      <c r="A20">
        <v>19</v>
      </c>
      <c r="B20" s="4" t="s">
        <v>7720</v>
      </c>
      <c r="C20" s="4" t="str">
        <f t="shared" si="3"/>
        <v>E1.1.1.79_mRNA</v>
      </c>
      <c r="D20" s="4" t="s">
        <v>13070</v>
      </c>
      <c r="E20" s="22" t="str">
        <f t="shared" si="4"/>
        <v>E1.1.1.79_kcat : 13.7</v>
      </c>
      <c r="F20" s="23" t="str">
        <f t="shared" si="0"/>
        <v>E1.1.1.79_km : 1</v>
      </c>
      <c r="G20" s="24" t="str">
        <f t="shared" si="1"/>
        <v>E1.1.1.79_mRNA : E1.1.1.79_mRNA</v>
      </c>
      <c r="H20" s="25" t="str">
        <f t="shared" si="2"/>
        <v>E1.1.1.79 : E1.1.1.79</v>
      </c>
      <c r="I20" s="26" t="str">
        <f t="shared" si="5"/>
        <v>E1.1.1.79_mRNA : 0</v>
      </c>
      <c r="J20" s="27" t="str">
        <f t="shared" si="6"/>
        <v>E1.1.1.79 : 0</v>
      </c>
      <c r="K20" s="28" t="str">
        <f t="shared" si="7"/>
        <v>0.00292 - (0.0093 * E1.1.1.79_mRNA)</v>
      </c>
      <c r="L20" s="24" t="str">
        <f t="shared" si="8"/>
        <v>(0.278 * E1.1.1.79_mRNA) - (0.00000278 * E1.1.1.79)</v>
      </c>
      <c r="M20" s="29" t="str">
        <f t="shared" si="9"/>
        <v>mRNA19: -&gt; E1.1.1.79_mRNA | 0.00292 - (0.0093 * E1.1.1.79_mRNA)</v>
      </c>
      <c r="N20" s="22" t="str">
        <f t="shared" si="10"/>
        <v>Peptide19: E1.1.1.79_mRNA -&gt; E1.1.1.79 | (0.278 * E1.1.1.79_mRNA) - (0.000000278 * E1.1.1.79)</v>
      </c>
    </row>
    <row r="21" spans="1:14">
      <c r="A21">
        <v>20</v>
      </c>
      <c r="B21" s="4" t="s">
        <v>7526</v>
      </c>
      <c r="C21" s="4" t="str">
        <f t="shared" si="3"/>
        <v>E1.1.1.85_mRNA</v>
      </c>
      <c r="D21" s="4" t="s">
        <v>12918</v>
      </c>
      <c r="E21" s="22" t="str">
        <f t="shared" si="4"/>
        <v>E1.1.1.85_kcat : 13.7</v>
      </c>
      <c r="F21" s="23" t="str">
        <f t="shared" si="0"/>
        <v>E1.1.1.85_km : 1</v>
      </c>
      <c r="G21" s="24" t="str">
        <f t="shared" si="1"/>
        <v>E1.1.1.85_mRNA : E1.1.1.85_mRNA</v>
      </c>
      <c r="H21" s="25" t="str">
        <f t="shared" si="2"/>
        <v>E1.1.1.85 : E1.1.1.85</v>
      </c>
      <c r="I21" s="26" t="str">
        <f t="shared" si="5"/>
        <v>E1.1.1.85_mRNA : 0</v>
      </c>
      <c r="J21" s="27" t="str">
        <f t="shared" si="6"/>
        <v>E1.1.1.85 : 0</v>
      </c>
      <c r="K21" s="28" t="str">
        <f t="shared" si="7"/>
        <v>0.00292 - (0.0093 * E1.1.1.85_mRNA)</v>
      </c>
      <c r="L21" s="24" t="str">
        <f t="shared" si="8"/>
        <v>(0.278 * E1.1.1.85_mRNA) - (0.00000278 * E1.1.1.85)</v>
      </c>
      <c r="M21" s="29" t="str">
        <f t="shared" si="9"/>
        <v>mRNA20: -&gt; E1.1.1.85_mRNA | 0.00292 - (0.0093 * E1.1.1.85_mRNA)</v>
      </c>
      <c r="N21" s="22" t="str">
        <f t="shared" si="10"/>
        <v>Peptide20: E1.1.1.85_mRNA -&gt; E1.1.1.85 | (0.278 * E1.1.1.85_mRNA) - (0.000000278 * E1.1.1.85)</v>
      </c>
    </row>
    <row r="22" spans="1:14">
      <c r="A22">
        <v>21</v>
      </c>
      <c r="B22" s="4" t="s">
        <v>7524</v>
      </c>
      <c r="C22" s="4" t="str">
        <f t="shared" si="3"/>
        <v>E1.1.1.86_mRNA</v>
      </c>
      <c r="D22" s="4" t="s">
        <v>12916</v>
      </c>
      <c r="E22" s="22" t="str">
        <f t="shared" si="4"/>
        <v>E1.1.1.86_kcat : 13.7</v>
      </c>
      <c r="F22" s="23" t="str">
        <f t="shared" si="0"/>
        <v>E1.1.1.86_km : 1</v>
      </c>
      <c r="G22" s="24" t="str">
        <f t="shared" si="1"/>
        <v>E1.1.1.86_mRNA : E1.1.1.86_mRNA</v>
      </c>
      <c r="H22" s="25" t="str">
        <f t="shared" si="2"/>
        <v>E1.1.1.86 : E1.1.1.86</v>
      </c>
      <c r="I22" s="26" t="str">
        <f t="shared" si="5"/>
        <v>E1.1.1.86_mRNA : 0</v>
      </c>
      <c r="J22" s="27" t="str">
        <f t="shared" si="6"/>
        <v>E1.1.1.86 : 0</v>
      </c>
      <c r="K22" s="28" t="str">
        <f t="shared" si="7"/>
        <v>0.00292 - (0.0093 * E1.1.1.86_mRNA)</v>
      </c>
      <c r="L22" s="24" t="str">
        <f t="shared" si="8"/>
        <v>(0.278 * E1.1.1.86_mRNA) - (0.00000278 * E1.1.1.86)</v>
      </c>
      <c r="M22" s="29" t="str">
        <f t="shared" si="9"/>
        <v>mRNA21: -&gt; E1.1.1.86_mRNA | 0.00292 - (0.0093 * E1.1.1.86_mRNA)</v>
      </c>
      <c r="N22" s="22" t="str">
        <f t="shared" si="10"/>
        <v>Peptide21: E1.1.1.86_mRNA -&gt; E1.1.1.86 | (0.278 * E1.1.1.86_mRNA) - (0.000000278 * E1.1.1.86)</v>
      </c>
    </row>
    <row r="23" spans="1:14">
      <c r="A23">
        <v>22</v>
      </c>
      <c r="B23" s="4" t="s">
        <v>7530</v>
      </c>
      <c r="C23" s="4" t="str">
        <f t="shared" si="3"/>
        <v>E1.1.1.94_mRNA</v>
      </c>
      <c r="D23" s="4" t="s">
        <v>12922</v>
      </c>
      <c r="E23" s="22" t="str">
        <f t="shared" si="4"/>
        <v>E1.1.1.94_kcat : 13.7</v>
      </c>
      <c r="F23" s="23" t="str">
        <f t="shared" si="0"/>
        <v>E1.1.1.94_km : 1</v>
      </c>
      <c r="G23" s="24" t="str">
        <f t="shared" si="1"/>
        <v>E1.1.1.94_mRNA : E1.1.1.94_mRNA</v>
      </c>
      <c r="H23" s="25" t="str">
        <f t="shared" si="2"/>
        <v>E1.1.1.94 : E1.1.1.94</v>
      </c>
      <c r="I23" s="26" t="str">
        <f t="shared" si="5"/>
        <v>E1.1.1.94_mRNA : 0</v>
      </c>
      <c r="J23" s="27" t="str">
        <f t="shared" si="6"/>
        <v>E1.1.1.94 : 0</v>
      </c>
      <c r="K23" s="28" t="str">
        <f t="shared" si="7"/>
        <v>0.00292 - (0.0093 * E1.1.1.94_mRNA)</v>
      </c>
      <c r="L23" s="24" t="str">
        <f t="shared" si="8"/>
        <v>(0.278 * E1.1.1.94_mRNA) - (0.00000278 * E1.1.1.94)</v>
      </c>
      <c r="M23" s="29" t="str">
        <f t="shared" si="9"/>
        <v>mRNA22: -&gt; E1.1.1.94_mRNA | 0.00292 - (0.0093 * E1.1.1.94_mRNA)</v>
      </c>
      <c r="N23" s="22" t="str">
        <f t="shared" si="10"/>
        <v>Peptide22: E1.1.1.94_mRNA -&gt; E1.1.1.94 | (0.278 * E1.1.1.94_mRNA) - (0.000000278 * E1.1.1.94)</v>
      </c>
    </row>
    <row r="24" spans="1:14">
      <c r="A24">
        <v>23</v>
      </c>
      <c r="B24" s="4" t="s">
        <v>7525</v>
      </c>
      <c r="C24" s="4" t="str">
        <f t="shared" si="3"/>
        <v>E1.1.1.95_mRNA</v>
      </c>
      <c r="D24" s="4" t="s">
        <v>12917</v>
      </c>
      <c r="E24" s="22" t="str">
        <f t="shared" si="4"/>
        <v>E1.1.1.95_kcat : 13.7</v>
      </c>
      <c r="F24" s="23" t="str">
        <f t="shared" si="0"/>
        <v>E1.1.1.95_km : 1</v>
      </c>
      <c r="G24" s="24" t="str">
        <f t="shared" si="1"/>
        <v>E1.1.1.95_mRNA : E1.1.1.95_mRNA</v>
      </c>
      <c r="H24" s="25" t="str">
        <f t="shared" si="2"/>
        <v>E1.1.1.95 : E1.1.1.95</v>
      </c>
      <c r="I24" s="26" t="str">
        <f t="shared" si="5"/>
        <v>E1.1.1.95_mRNA : 0</v>
      </c>
      <c r="J24" s="27" t="str">
        <f t="shared" si="6"/>
        <v>E1.1.1.95 : 0</v>
      </c>
      <c r="K24" s="28" t="str">
        <f t="shared" si="7"/>
        <v>0.00292 - (0.0093 * E1.1.1.95_mRNA)</v>
      </c>
      <c r="L24" s="24" t="str">
        <f t="shared" si="8"/>
        <v>(0.278 * E1.1.1.95_mRNA) - (0.00000278 * E1.1.1.95)</v>
      </c>
      <c r="M24" s="29" t="str">
        <f t="shared" si="9"/>
        <v>mRNA23: -&gt; E1.1.1.95_mRNA | 0.00292 - (0.0093 * E1.1.1.95_mRNA)</v>
      </c>
      <c r="N24" s="22" t="str">
        <f t="shared" si="10"/>
        <v>Peptide23: E1.1.1.95_mRNA -&gt; E1.1.1.95 | (0.278 * E1.1.1.95_mRNA) - (0.000000278 * E1.1.1.95)</v>
      </c>
    </row>
    <row r="25" spans="1:14">
      <c r="A25">
        <v>24</v>
      </c>
      <c r="B25" s="4" t="s">
        <v>7799</v>
      </c>
      <c r="C25" s="4" t="str">
        <f t="shared" si="3"/>
        <v>E1.1.5.3_mRNA</v>
      </c>
      <c r="D25" s="4" t="s">
        <v>13149</v>
      </c>
      <c r="E25" s="22" t="str">
        <f t="shared" si="4"/>
        <v>E1.1.5.3_kcat : 13.7</v>
      </c>
      <c r="F25" s="23" t="str">
        <f t="shared" si="0"/>
        <v>E1.1.5.3_km : 1</v>
      </c>
      <c r="G25" s="24" t="str">
        <f t="shared" si="1"/>
        <v>E1.1.5.3_mRNA : E1.1.5.3_mRNA</v>
      </c>
      <c r="H25" s="25" t="str">
        <f t="shared" si="2"/>
        <v>E1.1.5.3 : E1.1.5.3</v>
      </c>
      <c r="I25" s="26" t="str">
        <f t="shared" si="5"/>
        <v>E1.1.5.3_mRNA : 0</v>
      </c>
      <c r="J25" s="27" t="str">
        <f t="shared" si="6"/>
        <v>E1.1.5.3 : 0</v>
      </c>
      <c r="K25" s="28" t="str">
        <f t="shared" si="7"/>
        <v>0.00292 - (0.0093 * E1.1.5.3_mRNA)</v>
      </c>
      <c r="L25" s="24" t="str">
        <f t="shared" si="8"/>
        <v>(0.278 * E1.1.5.3_mRNA) - (0.00000278 * E1.1.5.3)</v>
      </c>
      <c r="M25" s="29" t="str">
        <f t="shared" si="9"/>
        <v>mRNA24: -&gt; E1.1.5.3_mRNA | 0.00292 - (0.0093 * E1.1.5.3_mRNA)</v>
      </c>
      <c r="N25" s="22" t="str">
        <f t="shared" si="10"/>
        <v>Peptide24: E1.1.5.3_mRNA -&gt; E1.1.5.3 | (0.278 * E1.1.5.3_mRNA) - (0.000000278 * E1.1.5.3)</v>
      </c>
    </row>
    <row r="26" spans="1:14">
      <c r="A26">
        <v>25</v>
      </c>
      <c r="B26" s="4" t="s">
        <v>7638</v>
      </c>
      <c r="C26" s="4" t="str">
        <f t="shared" si="3"/>
        <v>E1.1.5.4_mRNA</v>
      </c>
      <c r="D26" s="4" t="s">
        <v>13004</v>
      </c>
      <c r="E26" s="22" t="str">
        <f t="shared" si="4"/>
        <v>E1.1.5.4_kcat : 13.7</v>
      </c>
      <c r="F26" s="23" t="str">
        <f t="shared" si="0"/>
        <v>E1.1.5.4_km : 1</v>
      </c>
      <c r="G26" s="24" t="str">
        <f t="shared" si="1"/>
        <v>E1.1.5.4_mRNA : E1.1.5.4_mRNA</v>
      </c>
      <c r="H26" s="25" t="str">
        <f t="shared" si="2"/>
        <v>E1.1.5.4 : E1.1.5.4</v>
      </c>
      <c r="I26" s="26" t="str">
        <f t="shared" si="5"/>
        <v>E1.1.5.4_mRNA : 0</v>
      </c>
      <c r="J26" s="27" t="str">
        <f t="shared" si="6"/>
        <v>E1.1.5.4 : 0</v>
      </c>
      <c r="K26" s="28" t="str">
        <f t="shared" si="7"/>
        <v>0.00292 - (0.0093 * E1.1.5.4_mRNA)</v>
      </c>
      <c r="L26" s="24" t="str">
        <f t="shared" si="8"/>
        <v>(0.278 * E1.1.5.4_mRNA) - (0.00000278 * E1.1.5.4)</v>
      </c>
      <c r="M26" s="29" t="str">
        <f t="shared" si="9"/>
        <v>mRNA25: -&gt; E1.1.5.4_mRNA | 0.00292 - (0.0093 * E1.1.5.4_mRNA)</v>
      </c>
      <c r="N26" s="22" t="str">
        <f t="shared" si="10"/>
        <v>Peptide25: E1.1.5.4_mRNA -&gt; E1.1.5.4 | (0.278 * E1.1.5.4_mRNA) - (0.000000278 * E1.1.5.4)</v>
      </c>
    </row>
    <row r="27" spans="1:14">
      <c r="A27">
        <v>26</v>
      </c>
      <c r="B27" s="4" t="s">
        <v>7305</v>
      </c>
      <c r="C27" s="4" t="str">
        <f t="shared" si="3"/>
        <v>E1.1.99.1_mRNA</v>
      </c>
      <c r="D27" s="4" t="s">
        <v>12771</v>
      </c>
      <c r="E27" s="22" t="str">
        <f t="shared" si="4"/>
        <v>E1.1.99.1_kcat : 13.7</v>
      </c>
      <c r="F27" s="23" t="str">
        <f t="shared" si="0"/>
        <v>E1.1.99.1_km : 1</v>
      </c>
      <c r="G27" s="24" t="str">
        <f t="shared" si="1"/>
        <v>E1.1.99.1_mRNA : E1.1.99.1_mRNA</v>
      </c>
      <c r="H27" s="25" t="str">
        <f t="shared" si="2"/>
        <v>E1.1.99.1 : E1.1.99.1</v>
      </c>
      <c r="I27" s="26" t="str">
        <f t="shared" si="5"/>
        <v>E1.1.99.1_mRNA : 0</v>
      </c>
      <c r="J27" s="27" t="str">
        <f t="shared" si="6"/>
        <v>E1.1.99.1 : 0</v>
      </c>
      <c r="K27" s="28" t="str">
        <f t="shared" si="7"/>
        <v>0.00292 - (0.0093 * E1.1.99.1_mRNA)</v>
      </c>
      <c r="L27" s="24" t="str">
        <f t="shared" si="8"/>
        <v>(0.278 * E1.1.99.1_mRNA) - (0.00000278 * E1.1.99.1)</v>
      </c>
      <c r="M27" s="29" t="str">
        <f t="shared" si="9"/>
        <v>mRNA26: -&gt; E1.1.99.1_mRNA | 0.00292 - (0.0093 * E1.1.99.1_mRNA)</v>
      </c>
      <c r="N27" s="22" t="str">
        <f t="shared" si="10"/>
        <v>Peptide26: E1.1.99.1_mRNA -&gt; E1.1.99.1 | (0.278 * E1.1.99.1_mRNA) - (0.000000278 * E1.1.99.1)</v>
      </c>
    </row>
    <row r="28" spans="1:14">
      <c r="A28">
        <v>27</v>
      </c>
      <c r="B28" s="4" t="s">
        <v>7621</v>
      </c>
      <c r="C28" s="4" t="str">
        <f t="shared" si="3"/>
        <v>E1.11.1.24_mRNA</v>
      </c>
      <c r="D28" s="4" t="s">
        <v>12994</v>
      </c>
      <c r="E28" s="22" t="str">
        <f t="shared" si="4"/>
        <v>E1.11.1.24_kcat : 13.7</v>
      </c>
      <c r="F28" s="23" t="str">
        <f t="shared" si="0"/>
        <v>E1.11.1.24_km : 1</v>
      </c>
      <c r="G28" s="24" t="str">
        <f t="shared" si="1"/>
        <v>E1.11.1.24_mRNA : E1.11.1.24_mRNA</v>
      </c>
      <c r="H28" s="25" t="str">
        <f t="shared" si="2"/>
        <v>E1.11.1.24 : E1.11.1.24</v>
      </c>
      <c r="I28" s="26" t="str">
        <f t="shared" si="5"/>
        <v>E1.11.1.24_mRNA : 0</v>
      </c>
      <c r="J28" s="27" t="str">
        <f t="shared" si="6"/>
        <v>E1.11.1.24 : 0</v>
      </c>
      <c r="K28" s="28" t="str">
        <f t="shared" si="7"/>
        <v>0.00292 - (0.0093 * E1.11.1.24_mRNA)</v>
      </c>
      <c r="L28" s="24" t="str">
        <f t="shared" si="8"/>
        <v>(0.278 * E1.11.1.24_mRNA) - (0.00000278 * E1.11.1.24)</v>
      </c>
      <c r="M28" s="29" t="str">
        <f t="shared" si="9"/>
        <v>mRNA27: -&gt; E1.11.1.24_mRNA | 0.00292 - (0.0093 * E1.11.1.24_mRNA)</v>
      </c>
      <c r="N28" s="22" t="str">
        <f t="shared" si="10"/>
        <v>Peptide27: E1.11.1.24_mRNA -&gt; E1.11.1.24 | (0.278 * E1.11.1.24_mRNA) - (0.000000278 * E1.11.1.24)</v>
      </c>
    </row>
    <row r="29" spans="1:14">
      <c r="A29">
        <v>28</v>
      </c>
      <c r="B29" s="4" t="s">
        <v>7330</v>
      </c>
      <c r="C29" s="4" t="str">
        <f t="shared" si="3"/>
        <v>E1.11.1.6_mRNA</v>
      </c>
      <c r="D29" s="4" t="s">
        <v>12788</v>
      </c>
      <c r="E29" s="22" t="str">
        <f t="shared" si="4"/>
        <v>E1.11.1.6_kcat : 13.7</v>
      </c>
      <c r="F29" s="23" t="str">
        <f t="shared" si="0"/>
        <v>E1.11.1.6_km : 1</v>
      </c>
      <c r="G29" s="24" t="str">
        <f t="shared" si="1"/>
        <v>E1.11.1.6_mRNA : E1.11.1.6_mRNA</v>
      </c>
      <c r="H29" s="25" t="str">
        <f t="shared" si="2"/>
        <v>E1.11.1.6 : E1.11.1.6</v>
      </c>
      <c r="I29" s="26" t="str">
        <f t="shared" si="5"/>
        <v>E1.11.1.6_mRNA : 0</v>
      </c>
      <c r="J29" s="27" t="str">
        <f t="shared" si="6"/>
        <v>E1.11.1.6 : 0</v>
      </c>
      <c r="K29" s="28" t="str">
        <f t="shared" si="7"/>
        <v>0.00292 - (0.0093 * E1.11.1.6_mRNA)</v>
      </c>
      <c r="L29" s="24" t="str">
        <f t="shared" si="8"/>
        <v>(0.278 * E1.11.1.6_mRNA) - (0.00000278 * E1.11.1.6)</v>
      </c>
      <c r="M29" s="29" t="str">
        <f t="shared" si="9"/>
        <v>mRNA28: -&gt; E1.11.1.6_mRNA | 0.00292 - (0.0093 * E1.11.1.6_mRNA)</v>
      </c>
      <c r="N29" s="22" t="str">
        <f t="shared" si="10"/>
        <v>Peptide28: E1.11.1.6_mRNA -&gt; E1.11.1.6 | (0.278 * E1.11.1.6_mRNA) - (0.000000278 * E1.11.1.6)</v>
      </c>
    </row>
    <row r="30" spans="1:14">
      <c r="A30">
        <v>29</v>
      </c>
      <c r="B30" s="4" t="s">
        <v>7615</v>
      </c>
      <c r="C30" s="4" t="str">
        <f t="shared" si="3"/>
        <v>E1.13.11.49_mRNA</v>
      </c>
      <c r="D30" s="4" t="s">
        <v>12989</v>
      </c>
      <c r="E30" s="22" t="str">
        <f t="shared" si="4"/>
        <v>E1.13.11.49_kcat : 13.7</v>
      </c>
      <c r="F30" s="23" t="str">
        <f t="shared" si="0"/>
        <v>E1.13.11.49_km : 1</v>
      </c>
      <c r="G30" s="24" t="str">
        <f t="shared" si="1"/>
        <v>E1.13.11.49_mRNA : E1.13.11.49_mRNA</v>
      </c>
      <c r="H30" s="25" t="str">
        <f t="shared" si="2"/>
        <v>E1.13.11.49 : E1.13.11.49</v>
      </c>
      <c r="I30" s="26" t="str">
        <f t="shared" si="5"/>
        <v>E1.13.11.49_mRNA : 0</v>
      </c>
      <c r="J30" s="27" t="str">
        <f t="shared" si="6"/>
        <v>E1.13.11.49 : 0</v>
      </c>
      <c r="K30" s="28" t="str">
        <f t="shared" si="7"/>
        <v>0.00292 - (0.0093 * E1.13.11.49_mRNA)</v>
      </c>
      <c r="L30" s="24" t="str">
        <f t="shared" si="8"/>
        <v>(0.278 * E1.13.11.49_mRNA) - (0.00000278 * E1.13.11.49)</v>
      </c>
      <c r="M30" s="29" t="str">
        <f t="shared" si="9"/>
        <v>mRNA29: -&gt; E1.13.11.49_mRNA | 0.00292 - (0.0093 * E1.13.11.49_mRNA)</v>
      </c>
      <c r="N30" s="22" t="str">
        <f t="shared" si="10"/>
        <v>Peptide29: E1.13.11.49_mRNA -&gt; E1.13.11.49 | (0.278 * E1.13.11.49_mRNA) - (0.000000278 * E1.13.11.49)</v>
      </c>
    </row>
    <row r="31" spans="1:14">
      <c r="A31">
        <v>30</v>
      </c>
      <c r="B31" s="4" t="s">
        <v>7714</v>
      </c>
      <c r="C31" s="4" t="str">
        <f t="shared" si="3"/>
        <v>E1.14.13.107_mRNA</v>
      </c>
      <c r="D31" s="4" t="s">
        <v>13065</v>
      </c>
      <c r="E31" s="22" t="str">
        <f t="shared" si="4"/>
        <v>E1.14.13.107_kcat : 13.7</v>
      </c>
      <c r="F31" s="23" t="str">
        <f t="shared" si="0"/>
        <v>E1.14.13.107_km : 1</v>
      </c>
      <c r="G31" s="24" t="str">
        <f t="shared" si="1"/>
        <v>E1.14.13.107_mRNA : E1.14.13.107_mRNA</v>
      </c>
      <c r="H31" s="25" t="str">
        <f t="shared" si="2"/>
        <v>E1.14.13.107 : E1.14.13.107</v>
      </c>
      <c r="I31" s="26" t="str">
        <f t="shared" si="5"/>
        <v>E1.14.13.107_mRNA : 0</v>
      </c>
      <c r="J31" s="27" t="str">
        <f t="shared" si="6"/>
        <v>E1.14.13.107 : 0</v>
      </c>
      <c r="K31" s="28" t="str">
        <f t="shared" si="7"/>
        <v>0.00292 - (0.0093 * E1.14.13.107_mRNA)</v>
      </c>
      <c r="L31" s="24" t="str">
        <f t="shared" si="8"/>
        <v>(0.278 * E1.14.13.107_mRNA) - (0.00000278 * E1.14.13.107)</v>
      </c>
      <c r="M31" s="29" t="str">
        <f t="shared" si="9"/>
        <v>mRNA30: -&gt; E1.14.13.107_mRNA | 0.00292 - (0.0093 * E1.14.13.107_mRNA)</v>
      </c>
      <c r="N31" s="22" t="str">
        <f t="shared" si="10"/>
        <v>Peptide30: E1.14.13.107_mRNA -&gt; E1.14.13.107 | (0.278 * E1.14.13.107_mRNA) - (0.000000278 * E1.14.13.107)</v>
      </c>
    </row>
    <row r="32" spans="1:14">
      <c r="A32">
        <v>31</v>
      </c>
      <c r="B32" s="4" t="s">
        <v>7322</v>
      </c>
      <c r="C32" s="4" t="str">
        <f t="shared" si="3"/>
        <v>E1.14.14.18_mRNA</v>
      </c>
      <c r="D32" s="4" t="s">
        <v>12782</v>
      </c>
      <c r="E32" s="22" t="str">
        <f t="shared" si="4"/>
        <v>E1.14.14.18_kcat : 13.7</v>
      </c>
      <c r="F32" s="23" t="str">
        <f t="shared" si="0"/>
        <v>E1.14.14.18_km : 1</v>
      </c>
      <c r="G32" s="24" t="str">
        <f t="shared" si="1"/>
        <v>E1.14.14.18_mRNA : E1.14.14.18_mRNA</v>
      </c>
      <c r="H32" s="25" t="str">
        <f t="shared" si="2"/>
        <v>E1.14.14.18 : E1.14.14.18</v>
      </c>
      <c r="I32" s="26" t="str">
        <f t="shared" si="5"/>
        <v>E1.14.14.18_mRNA : 0</v>
      </c>
      <c r="J32" s="27" t="str">
        <f t="shared" si="6"/>
        <v>E1.14.14.18 : 0</v>
      </c>
      <c r="K32" s="28" t="str">
        <f t="shared" si="7"/>
        <v>0.00292 - (0.0093 * E1.14.14.18_mRNA)</v>
      </c>
      <c r="L32" s="24" t="str">
        <f t="shared" si="8"/>
        <v>(0.278 * E1.14.14.18_mRNA) - (0.00000278 * E1.14.14.18)</v>
      </c>
      <c r="M32" s="29" t="str">
        <f t="shared" si="9"/>
        <v>mRNA31: -&gt; E1.14.14.18_mRNA | 0.00292 - (0.0093 * E1.14.14.18_mRNA)</v>
      </c>
      <c r="N32" s="22" t="str">
        <f t="shared" si="10"/>
        <v>Peptide31: E1.14.14.18_mRNA -&gt; E1.14.14.18 | (0.278 * E1.14.14.18_mRNA) - (0.000000278 * E1.14.14.18)</v>
      </c>
    </row>
    <row r="33" spans="1:14">
      <c r="A33">
        <v>32</v>
      </c>
      <c r="B33" s="4" t="s">
        <v>7601</v>
      </c>
      <c r="C33" s="4" t="str">
        <f t="shared" si="3"/>
        <v>E1.14.14.3_mRNA</v>
      </c>
      <c r="D33" s="4" t="s">
        <v>12978</v>
      </c>
      <c r="E33" s="22" t="str">
        <f t="shared" si="4"/>
        <v>E1.14.14.3_kcat : 13.7</v>
      </c>
      <c r="F33" s="23" t="str">
        <f t="shared" si="0"/>
        <v>E1.14.14.3_km : 1</v>
      </c>
      <c r="G33" s="24" t="str">
        <f t="shared" si="1"/>
        <v>E1.14.14.3_mRNA : E1.14.14.3_mRNA</v>
      </c>
      <c r="H33" s="25" t="str">
        <f t="shared" si="2"/>
        <v>E1.14.14.3 : E1.14.14.3</v>
      </c>
      <c r="I33" s="26" t="str">
        <f t="shared" si="5"/>
        <v>E1.14.14.3_mRNA : 0</v>
      </c>
      <c r="J33" s="27" t="str">
        <f t="shared" si="6"/>
        <v>E1.14.14.3 : 0</v>
      </c>
      <c r="K33" s="28" t="str">
        <f t="shared" si="7"/>
        <v>0.00292 - (0.0093 * E1.14.14.3_mRNA)</v>
      </c>
      <c r="L33" s="24" t="str">
        <f t="shared" si="8"/>
        <v>(0.278 * E1.14.14.3_mRNA) - (0.00000278 * E1.14.14.3)</v>
      </c>
      <c r="M33" s="29" t="str">
        <f t="shared" si="9"/>
        <v>mRNA32: -&gt; E1.14.14.3_mRNA | 0.00292 - (0.0093 * E1.14.14.3_mRNA)</v>
      </c>
      <c r="N33" s="22" t="str">
        <f t="shared" si="10"/>
        <v>Peptide32: E1.14.14.3_mRNA -&gt; E1.14.14.3 | (0.278 * E1.14.14.3_mRNA) - (0.000000278 * E1.14.14.3)</v>
      </c>
    </row>
    <row r="34" spans="1:14">
      <c r="A34">
        <v>33</v>
      </c>
      <c r="B34" s="4" t="s">
        <v>7605</v>
      </c>
      <c r="C34" s="4" t="str">
        <f t="shared" si="3"/>
        <v>E1.15.1.1_mRNA</v>
      </c>
      <c r="D34" s="4" t="s">
        <v>12982</v>
      </c>
      <c r="E34" s="22" t="str">
        <f t="shared" si="4"/>
        <v>E1.15.1.1_kcat : 13.7</v>
      </c>
      <c r="F34" s="23" t="str">
        <f t="shared" si="0"/>
        <v>E1.15.1.1_km : 1</v>
      </c>
      <c r="G34" s="24" t="str">
        <f t="shared" si="1"/>
        <v>E1.15.1.1_mRNA : E1.15.1.1_mRNA</v>
      </c>
      <c r="H34" s="25" t="str">
        <f t="shared" si="2"/>
        <v>E1.15.1.1 : E1.15.1.1</v>
      </c>
      <c r="I34" s="26" t="str">
        <f t="shared" si="5"/>
        <v>E1.15.1.1_mRNA : 0</v>
      </c>
      <c r="J34" s="27" t="str">
        <f t="shared" si="6"/>
        <v>E1.15.1.1 : 0</v>
      </c>
      <c r="K34" s="28" t="str">
        <f t="shared" si="7"/>
        <v>0.00292 - (0.0093 * E1.15.1.1_mRNA)</v>
      </c>
      <c r="L34" s="24" t="str">
        <f t="shared" si="8"/>
        <v>(0.278 * E1.15.1.1_mRNA) - (0.00000278 * E1.15.1.1)</v>
      </c>
      <c r="M34" s="29" t="str">
        <f t="shared" si="9"/>
        <v>mRNA33: -&gt; E1.15.1.1_mRNA | 0.00292 - (0.0093 * E1.15.1.1_mRNA)</v>
      </c>
      <c r="N34" s="22" t="str">
        <f t="shared" si="10"/>
        <v>Peptide33: E1.15.1.1_mRNA -&gt; E1.15.1.1 | (0.278 * E1.15.1.1_mRNA) - (0.000000278 * E1.15.1.1)</v>
      </c>
    </row>
    <row r="35" spans="1:14">
      <c r="A35">
        <v>34</v>
      </c>
      <c r="B35" s="4" t="s">
        <v>7298</v>
      </c>
      <c r="C35" s="4" t="str">
        <f t="shared" si="3"/>
        <v>E1.16.3.1_mRNA</v>
      </c>
      <c r="D35" s="4" t="s">
        <v>12769</v>
      </c>
      <c r="E35" s="22" t="str">
        <f t="shared" si="4"/>
        <v>E1.16.3.1_kcat : 13.7</v>
      </c>
      <c r="F35" s="23" t="str">
        <f t="shared" si="0"/>
        <v>E1.16.3.1_km : 1</v>
      </c>
      <c r="G35" s="24" t="str">
        <f t="shared" si="1"/>
        <v>E1.16.3.1_mRNA : E1.16.3.1_mRNA</v>
      </c>
      <c r="H35" s="25" t="str">
        <f t="shared" si="2"/>
        <v>E1.16.3.1 : E1.16.3.1</v>
      </c>
      <c r="I35" s="26" t="str">
        <f t="shared" si="5"/>
        <v>E1.16.3.1_mRNA : 0</v>
      </c>
      <c r="J35" s="27" t="str">
        <f t="shared" si="6"/>
        <v>E1.16.3.1 : 0</v>
      </c>
      <c r="K35" s="28" t="str">
        <f t="shared" si="7"/>
        <v>0.00292 - (0.0093 * E1.16.3.1_mRNA)</v>
      </c>
      <c r="L35" s="24" t="str">
        <f t="shared" si="8"/>
        <v>(0.278 * E1.16.3.1_mRNA) - (0.00000278 * E1.16.3.1)</v>
      </c>
      <c r="M35" s="29" t="str">
        <f t="shared" si="9"/>
        <v>mRNA34: -&gt; E1.16.3.1_mRNA | 0.00292 - (0.0093 * E1.16.3.1_mRNA)</v>
      </c>
      <c r="N35" s="22" t="str">
        <f t="shared" si="10"/>
        <v>Peptide34: E1.16.3.1_mRNA -&gt; E1.16.3.1 | (0.278 * E1.16.3.1_mRNA) - (0.000000278 * E1.16.3.1)</v>
      </c>
    </row>
    <row r="36" spans="1:14">
      <c r="A36">
        <v>35</v>
      </c>
      <c r="B36" s="4" t="s">
        <v>7490</v>
      </c>
      <c r="C36" s="4" t="str">
        <f t="shared" si="3"/>
        <v>E1.17.1.9_mRNA</v>
      </c>
      <c r="D36" s="4" t="s">
        <v>12891</v>
      </c>
      <c r="E36" s="22" t="str">
        <f t="shared" si="4"/>
        <v>E1.17.1.9_kcat : 13.7</v>
      </c>
      <c r="F36" s="23" t="str">
        <f t="shared" si="0"/>
        <v>E1.17.1.9_km : 1</v>
      </c>
      <c r="G36" s="24" t="str">
        <f t="shared" si="1"/>
        <v>E1.17.1.9_mRNA : E1.17.1.9_mRNA</v>
      </c>
      <c r="H36" s="25" t="str">
        <f t="shared" si="2"/>
        <v>E1.17.1.9 : E1.17.1.9</v>
      </c>
      <c r="I36" s="26" t="str">
        <f t="shared" si="5"/>
        <v>E1.17.1.9_mRNA : 0</v>
      </c>
      <c r="J36" s="27" t="str">
        <f t="shared" si="6"/>
        <v>E1.17.1.9 : 0</v>
      </c>
      <c r="K36" s="28" t="str">
        <f t="shared" si="7"/>
        <v>0.00292 - (0.0093 * E1.17.1.9_mRNA)</v>
      </c>
      <c r="L36" s="24" t="str">
        <f t="shared" si="8"/>
        <v>(0.278 * E1.17.1.9_mRNA) - (0.00000278 * E1.17.1.9)</v>
      </c>
      <c r="M36" s="29" t="str">
        <f t="shared" si="9"/>
        <v>mRNA35: -&gt; E1.17.1.9_mRNA | 0.00292 - (0.0093 * E1.17.1.9_mRNA)</v>
      </c>
      <c r="N36" s="22" t="str">
        <f t="shared" si="10"/>
        <v>Peptide35: E1.17.1.9_mRNA -&gt; E1.17.1.9 | (0.278 * E1.17.1.9_mRNA) - (0.000000278 * E1.17.1.9)</v>
      </c>
    </row>
    <row r="37" spans="1:14">
      <c r="A37">
        <v>36</v>
      </c>
      <c r="B37" s="4" t="s">
        <v>7745</v>
      </c>
      <c r="C37" s="4" t="str">
        <f t="shared" si="3"/>
        <v>E1.17.4.1_mRNA</v>
      </c>
      <c r="D37" s="4" t="s">
        <v>13093</v>
      </c>
      <c r="E37" s="22" t="str">
        <f t="shared" si="4"/>
        <v>E1.17.4.1_kcat : 13.7</v>
      </c>
      <c r="F37" s="23" t="str">
        <f t="shared" si="0"/>
        <v>E1.17.4.1_km : 1</v>
      </c>
      <c r="G37" s="24" t="str">
        <f t="shared" si="1"/>
        <v>E1.17.4.1_mRNA : E1.17.4.1_mRNA</v>
      </c>
      <c r="H37" s="25" t="str">
        <f t="shared" si="2"/>
        <v>E1.17.4.1 : E1.17.4.1</v>
      </c>
      <c r="I37" s="26" t="str">
        <f t="shared" si="5"/>
        <v>E1.17.4.1_mRNA : 0</v>
      </c>
      <c r="J37" s="27" t="str">
        <f t="shared" si="6"/>
        <v>E1.17.4.1 : 0</v>
      </c>
      <c r="K37" s="28" t="str">
        <f t="shared" si="7"/>
        <v>0.00292 - (0.0093 * E1.17.4.1_mRNA)</v>
      </c>
      <c r="L37" s="24" t="str">
        <f t="shared" si="8"/>
        <v>(0.278 * E1.17.4.1_mRNA) - (0.00000278 * E1.17.4.1)</v>
      </c>
      <c r="M37" s="29" t="str">
        <f t="shared" si="9"/>
        <v>mRNA36: -&gt; E1.17.4.1_mRNA | 0.00292 - (0.0093 * E1.17.4.1_mRNA)</v>
      </c>
      <c r="N37" s="22" t="str">
        <f t="shared" si="10"/>
        <v>Peptide36: E1.17.4.1_mRNA -&gt; E1.17.4.1 | (0.278 * E1.17.4.1_mRNA) - (0.000000278 * E1.17.4.1)</v>
      </c>
    </row>
    <row r="38" spans="1:14">
      <c r="A38">
        <v>37</v>
      </c>
      <c r="B38" s="4" t="s">
        <v>7491</v>
      </c>
      <c r="C38" s="4" t="str">
        <f t="shared" si="3"/>
        <v>E1.17.5.3_mRNA</v>
      </c>
      <c r="D38" s="4" t="s">
        <v>12892</v>
      </c>
      <c r="E38" s="22" t="str">
        <f t="shared" si="4"/>
        <v>E1.17.5.3_kcat : 13.7</v>
      </c>
      <c r="F38" s="23" t="str">
        <f t="shared" si="0"/>
        <v>E1.17.5.3_km : 1</v>
      </c>
      <c r="G38" s="24" t="str">
        <f t="shared" si="1"/>
        <v>E1.17.5.3_mRNA : E1.17.5.3_mRNA</v>
      </c>
      <c r="H38" s="25" t="str">
        <f t="shared" si="2"/>
        <v>E1.17.5.3 : E1.17.5.3</v>
      </c>
      <c r="I38" s="26" t="str">
        <f t="shared" si="5"/>
        <v>E1.17.5.3_mRNA : 0</v>
      </c>
      <c r="J38" s="27" t="str">
        <f t="shared" si="6"/>
        <v>E1.17.5.3 : 0</v>
      </c>
      <c r="K38" s="28" t="str">
        <f t="shared" si="7"/>
        <v>0.00292 - (0.0093 * E1.17.5.3_mRNA)</v>
      </c>
      <c r="L38" s="24" t="str">
        <f t="shared" si="8"/>
        <v>(0.278 * E1.17.5.3_mRNA) - (0.00000278 * E1.17.5.3)</v>
      </c>
      <c r="M38" s="29" t="str">
        <f t="shared" si="9"/>
        <v>mRNA37: -&gt; E1.17.5.3_mRNA | 0.00292 - (0.0093 * E1.17.5.3_mRNA)</v>
      </c>
      <c r="N38" s="22" t="str">
        <f t="shared" si="10"/>
        <v>Peptide37: E1.17.5.3_mRNA -&gt; E1.17.5.3 | (0.278 * E1.17.5.3_mRNA) - (0.000000278 * E1.17.5.3)</v>
      </c>
    </row>
    <row r="39" spans="1:14">
      <c r="A39">
        <v>38</v>
      </c>
      <c r="B39" s="4" t="s">
        <v>7640</v>
      </c>
      <c r="C39" s="4" t="str">
        <f t="shared" si="3"/>
        <v>E1.17.7.1_mRNA</v>
      </c>
      <c r="D39" s="4" t="s">
        <v>13006</v>
      </c>
      <c r="E39" s="22" t="str">
        <f t="shared" si="4"/>
        <v>E1.17.7.1_kcat : 13.7</v>
      </c>
      <c r="F39" s="23" t="str">
        <f t="shared" si="0"/>
        <v>E1.17.7.1_km : 1</v>
      </c>
      <c r="G39" s="24" t="str">
        <f t="shared" si="1"/>
        <v>E1.17.7.1_mRNA : E1.17.7.1_mRNA</v>
      </c>
      <c r="H39" s="25" t="str">
        <f t="shared" si="2"/>
        <v>E1.17.7.1 : E1.17.7.1</v>
      </c>
      <c r="I39" s="26" t="str">
        <f t="shared" si="5"/>
        <v>E1.17.7.1_mRNA : 0</v>
      </c>
      <c r="J39" s="27" t="str">
        <f t="shared" si="6"/>
        <v>E1.17.7.1 : 0</v>
      </c>
      <c r="K39" s="28" t="str">
        <f t="shared" si="7"/>
        <v>0.00292 - (0.0093 * E1.17.7.1_mRNA)</v>
      </c>
      <c r="L39" s="24" t="str">
        <f t="shared" si="8"/>
        <v>(0.278 * E1.17.7.1_mRNA) - (0.00000278 * E1.17.7.1)</v>
      </c>
      <c r="M39" s="29" t="str">
        <f t="shared" si="9"/>
        <v>mRNA38: -&gt; E1.17.7.1_mRNA | 0.00292 - (0.0093 * E1.17.7.1_mRNA)</v>
      </c>
      <c r="N39" s="22" t="str">
        <f t="shared" si="10"/>
        <v>Peptide38: E1.17.7.1_mRNA -&gt; E1.17.7.1 | (0.278 * E1.17.7.1_mRNA) - (0.000000278 * E1.17.7.1)</v>
      </c>
    </row>
    <row r="40" spans="1:14">
      <c r="A40">
        <v>39</v>
      </c>
      <c r="B40" s="4" t="s">
        <v>7486</v>
      </c>
      <c r="C40" s="4" t="str">
        <f t="shared" si="3"/>
        <v>E1.17.7.4_mRNA</v>
      </c>
      <c r="D40" s="4" t="s">
        <v>12890</v>
      </c>
      <c r="E40" s="22" t="str">
        <f t="shared" si="4"/>
        <v>E1.17.7.4_kcat : 13.7</v>
      </c>
      <c r="F40" s="23" t="str">
        <f t="shared" si="0"/>
        <v>E1.17.7.4_km : 1</v>
      </c>
      <c r="G40" s="24" t="str">
        <f t="shared" si="1"/>
        <v>E1.17.7.4_mRNA : E1.17.7.4_mRNA</v>
      </c>
      <c r="H40" s="25" t="str">
        <f t="shared" si="2"/>
        <v>E1.17.7.4 : E1.17.7.4</v>
      </c>
      <c r="I40" s="26" t="str">
        <f t="shared" si="5"/>
        <v>E1.17.7.4_mRNA : 0</v>
      </c>
      <c r="J40" s="27" t="str">
        <f t="shared" si="6"/>
        <v>E1.17.7.4 : 0</v>
      </c>
      <c r="K40" s="28" t="str">
        <f t="shared" si="7"/>
        <v>0.00292 - (0.0093 * E1.17.7.4_mRNA)</v>
      </c>
      <c r="L40" s="24" t="str">
        <f t="shared" si="8"/>
        <v>(0.278 * E1.17.7.4_mRNA) - (0.00000278 * E1.17.7.4)</v>
      </c>
      <c r="M40" s="29" t="str">
        <f t="shared" si="9"/>
        <v>mRNA39: -&gt; E1.17.7.4_mRNA | 0.00292 - (0.0093 * E1.17.7.4_mRNA)</v>
      </c>
      <c r="N40" s="22" t="str">
        <f t="shared" si="10"/>
        <v>Peptide39: E1.17.7.4_mRNA -&gt; E1.17.7.4 | (0.278 * E1.17.7.4_mRNA) - (0.000000278 * E1.17.7.4)</v>
      </c>
    </row>
    <row r="41" spans="1:14">
      <c r="A41">
        <v>40</v>
      </c>
      <c r="B41" s="4" t="s">
        <v>7428</v>
      </c>
      <c r="C41" s="4" t="str">
        <f t="shared" si="3"/>
        <v>E1.18.1.2_mRNA</v>
      </c>
      <c r="D41" s="4" t="s">
        <v>12854</v>
      </c>
      <c r="E41" s="22" t="str">
        <f t="shared" si="4"/>
        <v>E1.18.1.2_kcat : 13.7</v>
      </c>
      <c r="F41" s="23" t="str">
        <f t="shared" si="0"/>
        <v>E1.18.1.2_km : 1</v>
      </c>
      <c r="G41" s="24" t="str">
        <f t="shared" si="1"/>
        <v>E1.18.1.2_mRNA : E1.18.1.2_mRNA</v>
      </c>
      <c r="H41" s="25" t="str">
        <f t="shared" si="2"/>
        <v>E1.18.1.2 : E1.18.1.2</v>
      </c>
      <c r="I41" s="26" t="str">
        <f t="shared" si="5"/>
        <v>E1.18.1.2_mRNA : 0</v>
      </c>
      <c r="J41" s="27" t="str">
        <f t="shared" si="6"/>
        <v>E1.18.1.2 : 0</v>
      </c>
      <c r="K41" s="28" t="str">
        <f t="shared" si="7"/>
        <v>0.00292 - (0.0093 * E1.18.1.2_mRNA)</v>
      </c>
      <c r="L41" s="24" t="str">
        <f t="shared" si="8"/>
        <v>(0.278 * E1.18.1.2_mRNA) - (0.00000278 * E1.18.1.2)</v>
      </c>
      <c r="M41" s="29" t="str">
        <f t="shared" si="9"/>
        <v>mRNA40: -&gt; E1.18.1.2_mRNA | 0.00292 - (0.0093 * E1.18.1.2_mRNA)</v>
      </c>
      <c r="N41" s="22" t="str">
        <f t="shared" si="10"/>
        <v>Peptide40: E1.18.1.2_mRNA -&gt; E1.18.1.2 | (0.278 * E1.18.1.2_mRNA) - (0.000000278 * E1.18.1.2)</v>
      </c>
    </row>
    <row r="42" spans="1:14">
      <c r="A42">
        <v>41</v>
      </c>
      <c r="B42" s="4" t="s">
        <v>7821</v>
      </c>
      <c r="C42" s="4" t="str">
        <f t="shared" si="3"/>
        <v>E1.18.1.7_mRNA</v>
      </c>
      <c r="D42" s="4" t="s">
        <v>13129</v>
      </c>
      <c r="E42" s="22" t="str">
        <f t="shared" si="4"/>
        <v>E1.18.1.7_kcat : 13.7</v>
      </c>
      <c r="F42" s="23" t="str">
        <f t="shared" si="0"/>
        <v>E1.18.1.7_km : 1</v>
      </c>
      <c r="G42" s="24" t="str">
        <f t="shared" si="1"/>
        <v>E1.18.1.7_mRNA : E1.18.1.7_mRNA</v>
      </c>
      <c r="H42" s="25" t="str">
        <f t="shared" si="2"/>
        <v>E1.18.1.7 : E1.18.1.7</v>
      </c>
      <c r="I42" s="26" t="str">
        <f t="shared" si="5"/>
        <v>E1.18.1.7_mRNA : 0</v>
      </c>
      <c r="J42" s="27" t="str">
        <f t="shared" si="6"/>
        <v>E1.18.1.7 : 0</v>
      </c>
      <c r="K42" s="28" t="str">
        <f t="shared" si="7"/>
        <v>0.00292 - (0.0093 * E1.18.1.7_mRNA)</v>
      </c>
      <c r="L42" s="24" t="str">
        <f t="shared" si="8"/>
        <v>(0.278 * E1.18.1.7_mRNA) - (0.00000278 * E1.18.1.7)</v>
      </c>
      <c r="M42" s="29" t="str">
        <f t="shared" si="9"/>
        <v>mRNA41: -&gt; E1.18.1.7_mRNA | 0.00292 - (0.0093 * E1.18.1.7_mRNA)</v>
      </c>
      <c r="N42" s="22" t="str">
        <f t="shared" si="10"/>
        <v>Peptide41: E1.18.1.7_mRNA -&gt; E1.18.1.7 | (0.278 * E1.18.1.7_mRNA) - (0.000000278 * E1.18.1.7)</v>
      </c>
    </row>
    <row r="43" spans="1:14">
      <c r="A43">
        <v>42</v>
      </c>
      <c r="B43" s="4" t="s">
        <v>7329</v>
      </c>
      <c r="C43" s="4" t="str">
        <f t="shared" si="3"/>
        <v>E1.2.1.11_mRNA</v>
      </c>
      <c r="D43" s="4" t="s">
        <v>12787</v>
      </c>
      <c r="E43" s="22" t="str">
        <f t="shared" si="4"/>
        <v>E1.2.1.11_kcat : 13.7</v>
      </c>
      <c r="F43" s="23" t="str">
        <f t="shared" si="0"/>
        <v>E1.2.1.11_km : 1</v>
      </c>
      <c r="G43" s="24" t="str">
        <f t="shared" si="1"/>
        <v>E1.2.1.11_mRNA : E1.2.1.11_mRNA</v>
      </c>
      <c r="H43" s="25" t="str">
        <f t="shared" si="2"/>
        <v>E1.2.1.11 : E1.2.1.11</v>
      </c>
      <c r="I43" s="26" t="str">
        <f t="shared" si="5"/>
        <v>E1.2.1.11_mRNA : 0</v>
      </c>
      <c r="J43" s="27" t="str">
        <f t="shared" si="6"/>
        <v>E1.2.1.11 : 0</v>
      </c>
      <c r="K43" s="28" t="str">
        <f t="shared" si="7"/>
        <v>0.00292 - (0.0093 * E1.2.1.11_mRNA)</v>
      </c>
      <c r="L43" s="24" t="str">
        <f t="shared" si="8"/>
        <v>(0.278 * E1.2.1.11_mRNA) - (0.00000278 * E1.2.1.11)</v>
      </c>
      <c r="M43" s="29" t="str">
        <f t="shared" si="9"/>
        <v>mRNA42: -&gt; E1.2.1.11_mRNA | 0.00292 - (0.0093 * E1.2.1.11_mRNA)</v>
      </c>
      <c r="N43" s="22" t="str">
        <f t="shared" si="10"/>
        <v>Peptide42: E1.2.1.11_mRNA -&gt; E1.2.1.11 | (0.278 * E1.2.1.11_mRNA) - (0.000000278 * E1.2.1.11)</v>
      </c>
    </row>
    <row r="44" spans="1:14">
      <c r="A44">
        <v>43</v>
      </c>
      <c r="B44" s="4" t="s">
        <v>7466</v>
      </c>
      <c r="C44" s="4" t="str">
        <f t="shared" si="3"/>
        <v>E1.2.1.12_mRNA</v>
      </c>
      <c r="D44" s="4" t="s">
        <v>12876</v>
      </c>
      <c r="E44" s="22" t="str">
        <f t="shared" si="4"/>
        <v>E1.2.1.12_kcat : 13.7</v>
      </c>
      <c r="F44" s="23" t="str">
        <f t="shared" si="0"/>
        <v>E1.2.1.12_km : 1</v>
      </c>
      <c r="G44" s="24" t="str">
        <f t="shared" si="1"/>
        <v>E1.2.1.12_mRNA : E1.2.1.12_mRNA</v>
      </c>
      <c r="H44" s="25" t="str">
        <f t="shared" si="2"/>
        <v>E1.2.1.12 : E1.2.1.12</v>
      </c>
      <c r="I44" s="26" t="str">
        <f t="shared" si="5"/>
        <v>E1.2.1.12_mRNA : 0</v>
      </c>
      <c r="J44" s="27" t="str">
        <f t="shared" si="6"/>
        <v>E1.2.1.12 : 0</v>
      </c>
      <c r="K44" s="28" t="str">
        <f t="shared" si="7"/>
        <v>0.00292 - (0.0093 * E1.2.1.12_mRNA)</v>
      </c>
      <c r="L44" s="24" t="str">
        <f t="shared" si="8"/>
        <v>(0.278 * E1.2.1.12_mRNA) - (0.00000278 * E1.2.1.12)</v>
      </c>
      <c r="M44" s="29" t="str">
        <f t="shared" si="9"/>
        <v>mRNA43: -&gt; E1.2.1.12_mRNA | 0.00292 - (0.0093 * E1.2.1.12_mRNA)</v>
      </c>
      <c r="N44" s="22" t="str">
        <f t="shared" si="10"/>
        <v>Peptide43: E1.2.1.12_mRNA -&gt; E1.2.1.12 | (0.278 * E1.2.1.12_mRNA) - (0.000000278 * E1.2.1.12)</v>
      </c>
    </row>
    <row r="45" spans="1:14">
      <c r="A45">
        <v>44</v>
      </c>
      <c r="B45" s="4" t="s">
        <v>7819</v>
      </c>
      <c r="C45" s="4" t="str">
        <f t="shared" si="3"/>
        <v>E1.2.1.3_mRNA</v>
      </c>
      <c r="D45" s="4" t="s">
        <v>13131</v>
      </c>
      <c r="E45" s="22" t="str">
        <f t="shared" si="4"/>
        <v>E1.2.1.3_kcat : 13.7</v>
      </c>
      <c r="F45" s="23" t="str">
        <f t="shared" si="0"/>
        <v>E1.2.1.3_km : 1</v>
      </c>
      <c r="G45" s="24" t="str">
        <f t="shared" si="1"/>
        <v>E1.2.1.3_mRNA : E1.2.1.3_mRNA</v>
      </c>
      <c r="H45" s="25" t="str">
        <f t="shared" si="2"/>
        <v>E1.2.1.3 : E1.2.1.3</v>
      </c>
      <c r="I45" s="26" t="str">
        <f t="shared" si="5"/>
        <v>E1.2.1.3_mRNA : 0</v>
      </c>
      <c r="J45" s="27" t="str">
        <f t="shared" si="6"/>
        <v>E1.2.1.3 : 0</v>
      </c>
      <c r="K45" s="28" t="str">
        <f t="shared" si="7"/>
        <v>0.00292 - (0.0093 * E1.2.1.3_mRNA)</v>
      </c>
      <c r="L45" s="24" t="str">
        <f t="shared" si="8"/>
        <v>(0.278 * E1.2.1.3_mRNA) - (0.00000278 * E1.2.1.3)</v>
      </c>
      <c r="M45" s="29" t="str">
        <f t="shared" si="9"/>
        <v>mRNA44: -&gt; E1.2.1.3_mRNA | 0.00292 - (0.0093 * E1.2.1.3_mRNA)</v>
      </c>
      <c r="N45" s="22" t="str">
        <f t="shared" si="10"/>
        <v>Peptide44: E1.2.1.3_mRNA -&gt; E1.2.1.3 | (0.278 * E1.2.1.3_mRNA) - (0.000000278 * E1.2.1.3)</v>
      </c>
    </row>
    <row r="46" spans="1:14">
      <c r="A46">
        <v>45</v>
      </c>
      <c r="B46" s="4" t="s">
        <v>7538</v>
      </c>
      <c r="C46" s="4" t="str">
        <f t="shared" si="3"/>
        <v>E1.2.1.38_mRNA</v>
      </c>
      <c r="D46" s="4" t="s">
        <v>12929</v>
      </c>
      <c r="E46" s="22" t="str">
        <f t="shared" si="4"/>
        <v>E1.2.1.38_kcat : 13.7</v>
      </c>
      <c r="F46" s="23" t="str">
        <f t="shared" si="0"/>
        <v>E1.2.1.38_km : 1</v>
      </c>
      <c r="G46" s="24" t="str">
        <f t="shared" si="1"/>
        <v>E1.2.1.38_mRNA : E1.2.1.38_mRNA</v>
      </c>
      <c r="H46" s="25" t="str">
        <f t="shared" si="2"/>
        <v>E1.2.1.38 : E1.2.1.38</v>
      </c>
      <c r="I46" s="26" t="str">
        <f t="shared" si="5"/>
        <v>E1.2.1.38_mRNA : 0</v>
      </c>
      <c r="J46" s="27" t="str">
        <f t="shared" si="6"/>
        <v>E1.2.1.38 : 0</v>
      </c>
      <c r="K46" s="28" t="str">
        <f t="shared" si="7"/>
        <v>0.00292 - (0.0093 * E1.2.1.38_mRNA)</v>
      </c>
      <c r="L46" s="24" t="str">
        <f t="shared" si="8"/>
        <v>(0.278 * E1.2.1.38_mRNA) - (0.00000278 * E1.2.1.38)</v>
      </c>
      <c r="M46" s="29" t="str">
        <f t="shared" si="9"/>
        <v>mRNA45: -&gt; E1.2.1.38_mRNA | 0.00292 - (0.0093 * E1.2.1.38_mRNA)</v>
      </c>
      <c r="N46" s="22" t="str">
        <f t="shared" si="10"/>
        <v>Peptide45: E1.2.1.38_mRNA -&gt; E1.2.1.38 | (0.278 * E1.2.1.38_mRNA) - (0.000000278 * E1.2.1.38)</v>
      </c>
    </row>
    <row r="47" spans="1:14">
      <c r="A47">
        <v>46</v>
      </c>
      <c r="B47" s="4" t="s">
        <v>7719</v>
      </c>
      <c r="C47" s="4" t="str">
        <f t="shared" si="3"/>
        <v>E1.2.1.41_mRNA</v>
      </c>
      <c r="D47" s="4" t="s">
        <v>13069</v>
      </c>
      <c r="E47" s="22" t="str">
        <f t="shared" si="4"/>
        <v>E1.2.1.41_kcat : 13.7</v>
      </c>
      <c r="F47" s="23" t="str">
        <f t="shared" si="0"/>
        <v>E1.2.1.41_km : 1</v>
      </c>
      <c r="G47" s="24" t="str">
        <f t="shared" si="1"/>
        <v>E1.2.1.41_mRNA : E1.2.1.41_mRNA</v>
      </c>
      <c r="H47" s="25" t="str">
        <f t="shared" si="2"/>
        <v>E1.2.1.41 : E1.2.1.41</v>
      </c>
      <c r="I47" s="26" t="str">
        <f t="shared" si="5"/>
        <v>E1.2.1.41_mRNA : 0</v>
      </c>
      <c r="J47" s="27" t="str">
        <f t="shared" si="6"/>
        <v>E1.2.1.41 : 0</v>
      </c>
      <c r="K47" s="28" t="str">
        <f t="shared" si="7"/>
        <v>0.00292 - (0.0093 * E1.2.1.41_mRNA)</v>
      </c>
      <c r="L47" s="24" t="str">
        <f t="shared" si="8"/>
        <v>(0.278 * E1.2.1.41_mRNA) - (0.00000278 * E1.2.1.41)</v>
      </c>
      <c r="M47" s="29" t="str">
        <f t="shared" si="9"/>
        <v>mRNA46: -&gt; E1.2.1.41_mRNA | 0.00292 - (0.0093 * E1.2.1.41_mRNA)</v>
      </c>
      <c r="N47" s="22" t="str">
        <f t="shared" si="10"/>
        <v>Peptide46: E1.2.1.41_mRNA -&gt; E1.2.1.41 | (0.278 * E1.2.1.41_mRNA) - (0.000000278 * E1.2.1.41)</v>
      </c>
    </row>
    <row r="48" spans="1:14">
      <c r="A48">
        <v>47</v>
      </c>
      <c r="B48" s="4" t="s">
        <v>7354</v>
      </c>
      <c r="C48" s="4" t="str">
        <f t="shared" si="3"/>
        <v>E1.2.1.70_mRNA</v>
      </c>
      <c r="D48" s="4" t="s">
        <v>12806</v>
      </c>
      <c r="E48" s="22" t="str">
        <f t="shared" si="4"/>
        <v>E1.2.1.70_kcat : 13.7</v>
      </c>
      <c r="F48" s="23" t="str">
        <f t="shared" si="0"/>
        <v>E1.2.1.70_km : 1</v>
      </c>
      <c r="G48" s="24" t="str">
        <f t="shared" si="1"/>
        <v>E1.2.1.70_mRNA : E1.2.1.70_mRNA</v>
      </c>
      <c r="H48" s="25" t="str">
        <f t="shared" si="2"/>
        <v>E1.2.1.70 : E1.2.1.70</v>
      </c>
      <c r="I48" s="26" t="str">
        <f t="shared" si="5"/>
        <v>E1.2.1.70_mRNA : 0</v>
      </c>
      <c r="J48" s="27" t="str">
        <f t="shared" si="6"/>
        <v>E1.2.1.70 : 0</v>
      </c>
      <c r="K48" s="28" t="str">
        <f t="shared" si="7"/>
        <v>0.00292 - (0.0093 * E1.2.1.70_mRNA)</v>
      </c>
      <c r="L48" s="24" t="str">
        <f t="shared" si="8"/>
        <v>(0.278 * E1.2.1.70_mRNA) - (0.00000278 * E1.2.1.70)</v>
      </c>
      <c r="M48" s="29" t="str">
        <f t="shared" si="9"/>
        <v>mRNA47: -&gt; E1.2.1.70_mRNA | 0.00292 - (0.0093 * E1.2.1.70_mRNA)</v>
      </c>
      <c r="N48" s="22" t="str">
        <f t="shared" si="10"/>
        <v>Peptide47: E1.2.1.70_mRNA -&gt; E1.2.1.70 | (0.278 * E1.2.1.70_mRNA) - (0.000000278 * E1.2.1.70)</v>
      </c>
    </row>
    <row r="49" spans="1:14">
      <c r="A49">
        <v>48</v>
      </c>
      <c r="B49" s="4" t="s">
        <v>7700</v>
      </c>
      <c r="C49" s="4" t="str">
        <f t="shared" si="3"/>
        <v>E1.2.1.79_mRNA</v>
      </c>
      <c r="D49" s="4" t="s">
        <v>13054</v>
      </c>
      <c r="E49" s="22" t="str">
        <f t="shared" si="4"/>
        <v>E1.2.1.79_kcat : 13.7</v>
      </c>
      <c r="F49" s="23" t="str">
        <f t="shared" si="0"/>
        <v>E1.2.1.79_km : 1</v>
      </c>
      <c r="G49" s="24" t="str">
        <f t="shared" si="1"/>
        <v>E1.2.1.79_mRNA : E1.2.1.79_mRNA</v>
      </c>
      <c r="H49" s="25" t="str">
        <f t="shared" si="2"/>
        <v>E1.2.1.79 : E1.2.1.79</v>
      </c>
      <c r="I49" s="26" t="str">
        <f t="shared" si="5"/>
        <v>E1.2.1.79_mRNA : 0</v>
      </c>
      <c r="J49" s="27" t="str">
        <f t="shared" si="6"/>
        <v>E1.2.1.79 : 0</v>
      </c>
      <c r="K49" s="28" t="str">
        <f t="shared" si="7"/>
        <v>0.00292 - (0.0093 * E1.2.1.79_mRNA)</v>
      </c>
      <c r="L49" s="24" t="str">
        <f t="shared" si="8"/>
        <v>(0.278 * E1.2.1.79_mRNA) - (0.00000278 * E1.2.1.79)</v>
      </c>
      <c r="M49" s="29" t="str">
        <f t="shared" si="9"/>
        <v>mRNA48: -&gt; E1.2.1.79_mRNA | 0.00292 - (0.0093 * E1.2.1.79_mRNA)</v>
      </c>
      <c r="N49" s="22" t="str">
        <f t="shared" si="10"/>
        <v>Peptide48: E1.2.1.79_mRNA -&gt; E1.2.1.79 | (0.278 * E1.2.1.79_mRNA) - (0.000000278 * E1.2.1.79)</v>
      </c>
    </row>
    <row r="50" spans="1:14">
      <c r="A50">
        <v>49</v>
      </c>
      <c r="B50" s="4" t="s">
        <v>7304</v>
      </c>
      <c r="C50" s="4" t="str">
        <f t="shared" si="3"/>
        <v>E1.2.1.8_mRNA</v>
      </c>
      <c r="D50" s="4" t="s">
        <v>12770</v>
      </c>
      <c r="E50" s="22" t="str">
        <f t="shared" si="4"/>
        <v>E1.2.1.8_kcat : 13.7</v>
      </c>
      <c r="F50" s="23" t="str">
        <f t="shared" si="0"/>
        <v>E1.2.1.8_km : 1</v>
      </c>
      <c r="G50" s="24" t="str">
        <f t="shared" si="1"/>
        <v>E1.2.1.8_mRNA : E1.2.1.8_mRNA</v>
      </c>
      <c r="H50" s="25" t="str">
        <f t="shared" si="2"/>
        <v>E1.2.1.8 : E1.2.1.8</v>
      </c>
      <c r="I50" s="26" t="str">
        <f t="shared" si="5"/>
        <v>E1.2.1.8_mRNA : 0</v>
      </c>
      <c r="J50" s="27" t="str">
        <f t="shared" si="6"/>
        <v>E1.2.1.8 : 0</v>
      </c>
      <c r="K50" s="28" t="str">
        <f t="shared" si="7"/>
        <v>0.00292 - (0.0093 * E1.2.1.8_mRNA)</v>
      </c>
      <c r="L50" s="24" t="str">
        <f t="shared" si="8"/>
        <v>(0.278 * E1.2.1.8_mRNA) - (0.00000278 * E1.2.1.8)</v>
      </c>
      <c r="M50" s="29" t="str">
        <f t="shared" si="9"/>
        <v>mRNA49: -&gt; E1.2.1.8_mRNA | 0.00292 - (0.0093 * E1.2.1.8_mRNA)</v>
      </c>
      <c r="N50" s="22" t="str">
        <f t="shared" si="10"/>
        <v>Peptide49: E1.2.1.8_mRNA -&gt; E1.2.1.8 | (0.278 * E1.2.1.8_mRNA) - (0.000000278 * E1.2.1.8)</v>
      </c>
    </row>
    <row r="51" spans="1:14">
      <c r="A51">
        <v>50</v>
      </c>
      <c r="B51" s="4" t="s">
        <v>7696</v>
      </c>
      <c r="C51" s="4" t="str">
        <f t="shared" si="3"/>
        <v>E1.2.4.1_mRNA</v>
      </c>
      <c r="D51" s="4" t="s">
        <v>13050</v>
      </c>
      <c r="E51" s="22" t="str">
        <f t="shared" si="4"/>
        <v>E1.2.4.1_kcat : 13.7</v>
      </c>
      <c r="F51" s="23" t="str">
        <f t="shared" si="0"/>
        <v>E1.2.4.1_km : 1</v>
      </c>
      <c r="G51" s="24" t="str">
        <f t="shared" si="1"/>
        <v>E1.2.4.1_mRNA : E1.2.4.1_mRNA</v>
      </c>
      <c r="H51" s="25" t="str">
        <f t="shared" si="2"/>
        <v>E1.2.4.1 : E1.2.4.1</v>
      </c>
      <c r="I51" s="26" t="str">
        <f t="shared" si="5"/>
        <v>E1.2.4.1_mRNA : 0</v>
      </c>
      <c r="J51" s="27" t="str">
        <f t="shared" si="6"/>
        <v>E1.2.4.1 : 0</v>
      </c>
      <c r="K51" s="28" t="str">
        <f t="shared" si="7"/>
        <v>0.00292 - (0.0093 * E1.2.4.1_mRNA)</v>
      </c>
      <c r="L51" s="24" t="str">
        <f t="shared" si="8"/>
        <v>(0.278 * E1.2.4.1_mRNA) - (0.00000278 * E1.2.4.1)</v>
      </c>
      <c r="M51" s="29" t="str">
        <f t="shared" si="9"/>
        <v>mRNA50: -&gt; E1.2.4.1_mRNA | 0.00292 - (0.0093 * E1.2.4.1_mRNA)</v>
      </c>
      <c r="N51" s="22" t="str">
        <f t="shared" si="10"/>
        <v>Peptide50: E1.2.4.1_mRNA -&gt; E1.2.4.1 | (0.278 * E1.2.4.1_mRNA) - (0.000000278 * E1.2.4.1)</v>
      </c>
    </row>
    <row r="52" spans="1:14">
      <c r="A52">
        <v>51</v>
      </c>
      <c r="B52" s="4" t="s">
        <v>7761</v>
      </c>
      <c r="C52" s="4" t="str">
        <f t="shared" si="3"/>
        <v>E1.2.5.1_mRNA</v>
      </c>
      <c r="D52" s="4" t="s">
        <v>13107</v>
      </c>
      <c r="E52" s="22" t="str">
        <f t="shared" si="4"/>
        <v>E1.2.5.1_kcat : 13.7</v>
      </c>
      <c r="F52" s="23" t="str">
        <f t="shared" si="0"/>
        <v>E1.2.5.1_km : 1</v>
      </c>
      <c r="G52" s="24" t="str">
        <f t="shared" si="1"/>
        <v>E1.2.5.1_mRNA : E1.2.5.1_mRNA</v>
      </c>
      <c r="H52" s="25" t="str">
        <f t="shared" si="2"/>
        <v>E1.2.5.1 : E1.2.5.1</v>
      </c>
      <c r="I52" s="26" t="str">
        <f t="shared" si="5"/>
        <v>E1.2.5.1_mRNA : 0</v>
      </c>
      <c r="J52" s="27" t="str">
        <f t="shared" si="6"/>
        <v>E1.2.5.1 : 0</v>
      </c>
      <c r="K52" s="28" t="str">
        <f t="shared" si="7"/>
        <v>0.00292 - (0.0093 * E1.2.5.1_mRNA)</v>
      </c>
      <c r="L52" s="24" t="str">
        <f t="shared" si="8"/>
        <v>(0.278 * E1.2.5.1_mRNA) - (0.00000278 * E1.2.5.1)</v>
      </c>
      <c r="M52" s="29" t="str">
        <f t="shared" si="9"/>
        <v>mRNA51: -&gt; E1.2.5.1_mRNA | 0.00292 - (0.0093 * E1.2.5.1_mRNA)</v>
      </c>
      <c r="N52" s="22" t="str">
        <f t="shared" si="10"/>
        <v>Peptide51: E1.2.5.1_mRNA -&gt; E1.2.5.1 | (0.278 * E1.2.5.1_mRNA) - (0.000000278 * E1.2.5.1)</v>
      </c>
    </row>
    <row r="53" spans="1:14">
      <c r="A53">
        <v>52</v>
      </c>
      <c r="B53" s="4" t="s">
        <v>7678</v>
      </c>
      <c r="C53" s="4" t="str">
        <f t="shared" si="3"/>
        <v>E1.20.9.1_mRNA</v>
      </c>
      <c r="D53" s="4" t="s">
        <v>13034</v>
      </c>
      <c r="E53" s="22" t="str">
        <f t="shared" si="4"/>
        <v>E1.20.9.1_kcat : 13.7</v>
      </c>
      <c r="F53" s="23" t="str">
        <f t="shared" si="0"/>
        <v>E1.20.9.1_km : 1</v>
      </c>
      <c r="G53" s="24" t="str">
        <f t="shared" si="1"/>
        <v>E1.20.9.1_mRNA : E1.20.9.1_mRNA</v>
      </c>
      <c r="H53" s="25" t="str">
        <f t="shared" si="2"/>
        <v>E1.20.9.1 : E1.20.9.1</v>
      </c>
      <c r="I53" s="26" t="str">
        <f t="shared" si="5"/>
        <v>E1.20.9.1_mRNA : 0</v>
      </c>
      <c r="J53" s="27" t="str">
        <f t="shared" si="6"/>
        <v>E1.20.9.1 : 0</v>
      </c>
      <c r="K53" s="28" t="str">
        <f t="shared" si="7"/>
        <v>0.00292 - (0.0093 * E1.20.9.1_mRNA)</v>
      </c>
      <c r="L53" s="24" t="str">
        <f t="shared" si="8"/>
        <v>(0.278 * E1.20.9.1_mRNA) - (0.00000278 * E1.20.9.1)</v>
      </c>
      <c r="M53" s="29" t="str">
        <f t="shared" si="9"/>
        <v>mRNA52: -&gt; E1.20.9.1_mRNA | 0.00292 - (0.0093 * E1.20.9.1_mRNA)</v>
      </c>
      <c r="N53" s="22" t="str">
        <f t="shared" si="10"/>
        <v>Peptide52: E1.20.9.1_mRNA -&gt; E1.20.9.1 | (0.278 * E1.20.9.1_mRNA) - (0.000000278 * E1.20.9.1)</v>
      </c>
    </row>
    <row r="54" spans="1:14">
      <c r="A54">
        <v>53</v>
      </c>
      <c r="B54" s="4" t="s">
        <v>7347</v>
      </c>
      <c r="C54" s="4" t="str">
        <f t="shared" si="3"/>
        <v>E1.3.1.98_mRNA</v>
      </c>
      <c r="D54" s="4" t="s">
        <v>12800</v>
      </c>
      <c r="E54" s="22" t="str">
        <f t="shared" si="4"/>
        <v>E1.3.1.98_kcat : 13.7</v>
      </c>
      <c r="F54" s="23" t="str">
        <f t="shared" si="0"/>
        <v>E1.3.1.98_km : 1</v>
      </c>
      <c r="G54" s="24" t="str">
        <f t="shared" si="1"/>
        <v>E1.3.1.98_mRNA : E1.3.1.98_mRNA</v>
      </c>
      <c r="H54" s="25" t="str">
        <f t="shared" si="2"/>
        <v>E1.3.1.98 : E1.3.1.98</v>
      </c>
      <c r="I54" s="26" t="str">
        <f t="shared" si="5"/>
        <v>E1.3.1.98_mRNA : 0</v>
      </c>
      <c r="J54" s="27" t="str">
        <f t="shared" si="6"/>
        <v>E1.3.1.98 : 0</v>
      </c>
      <c r="K54" s="28" t="str">
        <f t="shared" si="7"/>
        <v>0.00292 - (0.0093 * E1.3.1.98_mRNA)</v>
      </c>
      <c r="L54" s="24" t="str">
        <f t="shared" si="8"/>
        <v>(0.278 * E1.3.1.98_mRNA) - (0.00000278 * E1.3.1.98)</v>
      </c>
      <c r="M54" s="29" t="str">
        <f t="shared" si="9"/>
        <v>mRNA53: -&gt; E1.3.1.98_mRNA | 0.00292 - (0.0093 * E1.3.1.98_mRNA)</v>
      </c>
      <c r="N54" s="22" t="str">
        <f t="shared" si="10"/>
        <v>Peptide53: E1.3.1.98_mRNA -&gt; E1.3.1.98 | (0.278 * E1.3.1.98_mRNA) - (0.000000278 * E1.3.1.98)</v>
      </c>
    </row>
    <row r="55" spans="1:14">
      <c r="A55">
        <v>54</v>
      </c>
      <c r="B55" s="4" t="s">
        <v>7359</v>
      </c>
      <c r="C55" s="4" t="str">
        <f t="shared" si="3"/>
        <v>E1.3.3.4_mRNA</v>
      </c>
      <c r="D55" s="4" t="s">
        <v>12811</v>
      </c>
      <c r="E55" s="22" t="str">
        <f t="shared" si="4"/>
        <v>E1.3.3.4_kcat : 13.7</v>
      </c>
      <c r="F55" s="23" t="str">
        <f t="shared" si="0"/>
        <v>E1.3.3.4_km : 1</v>
      </c>
      <c r="G55" s="24" t="str">
        <f t="shared" si="1"/>
        <v>E1.3.3.4_mRNA : E1.3.3.4_mRNA</v>
      </c>
      <c r="H55" s="25" t="str">
        <f t="shared" si="2"/>
        <v>E1.3.3.4 : E1.3.3.4</v>
      </c>
      <c r="I55" s="26" t="str">
        <f t="shared" si="5"/>
        <v>E1.3.3.4_mRNA : 0</v>
      </c>
      <c r="J55" s="27" t="str">
        <f t="shared" si="6"/>
        <v>E1.3.3.4 : 0</v>
      </c>
      <c r="K55" s="28" t="str">
        <f t="shared" si="7"/>
        <v>0.00292 - (0.0093 * E1.3.3.4_mRNA)</v>
      </c>
      <c r="L55" s="24" t="str">
        <f t="shared" si="8"/>
        <v>(0.278 * E1.3.3.4_mRNA) - (0.00000278 * E1.3.3.4)</v>
      </c>
      <c r="M55" s="29" t="str">
        <f t="shared" si="9"/>
        <v>mRNA54: -&gt; E1.3.3.4_mRNA | 0.00292 - (0.0093 * E1.3.3.4_mRNA)</v>
      </c>
      <c r="N55" s="22" t="str">
        <f t="shared" si="10"/>
        <v>Peptide54: E1.3.3.4_mRNA -&gt; E1.3.3.4 | (0.278 * E1.3.3.4_mRNA) - (0.000000278 * E1.3.3.4)</v>
      </c>
    </row>
    <row r="56" spans="1:14">
      <c r="A56">
        <v>55</v>
      </c>
      <c r="B56" s="4" t="s">
        <v>7345</v>
      </c>
      <c r="C56" s="4" t="str">
        <f t="shared" si="3"/>
        <v>E1.3.5.1_mRNA</v>
      </c>
      <c r="D56" s="4" t="s">
        <v>12799</v>
      </c>
      <c r="E56" s="22" t="str">
        <f t="shared" si="4"/>
        <v>E1.3.5.1_kcat : 13.7</v>
      </c>
      <c r="F56" s="23" t="str">
        <f t="shared" si="0"/>
        <v>E1.3.5.1_km : 1</v>
      </c>
      <c r="G56" s="24" t="str">
        <f t="shared" si="1"/>
        <v>E1.3.5.1_mRNA : E1.3.5.1_mRNA</v>
      </c>
      <c r="H56" s="25" t="str">
        <f t="shared" si="2"/>
        <v>E1.3.5.1 : E1.3.5.1</v>
      </c>
      <c r="I56" s="26" t="str">
        <f t="shared" si="5"/>
        <v>E1.3.5.1_mRNA : 0</v>
      </c>
      <c r="J56" s="27" t="str">
        <f t="shared" si="6"/>
        <v>E1.3.5.1 : 0</v>
      </c>
      <c r="K56" s="28" t="str">
        <f t="shared" si="7"/>
        <v>0.00292 - (0.0093 * E1.3.5.1_mRNA)</v>
      </c>
      <c r="L56" s="24" t="str">
        <f t="shared" si="8"/>
        <v>(0.278 * E1.3.5.1_mRNA) - (0.00000278 * E1.3.5.1)</v>
      </c>
      <c r="M56" s="29" t="str">
        <f t="shared" si="9"/>
        <v>mRNA55: -&gt; E1.3.5.1_mRNA | 0.00292 - (0.0093 * E1.3.5.1_mRNA)</v>
      </c>
      <c r="N56" s="22" t="str">
        <f t="shared" si="10"/>
        <v>Peptide55: E1.3.5.1_mRNA -&gt; E1.3.5.1 | (0.278 * E1.3.5.1_mRNA) - (0.000000278 * E1.3.5.1)</v>
      </c>
    </row>
    <row r="57" spans="1:14">
      <c r="A57">
        <v>56</v>
      </c>
      <c r="B57" s="4" t="s">
        <v>7575</v>
      </c>
      <c r="C57" s="4" t="str">
        <f t="shared" si="3"/>
        <v>E1.3.5.2_mRNA</v>
      </c>
      <c r="D57" s="4" t="s">
        <v>12953</v>
      </c>
      <c r="E57" s="22" t="str">
        <f t="shared" si="4"/>
        <v>E1.3.5.2_kcat : 13.7</v>
      </c>
      <c r="F57" s="23" t="str">
        <f t="shared" si="0"/>
        <v>E1.3.5.2_km : 1</v>
      </c>
      <c r="G57" s="24" t="str">
        <f t="shared" si="1"/>
        <v>E1.3.5.2_mRNA : E1.3.5.2_mRNA</v>
      </c>
      <c r="H57" s="25" t="str">
        <f t="shared" si="2"/>
        <v>E1.3.5.2 : E1.3.5.2</v>
      </c>
      <c r="I57" s="26" t="str">
        <f t="shared" si="5"/>
        <v>E1.3.5.2_mRNA : 0</v>
      </c>
      <c r="J57" s="27" t="str">
        <f t="shared" si="6"/>
        <v>E1.3.5.2 : 0</v>
      </c>
      <c r="K57" s="28" t="str">
        <f t="shared" si="7"/>
        <v>0.00292 - (0.0093 * E1.3.5.2_mRNA)</v>
      </c>
      <c r="L57" s="24" t="str">
        <f t="shared" si="8"/>
        <v>(0.278 * E1.3.5.2_mRNA) - (0.00000278 * E1.3.5.2)</v>
      </c>
      <c r="M57" s="29" t="str">
        <f t="shared" si="9"/>
        <v>mRNA56: -&gt; E1.3.5.2_mRNA | 0.00292 - (0.0093 * E1.3.5.2_mRNA)</v>
      </c>
      <c r="N57" s="22" t="str">
        <f t="shared" si="10"/>
        <v>Peptide56: E1.3.5.2_mRNA -&gt; E1.3.5.2 | (0.278 * E1.3.5.2_mRNA) - (0.000000278 * E1.3.5.2)</v>
      </c>
    </row>
    <row r="58" spans="1:14">
      <c r="A58">
        <v>57</v>
      </c>
      <c r="B58" s="4" t="s">
        <v>7768</v>
      </c>
      <c r="C58" s="4" t="str">
        <f t="shared" si="3"/>
        <v>E1.3.8.2_mRNA</v>
      </c>
      <c r="D58" s="4" t="s">
        <v>13114</v>
      </c>
      <c r="E58" s="22" t="str">
        <f t="shared" si="4"/>
        <v>E1.3.8.2_kcat : 13.7</v>
      </c>
      <c r="F58" s="23" t="str">
        <f t="shared" si="0"/>
        <v>E1.3.8.2_km : 1</v>
      </c>
      <c r="G58" s="24" t="str">
        <f t="shared" si="1"/>
        <v>E1.3.8.2_mRNA : E1.3.8.2_mRNA</v>
      </c>
      <c r="H58" s="25" t="str">
        <f t="shared" si="2"/>
        <v>E1.3.8.2 : E1.3.8.2</v>
      </c>
      <c r="I58" s="26" t="str">
        <f t="shared" si="5"/>
        <v>E1.3.8.2_mRNA : 0</v>
      </c>
      <c r="J58" s="27" t="str">
        <f t="shared" si="6"/>
        <v>E1.3.8.2 : 0</v>
      </c>
      <c r="K58" s="28" t="str">
        <f t="shared" si="7"/>
        <v>0.00292 - (0.0093 * E1.3.8.2_mRNA)</v>
      </c>
      <c r="L58" s="24" t="str">
        <f t="shared" si="8"/>
        <v>(0.278 * E1.3.8.2_mRNA) - (0.00000278 * E1.3.8.2)</v>
      </c>
      <c r="M58" s="29" t="str">
        <f t="shared" si="9"/>
        <v>mRNA57: -&gt; E1.3.8.2_mRNA | 0.00292 - (0.0093 * E1.3.8.2_mRNA)</v>
      </c>
      <c r="N58" s="22" t="str">
        <f t="shared" si="10"/>
        <v>Peptide57: E1.3.8.2_mRNA -&gt; E1.3.8.2 | (0.278 * E1.3.8.2_mRNA) - (0.000000278 * E1.3.8.2)</v>
      </c>
    </row>
    <row r="59" spans="1:14">
      <c r="A59">
        <v>58</v>
      </c>
      <c r="B59" s="4" t="s">
        <v>7711</v>
      </c>
      <c r="C59" s="4" t="str">
        <f t="shared" si="3"/>
        <v>E1.3.98.3_mRNA</v>
      </c>
      <c r="D59" s="4" t="s">
        <v>13062</v>
      </c>
      <c r="E59" s="22" t="str">
        <f t="shared" si="4"/>
        <v>E1.3.98.3_kcat : 13.7</v>
      </c>
      <c r="F59" s="23" t="str">
        <f t="shared" si="0"/>
        <v>E1.3.98.3_km : 1</v>
      </c>
      <c r="G59" s="24" t="str">
        <f t="shared" si="1"/>
        <v>E1.3.98.3_mRNA : E1.3.98.3_mRNA</v>
      </c>
      <c r="H59" s="25" t="str">
        <f t="shared" si="2"/>
        <v>E1.3.98.3 : E1.3.98.3</v>
      </c>
      <c r="I59" s="26" t="str">
        <f t="shared" si="5"/>
        <v>E1.3.98.3_mRNA : 0</v>
      </c>
      <c r="J59" s="27" t="str">
        <f t="shared" si="6"/>
        <v>E1.3.98.3 : 0</v>
      </c>
      <c r="K59" s="28" t="str">
        <f t="shared" si="7"/>
        <v>0.00292 - (0.0093 * E1.3.98.3_mRNA)</v>
      </c>
      <c r="L59" s="24" t="str">
        <f t="shared" si="8"/>
        <v>(0.278 * E1.3.98.3_mRNA) - (0.00000278 * E1.3.98.3)</v>
      </c>
      <c r="M59" s="29" t="str">
        <f t="shared" si="9"/>
        <v>mRNA58: -&gt; E1.3.98.3_mRNA | 0.00292 - (0.0093 * E1.3.98.3_mRNA)</v>
      </c>
      <c r="N59" s="22" t="str">
        <f t="shared" si="10"/>
        <v>Peptide58: E1.3.98.3_mRNA -&gt; E1.3.98.3 | (0.278 * E1.3.98.3_mRNA) - (0.000000278 * E1.3.98.3)</v>
      </c>
    </row>
    <row r="60" spans="1:14">
      <c r="A60">
        <v>59</v>
      </c>
      <c r="B60" s="4" t="s">
        <v>7734</v>
      </c>
      <c r="C60" s="4" t="str">
        <f t="shared" si="3"/>
        <v>E1.4.1.1_mRNA</v>
      </c>
      <c r="D60" s="4" t="s">
        <v>13082</v>
      </c>
      <c r="E60" s="22" t="str">
        <f t="shared" si="4"/>
        <v>E1.4.1.1_kcat : 13.7</v>
      </c>
      <c r="F60" s="23" t="str">
        <f t="shared" si="0"/>
        <v>E1.4.1.1_km : 1</v>
      </c>
      <c r="G60" s="24" t="str">
        <f t="shared" si="1"/>
        <v>E1.4.1.1_mRNA : E1.4.1.1_mRNA</v>
      </c>
      <c r="H60" s="25" t="str">
        <f t="shared" si="2"/>
        <v>E1.4.1.1 : E1.4.1.1</v>
      </c>
      <c r="I60" s="26" t="str">
        <f t="shared" si="5"/>
        <v>E1.4.1.1_mRNA : 0</v>
      </c>
      <c r="J60" s="27" t="str">
        <f t="shared" si="6"/>
        <v>E1.4.1.1 : 0</v>
      </c>
      <c r="K60" s="28" t="str">
        <f t="shared" si="7"/>
        <v>0.00292 - (0.0093 * E1.4.1.1_mRNA)</v>
      </c>
      <c r="L60" s="24" t="str">
        <f t="shared" si="8"/>
        <v>(0.278 * E1.4.1.1_mRNA) - (0.00000278 * E1.4.1.1)</v>
      </c>
      <c r="M60" s="29" t="str">
        <f t="shared" si="9"/>
        <v>mRNA59: -&gt; E1.4.1.1_mRNA | 0.00292 - (0.0093 * E1.4.1.1_mRNA)</v>
      </c>
      <c r="N60" s="22" t="str">
        <f t="shared" si="10"/>
        <v>Peptide59: E1.4.1.1_mRNA -&gt; E1.4.1.1 | (0.278 * E1.4.1.1_mRNA) - (0.000000278 * E1.4.1.1)</v>
      </c>
    </row>
    <row r="61" spans="1:14">
      <c r="A61">
        <v>60</v>
      </c>
      <c r="B61" s="4" t="s">
        <v>7650</v>
      </c>
      <c r="C61" s="4" t="str">
        <f t="shared" si="3"/>
        <v>E1.4.1.2_mRNA</v>
      </c>
      <c r="D61" s="4" t="s">
        <v>13012</v>
      </c>
      <c r="E61" s="22" t="str">
        <f t="shared" si="4"/>
        <v>E1.4.1.2_kcat : 13.7</v>
      </c>
      <c r="F61" s="23" t="str">
        <f t="shared" si="0"/>
        <v>E1.4.1.2_km : 1</v>
      </c>
      <c r="G61" s="24" t="str">
        <f t="shared" si="1"/>
        <v>E1.4.1.2_mRNA : E1.4.1.2_mRNA</v>
      </c>
      <c r="H61" s="25" t="str">
        <f t="shared" si="2"/>
        <v>E1.4.1.2 : E1.4.1.2</v>
      </c>
      <c r="I61" s="26" t="str">
        <f t="shared" si="5"/>
        <v>E1.4.1.2_mRNA : 0</v>
      </c>
      <c r="J61" s="27" t="str">
        <f t="shared" si="6"/>
        <v>E1.4.1.2 : 0</v>
      </c>
      <c r="K61" s="28" t="str">
        <f t="shared" si="7"/>
        <v>0.00292 - (0.0093 * E1.4.1.2_mRNA)</v>
      </c>
      <c r="L61" s="24" t="str">
        <f t="shared" si="8"/>
        <v>(0.278 * E1.4.1.2_mRNA) - (0.00000278 * E1.4.1.2)</v>
      </c>
      <c r="M61" s="29" t="str">
        <f t="shared" si="9"/>
        <v>mRNA60: -&gt; E1.4.1.2_mRNA | 0.00292 - (0.0093 * E1.4.1.2_mRNA)</v>
      </c>
      <c r="N61" s="22" t="str">
        <f t="shared" si="10"/>
        <v>Peptide60: E1.4.1.2_mRNA -&gt; E1.4.1.2 | (0.278 * E1.4.1.2_mRNA) - (0.000000278 * E1.4.1.2)</v>
      </c>
    </row>
    <row r="62" spans="1:14">
      <c r="A62">
        <v>61</v>
      </c>
      <c r="B62" s="4" t="s">
        <v>7685</v>
      </c>
      <c r="C62" s="4" t="str">
        <f t="shared" si="3"/>
        <v>E1.4.4.2_mRNA</v>
      </c>
      <c r="D62" s="4" t="s">
        <v>13041</v>
      </c>
      <c r="E62" s="22" t="str">
        <f t="shared" si="4"/>
        <v>E1.4.4.2_kcat : 13.7</v>
      </c>
      <c r="F62" s="23" t="str">
        <f t="shared" si="0"/>
        <v>E1.4.4.2_km : 1</v>
      </c>
      <c r="G62" s="24" t="str">
        <f t="shared" si="1"/>
        <v>E1.4.4.2_mRNA : E1.4.4.2_mRNA</v>
      </c>
      <c r="H62" s="25" t="str">
        <f t="shared" si="2"/>
        <v>E1.4.4.2 : E1.4.4.2</v>
      </c>
      <c r="I62" s="26" t="str">
        <f t="shared" si="5"/>
        <v>E1.4.4.2_mRNA : 0</v>
      </c>
      <c r="J62" s="27" t="str">
        <f t="shared" si="6"/>
        <v>E1.4.4.2 : 0</v>
      </c>
      <c r="K62" s="28" t="str">
        <f t="shared" si="7"/>
        <v>0.00292 - (0.0093 * E1.4.4.2_mRNA)</v>
      </c>
      <c r="L62" s="24" t="str">
        <f t="shared" si="8"/>
        <v>(0.278 * E1.4.4.2_mRNA) - (0.00000278 * E1.4.4.2)</v>
      </c>
      <c r="M62" s="29" t="str">
        <f t="shared" si="9"/>
        <v>mRNA61: -&gt; E1.4.4.2_mRNA | 0.00292 - (0.0093 * E1.4.4.2_mRNA)</v>
      </c>
      <c r="N62" s="22" t="str">
        <f t="shared" si="10"/>
        <v>Peptide61: E1.4.4.2_mRNA -&gt; E1.4.4.2 | (0.278 * E1.4.4.2_mRNA) - (0.000000278 * E1.4.4.2)</v>
      </c>
    </row>
    <row r="63" spans="1:14">
      <c r="A63">
        <v>62</v>
      </c>
      <c r="B63" s="4" t="s">
        <v>7546</v>
      </c>
      <c r="C63" s="4" t="str">
        <f t="shared" si="3"/>
        <v>E1.4.99.5_mRNA</v>
      </c>
      <c r="D63" s="4" t="s">
        <v>12937</v>
      </c>
      <c r="E63" s="22" t="str">
        <f t="shared" si="4"/>
        <v>E1.4.99.5_kcat : 13.7</v>
      </c>
      <c r="F63" s="23" t="str">
        <f t="shared" si="0"/>
        <v>E1.4.99.5_km : 1</v>
      </c>
      <c r="G63" s="24" t="str">
        <f t="shared" si="1"/>
        <v>E1.4.99.5_mRNA : E1.4.99.5_mRNA</v>
      </c>
      <c r="H63" s="25" t="str">
        <f t="shared" si="2"/>
        <v>E1.4.99.5 : E1.4.99.5</v>
      </c>
      <c r="I63" s="26" t="str">
        <f t="shared" si="5"/>
        <v>E1.4.99.5_mRNA : 0</v>
      </c>
      <c r="J63" s="27" t="str">
        <f t="shared" si="6"/>
        <v>E1.4.99.5 : 0</v>
      </c>
      <c r="K63" s="28" t="str">
        <f t="shared" si="7"/>
        <v>0.00292 - (0.0093 * E1.4.99.5_mRNA)</v>
      </c>
      <c r="L63" s="24" t="str">
        <f t="shared" si="8"/>
        <v>(0.278 * E1.4.99.5_mRNA) - (0.00000278 * E1.4.99.5)</v>
      </c>
      <c r="M63" s="29" t="str">
        <f t="shared" si="9"/>
        <v>mRNA62: -&gt; E1.4.99.5_mRNA | 0.00292 - (0.0093 * E1.4.99.5_mRNA)</v>
      </c>
      <c r="N63" s="22" t="str">
        <f t="shared" si="10"/>
        <v>Peptide62: E1.4.99.5_mRNA -&gt; E1.4.99.5 | (0.278 * E1.4.99.5_mRNA) - (0.000000278 * E1.4.99.5)</v>
      </c>
    </row>
    <row r="64" spans="1:14">
      <c r="A64">
        <v>63</v>
      </c>
      <c r="B64" s="4" t="s">
        <v>7352</v>
      </c>
      <c r="C64" s="4" t="str">
        <f t="shared" si="3"/>
        <v>E1.5.1.2_mRNA</v>
      </c>
      <c r="D64" s="4" t="s">
        <v>12804</v>
      </c>
      <c r="E64" s="22" t="str">
        <f t="shared" si="4"/>
        <v>E1.5.1.2_kcat : 13.7</v>
      </c>
      <c r="F64" s="23" t="str">
        <f t="shared" si="0"/>
        <v>E1.5.1.2_km : 1</v>
      </c>
      <c r="G64" s="24" t="str">
        <f t="shared" si="1"/>
        <v>E1.5.1.2_mRNA : E1.5.1.2_mRNA</v>
      </c>
      <c r="H64" s="25" t="str">
        <f t="shared" si="2"/>
        <v>E1.5.1.2 : E1.5.1.2</v>
      </c>
      <c r="I64" s="26" t="str">
        <f t="shared" si="5"/>
        <v>E1.5.1.2_mRNA : 0</v>
      </c>
      <c r="J64" s="27" t="str">
        <f t="shared" si="6"/>
        <v>E1.5.1.2 : 0</v>
      </c>
      <c r="K64" s="28" t="str">
        <f t="shared" si="7"/>
        <v>0.00292 - (0.0093 * E1.5.1.2_mRNA)</v>
      </c>
      <c r="L64" s="24" t="str">
        <f t="shared" si="8"/>
        <v>(0.278 * E1.5.1.2_mRNA) - (0.00000278 * E1.5.1.2)</v>
      </c>
      <c r="M64" s="29" t="str">
        <f t="shared" si="9"/>
        <v>mRNA63: -&gt; E1.5.1.2_mRNA | 0.00292 - (0.0093 * E1.5.1.2_mRNA)</v>
      </c>
      <c r="N64" s="22" t="str">
        <f t="shared" si="10"/>
        <v>Peptide63: E1.5.1.2_mRNA -&gt; E1.5.1.2 | (0.278 * E1.5.1.2_mRNA) - (0.000000278 * E1.5.1.2)</v>
      </c>
    </row>
    <row r="65" spans="1:14">
      <c r="A65">
        <v>64</v>
      </c>
      <c r="B65" s="4" t="s">
        <v>7284</v>
      </c>
      <c r="C65" s="4" t="str">
        <f t="shared" si="3"/>
        <v>E1.5.1.20_mRNA</v>
      </c>
      <c r="D65" s="4" t="s">
        <v>12745</v>
      </c>
      <c r="E65" s="22" t="str">
        <f t="shared" si="4"/>
        <v>E1.5.1.20_kcat : 13.7</v>
      </c>
      <c r="F65" s="23" t="str">
        <f t="shared" si="0"/>
        <v>E1.5.1.20_km : 1</v>
      </c>
      <c r="G65" s="24" t="str">
        <f t="shared" si="1"/>
        <v>E1.5.1.20_mRNA : E1.5.1.20_mRNA</v>
      </c>
      <c r="H65" s="25" t="str">
        <f t="shared" si="2"/>
        <v>E1.5.1.20 : E1.5.1.20</v>
      </c>
      <c r="I65" s="26" t="str">
        <f t="shared" si="5"/>
        <v>E1.5.1.20_mRNA : 0</v>
      </c>
      <c r="J65" s="27" t="str">
        <f t="shared" si="6"/>
        <v>E1.5.1.20 : 0</v>
      </c>
      <c r="K65" s="28" t="str">
        <f t="shared" si="7"/>
        <v>0.00292 - (0.0093 * E1.5.1.20_mRNA)</v>
      </c>
      <c r="L65" s="24" t="str">
        <f t="shared" si="8"/>
        <v>(0.278 * E1.5.1.20_mRNA) - (0.00000278 * E1.5.1.20)</v>
      </c>
      <c r="M65" s="29" t="str">
        <f t="shared" si="9"/>
        <v>mRNA64: -&gt; E1.5.1.20_mRNA | 0.00292 - (0.0093 * E1.5.1.20_mRNA)</v>
      </c>
      <c r="N65" s="22" t="str">
        <f t="shared" si="10"/>
        <v>Peptide64: E1.5.1.20_mRNA -&gt; E1.5.1.20 | (0.278 * E1.5.1.20_mRNA) - (0.000000278 * E1.5.1.20)</v>
      </c>
    </row>
    <row r="66" spans="1:14">
      <c r="A66">
        <v>65</v>
      </c>
      <c r="B66" s="4" t="s">
        <v>7445</v>
      </c>
      <c r="C66" s="4" t="str">
        <f t="shared" si="3"/>
        <v>E1.5.1.3_mRNA</v>
      </c>
      <c r="D66" s="4" t="s">
        <v>12861</v>
      </c>
      <c r="E66" s="22" t="str">
        <f t="shared" si="4"/>
        <v>E1.5.1.3_kcat : 13.7</v>
      </c>
      <c r="F66" s="23" t="str">
        <f t="shared" ref="F66:F129" si="11">CONCATENATE("E",B66,"_km : 1")</f>
        <v>E1.5.1.3_km : 1</v>
      </c>
      <c r="G66" s="24" t="str">
        <f t="shared" ref="G66:G129" si="12">CONCATENATE(C66," : ",C66)</f>
        <v>E1.5.1.3_mRNA : E1.5.1.3_mRNA</v>
      </c>
      <c r="H66" s="25" t="str">
        <f t="shared" ref="H66:H129" si="13">CONCATENATE(D66," : ",D66)</f>
        <v>E1.5.1.3 : E1.5.1.3</v>
      </c>
      <c r="I66" s="26" t="str">
        <f t="shared" si="5"/>
        <v>E1.5.1.3_mRNA : 0</v>
      </c>
      <c r="J66" s="27" t="str">
        <f t="shared" si="6"/>
        <v>E1.5.1.3 : 0</v>
      </c>
      <c r="K66" s="28" t="str">
        <f t="shared" si="7"/>
        <v>0.00292 - (0.0093 * E1.5.1.3_mRNA)</v>
      </c>
      <c r="L66" s="24" t="str">
        <f t="shared" si="8"/>
        <v>(0.278 * E1.5.1.3_mRNA) - (0.00000278 * E1.5.1.3)</v>
      </c>
      <c r="M66" s="29" t="str">
        <f t="shared" si="9"/>
        <v>mRNA65: -&gt; E1.5.1.3_mRNA | 0.00292 - (0.0093 * E1.5.1.3_mRNA)</v>
      </c>
      <c r="N66" s="22" t="str">
        <f t="shared" si="10"/>
        <v>Peptide65: E1.5.1.3_mRNA -&gt; E1.5.1.3 | (0.278 * E1.5.1.3_mRNA) - (0.000000278 * E1.5.1.3)</v>
      </c>
    </row>
    <row r="67" spans="1:14">
      <c r="A67">
        <v>66</v>
      </c>
      <c r="B67" s="4" t="s">
        <v>7602</v>
      </c>
      <c r="C67" s="4" t="str">
        <f t="shared" ref="C67:C130" si="14">CONCATENATE(D67,"_mRNA")</f>
        <v>E1.5.1.38_mRNA</v>
      </c>
      <c r="D67" s="4" t="s">
        <v>12979</v>
      </c>
      <c r="E67" s="22" t="str">
        <f t="shared" ref="E67:E130" si="15">CONCATENATE("E",B67,"_kcat : 13.7")</f>
        <v>E1.5.1.38_kcat : 13.7</v>
      </c>
      <c r="F67" s="23" t="str">
        <f t="shared" si="11"/>
        <v>E1.5.1.38_km : 1</v>
      </c>
      <c r="G67" s="24" t="str">
        <f t="shared" si="12"/>
        <v>E1.5.1.38_mRNA : E1.5.1.38_mRNA</v>
      </c>
      <c r="H67" s="25" t="str">
        <f t="shared" si="13"/>
        <v>E1.5.1.38 : E1.5.1.38</v>
      </c>
      <c r="I67" s="26" t="str">
        <f t="shared" ref="I67:I130" si="16">CONCATENATE(C67," : ","0")</f>
        <v>E1.5.1.38_mRNA : 0</v>
      </c>
      <c r="J67" s="27" t="str">
        <f t="shared" ref="J67:J130" si="17">CONCATENATE(D67," : ","0")</f>
        <v>E1.5.1.38 : 0</v>
      </c>
      <c r="K67" s="28" t="str">
        <f t="shared" ref="K67:K130" si="18">CONCATENATE("0.00292 - (0.0093 * ",C67,")")</f>
        <v>0.00292 - (0.0093 * E1.5.1.38_mRNA)</v>
      </c>
      <c r="L67" s="24" t="str">
        <f t="shared" ref="L67:L130" si="19">CONCATENATE("(0.278 * ",C67,")"," - (0.00000278 * ",D67,")")</f>
        <v>(0.278 * E1.5.1.38_mRNA) - (0.00000278 * E1.5.1.38)</v>
      </c>
      <c r="M67" s="29" t="str">
        <f t="shared" ref="M67:M130" si="20">CONCATENATE("mRNA",A67,": -&gt; ",C67," | ","0.00292"," - ","(","0.0093"," * ",C67,")")</f>
        <v>mRNA66: -&gt; E1.5.1.38_mRNA | 0.00292 - (0.0093 * E1.5.1.38_mRNA)</v>
      </c>
      <c r="N67" s="22" t="str">
        <f t="shared" ref="N67:N130" si="21">CONCATENATE("Peptide",A67,": ",C67," -&gt; ",D67," | ","(","0.278"," * ",C67,")"," - ","(","0.000000278"," * ",D67,")")</f>
        <v>Peptide66: E1.5.1.38_mRNA -&gt; E1.5.1.38 | (0.278 * E1.5.1.38_mRNA) - (0.000000278 * E1.5.1.38)</v>
      </c>
    </row>
    <row r="68" spans="1:14">
      <c r="A68">
        <v>67</v>
      </c>
      <c r="B68" s="4" t="s">
        <v>7401</v>
      </c>
      <c r="C68" s="4" t="str">
        <f t="shared" si="14"/>
        <v>E1.6.5.2_mRNA</v>
      </c>
      <c r="D68" s="4" t="s">
        <v>12837</v>
      </c>
      <c r="E68" s="22" t="str">
        <f t="shared" si="15"/>
        <v>E1.6.5.2_kcat : 13.7</v>
      </c>
      <c r="F68" s="23" t="str">
        <f t="shared" si="11"/>
        <v>E1.6.5.2_km : 1</v>
      </c>
      <c r="G68" s="24" t="str">
        <f t="shared" si="12"/>
        <v>E1.6.5.2_mRNA : E1.6.5.2_mRNA</v>
      </c>
      <c r="H68" s="25" t="str">
        <f t="shared" si="13"/>
        <v>E1.6.5.2 : E1.6.5.2</v>
      </c>
      <c r="I68" s="26" t="str">
        <f t="shared" si="16"/>
        <v>E1.6.5.2_mRNA : 0</v>
      </c>
      <c r="J68" s="27" t="str">
        <f t="shared" si="17"/>
        <v>E1.6.5.2 : 0</v>
      </c>
      <c r="K68" s="28" t="str">
        <f t="shared" si="18"/>
        <v>0.00292 - (0.0093 * E1.6.5.2_mRNA)</v>
      </c>
      <c r="L68" s="24" t="str">
        <f t="shared" si="19"/>
        <v>(0.278 * E1.6.5.2_mRNA) - (0.00000278 * E1.6.5.2)</v>
      </c>
      <c r="M68" s="29" t="str">
        <f t="shared" si="20"/>
        <v>mRNA67: -&gt; E1.6.5.2_mRNA | 0.00292 - (0.0093 * E1.6.5.2_mRNA)</v>
      </c>
      <c r="N68" s="22" t="str">
        <f t="shared" si="21"/>
        <v>Peptide67: E1.6.5.2_mRNA -&gt; E1.6.5.2 | (0.278 * E1.6.5.2_mRNA) - (0.000000278 * E1.6.5.2)</v>
      </c>
    </row>
    <row r="69" spans="1:14">
      <c r="A69">
        <v>68</v>
      </c>
      <c r="B69" s="4" t="s">
        <v>7318</v>
      </c>
      <c r="C69" s="4" t="str">
        <f t="shared" si="14"/>
        <v>E1.6.5.5_mRNA</v>
      </c>
      <c r="D69" s="4" t="s">
        <v>12778</v>
      </c>
      <c r="E69" s="22" t="str">
        <f t="shared" si="15"/>
        <v>E1.6.5.5_kcat : 13.7</v>
      </c>
      <c r="F69" s="23" t="str">
        <f t="shared" si="11"/>
        <v>E1.6.5.5_km : 1</v>
      </c>
      <c r="G69" s="24" t="str">
        <f t="shared" si="12"/>
        <v>E1.6.5.5_mRNA : E1.6.5.5_mRNA</v>
      </c>
      <c r="H69" s="25" t="str">
        <f t="shared" si="13"/>
        <v>E1.6.5.5 : E1.6.5.5</v>
      </c>
      <c r="I69" s="26" t="str">
        <f t="shared" si="16"/>
        <v>E1.6.5.5_mRNA : 0</v>
      </c>
      <c r="J69" s="27" t="str">
        <f t="shared" si="17"/>
        <v>E1.6.5.5 : 0</v>
      </c>
      <c r="K69" s="28" t="str">
        <f t="shared" si="18"/>
        <v>0.00292 - (0.0093 * E1.6.5.5_mRNA)</v>
      </c>
      <c r="L69" s="24" t="str">
        <f t="shared" si="19"/>
        <v>(0.278 * E1.6.5.5_mRNA) - (0.00000278 * E1.6.5.5)</v>
      </c>
      <c r="M69" s="29" t="str">
        <f t="shared" si="20"/>
        <v>mRNA68: -&gt; E1.6.5.5_mRNA | 0.00292 - (0.0093 * E1.6.5.5_mRNA)</v>
      </c>
      <c r="N69" s="22" t="str">
        <f t="shared" si="21"/>
        <v>Peptide68: E1.6.5.5_mRNA -&gt; E1.6.5.5 | (0.278 * E1.6.5.5_mRNA) - (0.000000278 * E1.6.5.5)</v>
      </c>
    </row>
    <row r="70" spans="1:14">
      <c r="A70">
        <v>69</v>
      </c>
      <c r="B70" s="4" t="s">
        <v>7513</v>
      </c>
      <c r="C70" s="4" t="str">
        <f t="shared" si="14"/>
        <v>E1.7.2.1_mRNA</v>
      </c>
      <c r="D70" s="4" t="s">
        <v>12909</v>
      </c>
      <c r="E70" s="22" t="str">
        <f t="shared" si="15"/>
        <v>E1.7.2.1_kcat : 13.7</v>
      </c>
      <c r="F70" s="23" t="str">
        <f t="shared" si="11"/>
        <v>E1.7.2.1_km : 1</v>
      </c>
      <c r="G70" s="24" t="str">
        <f t="shared" si="12"/>
        <v>E1.7.2.1_mRNA : E1.7.2.1_mRNA</v>
      </c>
      <c r="H70" s="25" t="str">
        <f t="shared" si="13"/>
        <v>E1.7.2.1 : E1.7.2.1</v>
      </c>
      <c r="I70" s="26" t="str">
        <f t="shared" si="16"/>
        <v>E1.7.2.1_mRNA : 0</v>
      </c>
      <c r="J70" s="27" t="str">
        <f t="shared" si="17"/>
        <v>E1.7.2.1 : 0</v>
      </c>
      <c r="K70" s="28" t="str">
        <f t="shared" si="18"/>
        <v>0.00292 - (0.0093 * E1.7.2.1_mRNA)</v>
      </c>
      <c r="L70" s="24" t="str">
        <f t="shared" si="19"/>
        <v>(0.278 * E1.7.2.1_mRNA) - (0.00000278 * E1.7.2.1)</v>
      </c>
      <c r="M70" s="29" t="str">
        <f t="shared" si="20"/>
        <v>mRNA69: -&gt; E1.7.2.1_mRNA | 0.00292 - (0.0093 * E1.7.2.1_mRNA)</v>
      </c>
      <c r="N70" s="22" t="str">
        <f t="shared" si="21"/>
        <v>Peptide69: E1.7.2.1_mRNA -&gt; E1.7.2.1 | (0.278 * E1.7.2.1_mRNA) - (0.000000278 * E1.7.2.1)</v>
      </c>
    </row>
    <row r="71" spans="1:14">
      <c r="A71">
        <v>70</v>
      </c>
      <c r="B71" s="4" t="s">
        <v>7639</v>
      </c>
      <c r="C71" s="4" t="str">
        <f t="shared" si="14"/>
        <v>E1.8.1.15_mRNA</v>
      </c>
      <c r="D71" s="4" t="s">
        <v>13005</v>
      </c>
      <c r="E71" s="22" t="str">
        <f t="shared" si="15"/>
        <v>E1.8.1.15_kcat : 13.7</v>
      </c>
      <c r="F71" s="23" t="str">
        <f t="shared" si="11"/>
        <v>E1.8.1.15_km : 1</v>
      </c>
      <c r="G71" s="24" t="str">
        <f t="shared" si="12"/>
        <v>E1.8.1.15_mRNA : E1.8.1.15_mRNA</v>
      </c>
      <c r="H71" s="25" t="str">
        <f t="shared" si="13"/>
        <v>E1.8.1.15 : E1.8.1.15</v>
      </c>
      <c r="I71" s="26" t="str">
        <f t="shared" si="16"/>
        <v>E1.8.1.15_mRNA : 0</v>
      </c>
      <c r="J71" s="27" t="str">
        <f t="shared" si="17"/>
        <v>E1.8.1.15 : 0</v>
      </c>
      <c r="K71" s="28" t="str">
        <f t="shared" si="18"/>
        <v>0.00292 - (0.0093 * E1.8.1.15_mRNA)</v>
      </c>
      <c r="L71" s="24" t="str">
        <f t="shared" si="19"/>
        <v>(0.278 * E1.8.1.15_mRNA) - (0.00000278 * E1.8.1.15)</v>
      </c>
      <c r="M71" s="29" t="str">
        <f t="shared" si="20"/>
        <v>mRNA70: -&gt; E1.8.1.15_mRNA | 0.00292 - (0.0093 * E1.8.1.15_mRNA)</v>
      </c>
      <c r="N71" s="22" t="str">
        <f t="shared" si="21"/>
        <v>Peptide70: E1.8.1.15_mRNA -&gt; E1.8.1.15 | (0.278 * E1.8.1.15_mRNA) - (0.000000278 * E1.8.1.15)</v>
      </c>
    </row>
    <row r="72" spans="1:14">
      <c r="A72">
        <v>71</v>
      </c>
      <c r="B72" s="4" t="s">
        <v>7343</v>
      </c>
      <c r="C72" s="4" t="str">
        <f t="shared" si="14"/>
        <v>E1.8.1.4_mRNA</v>
      </c>
      <c r="D72" s="4" t="s">
        <v>12798</v>
      </c>
      <c r="E72" s="22" t="str">
        <f t="shared" si="15"/>
        <v>E1.8.1.4_kcat : 13.7</v>
      </c>
      <c r="F72" s="23" t="str">
        <f t="shared" si="11"/>
        <v>E1.8.1.4_km : 1</v>
      </c>
      <c r="G72" s="24" t="str">
        <f t="shared" si="12"/>
        <v>E1.8.1.4_mRNA : E1.8.1.4_mRNA</v>
      </c>
      <c r="H72" s="25" t="str">
        <f t="shared" si="13"/>
        <v>E1.8.1.4 : E1.8.1.4</v>
      </c>
      <c r="I72" s="26" t="str">
        <f t="shared" si="16"/>
        <v>E1.8.1.4_mRNA : 0</v>
      </c>
      <c r="J72" s="27" t="str">
        <f t="shared" si="17"/>
        <v>E1.8.1.4 : 0</v>
      </c>
      <c r="K72" s="28" t="str">
        <f t="shared" si="18"/>
        <v>0.00292 - (0.0093 * E1.8.1.4_mRNA)</v>
      </c>
      <c r="L72" s="24" t="str">
        <f t="shared" si="19"/>
        <v>(0.278 * E1.8.1.4_mRNA) - (0.00000278 * E1.8.1.4)</v>
      </c>
      <c r="M72" s="29" t="str">
        <f t="shared" si="20"/>
        <v>mRNA71: -&gt; E1.8.1.4_mRNA | 0.00292 - (0.0093 * E1.8.1.4_mRNA)</v>
      </c>
      <c r="N72" s="22" t="str">
        <f t="shared" si="21"/>
        <v>Peptide71: E1.8.1.4_mRNA -&gt; E1.8.1.4 | (0.278 * E1.8.1.4_mRNA) - (0.000000278 * E1.8.1.4)</v>
      </c>
    </row>
    <row r="73" spans="1:14">
      <c r="A73">
        <v>72</v>
      </c>
      <c r="B73" s="4" t="s">
        <v>7784</v>
      </c>
      <c r="C73" s="4" t="str">
        <f t="shared" si="14"/>
        <v>E1.8.1.9_mRNA</v>
      </c>
      <c r="D73" s="4" t="s">
        <v>13163</v>
      </c>
      <c r="E73" s="22" t="str">
        <f t="shared" si="15"/>
        <v>E1.8.1.9_kcat : 13.7</v>
      </c>
      <c r="F73" s="23" t="str">
        <f t="shared" si="11"/>
        <v>E1.8.1.9_km : 1</v>
      </c>
      <c r="G73" s="24" t="str">
        <f t="shared" si="12"/>
        <v>E1.8.1.9_mRNA : E1.8.1.9_mRNA</v>
      </c>
      <c r="H73" s="25" t="str">
        <f t="shared" si="13"/>
        <v>E1.8.1.9 : E1.8.1.9</v>
      </c>
      <c r="I73" s="26" t="str">
        <f t="shared" si="16"/>
        <v>E1.8.1.9_mRNA : 0</v>
      </c>
      <c r="J73" s="27" t="str">
        <f t="shared" si="17"/>
        <v>E1.8.1.9 : 0</v>
      </c>
      <c r="K73" s="28" t="str">
        <f t="shared" si="18"/>
        <v>0.00292 - (0.0093 * E1.8.1.9_mRNA)</v>
      </c>
      <c r="L73" s="24" t="str">
        <f t="shared" si="19"/>
        <v>(0.278 * E1.8.1.9_mRNA) - (0.00000278 * E1.8.1.9)</v>
      </c>
      <c r="M73" s="29" t="str">
        <f t="shared" si="20"/>
        <v>mRNA72: -&gt; E1.8.1.9_mRNA | 0.00292 - (0.0093 * E1.8.1.9_mRNA)</v>
      </c>
      <c r="N73" s="22" t="str">
        <f t="shared" si="21"/>
        <v>Peptide72: E1.8.1.9_mRNA -&gt; E1.8.1.9 | (0.278 * E1.8.1.9_mRNA) - (0.000000278 * E1.8.1.9)</v>
      </c>
    </row>
    <row r="74" spans="1:14">
      <c r="A74">
        <v>73</v>
      </c>
      <c r="B74" s="4" t="s">
        <v>7792</v>
      </c>
      <c r="C74" s="4" t="str">
        <f t="shared" si="14"/>
        <v>E1.8.4.11_mRNA</v>
      </c>
      <c r="D74" s="4" t="s">
        <v>13156</v>
      </c>
      <c r="E74" s="22" t="str">
        <f t="shared" si="15"/>
        <v>E1.8.4.11_kcat : 13.7</v>
      </c>
      <c r="F74" s="23" t="str">
        <f t="shared" si="11"/>
        <v>E1.8.4.11_km : 1</v>
      </c>
      <c r="G74" s="24" t="str">
        <f t="shared" si="12"/>
        <v>E1.8.4.11_mRNA : E1.8.4.11_mRNA</v>
      </c>
      <c r="H74" s="25" t="str">
        <f t="shared" si="13"/>
        <v>E1.8.4.11 : E1.8.4.11</v>
      </c>
      <c r="I74" s="26" t="str">
        <f t="shared" si="16"/>
        <v>E1.8.4.11_mRNA : 0</v>
      </c>
      <c r="J74" s="27" t="str">
        <f t="shared" si="17"/>
        <v>E1.8.4.11 : 0</v>
      </c>
      <c r="K74" s="28" t="str">
        <f t="shared" si="18"/>
        <v>0.00292 - (0.0093 * E1.8.4.11_mRNA)</v>
      </c>
      <c r="L74" s="24" t="str">
        <f t="shared" si="19"/>
        <v>(0.278 * E1.8.4.11_mRNA) - (0.00000278 * E1.8.4.11)</v>
      </c>
      <c r="M74" s="29" t="str">
        <f t="shared" si="20"/>
        <v>mRNA73: -&gt; E1.8.4.11_mRNA | 0.00292 - (0.0093 * E1.8.4.11_mRNA)</v>
      </c>
      <c r="N74" s="22" t="str">
        <f t="shared" si="21"/>
        <v>Peptide73: E1.8.4.11_mRNA -&gt; E1.8.4.11 | (0.278 * E1.8.4.11_mRNA) - (0.000000278 * E1.8.4.11)</v>
      </c>
    </row>
    <row r="75" spans="1:14">
      <c r="A75">
        <v>74</v>
      </c>
      <c r="B75" s="4" t="s">
        <v>7614</v>
      </c>
      <c r="C75" s="4" t="str">
        <f t="shared" si="14"/>
        <v>E1.8.4.12_mRNA</v>
      </c>
      <c r="D75" s="4" t="s">
        <v>12988</v>
      </c>
      <c r="E75" s="22" t="str">
        <f t="shared" si="15"/>
        <v>E1.8.4.12_kcat : 13.7</v>
      </c>
      <c r="F75" s="23" t="str">
        <f t="shared" si="11"/>
        <v>E1.8.4.12_km : 1</v>
      </c>
      <c r="G75" s="24" t="str">
        <f t="shared" si="12"/>
        <v>E1.8.4.12_mRNA : E1.8.4.12_mRNA</v>
      </c>
      <c r="H75" s="25" t="str">
        <f t="shared" si="13"/>
        <v>E1.8.4.12 : E1.8.4.12</v>
      </c>
      <c r="I75" s="26" t="str">
        <f t="shared" si="16"/>
        <v>E1.8.4.12_mRNA : 0</v>
      </c>
      <c r="J75" s="27" t="str">
        <f t="shared" si="17"/>
        <v>E1.8.4.12 : 0</v>
      </c>
      <c r="K75" s="28" t="str">
        <f t="shared" si="18"/>
        <v>0.00292 - (0.0093 * E1.8.4.12_mRNA)</v>
      </c>
      <c r="L75" s="24" t="str">
        <f t="shared" si="19"/>
        <v>(0.278 * E1.8.4.12_mRNA) - (0.00000278 * E1.8.4.12)</v>
      </c>
      <c r="M75" s="29" t="str">
        <f t="shared" si="20"/>
        <v>mRNA74: -&gt; E1.8.4.12_mRNA | 0.00292 - (0.0093 * E1.8.4.12_mRNA)</v>
      </c>
      <c r="N75" s="22" t="str">
        <f t="shared" si="21"/>
        <v>Peptide74: E1.8.4.12_mRNA -&gt; E1.8.4.12 | (0.278 * E1.8.4.12_mRNA) - (0.000000278 * E1.8.4.12)</v>
      </c>
    </row>
    <row r="76" spans="1:14">
      <c r="A76">
        <v>75</v>
      </c>
      <c r="B76" s="4" t="s">
        <v>7817</v>
      </c>
      <c r="C76" s="4" t="str">
        <f t="shared" si="14"/>
        <v>E1.8.4.8_mRNA</v>
      </c>
      <c r="D76" s="4" t="s">
        <v>13133</v>
      </c>
      <c r="E76" s="22" t="str">
        <f t="shared" si="15"/>
        <v>E1.8.4.8_kcat : 13.7</v>
      </c>
      <c r="F76" s="23" t="str">
        <f t="shared" si="11"/>
        <v>E1.8.4.8_km : 1</v>
      </c>
      <c r="G76" s="24" t="str">
        <f t="shared" si="12"/>
        <v>E1.8.4.8_mRNA : E1.8.4.8_mRNA</v>
      </c>
      <c r="H76" s="25" t="str">
        <f t="shared" si="13"/>
        <v>E1.8.4.8 : E1.8.4.8</v>
      </c>
      <c r="I76" s="26" t="str">
        <f t="shared" si="16"/>
        <v>E1.8.4.8_mRNA : 0</v>
      </c>
      <c r="J76" s="27" t="str">
        <f t="shared" si="17"/>
        <v>E1.8.4.8 : 0</v>
      </c>
      <c r="K76" s="28" t="str">
        <f t="shared" si="18"/>
        <v>0.00292 - (0.0093 * E1.8.4.8_mRNA)</v>
      </c>
      <c r="L76" s="24" t="str">
        <f t="shared" si="19"/>
        <v>(0.278 * E1.8.4.8_mRNA) - (0.00000278 * E1.8.4.8)</v>
      </c>
      <c r="M76" s="29" t="str">
        <f t="shared" si="20"/>
        <v>mRNA75: -&gt; E1.8.4.8_mRNA | 0.00292 - (0.0093 * E1.8.4.8_mRNA)</v>
      </c>
      <c r="N76" s="22" t="str">
        <f t="shared" si="21"/>
        <v>Peptide75: E1.8.4.8_mRNA -&gt; E1.8.4.8 | (0.278 * E1.8.4.8_mRNA) - (0.000000278 * E1.8.4.8)</v>
      </c>
    </row>
    <row r="77" spans="1:14">
      <c r="A77">
        <v>76</v>
      </c>
      <c r="B77" s="4" t="s">
        <v>7739</v>
      </c>
      <c r="C77" s="4" t="str">
        <f t="shared" si="14"/>
        <v>E1.97.1.4_mRNA</v>
      </c>
      <c r="D77" s="4" t="s">
        <v>13087</v>
      </c>
      <c r="E77" s="22" t="str">
        <f t="shared" si="15"/>
        <v>E1.97.1.4_kcat : 13.7</v>
      </c>
      <c r="F77" s="23" t="str">
        <f t="shared" si="11"/>
        <v>E1.97.1.4_km : 1</v>
      </c>
      <c r="G77" s="24" t="str">
        <f t="shared" si="12"/>
        <v>E1.97.1.4_mRNA : E1.97.1.4_mRNA</v>
      </c>
      <c r="H77" s="25" t="str">
        <f t="shared" si="13"/>
        <v>E1.97.1.4 : E1.97.1.4</v>
      </c>
      <c r="I77" s="26" t="str">
        <f t="shared" si="16"/>
        <v>E1.97.1.4_mRNA : 0</v>
      </c>
      <c r="J77" s="27" t="str">
        <f t="shared" si="17"/>
        <v>E1.97.1.4 : 0</v>
      </c>
      <c r="K77" s="28" t="str">
        <f t="shared" si="18"/>
        <v>0.00292 - (0.0093 * E1.97.1.4_mRNA)</v>
      </c>
      <c r="L77" s="24" t="str">
        <f t="shared" si="19"/>
        <v>(0.278 * E1.97.1.4_mRNA) - (0.00000278 * E1.97.1.4)</v>
      </c>
      <c r="M77" s="29" t="str">
        <f t="shared" si="20"/>
        <v>mRNA76: -&gt; E1.97.1.4_mRNA | 0.00292 - (0.0093 * E1.97.1.4_mRNA)</v>
      </c>
      <c r="N77" s="22" t="str">
        <f t="shared" si="21"/>
        <v>Peptide76: E1.97.1.4_mRNA -&gt; E1.97.1.4 | (0.278 * E1.97.1.4_mRNA) - (0.000000278 * E1.97.1.4)</v>
      </c>
    </row>
    <row r="78" spans="1:14">
      <c r="A78">
        <v>77</v>
      </c>
      <c r="B78" s="4" t="s">
        <v>7356</v>
      </c>
      <c r="C78" s="4" t="str">
        <f t="shared" si="14"/>
        <v>E2.1.1.107_mRNA</v>
      </c>
      <c r="D78" s="4" t="s">
        <v>12808</v>
      </c>
      <c r="E78" s="22" t="str">
        <f t="shared" si="15"/>
        <v>E2.1.1.107_kcat : 13.7</v>
      </c>
      <c r="F78" s="23" t="str">
        <f t="shared" si="11"/>
        <v>E2.1.1.107_km : 1</v>
      </c>
      <c r="G78" s="24" t="str">
        <f t="shared" si="12"/>
        <v>E2.1.1.107_mRNA : E2.1.1.107_mRNA</v>
      </c>
      <c r="H78" s="25" t="str">
        <f t="shared" si="13"/>
        <v>E2.1.1.107 : E2.1.1.107</v>
      </c>
      <c r="I78" s="26" t="str">
        <f t="shared" si="16"/>
        <v>E2.1.1.107_mRNA : 0</v>
      </c>
      <c r="J78" s="27" t="str">
        <f t="shared" si="17"/>
        <v>E2.1.1.107 : 0</v>
      </c>
      <c r="K78" s="28" t="str">
        <f t="shared" si="18"/>
        <v>0.00292 - (0.0093 * E2.1.1.107_mRNA)</v>
      </c>
      <c r="L78" s="24" t="str">
        <f t="shared" si="19"/>
        <v>(0.278 * E2.1.1.107_mRNA) - (0.00000278 * E2.1.1.107)</v>
      </c>
      <c r="M78" s="29" t="str">
        <f t="shared" si="20"/>
        <v>mRNA77: -&gt; E2.1.1.107_mRNA | 0.00292 - (0.0093 * E2.1.1.107_mRNA)</v>
      </c>
      <c r="N78" s="22" t="str">
        <f t="shared" si="21"/>
        <v>Peptide77: E2.1.1.107_mRNA -&gt; E2.1.1.107 | (0.278 * E2.1.1.107_mRNA) - (0.000000278 * E2.1.1.107)</v>
      </c>
    </row>
    <row r="79" spans="1:14">
      <c r="A79">
        <v>78</v>
      </c>
      <c r="B79" s="4" t="s">
        <v>7559</v>
      </c>
      <c r="C79" s="4" t="str">
        <f t="shared" si="14"/>
        <v>E2.1.1.11_mRNA</v>
      </c>
      <c r="D79" s="4" t="s">
        <v>12944</v>
      </c>
      <c r="E79" s="22" t="str">
        <f t="shared" si="15"/>
        <v>E2.1.1.11_kcat : 13.7</v>
      </c>
      <c r="F79" s="23" t="str">
        <f t="shared" si="11"/>
        <v>E2.1.1.11_km : 1</v>
      </c>
      <c r="G79" s="24" t="str">
        <f t="shared" si="12"/>
        <v>E2.1.1.11_mRNA : E2.1.1.11_mRNA</v>
      </c>
      <c r="H79" s="25" t="str">
        <f t="shared" si="13"/>
        <v>E2.1.1.11 : E2.1.1.11</v>
      </c>
      <c r="I79" s="26" t="str">
        <f t="shared" si="16"/>
        <v>E2.1.1.11_mRNA : 0</v>
      </c>
      <c r="J79" s="27" t="str">
        <f t="shared" si="17"/>
        <v>E2.1.1.11 : 0</v>
      </c>
      <c r="K79" s="28" t="str">
        <f t="shared" si="18"/>
        <v>0.00292 - (0.0093 * E2.1.1.11_mRNA)</v>
      </c>
      <c r="L79" s="24" t="str">
        <f t="shared" si="19"/>
        <v>(0.278 * E2.1.1.11_mRNA) - (0.00000278 * E2.1.1.11)</v>
      </c>
      <c r="M79" s="29" t="str">
        <f t="shared" si="20"/>
        <v>mRNA78: -&gt; E2.1.1.11_mRNA | 0.00292 - (0.0093 * E2.1.1.11_mRNA)</v>
      </c>
      <c r="N79" s="22" t="str">
        <f t="shared" si="21"/>
        <v>Peptide78: E2.1.1.11_mRNA -&gt; E2.1.1.11 | (0.278 * E2.1.1.11_mRNA) - (0.000000278 * E2.1.1.11)</v>
      </c>
    </row>
    <row r="80" spans="1:14">
      <c r="A80">
        <v>79</v>
      </c>
      <c r="B80" s="4" t="s">
        <v>7285</v>
      </c>
      <c r="C80" s="4" t="str">
        <f t="shared" si="14"/>
        <v>E2.1.1.14_mRNA</v>
      </c>
      <c r="D80" s="4" t="s">
        <v>12746</v>
      </c>
      <c r="E80" s="22" t="str">
        <f t="shared" si="15"/>
        <v>E2.1.1.14_kcat : 13.7</v>
      </c>
      <c r="F80" s="23" t="str">
        <f t="shared" si="11"/>
        <v>E2.1.1.14_km : 1</v>
      </c>
      <c r="G80" s="24" t="str">
        <f t="shared" si="12"/>
        <v>E2.1.1.14_mRNA : E2.1.1.14_mRNA</v>
      </c>
      <c r="H80" s="25" t="str">
        <f t="shared" si="13"/>
        <v>E2.1.1.14 : E2.1.1.14</v>
      </c>
      <c r="I80" s="26" t="str">
        <f t="shared" si="16"/>
        <v>E2.1.1.14_mRNA : 0</v>
      </c>
      <c r="J80" s="27" t="str">
        <f t="shared" si="17"/>
        <v>E2.1.1.14 : 0</v>
      </c>
      <c r="K80" s="28" t="str">
        <f t="shared" si="18"/>
        <v>0.00292 - (0.0093 * E2.1.1.14_mRNA)</v>
      </c>
      <c r="L80" s="24" t="str">
        <f t="shared" si="19"/>
        <v>(0.278 * E2.1.1.14_mRNA) - (0.00000278 * E2.1.1.14)</v>
      </c>
      <c r="M80" s="29" t="str">
        <f t="shared" si="20"/>
        <v>mRNA79: -&gt; E2.1.1.14_mRNA | 0.00292 - (0.0093 * E2.1.1.14_mRNA)</v>
      </c>
      <c r="N80" s="22" t="str">
        <f t="shared" si="21"/>
        <v>Peptide79: E2.1.1.14_mRNA -&gt; E2.1.1.14 | (0.278 * E2.1.1.14_mRNA) - (0.000000278 * E2.1.1.14)</v>
      </c>
    </row>
    <row r="81" spans="1:14">
      <c r="A81">
        <v>80</v>
      </c>
      <c r="B81" s="4" t="s">
        <v>7368</v>
      </c>
      <c r="C81" s="4" t="str">
        <f t="shared" si="14"/>
        <v>E2.1.1.163_mRNA</v>
      </c>
      <c r="D81" s="4" t="s">
        <v>12818</v>
      </c>
      <c r="E81" s="22" t="str">
        <f t="shared" si="15"/>
        <v>E2.1.1.163_kcat : 13.7</v>
      </c>
      <c r="F81" s="23" t="str">
        <f t="shared" si="11"/>
        <v>E2.1.1.163_km : 1</v>
      </c>
      <c r="G81" s="24" t="str">
        <f t="shared" si="12"/>
        <v>E2.1.1.163_mRNA : E2.1.1.163_mRNA</v>
      </c>
      <c r="H81" s="25" t="str">
        <f t="shared" si="13"/>
        <v>E2.1.1.163 : E2.1.1.163</v>
      </c>
      <c r="I81" s="26" t="str">
        <f t="shared" si="16"/>
        <v>E2.1.1.163_mRNA : 0</v>
      </c>
      <c r="J81" s="27" t="str">
        <f t="shared" si="17"/>
        <v>E2.1.1.163 : 0</v>
      </c>
      <c r="K81" s="28" t="str">
        <f t="shared" si="18"/>
        <v>0.00292 - (0.0093 * E2.1.1.163_mRNA)</v>
      </c>
      <c r="L81" s="24" t="str">
        <f t="shared" si="19"/>
        <v>(0.278 * E2.1.1.163_mRNA) - (0.00000278 * E2.1.1.163)</v>
      </c>
      <c r="M81" s="29" t="str">
        <f t="shared" si="20"/>
        <v>mRNA80: -&gt; E2.1.1.163_mRNA | 0.00292 - (0.0093 * E2.1.1.163_mRNA)</v>
      </c>
      <c r="N81" s="22" t="str">
        <f t="shared" si="21"/>
        <v>Peptide80: E2.1.1.163_mRNA -&gt; E2.1.1.163 | (0.278 * E2.1.1.163_mRNA) - (0.000000278 * E2.1.1.163)</v>
      </c>
    </row>
    <row r="82" spans="1:14">
      <c r="A82">
        <v>81</v>
      </c>
      <c r="B82" s="4" t="s">
        <v>7534</v>
      </c>
      <c r="C82" s="4" t="str">
        <f t="shared" si="14"/>
        <v>E2.1.1.171_mRNA</v>
      </c>
      <c r="D82" s="4" t="s">
        <v>12925</v>
      </c>
      <c r="E82" s="22" t="str">
        <f t="shared" si="15"/>
        <v>E2.1.1.171_kcat : 13.7</v>
      </c>
      <c r="F82" s="23" t="str">
        <f t="shared" si="11"/>
        <v>E2.1.1.171_km : 1</v>
      </c>
      <c r="G82" s="24" t="str">
        <f t="shared" si="12"/>
        <v>E2.1.1.171_mRNA : E2.1.1.171_mRNA</v>
      </c>
      <c r="H82" s="25" t="str">
        <f t="shared" si="13"/>
        <v>E2.1.1.171 : E2.1.1.171</v>
      </c>
      <c r="I82" s="26" t="str">
        <f t="shared" si="16"/>
        <v>E2.1.1.171_mRNA : 0</v>
      </c>
      <c r="J82" s="27" t="str">
        <f t="shared" si="17"/>
        <v>E2.1.1.171 : 0</v>
      </c>
      <c r="K82" s="28" t="str">
        <f t="shared" si="18"/>
        <v>0.00292 - (0.0093 * E2.1.1.171_mRNA)</v>
      </c>
      <c r="L82" s="24" t="str">
        <f t="shared" si="19"/>
        <v>(0.278 * E2.1.1.171_mRNA) - (0.00000278 * E2.1.1.171)</v>
      </c>
      <c r="M82" s="29" t="str">
        <f t="shared" si="20"/>
        <v>mRNA81: -&gt; E2.1.1.171_mRNA | 0.00292 - (0.0093 * E2.1.1.171_mRNA)</v>
      </c>
      <c r="N82" s="22" t="str">
        <f t="shared" si="21"/>
        <v>Peptide81: E2.1.1.171_mRNA -&gt; E2.1.1.171 | (0.278 * E2.1.1.171_mRNA) - (0.000000278 * E2.1.1.171)</v>
      </c>
    </row>
    <row r="83" spans="1:14">
      <c r="A83">
        <v>82</v>
      </c>
      <c r="B83" s="4" t="s">
        <v>7460</v>
      </c>
      <c r="C83" s="4" t="str">
        <f t="shared" si="14"/>
        <v>E2.1.1.182_mRNA</v>
      </c>
      <c r="D83" s="4" t="s">
        <v>12871</v>
      </c>
      <c r="E83" s="22" t="str">
        <f t="shared" si="15"/>
        <v>E2.1.1.182_kcat : 13.7</v>
      </c>
      <c r="F83" s="23" t="str">
        <f t="shared" si="11"/>
        <v>E2.1.1.182_km : 1</v>
      </c>
      <c r="G83" s="24" t="str">
        <f t="shared" si="12"/>
        <v>E2.1.1.182_mRNA : E2.1.1.182_mRNA</v>
      </c>
      <c r="H83" s="25" t="str">
        <f t="shared" si="13"/>
        <v>E2.1.1.182 : E2.1.1.182</v>
      </c>
      <c r="I83" s="26" t="str">
        <f t="shared" si="16"/>
        <v>E2.1.1.182_mRNA : 0</v>
      </c>
      <c r="J83" s="27" t="str">
        <f t="shared" si="17"/>
        <v>E2.1.1.182 : 0</v>
      </c>
      <c r="K83" s="28" t="str">
        <f t="shared" si="18"/>
        <v>0.00292 - (0.0093 * E2.1.1.182_mRNA)</v>
      </c>
      <c r="L83" s="24" t="str">
        <f t="shared" si="19"/>
        <v>(0.278 * E2.1.1.182_mRNA) - (0.00000278 * E2.1.1.182)</v>
      </c>
      <c r="M83" s="29" t="str">
        <f t="shared" si="20"/>
        <v>mRNA82: -&gt; E2.1.1.182_mRNA | 0.00292 - (0.0093 * E2.1.1.182_mRNA)</v>
      </c>
      <c r="N83" s="22" t="str">
        <f t="shared" si="21"/>
        <v>Peptide82: E2.1.1.182_mRNA -&gt; E2.1.1.182 | (0.278 * E2.1.1.182_mRNA) - (0.000000278 * E2.1.1.182)</v>
      </c>
    </row>
    <row r="84" spans="1:14">
      <c r="A84">
        <v>83</v>
      </c>
      <c r="B84" s="4" t="s">
        <v>7499</v>
      </c>
      <c r="C84" s="4" t="str">
        <f t="shared" si="14"/>
        <v>E2.1.1.188_mRNA</v>
      </c>
      <c r="D84" s="4" t="s">
        <v>12898</v>
      </c>
      <c r="E84" s="22" t="str">
        <f t="shared" si="15"/>
        <v>E2.1.1.188_kcat : 13.7</v>
      </c>
      <c r="F84" s="23" t="str">
        <f t="shared" si="11"/>
        <v>E2.1.1.188_km : 1</v>
      </c>
      <c r="G84" s="24" t="str">
        <f t="shared" si="12"/>
        <v>E2.1.1.188_mRNA : E2.1.1.188_mRNA</v>
      </c>
      <c r="H84" s="25" t="str">
        <f t="shared" si="13"/>
        <v>E2.1.1.188 : E2.1.1.188</v>
      </c>
      <c r="I84" s="26" t="str">
        <f t="shared" si="16"/>
        <v>E2.1.1.188_mRNA : 0</v>
      </c>
      <c r="J84" s="27" t="str">
        <f t="shared" si="17"/>
        <v>E2.1.1.188 : 0</v>
      </c>
      <c r="K84" s="28" t="str">
        <f t="shared" si="18"/>
        <v>0.00292 - (0.0093 * E2.1.1.188_mRNA)</v>
      </c>
      <c r="L84" s="24" t="str">
        <f t="shared" si="19"/>
        <v>(0.278 * E2.1.1.188_mRNA) - (0.00000278 * E2.1.1.188)</v>
      </c>
      <c r="M84" s="29" t="str">
        <f t="shared" si="20"/>
        <v>mRNA83: -&gt; E2.1.1.188_mRNA | 0.00292 - (0.0093 * E2.1.1.188_mRNA)</v>
      </c>
      <c r="N84" s="22" t="str">
        <f t="shared" si="21"/>
        <v>Peptide83: E2.1.1.188_mRNA -&gt; E2.1.1.188 | (0.278 * E2.1.1.188_mRNA) - (0.000000278 * E2.1.1.188)</v>
      </c>
    </row>
    <row r="85" spans="1:14">
      <c r="A85">
        <v>84</v>
      </c>
      <c r="B85" s="4" t="s">
        <v>7646</v>
      </c>
      <c r="C85" s="4" t="str">
        <f t="shared" si="14"/>
        <v>E2.1.1.228_mRNA</v>
      </c>
      <c r="D85" s="4" t="s">
        <v>13010</v>
      </c>
      <c r="E85" s="22" t="str">
        <f t="shared" si="15"/>
        <v>E2.1.1.228_kcat : 13.7</v>
      </c>
      <c r="F85" s="23" t="str">
        <f t="shared" si="11"/>
        <v>E2.1.1.228_km : 1</v>
      </c>
      <c r="G85" s="24" t="str">
        <f t="shared" si="12"/>
        <v>E2.1.1.228_mRNA : E2.1.1.228_mRNA</v>
      </c>
      <c r="H85" s="25" t="str">
        <f t="shared" si="13"/>
        <v>E2.1.1.228 : E2.1.1.228</v>
      </c>
      <c r="I85" s="26" t="str">
        <f t="shared" si="16"/>
        <v>E2.1.1.228_mRNA : 0</v>
      </c>
      <c r="J85" s="27" t="str">
        <f t="shared" si="17"/>
        <v>E2.1.1.228 : 0</v>
      </c>
      <c r="K85" s="28" t="str">
        <f t="shared" si="18"/>
        <v>0.00292 - (0.0093 * E2.1.1.228_mRNA)</v>
      </c>
      <c r="L85" s="24" t="str">
        <f t="shared" si="19"/>
        <v>(0.278 * E2.1.1.228_mRNA) - (0.00000278 * E2.1.1.228)</v>
      </c>
      <c r="M85" s="29" t="str">
        <f t="shared" si="20"/>
        <v>mRNA84: -&gt; E2.1.1.228_mRNA | 0.00292 - (0.0093 * E2.1.1.228_mRNA)</v>
      </c>
      <c r="N85" s="22" t="str">
        <f t="shared" si="21"/>
        <v>Peptide84: E2.1.1.228_mRNA -&gt; E2.1.1.228 | (0.278 * E2.1.1.228_mRNA) - (0.000000278 * E2.1.1.228)</v>
      </c>
    </row>
    <row r="86" spans="1:14">
      <c r="A86">
        <v>85</v>
      </c>
      <c r="B86" s="4" t="s">
        <v>7808</v>
      </c>
      <c r="C86" s="4" t="str">
        <f t="shared" si="14"/>
        <v>E2.1.1.33_mRNA</v>
      </c>
      <c r="D86" s="4" t="s">
        <v>13141</v>
      </c>
      <c r="E86" s="22" t="str">
        <f t="shared" si="15"/>
        <v>E2.1.1.33_kcat : 13.7</v>
      </c>
      <c r="F86" s="23" t="str">
        <f t="shared" si="11"/>
        <v>E2.1.1.33_km : 1</v>
      </c>
      <c r="G86" s="24" t="str">
        <f t="shared" si="12"/>
        <v>E2.1.1.33_mRNA : E2.1.1.33_mRNA</v>
      </c>
      <c r="H86" s="25" t="str">
        <f t="shared" si="13"/>
        <v>E2.1.1.33 : E2.1.1.33</v>
      </c>
      <c r="I86" s="26" t="str">
        <f t="shared" si="16"/>
        <v>E2.1.1.33_mRNA : 0</v>
      </c>
      <c r="J86" s="27" t="str">
        <f t="shared" si="17"/>
        <v>E2.1.1.33 : 0</v>
      </c>
      <c r="K86" s="28" t="str">
        <f t="shared" si="18"/>
        <v>0.00292 - (0.0093 * E2.1.1.33_mRNA)</v>
      </c>
      <c r="L86" s="24" t="str">
        <f t="shared" si="19"/>
        <v>(0.278 * E2.1.1.33_mRNA) - (0.00000278 * E2.1.1.33)</v>
      </c>
      <c r="M86" s="29" t="str">
        <f t="shared" si="20"/>
        <v>mRNA85: -&gt; E2.1.1.33_mRNA | 0.00292 - (0.0093 * E2.1.1.33_mRNA)</v>
      </c>
      <c r="N86" s="22" t="str">
        <f t="shared" si="21"/>
        <v>Peptide85: E2.1.1.33_mRNA -&gt; E2.1.1.33 | (0.278 * E2.1.1.33_mRNA) - (0.000000278 * E2.1.1.33)</v>
      </c>
    </row>
    <row r="87" spans="1:14">
      <c r="A87">
        <v>86</v>
      </c>
      <c r="B87" s="4" t="s">
        <v>7824</v>
      </c>
      <c r="C87" s="4" t="str">
        <f t="shared" si="14"/>
        <v>E2.1.1.34_mRNA</v>
      </c>
      <c r="D87" s="4" t="s">
        <v>13126</v>
      </c>
      <c r="E87" s="22" t="str">
        <f t="shared" si="15"/>
        <v>E2.1.1.34_kcat : 13.7</v>
      </c>
      <c r="F87" s="23" t="str">
        <f t="shared" si="11"/>
        <v>E2.1.1.34_km : 1</v>
      </c>
      <c r="G87" s="24" t="str">
        <f t="shared" si="12"/>
        <v>E2.1.1.34_mRNA : E2.1.1.34_mRNA</v>
      </c>
      <c r="H87" s="25" t="str">
        <f t="shared" si="13"/>
        <v>E2.1.1.34 : E2.1.1.34</v>
      </c>
      <c r="I87" s="26" t="str">
        <f t="shared" si="16"/>
        <v>E2.1.1.34_mRNA : 0</v>
      </c>
      <c r="J87" s="27" t="str">
        <f t="shared" si="17"/>
        <v>E2.1.1.34 : 0</v>
      </c>
      <c r="K87" s="28" t="str">
        <f t="shared" si="18"/>
        <v>0.00292 - (0.0093 * E2.1.1.34_mRNA)</v>
      </c>
      <c r="L87" s="24" t="str">
        <f t="shared" si="19"/>
        <v>(0.278 * E2.1.1.34_mRNA) - (0.00000278 * E2.1.1.34)</v>
      </c>
      <c r="M87" s="29" t="str">
        <f t="shared" si="20"/>
        <v>mRNA86: -&gt; E2.1.1.34_mRNA | 0.00292 - (0.0093 * E2.1.1.34_mRNA)</v>
      </c>
      <c r="N87" s="22" t="str">
        <f t="shared" si="21"/>
        <v>Peptide86: E2.1.1.34_mRNA -&gt; E2.1.1.34 | (0.278 * E2.1.1.34_mRNA) - (0.000000278 * E2.1.1.34)</v>
      </c>
    </row>
    <row r="88" spans="1:14">
      <c r="A88">
        <v>87</v>
      </c>
      <c r="B88" s="4" t="s">
        <v>7446</v>
      </c>
      <c r="C88" s="4" t="str">
        <f t="shared" si="14"/>
        <v>E2.1.1.45_mRNA</v>
      </c>
      <c r="D88" s="4" t="s">
        <v>12862</v>
      </c>
      <c r="E88" s="22" t="str">
        <f t="shared" si="15"/>
        <v>E2.1.1.45_kcat : 13.7</v>
      </c>
      <c r="F88" s="23" t="str">
        <f t="shared" si="11"/>
        <v>E2.1.1.45_km : 1</v>
      </c>
      <c r="G88" s="24" t="str">
        <f t="shared" si="12"/>
        <v>E2.1.1.45_mRNA : E2.1.1.45_mRNA</v>
      </c>
      <c r="H88" s="25" t="str">
        <f t="shared" si="13"/>
        <v>E2.1.1.45 : E2.1.1.45</v>
      </c>
      <c r="I88" s="26" t="str">
        <f t="shared" si="16"/>
        <v>E2.1.1.45_mRNA : 0</v>
      </c>
      <c r="J88" s="27" t="str">
        <f t="shared" si="17"/>
        <v>E2.1.1.45 : 0</v>
      </c>
      <c r="K88" s="28" t="str">
        <f t="shared" si="18"/>
        <v>0.00292 - (0.0093 * E2.1.1.45_mRNA)</v>
      </c>
      <c r="L88" s="24" t="str">
        <f t="shared" si="19"/>
        <v>(0.278 * E2.1.1.45_mRNA) - (0.00000278 * E2.1.1.45)</v>
      </c>
      <c r="M88" s="29" t="str">
        <f t="shared" si="20"/>
        <v>mRNA87: -&gt; E2.1.1.45_mRNA | 0.00292 - (0.0093 * E2.1.1.45_mRNA)</v>
      </c>
      <c r="N88" s="22" t="str">
        <f t="shared" si="21"/>
        <v>Peptide87: E2.1.1.45_mRNA -&gt; E2.1.1.45 | (0.278 * E2.1.1.45_mRNA) - (0.000000278 * E2.1.1.45)</v>
      </c>
    </row>
    <row r="89" spans="1:14">
      <c r="A89">
        <v>88</v>
      </c>
      <c r="B89" s="4" t="s">
        <v>7306</v>
      </c>
      <c r="C89" s="4" t="str">
        <f t="shared" si="14"/>
        <v>E2.1.1.63_mRNA</v>
      </c>
      <c r="D89" s="4" t="s">
        <v>12772</v>
      </c>
      <c r="E89" s="22" t="str">
        <f t="shared" si="15"/>
        <v>E2.1.1.63_kcat : 13.7</v>
      </c>
      <c r="F89" s="23" t="str">
        <f t="shared" si="11"/>
        <v>E2.1.1.63_km : 1</v>
      </c>
      <c r="G89" s="24" t="str">
        <f t="shared" si="12"/>
        <v>E2.1.1.63_mRNA : E2.1.1.63_mRNA</v>
      </c>
      <c r="H89" s="25" t="str">
        <f t="shared" si="13"/>
        <v>E2.1.1.63 : E2.1.1.63</v>
      </c>
      <c r="I89" s="26" t="str">
        <f t="shared" si="16"/>
        <v>E2.1.1.63_mRNA : 0</v>
      </c>
      <c r="J89" s="27" t="str">
        <f t="shared" si="17"/>
        <v>E2.1.1.63 : 0</v>
      </c>
      <c r="K89" s="28" t="str">
        <f t="shared" si="18"/>
        <v>0.00292 - (0.0093 * E2.1.1.63_mRNA)</v>
      </c>
      <c r="L89" s="24" t="str">
        <f t="shared" si="19"/>
        <v>(0.278 * E2.1.1.63_mRNA) - (0.00000278 * E2.1.1.63)</v>
      </c>
      <c r="M89" s="29" t="str">
        <f t="shared" si="20"/>
        <v>mRNA88: -&gt; E2.1.1.63_mRNA | 0.00292 - (0.0093 * E2.1.1.63_mRNA)</v>
      </c>
      <c r="N89" s="22" t="str">
        <f t="shared" si="21"/>
        <v>Peptide88: E2.1.1.63_mRNA -&gt; E2.1.1.63 | (0.278 * E2.1.1.63_mRNA) - (0.000000278 * E2.1.1.63)</v>
      </c>
    </row>
    <row r="90" spans="1:14">
      <c r="A90">
        <v>89</v>
      </c>
      <c r="B90" s="4" t="s">
        <v>7717</v>
      </c>
      <c r="C90" s="4" t="str">
        <f t="shared" si="14"/>
        <v>E2.1.1.72_mRNA</v>
      </c>
      <c r="D90" s="4" t="s">
        <v>13067</v>
      </c>
      <c r="E90" s="22" t="str">
        <f t="shared" si="15"/>
        <v>E2.1.1.72_kcat : 13.7</v>
      </c>
      <c r="F90" s="23" t="str">
        <f t="shared" si="11"/>
        <v>E2.1.1.72_km : 1</v>
      </c>
      <c r="G90" s="24" t="str">
        <f t="shared" si="12"/>
        <v>E2.1.1.72_mRNA : E2.1.1.72_mRNA</v>
      </c>
      <c r="H90" s="25" t="str">
        <f t="shared" si="13"/>
        <v>E2.1.1.72 : E2.1.1.72</v>
      </c>
      <c r="I90" s="26" t="str">
        <f t="shared" si="16"/>
        <v>E2.1.1.72_mRNA : 0</v>
      </c>
      <c r="J90" s="27" t="str">
        <f t="shared" si="17"/>
        <v>E2.1.1.72 : 0</v>
      </c>
      <c r="K90" s="28" t="str">
        <f t="shared" si="18"/>
        <v>0.00292 - (0.0093 * E2.1.1.72_mRNA)</v>
      </c>
      <c r="L90" s="24" t="str">
        <f t="shared" si="19"/>
        <v>(0.278 * E2.1.1.72_mRNA) - (0.00000278 * E2.1.1.72)</v>
      </c>
      <c r="M90" s="29" t="str">
        <f t="shared" si="20"/>
        <v>mRNA89: -&gt; E2.1.1.72_mRNA | 0.00292 - (0.0093 * E2.1.1.72_mRNA)</v>
      </c>
      <c r="N90" s="22" t="str">
        <f t="shared" si="21"/>
        <v>Peptide89: E2.1.1.72_mRNA -&gt; E2.1.1.72 | (0.278 * E2.1.1.72_mRNA) - (0.000000278 * E2.1.1.72)</v>
      </c>
    </row>
    <row r="91" spans="1:14">
      <c r="A91">
        <v>90</v>
      </c>
      <c r="B91" s="4" t="s">
        <v>7376</v>
      </c>
      <c r="C91" s="4" t="str">
        <f t="shared" si="14"/>
        <v>E2.1.1.79_mRNA</v>
      </c>
      <c r="D91" s="4" t="s">
        <v>12824</v>
      </c>
      <c r="E91" s="22" t="str">
        <f t="shared" si="15"/>
        <v>E2.1.1.79_kcat : 13.7</v>
      </c>
      <c r="F91" s="23" t="str">
        <f t="shared" si="11"/>
        <v>E2.1.1.79_km : 1</v>
      </c>
      <c r="G91" s="24" t="str">
        <f t="shared" si="12"/>
        <v>E2.1.1.79_mRNA : E2.1.1.79_mRNA</v>
      </c>
      <c r="H91" s="25" t="str">
        <f t="shared" si="13"/>
        <v>E2.1.1.79 : E2.1.1.79</v>
      </c>
      <c r="I91" s="26" t="str">
        <f t="shared" si="16"/>
        <v>E2.1.1.79_mRNA : 0</v>
      </c>
      <c r="J91" s="27" t="str">
        <f t="shared" si="17"/>
        <v>E2.1.1.79 : 0</v>
      </c>
      <c r="K91" s="28" t="str">
        <f t="shared" si="18"/>
        <v>0.00292 - (0.0093 * E2.1.1.79_mRNA)</v>
      </c>
      <c r="L91" s="24" t="str">
        <f t="shared" si="19"/>
        <v>(0.278 * E2.1.1.79_mRNA) - (0.00000278 * E2.1.1.79)</v>
      </c>
      <c r="M91" s="29" t="str">
        <f t="shared" si="20"/>
        <v>mRNA90: -&gt; E2.1.1.79_mRNA | 0.00292 - (0.0093 * E2.1.1.79_mRNA)</v>
      </c>
      <c r="N91" s="22" t="str">
        <f t="shared" si="21"/>
        <v>Peptide90: E2.1.1.79_mRNA -&gt; E2.1.1.79 | (0.278 * E2.1.1.79_mRNA) - (0.000000278 * E2.1.1.79)</v>
      </c>
    </row>
    <row r="92" spans="1:14">
      <c r="A92">
        <v>91</v>
      </c>
      <c r="B92" s="4" t="s">
        <v>7482</v>
      </c>
      <c r="C92" s="4" t="str">
        <f t="shared" si="14"/>
        <v>E2.1.2.1_mRNA</v>
      </c>
      <c r="D92" s="4" t="s">
        <v>12887</v>
      </c>
      <c r="E92" s="22" t="str">
        <f t="shared" si="15"/>
        <v>E2.1.2.1_kcat : 13.7</v>
      </c>
      <c r="F92" s="23" t="str">
        <f t="shared" si="11"/>
        <v>E2.1.2.1_km : 1</v>
      </c>
      <c r="G92" s="24" t="str">
        <f t="shared" si="12"/>
        <v>E2.1.2.1_mRNA : E2.1.2.1_mRNA</v>
      </c>
      <c r="H92" s="25" t="str">
        <f t="shared" si="13"/>
        <v>E2.1.2.1 : E2.1.2.1</v>
      </c>
      <c r="I92" s="26" t="str">
        <f t="shared" si="16"/>
        <v>E2.1.2.1_mRNA : 0</v>
      </c>
      <c r="J92" s="27" t="str">
        <f t="shared" si="17"/>
        <v>E2.1.2.1 : 0</v>
      </c>
      <c r="K92" s="28" t="str">
        <f t="shared" si="18"/>
        <v>0.00292 - (0.0093 * E2.1.2.1_mRNA)</v>
      </c>
      <c r="L92" s="24" t="str">
        <f t="shared" si="19"/>
        <v>(0.278 * E2.1.2.1_mRNA) - (0.00000278 * E2.1.2.1)</v>
      </c>
      <c r="M92" s="29" t="str">
        <f t="shared" si="20"/>
        <v>mRNA91: -&gt; E2.1.2.1_mRNA | 0.00292 - (0.0093 * E2.1.2.1_mRNA)</v>
      </c>
      <c r="N92" s="22" t="str">
        <f t="shared" si="21"/>
        <v>Peptide91: E2.1.2.1_mRNA -&gt; E2.1.2.1 | (0.278 * E2.1.2.1_mRNA) - (0.000000278 * E2.1.2.1)</v>
      </c>
    </row>
    <row r="93" spans="1:14">
      <c r="A93">
        <v>92</v>
      </c>
      <c r="B93" s="4" t="s">
        <v>7686</v>
      </c>
      <c r="C93" s="4" t="str">
        <f t="shared" si="14"/>
        <v>E2.1.2.10_mRNA</v>
      </c>
      <c r="D93" s="4" t="s">
        <v>13042</v>
      </c>
      <c r="E93" s="22" t="str">
        <f t="shared" si="15"/>
        <v>E2.1.2.10_kcat : 13.7</v>
      </c>
      <c r="F93" s="23" t="str">
        <f t="shared" si="11"/>
        <v>E2.1.2.10_km : 1</v>
      </c>
      <c r="G93" s="24" t="str">
        <f t="shared" si="12"/>
        <v>E2.1.2.10_mRNA : E2.1.2.10_mRNA</v>
      </c>
      <c r="H93" s="25" t="str">
        <f t="shared" si="13"/>
        <v>E2.1.2.10 : E2.1.2.10</v>
      </c>
      <c r="I93" s="26" t="str">
        <f t="shared" si="16"/>
        <v>E2.1.2.10_mRNA : 0</v>
      </c>
      <c r="J93" s="27" t="str">
        <f t="shared" si="17"/>
        <v>E2.1.2.10 : 0</v>
      </c>
      <c r="K93" s="28" t="str">
        <f t="shared" si="18"/>
        <v>0.00292 - (0.0093 * E2.1.2.10_mRNA)</v>
      </c>
      <c r="L93" s="24" t="str">
        <f t="shared" si="19"/>
        <v>(0.278 * E2.1.2.10_mRNA) - (0.00000278 * E2.1.2.10)</v>
      </c>
      <c r="M93" s="29" t="str">
        <f t="shared" si="20"/>
        <v>mRNA92: -&gt; E2.1.2.10_mRNA | 0.00292 - (0.0093 * E2.1.2.10_mRNA)</v>
      </c>
      <c r="N93" s="22" t="str">
        <f t="shared" si="21"/>
        <v>Peptide92: E2.1.2.10_mRNA -&gt; E2.1.2.10 | (0.278 * E2.1.2.10_mRNA) - (0.000000278 * E2.1.2.10)</v>
      </c>
    </row>
    <row r="94" spans="1:14">
      <c r="A94">
        <v>93</v>
      </c>
      <c r="B94" s="4" t="s">
        <v>7726</v>
      </c>
      <c r="C94" s="4" t="str">
        <f t="shared" si="14"/>
        <v>E2.1.2.11_mRNA</v>
      </c>
      <c r="D94" s="4" t="s">
        <v>13075</v>
      </c>
      <c r="E94" s="22" t="str">
        <f t="shared" si="15"/>
        <v>E2.1.2.11_kcat : 13.7</v>
      </c>
      <c r="F94" s="23" t="str">
        <f t="shared" si="11"/>
        <v>E2.1.2.11_km : 1</v>
      </c>
      <c r="G94" s="24" t="str">
        <f t="shared" si="12"/>
        <v>E2.1.2.11_mRNA : E2.1.2.11_mRNA</v>
      </c>
      <c r="H94" s="25" t="str">
        <f t="shared" si="13"/>
        <v>E2.1.2.11 : E2.1.2.11</v>
      </c>
      <c r="I94" s="26" t="str">
        <f t="shared" si="16"/>
        <v>E2.1.2.11_mRNA : 0</v>
      </c>
      <c r="J94" s="27" t="str">
        <f t="shared" si="17"/>
        <v>E2.1.2.11 : 0</v>
      </c>
      <c r="K94" s="28" t="str">
        <f t="shared" si="18"/>
        <v>0.00292 - (0.0093 * E2.1.2.11_mRNA)</v>
      </c>
      <c r="L94" s="24" t="str">
        <f t="shared" si="19"/>
        <v>(0.278 * E2.1.2.11_mRNA) - (0.00000278 * E2.1.2.11)</v>
      </c>
      <c r="M94" s="29" t="str">
        <f t="shared" si="20"/>
        <v>mRNA93: -&gt; E2.1.2.11_mRNA | 0.00292 - (0.0093 * E2.1.2.11_mRNA)</v>
      </c>
      <c r="N94" s="22" t="str">
        <f t="shared" si="21"/>
        <v>Peptide93: E2.1.2.11_mRNA -&gt; E2.1.2.11 | (0.278 * E2.1.2.11_mRNA) - (0.000000278 * E2.1.2.11)</v>
      </c>
    </row>
    <row r="95" spans="1:14">
      <c r="A95">
        <v>94</v>
      </c>
      <c r="B95" s="4" t="s">
        <v>7452</v>
      </c>
      <c r="C95" s="4" t="str">
        <f t="shared" si="14"/>
        <v>E2.1.2.2_mRNA</v>
      </c>
      <c r="D95" s="4" t="s">
        <v>12866</v>
      </c>
      <c r="E95" s="22" t="str">
        <f t="shared" si="15"/>
        <v>E2.1.2.2_kcat : 13.7</v>
      </c>
      <c r="F95" s="23" t="str">
        <f t="shared" si="11"/>
        <v>E2.1.2.2_km : 1</v>
      </c>
      <c r="G95" s="24" t="str">
        <f t="shared" si="12"/>
        <v>E2.1.2.2_mRNA : E2.1.2.2_mRNA</v>
      </c>
      <c r="H95" s="25" t="str">
        <f t="shared" si="13"/>
        <v>E2.1.2.2 : E2.1.2.2</v>
      </c>
      <c r="I95" s="26" t="str">
        <f t="shared" si="16"/>
        <v>E2.1.2.2_mRNA : 0</v>
      </c>
      <c r="J95" s="27" t="str">
        <f t="shared" si="17"/>
        <v>E2.1.2.2 : 0</v>
      </c>
      <c r="K95" s="28" t="str">
        <f t="shared" si="18"/>
        <v>0.00292 - (0.0093 * E2.1.2.2_mRNA)</v>
      </c>
      <c r="L95" s="24" t="str">
        <f t="shared" si="19"/>
        <v>(0.278 * E2.1.2.2_mRNA) - (0.00000278 * E2.1.2.2)</v>
      </c>
      <c r="M95" s="29" t="str">
        <f t="shared" si="20"/>
        <v>mRNA94: -&gt; E2.1.2.2_mRNA | 0.00292 - (0.0093 * E2.1.2.2_mRNA)</v>
      </c>
      <c r="N95" s="22" t="str">
        <f t="shared" si="21"/>
        <v>Peptide94: E2.1.2.2_mRNA -&gt; E2.1.2.2 | (0.278 * E2.1.2.2_mRNA) - (0.000000278 * E2.1.2.2)</v>
      </c>
    </row>
    <row r="96" spans="1:14">
      <c r="A96">
        <v>95</v>
      </c>
      <c r="B96" s="4" t="s">
        <v>7588</v>
      </c>
      <c r="C96" s="4" t="str">
        <f t="shared" si="14"/>
        <v>E2.1.2.9_mRNA</v>
      </c>
      <c r="D96" s="4" t="s">
        <v>12964</v>
      </c>
      <c r="E96" s="22" t="str">
        <f t="shared" si="15"/>
        <v>E2.1.2.9_kcat : 13.7</v>
      </c>
      <c r="F96" s="23" t="str">
        <f t="shared" si="11"/>
        <v>E2.1.2.9_km : 1</v>
      </c>
      <c r="G96" s="24" t="str">
        <f t="shared" si="12"/>
        <v>E2.1.2.9_mRNA : E2.1.2.9_mRNA</v>
      </c>
      <c r="H96" s="25" t="str">
        <f t="shared" si="13"/>
        <v>E2.1.2.9 : E2.1.2.9</v>
      </c>
      <c r="I96" s="26" t="str">
        <f t="shared" si="16"/>
        <v>E2.1.2.9_mRNA : 0</v>
      </c>
      <c r="J96" s="27" t="str">
        <f t="shared" si="17"/>
        <v>E2.1.2.9 : 0</v>
      </c>
      <c r="K96" s="28" t="str">
        <f t="shared" si="18"/>
        <v>0.00292 - (0.0093 * E2.1.2.9_mRNA)</v>
      </c>
      <c r="L96" s="24" t="str">
        <f t="shared" si="19"/>
        <v>(0.278 * E2.1.2.9_mRNA) - (0.00000278 * E2.1.2.9)</v>
      </c>
      <c r="M96" s="29" t="str">
        <f t="shared" si="20"/>
        <v>mRNA95: -&gt; E2.1.2.9_mRNA | 0.00292 - (0.0093 * E2.1.2.9_mRNA)</v>
      </c>
      <c r="N96" s="22" t="str">
        <f t="shared" si="21"/>
        <v>Peptide95: E2.1.2.9_mRNA -&gt; E2.1.2.9 | (0.278 * E2.1.2.9_mRNA) - (0.000000278 * E2.1.2.9)</v>
      </c>
    </row>
    <row r="97" spans="1:14">
      <c r="A97">
        <v>96</v>
      </c>
      <c r="B97" s="4" t="s">
        <v>7593</v>
      </c>
      <c r="C97" s="4" t="str">
        <f t="shared" si="14"/>
        <v>E2.1.3.2_mRNA</v>
      </c>
      <c r="D97" s="4" t="s">
        <v>12970</v>
      </c>
      <c r="E97" s="22" t="str">
        <f t="shared" si="15"/>
        <v>E2.1.3.2_kcat : 13.7</v>
      </c>
      <c r="F97" s="23" t="str">
        <f t="shared" si="11"/>
        <v>E2.1.3.2_km : 1</v>
      </c>
      <c r="G97" s="24" t="str">
        <f t="shared" si="12"/>
        <v>E2.1.3.2_mRNA : E2.1.3.2_mRNA</v>
      </c>
      <c r="H97" s="25" t="str">
        <f t="shared" si="13"/>
        <v>E2.1.3.2 : E2.1.3.2</v>
      </c>
      <c r="I97" s="26" t="str">
        <f t="shared" si="16"/>
        <v>E2.1.3.2_mRNA : 0</v>
      </c>
      <c r="J97" s="27" t="str">
        <f t="shared" si="17"/>
        <v>E2.1.3.2 : 0</v>
      </c>
      <c r="K97" s="28" t="str">
        <f t="shared" si="18"/>
        <v>0.00292 - (0.0093 * E2.1.3.2_mRNA)</v>
      </c>
      <c r="L97" s="24" t="str">
        <f t="shared" si="19"/>
        <v>(0.278 * E2.1.3.2_mRNA) - (0.00000278 * E2.1.3.2)</v>
      </c>
      <c r="M97" s="29" t="str">
        <f t="shared" si="20"/>
        <v>mRNA96: -&gt; E2.1.3.2_mRNA | 0.00292 - (0.0093 * E2.1.3.2_mRNA)</v>
      </c>
      <c r="N97" s="22" t="str">
        <f t="shared" si="21"/>
        <v>Peptide96: E2.1.3.2_mRNA -&gt; E2.1.3.2 | (0.278 * E2.1.3.2_mRNA) - (0.000000278 * E2.1.3.2)</v>
      </c>
    </row>
    <row r="98" spans="1:14">
      <c r="A98">
        <v>97</v>
      </c>
      <c r="B98" s="4" t="s">
        <v>7541</v>
      </c>
      <c r="C98" s="4" t="str">
        <f t="shared" si="14"/>
        <v>E2.1.3.3_mRNA</v>
      </c>
      <c r="D98" s="4" t="s">
        <v>12932</v>
      </c>
      <c r="E98" s="22" t="str">
        <f t="shared" si="15"/>
        <v>E2.1.3.3_kcat : 13.7</v>
      </c>
      <c r="F98" s="23" t="str">
        <f t="shared" si="11"/>
        <v>E2.1.3.3_km : 1</v>
      </c>
      <c r="G98" s="24" t="str">
        <f t="shared" si="12"/>
        <v>E2.1.3.3_mRNA : E2.1.3.3_mRNA</v>
      </c>
      <c r="H98" s="25" t="str">
        <f t="shared" si="13"/>
        <v>E2.1.3.3 : E2.1.3.3</v>
      </c>
      <c r="I98" s="26" t="str">
        <f t="shared" si="16"/>
        <v>E2.1.3.3_mRNA : 0</v>
      </c>
      <c r="J98" s="27" t="str">
        <f t="shared" si="17"/>
        <v>E2.1.3.3 : 0</v>
      </c>
      <c r="K98" s="28" t="str">
        <f t="shared" si="18"/>
        <v>0.00292 - (0.0093 * E2.1.3.3_mRNA)</v>
      </c>
      <c r="L98" s="24" t="str">
        <f t="shared" si="19"/>
        <v>(0.278 * E2.1.3.3_mRNA) - (0.00000278 * E2.1.3.3)</v>
      </c>
      <c r="M98" s="29" t="str">
        <f t="shared" si="20"/>
        <v>mRNA97: -&gt; E2.1.3.3_mRNA | 0.00292 - (0.0093 * E2.1.3.3_mRNA)</v>
      </c>
      <c r="N98" s="22" t="str">
        <f t="shared" si="21"/>
        <v>Peptide97: E2.1.3.3_mRNA -&gt; E2.1.3.3 | (0.278 * E2.1.3.3_mRNA) - (0.000000278 * E2.1.3.3)</v>
      </c>
    </row>
    <row r="99" spans="1:14">
      <c r="A99">
        <v>98</v>
      </c>
      <c r="B99" s="4" t="s">
        <v>7320</v>
      </c>
      <c r="C99" s="4" t="str">
        <f t="shared" si="14"/>
        <v>E2.10.1.1_mRNA</v>
      </c>
      <c r="D99" s="4" t="s">
        <v>12780</v>
      </c>
      <c r="E99" s="22" t="str">
        <f t="shared" si="15"/>
        <v>E2.10.1.1_kcat : 13.7</v>
      </c>
      <c r="F99" s="23" t="str">
        <f t="shared" si="11"/>
        <v>E2.10.1.1_km : 1</v>
      </c>
      <c r="G99" s="24" t="str">
        <f t="shared" si="12"/>
        <v>E2.10.1.1_mRNA : E2.10.1.1_mRNA</v>
      </c>
      <c r="H99" s="25" t="str">
        <f t="shared" si="13"/>
        <v>E2.10.1.1 : E2.10.1.1</v>
      </c>
      <c r="I99" s="26" t="str">
        <f t="shared" si="16"/>
        <v>E2.10.1.1_mRNA : 0</v>
      </c>
      <c r="J99" s="27" t="str">
        <f t="shared" si="17"/>
        <v>E2.10.1.1 : 0</v>
      </c>
      <c r="K99" s="28" t="str">
        <f t="shared" si="18"/>
        <v>0.00292 - (0.0093 * E2.10.1.1_mRNA)</v>
      </c>
      <c r="L99" s="24" t="str">
        <f t="shared" si="19"/>
        <v>(0.278 * E2.10.1.1_mRNA) - (0.00000278 * E2.10.1.1)</v>
      </c>
      <c r="M99" s="29" t="str">
        <f t="shared" si="20"/>
        <v>mRNA98: -&gt; E2.10.1.1_mRNA | 0.00292 - (0.0093 * E2.10.1.1_mRNA)</v>
      </c>
      <c r="N99" s="22" t="str">
        <f t="shared" si="21"/>
        <v>Peptide98: E2.10.1.1_mRNA -&gt; E2.10.1.1 | (0.278 * E2.10.1.1_mRNA) - (0.000000278 * E2.10.1.1)</v>
      </c>
    </row>
    <row r="100" spans="1:14">
      <c r="A100">
        <v>99</v>
      </c>
      <c r="B100" s="4" t="s">
        <v>7578</v>
      </c>
      <c r="C100" s="4" t="str">
        <f t="shared" si="14"/>
        <v>E2.2.1.1_mRNA</v>
      </c>
      <c r="D100" s="4" t="s">
        <v>12955</v>
      </c>
      <c r="E100" s="22" t="str">
        <f t="shared" si="15"/>
        <v>E2.2.1.1_kcat : 13.7</v>
      </c>
      <c r="F100" s="23" t="str">
        <f t="shared" si="11"/>
        <v>E2.2.1.1_km : 1</v>
      </c>
      <c r="G100" s="24" t="str">
        <f t="shared" si="12"/>
        <v>E2.2.1.1_mRNA : E2.2.1.1_mRNA</v>
      </c>
      <c r="H100" s="25" t="str">
        <f t="shared" si="13"/>
        <v>E2.2.1.1 : E2.2.1.1</v>
      </c>
      <c r="I100" s="26" t="str">
        <f t="shared" si="16"/>
        <v>E2.2.1.1_mRNA : 0</v>
      </c>
      <c r="J100" s="27" t="str">
        <f t="shared" si="17"/>
        <v>E2.2.1.1 : 0</v>
      </c>
      <c r="K100" s="28" t="str">
        <f t="shared" si="18"/>
        <v>0.00292 - (0.0093 * E2.2.1.1_mRNA)</v>
      </c>
      <c r="L100" s="24" t="str">
        <f t="shared" si="19"/>
        <v>(0.278 * E2.2.1.1_mRNA) - (0.00000278 * E2.2.1.1)</v>
      </c>
      <c r="M100" s="29" t="str">
        <f t="shared" si="20"/>
        <v>mRNA99: -&gt; E2.2.1.1_mRNA | 0.00292 - (0.0093 * E2.2.1.1_mRNA)</v>
      </c>
      <c r="N100" s="22" t="str">
        <f t="shared" si="21"/>
        <v>Peptide99: E2.2.1.1_mRNA -&gt; E2.2.1.1 | (0.278 * E2.2.1.1_mRNA) - (0.000000278 * E2.2.1.1)</v>
      </c>
    </row>
    <row r="101" spans="1:14">
      <c r="A101">
        <v>100</v>
      </c>
      <c r="B101" s="4" t="s">
        <v>7579</v>
      </c>
      <c r="C101" s="4" t="str">
        <f t="shared" si="14"/>
        <v>E2.2.1.2_mRNA</v>
      </c>
      <c r="D101" s="4" t="s">
        <v>12956</v>
      </c>
      <c r="E101" s="22" t="str">
        <f t="shared" si="15"/>
        <v>E2.2.1.2_kcat : 13.7</v>
      </c>
      <c r="F101" s="23" t="str">
        <f t="shared" si="11"/>
        <v>E2.2.1.2_km : 1</v>
      </c>
      <c r="G101" s="24" t="str">
        <f t="shared" si="12"/>
        <v>E2.2.1.2_mRNA : E2.2.1.2_mRNA</v>
      </c>
      <c r="H101" s="25" t="str">
        <f t="shared" si="13"/>
        <v>E2.2.1.2 : E2.2.1.2</v>
      </c>
      <c r="I101" s="26" t="str">
        <f t="shared" si="16"/>
        <v>E2.2.1.2_mRNA : 0</v>
      </c>
      <c r="J101" s="27" t="str">
        <f t="shared" si="17"/>
        <v>E2.2.1.2 : 0</v>
      </c>
      <c r="K101" s="28" t="str">
        <f t="shared" si="18"/>
        <v>0.00292 - (0.0093 * E2.2.1.2_mRNA)</v>
      </c>
      <c r="L101" s="24" t="str">
        <f t="shared" si="19"/>
        <v>(0.278 * E2.2.1.2_mRNA) - (0.00000278 * E2.2.1.2)</v>
      </c>
      <c r="M101" s="29" t="str">
        <f t="shared" si="20"/>
        <v>mRNA100: -&gt; E2.2.1.2_mRNA | 0.00292 - (0.0093 * E2.2.1.2_mRNA)</v>
      </c>
      <c r="N101" s="22" t="str">
        <f t="shared" si="21"/>
        <v>Peptide100: E2.2.1.2_mRNA -&gt; E2.2.1.2 | (0.278 * E2.2.1.2_mRNA) - (0.000000278 * E2.2.1.2)</v>
      </c>
    </row>
    <row r="102" spans="1:14">
      <c r="A102">
        <v>101</v>
      </c>
      <c r="B102" s="4" t="s">
        <v>7310</v>
      </c>
      <c r="C102" s="4" t="str">
        <f t="shared" si="14"/>
        <v>E2.2.1.6_mRNA</v>
      </c>
      <c r="D102" s="4" t="s">
        <v>12775</v>
      </c>
      <c r="E102" s="22" t="str">
        <f t="shared" si="15"/>
        <v>E2.2.1.6_kcat : 13.7</v>
      </c>
      <c r="F102" s="23" t="str">
        <f t="shared" si="11"/>
        <v>E2.2.1.6_km : 1</v>
      </c>
      <c r="G102" s="24" t="str">
        <f t="shared" si="12"/>
        <v>E2.2.1.6_mRNA : E2.2.1.6_mRNA</v>
      </c>
      <c r="H102" s="25" t="str">
        <f t="shared" si="13"/>
        <v>E2.2.1.6 : E2.2.1.6</v>
      </c>
      <c r="I102" s="26" t="str">
        <f t="shared" si="16"/>
        <v>E2.2.1.6_mRNA : 0</v>
      </c>
      <c r="J102" s="27" t="str">
        <f t="shared" si="17"/>
        <v>E2.2.1.6 : 0</v>
      </c>
      <c r="K102" s="28" t="str">
        <f t="shared" si="18"/>
        <v>0.00292 - (0.0093 * E2.2.1.6_mRNA)</v>
      </c>
      <c r="L102" s="24" t="str">
        <f t="shared" si="19"/>
        <v>(0.278 * E2.2.1.6_mRNA) - (0.00000278 * E2.2.1.6)</v>
      </c>
      <c r="M102" s="29" t="str">
        <f t="shared" si="20"/>
        <v>mRNA101: -&gt; E2.2.1.6_mRNA | 0.00292 - (0.0093 * E2.2.1.6_mRNA)</v>
      </c>
      <c r="N102" s="22" t="str">
        <f t="shared" si="21"/>
        <v>Peptide101: E2.2.1.6_mRNA -&gt; E2.2.1.6 | (0.278 * E2.2.1.6_mRNA) - (0.000000278 * E2.2.1.6)</v>
      </c>
    </row>
    <row r="103" spans="1:14">
      <c r="A103">
        <v>102</v>
      </c>
      <c r="B103" s="4" t="s">
        <v>7617</v>
      </c>
      <c r="C103" s="4" t="str">
        <f t="shared" si="14"/>
        <v>E2.2.1.7_mRNA</v>
      </c>
      <c r="D103" s="4" t="s">
        <v>12990</v>
      </c>
      <c r="E103" s="22" t="str">
        <f t="shared" si="15"/>
        <v>E2.2.1.7_kcat : 13.7</v>
      </c>
      <c r="F103" s="23" t="str">
        <f t="shared" si="11"/>
        <v>E2.2.1.7_km : 1</v>
      </c>
      <c r="G103" s="24" t="str">
        <f t="shared" si="12"/>
        <v>E2.2.1.7_mRNA : E2.2.1.7_mRNA</v>
      </c>
      <c r="H103" s="25" t="str">
        <f t="shared" si="13"/>
        <v>E2.2.1.7 : E2.2.1.7</v>
      </c>
      <c r="I103" s="26" t="str">
        <f t="shared" si="16"/>
        <v>E2.2.1.7_mRNA : 0</v>
      </c>
      <c r="J103" s="27" t="str">
        <f t="shared" si="17"/>
        <v>E2.2.1.7 : 0</v>
      </c>
      <c r="K103" s="28" t="str">
        <f t="shared" si="18"/>
        <v>0.00292 - (0.0093 * E2.2.1.7_mRNA)</v>
      </c>
      <c r="L103" s="24" t="str">
        <f t="shared" si="19"/>
        <v>(0.278 * E2.2.1.7_mRNA) - (0.00000278 * E2.2.1.7)</v>
      </c>
      <c r="M103" s="29" t="str">
        <f t="shared" si="20"/>
        <v>mRNA102: -&gt; E2.2.1.7_mRNA | 0.00292 - (0.0093 * E2.2.1.7_mRNA)</v>
      </c>
      <c r="N103" s="22" t="str">
        <f t="shared" si="21"/>
        <v>Peptide102: E2.2.1.7_mRNA -&gt; E2.2.1.7 | (0.278 * E2.2.1.7_mRNA) - (0.000000278 * E2.2.1.7)</v>
      </c>
    </row>
    <row r="104" spans="1:14">
      <c r="A104">
        <v>103</v>
      </c>
      <c r="B104" s="4" t="s">
        <v>7366</v>
      </c>
      <c r="C104" s="4" t="str">
        <f t="shared" si="14"/>
        <v>E2.2.1.9_mRNA</v>
      </c>
      <c r="D104" s="4" t="s">
        <v>12817</v>
      </c>
      <c r="E104" s="22" t="str">
        <f t="shared" si="15"/>
        <v>E2.2.1.9_kcat : 13.7</v>
      </c>
      <c r="F104" s="23" t="str">
        <f t="shared" si="11"/>
        <v>E2.2.1.9_km : 1</v>
      </c>
      <c r="G104" s="24" t="str">
        <f t="shared" si="12"/>
        <v>E2.2.1.9_mRNA : E2.2.1.9_mRNA</v>
      </c>
      <c r="H104" s="25" t="str">
        <f t="shared" si="13"/>
        <v>E2.2.1.9 : E2.2.1.9</v>
      </c>
      <c r="I104" s="26" t="str">
        <f t="shared" si="16"/>
        <v>E2.2.1.9_mRNA : 0</v>
      </c>
      <c r="J104" s="27" t="str">
        <f t="shared" si="17"/>
        <v>E2.2.1.9 : 0</v>
      </c>
      <c r="K104" s="28" t="str">
        <f t="shared" si="18"/>
        <v>0.00292 - (0.0093 * E2.2.1.9_mRNA)</v>
      </c>
      <c r="L104" s="24" t="str">
        <f t="shared" si="19"/>
        <v>(0.278 * E2.2.1.9_mRNA) - (0.00000278 * E2.2.1.9)</v>
      </c>
      <c r="M104" s="29" t="str">
        <f t="shared" si="20"/>
        <v>mRNA103: -&gt; E2.2.1.9_mRNA | 0.00292 - (0.0093 * E2.2.1.9_mRNA)</v>
      </c>
      <c r="N104" s="22" t="str">
        <f t="shared" si="21"/>
        <v>Peptide103: E2.2.1.9_mRNA -&gt; E2.2.1.9 | (0.278 * E2.2.1.9_mRNA) - (0.000000278 * E2.2.1.9)</v>
      </c>
    </row>
    <row r="105" spans="1:14">
      <c r="A105">
        <v>104</v>
      </c>
      <c r="B105" s="4" t="s">
        <v>7497</v>
      </c>
      <c r="C105" s="4" t="str">
        <f t="shared" si="14"/>
        <v>E2.3.1.117_mRNA</v>
      </c>
      <c r="D105" s="4" t="s">
        <v>12897</v>
      </c>
      <c r="E105" s="22" t="str">
        <f t="shared" si="15"/>
        <v>E2.3.1.117_kcat : 13.7</v>
      </c>
      <c r="F105" s="23" t="str">
        <f t="shared" si="11"/>
        <v>E2.3.1.117_km : 1</v>
      </c>
      <c r="G105" s="24" t="str">
        <f t="shared" si="12"/>
        <v>E2.3.1.117_mRNA : E2.3.1.117_mRNA</v>
      </c>
      <c r="H105" s="25" t="str">
        <f t="shared" si="13"/>
        <v>E2.3.1.117 : E2.3.1.117</v>
      </c>
      <c r="I105" s="26" t="str">
        <f t="shared" si="16"/>
        <v>E2.3.1.117_mRNA : 0</v>
      </c>
      <c r="J105" s="27" t="str">
        <f t="shared" si="17"/>
        <v>E2.3.1.117 : 0</v>
      </c>
      <c r="K105" s="28" t="str">
        <f t="shared" si="18"/>
        <v>0.00292 - (0.0093 * E2.3.1.117_mRNA)</v>
      </c>
      <c r="L105" s="24" t="str">
        <f t="shared" si="19"/>
        <v>(0.278 * E2.3.1.117_mRNA) - (0.00000278 * E2.3.1.117)</v>
      </c>
      <c r="M105" s="29" t="str">
        <f t="shared" si="20"/>
        <v>mRNA104: -&gt; E2.3.1.117_mRNA | 0.00292 - (0.0093 * E2.3.1.117_mRNA)</v>
      </c>
      <c r="N105" s="22" t="str">
        <f t="shared" si="21"/>
        <v>Peptide104: E2.3.1.117_mRNA -&gt; E2.3.1.117 | (0.278 * E2.3.1.117_mRNA) - (0.000000278 * E2.3.1.117)</v>
      </c>
    </row>
    <row r="106" spans="1:14">
      <c r="A106">
        <v>105</v>
      </c>
      <c r="B106" s="4" t="s">
        <v>7684</v>
      </c>
      <c r="C106" s="4" t="str">
        <f t="shared" si="14"/>
        <v>E2.3.1.12_mRNA</v>
      </c>
      <c r="D106" s="4" t="s">
        <v>13040</v>
      </c>
      <c r="E106" s="22" t="str">
        <f t="shared" si="15"/>
        <v>E2.3.1.12_kcat : 13.7</v>
      </c>
      <c r="F106" s="23" t="str">
        <f t="shared" si="11"/>
        <v>E2.3.1.12_km : 1</v>
      </c>
      <c r="G106" s="24" t="str">
        <f t="shared" si="12"/>
        <v>E2.3.1.12_mRNA : E2.3.1.12_mRNA</v>
      </c>
      <c r="H106" s="25" t="str">
        <f t="shared" si="13"/>
        <v>E2.3.1.12 : E2.3.1.12</v>
      </c>
      <c r="I106" s="26" t="str">
        <f t="shared" si="16"/>
        <v>E2.3.1.12_mRNA : 0</v>
      </c>
      <c r="J106" s="27" t="str">
        <f t="shared" si="17"/>
        <v>E2.3.1.12 : 0</v>
      </c>
      <c r="K106" s="28" t="str">
        <f t="shared" si="18"/>
        <v>0.00292 - (0.0093 * E2.3.1.12_mRNA)</v>
      </c>
      <c r="L106" s="24" t="str">
        <f t="shared" si="19"/>
        <v>(0.278 * E2.3.1.12_mRNA) - (0.00000278 * E2.3.1.12)</v>
      </c>
      <c r="M106" s="29" t="str">
        <f t="shared" si="20"/>
        <v>mRNA105: -&gt; E2.3.1.12_mRNA | 0.00292 - (0.0093 * E2.3.1.12_mRNA)</v>
      </c>
      <c r="N106" s="22" t="str">
        <f t="shared" si="21"/>
        <v>Peptide105: E2.3.1.12_mRNA -&gt; E2.3.1.12 | (0.278 * E2.3.1.12_mRNA) - (0.000000278 * E2.3.1.12)</v>
      </c>
    </row>
    <row r="107" spans="1:14">
      <c r="A107">
        <v>106</v>
      </c>
      <c r="B107" s="4" t="s">
        <v>7342</v>
      </c>
      <c r="C107" s="4" t="str">
        <f t="shared" si="14"/>
        <v>E2.3.1.122_mRNA</v>
      </c>
      <c r="D107" s="4" t="s">
        <v>12797</v>
      </c>
      <c r="E107" s="22" t="str">
        <f t="shared" si="15"/>
        <v>E2.3.1.122_kcat : 13.7</v>
      </c>
      <c r="F107" s="23" t="str">
        <f t="shared" si="11"/>
        <v>E2.3.1.122_km : 1</v>
      </c>
      <c r="G107" s="24" t="str">
        <f t="shared" si="12"/>
        <v>E2.3.1.122_mRNA : E2.3.1.122_mRNA</v>
      </c>
      <c r="H107" s="25" t="str">
        <f t="shared" si="13"/>
        <v>E2.3.1.122 : E2.3.1.122</v>
      </c>
      <c r="I107" s="26" t="str">
        <f t="shared" si="16"/>
        <v>E2.3.1.122_mRNA : 0</v>
      </c>
      <c r="J107" s="27" t="str">
        <f t="shared" si="17"/>
        <v>E2.3.1.122 : 0</v>
      </c>
      <c r="K107" s="28" t="str">
        <f t="shared" si="18"/>
        <v>0.00292 - (0.0093 * E2.3.1.122_mRNA)</v>
      </c>
      <c r="L107" s="24" t="str">
        <f t="shared" si="19"/>
        <v>(0.278 * E2.3.1.122_mRNA) - (0.00000278 * E2.3.1.122)</v>
      </c>
      <c r="M107" s="29" t="str">
        <f t="shared" si="20"/>
        <v>mRNA106: -&gt; E2.3.1.122_mRNA | 0.00292 - (0.0093 * E2.3.1.122_mRNA)</v>
      </c>
      <c r="N107" s="22" t="str">
        <f t="shared" si="21"/>
        <v>Peptide106: E2.3.1.122_mRNA -&gt; E2.3.1.122 | (0.278 * E2.3.1.122_mRNA) - (0.000000278 * E2.3.1.122)</v>
      </c>
    </row>
    <row r="108" spans="1:14">
      <c r="A108">
        <v>107</v>
      </c>
      <c r="B108" s="4" t="s">
        <v>7687</v>
      </c>
      <c r="C108" s="4" t="str">
        <f t="shared" si="14"/>
        <v>E2.3.1.181_mRNA</v>
      </c>
      <c r="D108" s="4" t="s">
        <v>13043</v>
      </c>
      <c r="E108" s="22" t="str">
        <f t="shared" si="15"/>
        <v>E2.3.1.181_kcat : 13.7</v>
      </c>
      <c r="F108" s="23" t="str">
        <f t="shared" si="11"/>
        <v>E2.3.1.181_km : 1</v>
      </c>
      <c r="G108" s="24" t="str">
        <f t="shared" si="12"/>
        <v>E2.3.1.181_mRNA : E2.3.1.181_mRNA</v>
      </c>
      <c r="H108" s="25" t="str">
        <f t="shared" si="13"/>
        <v>E2.3.1.181 : E2.3.1.181</v>
      </c>
      <c r="I108" s="26" t="str">
        <f t="shared" si="16"/>
        <v>E2.3.1.181_mRNA : 0</v>
      </c>
      <c r="J108" s="27" t="str">
        <f t="shared" si="17"/>
        <v>E2.3.1.181 : 0</v>
      </c>
      <c r="K108" s="28" t="str">
        <f t="shared" si="18"/>
        <v>0.00292 - (0.0093 * E2.3.1.181_mRNA)</v>
      </c>
      <c r="L108" s="24" t="str">
        <f t="shared" si="19"/>
        <v>(0.278 * E2.3.1.181_mRNA) - (0.00000278 * E2.3.1.181)</v>
      </c>
      <c r="M108" s="29" t="str">
        <f t="shared" si="20"/>
        <v>mRNA107: -&gt; E2.3.1.181_mRNA | 0.00292 - (0.0093 * E2.3.1.181_mRNA)</v>
      </c>
      <c r="N108" s="22" t="str">
        <f t="shared" si="21"/>
        <v>Peptide107: E2.3.1.181_mRNA -&gt; E2.3.1.181 | (0.278 * E2.3.1.181_mRNA) - (0.000000278 * E2.3.1.181)</v>
      </c>
    </row>
    <row r="109" spans="1:14">
      <c r="A109">
        <v>108</v>
      </c>
      <c r="B109" s="4" t="s">
        <v>7779</v>
      </c>
      <c r="C109" s="4" t="str">
        <f t="shared" si="14"/>
        <v>E2.3.1.183_mRNA</v>
      </c>
      <c r="D109" s="4" t="s">
        <v>13121</v>
      </c>
      <c r="E109" s="22" t="str">
        <f t="shared" si="15"/>
        <v>E2.3.1.183_kcat : 13.7</v>
      </c>
      <c r="F109" s="23" t="str">
        <f t="shared" si="11"/>
        <v>E2.3.1.183_km : 1</v>
      </c>
      <c r="G109" s="24" t="str">
        <f t="shared" si="12"/>
        <v>E2.3.1.183_mRNA : E2.3.1.183_mRNA</v>
      </c>
      <c r="H109" s="25" t="str">
        <f t="shared" si="13"/>
        <v>E2.3.1.183 : E2.3.1.183</v>
      </c>
      <c r="I109" s="26" t="str">
        <f t="shared" si="16"/>
        <v>E2.3.1.183_mRNA : 0</v>
      </c>
      <c r="J109" s="27" t="str">
        <f t="shared" si="17"/>
        <v>E2.3.1.183 : 0</v>
      </c>
      <c r="K109" s="28" t="str">
        <f t="shared" si="18"/>
        <v>0.00292 - (0.0093 * E2.3.1.183_mRNA)</v>
      </c>
      <c r="L109" s="24" t="str">
        <f t="shared" si="19"/>
        <v>(0.278 * E2.3.1.183_mRNA) - (0.00000278 * E2.3.1.183)</v>
      </c>
      <c r="M109" s="29" t="str">
        <f t="shared" si="20"/>
        <v>mRNA108: -&gt; E2.3.1.183_mRNA | 0.00292 - (0.0093 * E2.3.1.183_mRNA)</v>
      </c>
      <c r="N109" s="22" t="str">
        <f t="shared" si="21"/>
        <v>Peptide108: E2.3.1.183_mRNA -&gt; E2.3.1.183 | (0.278 * E2.3.1.183_mRNA) - (0.000000278 * E2.3.1.183)</v>
      </c>
    </row>
    <row r="110" spans="1:14">
      <c r="A110">
        <v>109</v>
      </c>
      <c r="B110" s="4" t="s">
        <v>7751</v>
      </c>
      <c r="C110" s="4" t="str">
        <f t="shared" si="14"/>
        <v>E2.3.1.189_mRNA</v>
      </c>
      <c r="D110" s="4" t="s">
        <v>13098</v>
      </c>
      <c r="E110" s="22" t="str">
        <f t="shared" si="15"/>
        <v>E2.3.1.189_kcat : 13.7</v>
      </c>
      <c r="F110" s="23" t="str">
        <f t="shared" si="11"/>
        <v>E2.3.1.189_km : 1</v>
      </c>
      <c r="G110" s="24" t="str">
        <f t="shared" si="12"/>
        <v>E2.3.1.189_mRNA : E2.3.1.189_mRNA</v>
      </c>
      <c r="H110" s="25" t="str">
        <f t="shared" si="13"/>
        <v>E2.3.1.189 : E2.3.1.189</v>
      </c>
      <c r="I110" s="26" t="str">
        <f t="shared" si="16"/>
        <v>E2.3.1.189_mRNA : 0</v>
      </c>
      <c r="J110" s="27" t="str">
        <f t="shared" si="17"/>
        <v>E2.3.1.189 : 0</v>
      </c>
      <c r="K110" s="28" t="str">
        <f t="shared" si="18"/>
        <v>0.00292 - (0.0093 * E2.3.1.189_mRNA)</v>
      </c>
      <c r="L110" s="24" t="str">
        <f t="shared" si="19"/>
        <v>(0.278 * E2.3.1.189_mRNA) - (0.00000278 * E2.3.1.189)</v>
      </c>
      <c r="M110" s="29" t="str">
        <f t="shared" si="20"/>
        <v>mRNA109: -&gt; E2.3.1.189_mRNA | 0.00292 - (0.0093 * E2.3.1.189_mRNA)</v>
      </c>
      <c r="N110" s="22" t="str">
        <f t="shared" si="21"/>
        <v>Peptide109: E2.3.1.189_mRNA -&gt; E2.3.1.189 | (0.278 * E2.3.1.189_mRNA) - (0.000000278 * E2.3.1.189)</v>
      </c>
    </row>
    <row r="111" spans="1:14">
      <c r="A111">
        <v>110</v>
      </c>
      <c r="B111" s="4" t="s">
        <v>7749</v>
      </c>
      <c r="C111" s="4" t="str">
        <f t="shared" si="14"/>
        <v>E2.3.1.30_mRNA</v>
      </c>
      <c r="D111" s="4" t="s">
        <v>13097</v>
      </c>
      <c r="E111" s="22" t="str">
        <f t="shared" si="15"/>
        <v>E2.3.1.30_kcat : 13.7</v>
      </c>
      <c r="F111" s="23" t="str">
        <f t="shared" si="11"/>
        <v>E2.3.1.30_km : 1</v>
      </c>
      <c r="G111" s="24" t="str">
        <f t="shared" si="12"/>
        <v>E2.3.1.30_mRNA : E2.3.1.30_mRNA</v>
      </c>
      <c r="H111" s="25" t="str">
        <f t="shared" si="13"/>
        <v>E2.3.1.30 : E2.3.1.30</v>
      </c>
      <c r="I111" s="26" t="str">
        <f t="shared" si="16"/>
        <v>E2.3.1.30_mRNA : 0</v>
      </c>
      <c r="J111" s="27" t="str">
        <f t="shared" si="17"/>
        <v>E2.3.1.30 : 0</v>
      </c>
      <c r="K111" s="28" t="str">
        <f t="shared" si="18"/>
        <v>0.00292 - (0.0093 * E2.3.1.30_mRNA)</v>
      </c>
      <c r="L111" s="24" t="str">
        <f t="shared" si="19"/>
        <v>(0.278 * E2.3.1.30_mRNA) - (0.00000278 * E2.3.1.30)</v>
      </c>
      <c r="M111" s="29" t="str">
        <f t="shared" si="20"/>
        <v>mRNA110: -&gt; E2.3.1.30_mRNA | 0.00292 - (0.0093 * E2.3.1.30_mRNA)</v>
      </c>
      <c r="N111" s="22" t="str">
        <f t="shared" si="21"/>
        <v>Peptide110: E2.3.1.30_mRNA -&gt; E2.3.1.30 | (0.278 * E2.3.1.30_mRNA) - (0.000000278 * E2.3.1.30)</v>
      </c>
    </row>
    <row r="112" spans="1:14">
      <c r="A112">
        <v>111</v>
      </c>
      <c r="B112" s="4" t="s">
        <v>7387</v>
      </c>
      <c r="C112" s="4" t="str">
        <f t="shared" si="14"/>
        <v>E2.3.1.31_mRNA</v>
      </c>
      <c r="D112" s="4" t="s">
        <v>12831</v>
      </c>
      <c r="E112" s="22" t="str">
        <f t="shared" si="15"/>
        <v>E2.3.1.31_kcat : 13.7</v>
      </c>
      <c r="F112" s="23" t="str">
        <f t="shared" si="11"/>
        <v>E2.3.1.31_km : 1</v>
      </c>
      <c r="G112" s="24" t="str">
        <f t="shared" si="12"/>
        <v>E2.3.1.31_mRNA : E2.3.1.31_mRNA</v>
      </c>
      <c r="H112" s="25" t="str">
        <f t="shared" si="13"/>
        <v>E2.3.1.31 : E2.3.1.31</v>
      </c>
      <c r="I112" s="26" t="str">
        <f t="shared" si="16"/>
        <v>E2.3.1.31_mRNA : 0</v>
      </c>
      <c r="J112" s="27" t="str">
        <f t="shared" si="17"/>
        <v>E2.3.1.31 : 0</v>
      </c>
      <c r="K112" s="28" t="str">
        <f t="shared" si="18"/>
        <v>0.00292 - (0.0093 * E2.3.1.31_mRNA)</v>
      </c>
      <c r="L112" s="24" t="str">
        <f t="shared" si="19"/>
        <v>(0.278 * E2.3.1.31_mRNA) - (0.00000278 * E2.3.1.31)</v>
      </c>
      <c r="M112" s="29" t="str">
        <f t="shared" si="20"/>
        <v>mRNA111: -&gt; E2.3.1.31_mRNA | 0.00292 - (0.0093 * E2.3.1.31_mRNA)</v>
      </c>
      <c r="N112" s="22" t="str">
        <f t="shared" si="21"/>
        <v>Peptide111: E2.3.1.31_mRNA -&gt; E2.3.1.31 | (0.278 * E2.3.1.31_mRNA) - (0.000000278 * E2.3.1.31)</v>
      </c>
    </row>
    <row r="113" spans="1:14">
      <c r="A113">
        <v>112</v>
      </c>
      <c r="B113" s="4" t="s">
        <v>7807</v>
      </c>
      <c r="C113" s="4" t="str">
        <f t="shared" si="14"/>
        <v>E2.3.1.41_mRNA</v>
      </c>
      <c r="D113" s="4" t="s">
        <v>13142</v>
      </c>
      <c r="E113" s="22" t="str">
        <f t="shared" si="15"/>
        <v>E2.3.1.41_kcat : 13.7</v>
      </c>
      <c r="F113" s="23" t="str">
        <f t="shared" si="11"/>
        <v>E2.3.1.41_km : 1</v>
      </c>
      <c r="G113" s="24" t="str">
        <f t="shared" si="12"/>
        <v>E2.3.1.41_mRNA : E2.3.1.41_mRNA</v>
      </c>
      <c r="H113" s="25" t="str">
        <f t="shared" si="13"/>
        <v>E2.3.1.41 : E2.3.1.41</v>
      </c>
      <c r="I113" s="26" t="str">
        <f t="shared" si="16"/>
        <v>E2.3.1.41_mRNA : 0</v>
      </c>
      <c r="J113" s="27" t="str">
        <f t="shared" si="17"/>
        <v>E2.3.1.41 : 0</v>
      </c>
      <c r="K113" s="28" t="str">
        <f t="shared" si="18"/>
        <v>0.00292 - (0.0093 * E2.3.1.41_mRNA)</v>
      </c>
      <c r="L113" s="24" t="str">
        <f t="shared" si="19"/>
        <v>(0.278 * E2.3.1.41_mRNA) - (0.00000278 * E2.3.1.41)</v>
      </c>
      <c r="M113" s="29" t="str">
        <f t="shared" si="20"/>
        <v>mRNA112: -&gt; E2.3.1.41_mRNA | 0.00292 - (0.0093 * E2.3.1.41_mRNA)</v>
      </c>
      <c r="N113" s="22" t="str">
        <f t="shared" si="21"/>
        <v>Peptide112: E2.3.1.41_mRNA -&gt; E2.3.1.41 | (0.278 * E2.3.1.41_mRNA) - (0.000000278 * E2.3.1.41)</v>
      </c>
    </row>
    <row r="114" spans="1:14">
      <c r="A114">
        <v>113</v>
      </c>
      <c r="B114" s="4" t="s">
        <v>7698</v>
      </c>
      <c r="C114" s="4" t="str">
        <f t="shared" si="14"/>
        <v>E2.3.1.47_mRNA</v>
      </c>
      <c r="D114" s="4" t="s">
        <v>13052</v>
      </c>
      <c r="E114" s="22" t="str">
        <f t="shared" si="15"/>
        <v>E2.3.1.47_kcat : 13.7</v>
      </c>
      <c r="F114" s="23" t="str">
        <f t="shared" si="11"/>
        <v>E2.3.1.47_km : 1</v>
      </c>
      <c r="G114" s="24" t="str">
        <f t="shared" si="12"/>
        <v>E2.3.1.47_mRNA : E2.3.1.47_mRNA</v>
      </c>
      <c r="H114" s="25" t="str">
        <f t="shared" si="13"/>
        <v>E2.3.1.47 : E2.3.1.47</v>
      </c>
      <c r="I114" s="26" t="str">
        <f t="shared" si="16"/>
        <v>E2.3.1.47_mRNA : 0</v>
      </c>
      <c r="J114" s="27" t="str">
        <f t="shared" si="17"/>
        <v>E2.3.1.47 : 0</v>
      </c>
      <c r="K114" s="28" t="str">
        <f t="shared" si="18"/>
        <v>0.00292 - (0.0093 * E2.3.1.47_mRNA)</v>
      </c>
      <c r="L114" s="24" t="str">
        <f t="shared" si="19"/>
        <v>(0.278 * E2.3.1.47_mRNA) - (0.00000278 * E2.3.1.47)</v>
      </c>
      <c r="M114" s="29" t="str">
        <f t="shared" si="20"/>
        <v>mRNA113: -&gt; E2.3.1.47_mRNA | 0.00292 - (0.0093 * E2.3.1.47_mRNA)</v>
      </c>
      <c r="N114" s="22" t="str">
        <f t="shared" si="21"/>
        <v>Peptide113: E2.3.1.47_mRNA -&gt; E2.3.1.47 | (0.278 * E2.3.1.47_mRNA) - (0.000000278 * E2.3.1.47)</v>
      </c>
    </row>
    <row r="115" spans="1:14">
      <c r="A115">
        <v>114</v>
      </c>
      <c r="B115" s="4" t="s">
        <v>7740</v>
      </c>
      <c r="C115" s="4" t="str">
        <f t="shared" si="14"/>
        <v>E2.3.1.54_mRNA</v>
      </c>
      <c r="D115" s="4" t="s">
        <v>13088</v>
      </c>
      <c r="E115" s="22" t="str">
        <f t="shared" si="15"/>
        <v>E2.3.1.54_kcat : 13.7</v>
      </c>
      <c r="F115" s="23" t="str">
        <f t="shared" si="11"/>
        <v>E2.3.1.54_km : 1</v>
      </c>
      <c r="G115" s="24" t="str">
        <f t="shared" si="12"/>
        <v>E2.3.1.54_mRNA : E2.3.1.54_mRNA</v>
      </c>
      <c r="H115" s="25" t="str">
        <f t="shared" si="13"/>
        <v>E2.3.1.54 : E2.3.1.54</v>
      </c>
      <c r="I115" s="26" t="str">
        <f t="shared" si="16"/>
        <v>E2.3.1.54_mRNA : 0</v>
      </c>
      <c r="J115" s="27" t="str">
        <f t="shared" si="17"/>
        <v>E2.3.1.54 : 0</v>
      </c>
      <c r="K115" s="28" t="str">
        <f t="shared" si="18"/>
        <v>0.00292 - (0.0093 * E2.3.1.54_mRNA)</v>
      </c>
      <c r="L115" s="24" t="str">
        <f t="shared" si="19"/>
        <v>(0.278 * E2.3.1.54_mRNA) - (0.00000278 * E2.3.1.54)</v>
      </c>
      <c r="M115" s="29" t="str">
        <f t="shared" si="20"/>
        <v>mRNA114: -&gt; E2.3.1.54_mRNA | 0.00292 - (0.0093 * E2.3.1.54_mRNA)</v>
      </c>
      <c r="N115" s="22" t="str">
        <f t="shared" si="21"/>
        <v>Peptide114: E2.3.1.54_mRNA -&gt; E2.3.1.54 | (0.278 * E2.3.1.54_mRNA) - (0.000000278 * E2.3.1.54)</v>
      </c>
    </row>
    <row r="116" spans="1:14">
      <c r="A116">
        <v>115</v>
      </c>
      <c r="B116" s="4" t="s">
        <v>7782</v>
      </c>
      <c r="C116" s="4" t="str">
        <f t="shared" si="14"/>
        <v>E2.3.1.8_mRNA</v>
      </c>
      <c r="D116" s="4" t="s">
        <v>13123</v>
      </c>
      <c r="E116" s="22" t="str">
        <f t="shared" si="15"/>
        <v>E2.3.1.8_kcat : 13.7</v>
      </c>
      <c r="F116" s="23" t="str">
        <f t="shared" si="11"/>
        <v>E2.3.1.8_km : 1</v>
      </c>
      <c r="G116" s="24" t="str">
        <f t="shared" si="12"/>
        <v>E2.3.1.8_mRNA : E2.3.1.8_mRNA</v>
      </c>
      <c r="H116" s="25" t="str">
        <f t="shared" si="13"/>
        <v>E2.3.1.8 : E2.3.1.8</v>
      </c>
      <c r="I116" s="26" t="str">
        <f t="shared" si="16"/>
        <v>E2.3.1.8_mRNA : 0</v>
      </c>
      <c r="J116" s="27" t="str">
        <f t="shared" si="17"/>
        <v>E2.3.1.8 : 0</v>
      </c>
      <c r="K116" s="28" t="str">
        <f t="shared" si="18"/>
        <v>0.00292 - (0.0093 * E2.3.1.8_mRNA)</v>
      </c>
      <c r="L116" s="24" t="str">
        <f t="shared" si="19"/>
        <v>(0.278 * E2.3.1.8_mRNA) - (0.00000278 * E2.3.1.8)</v>
      </c>
      <c r="M116" s="29" t="str">
        <f t="shared" si="20"/>
        <v>mRNA115: -&gt; E2.3.1.8_mRNA | 0.00292 - (0.0093 * E2.3.1.8_mRNA)</v>
      </c>
      <c r="N116" s="22" t="str">
        <f t="shared" si="21"/>
        <v>Peptide115: E2.3.1.8_mRNA -&gt; E2.3.1.8 | (0.278 * E2.3.1.8_mRNA) - (0.000000278 * E2.3.1.8)</v>
      </c>
    </row>
    <row r="117" spans="1:14">
      <c r="A117">
        <v>116</v>
      </c>
      <c r="B117" s="4" t="s">
        <v>7702</v>
      </c>
      <c r="C117" s="4" t="str">
        <f t="shared" si="14"/>
        <v>E2.3.1.9_mRNA</v>
      </c>
      <c r="D117" s="4" t="s">
        <v>13056</v>
      </c>
      <c r="E117" s="22" t="str">
        <f t="shared" si="15"/>
        <v>E2.3.1.9_kcat : 13.7</v>
      </c>
      <c r="F117" s="23" t="str">
        <f t="shared" si="11"/>
        <v>E2.3.1.9_km : 1</v>
      </c>
      <c r="G117" s="24" t="str">
        <f t="shared" si="12"/>
        <v>E2.3.1.9_mRNA : E2.3.1.9_mRNA</v>
      </c>
      <c r="H117" s="25" t="str">
        <f t="shared" si="13"/>
        <v>E2.3.1.9 : E2.3.1.9</v>
      </c>
      <c r="I117" s="26" t="str">
        <f t="shared" si="16"/>
        <v>E2.3.1.9_mRNA : 0</v>
      </c>
      <c r="J117" s="27" t="str">
        <f t="shared" si="17"/>
        <v>E2.3.1.9 : 0</v>
      </c>
      <c r="K117" s="28" t="str">
        <f t="shared" si="18"/>
        <v>0.00292 - (0.0093 * E2.3.1.9_mRNA)</v>
      </c>
      <c r="L117" s="24" t="str">
        <f t="shared" si="19"/>
        <v>(0.278 * E2.3.1.9_mRNA) - (0.00000278 * E2.3.1.9)</v>
      </c>
      <c r="M117" s="29" t="str">
        <f t="shared" si="20"/>
        <v>mRNA116: -&gt; E2.3.1.9_mRNA | 0.00292 - (0.0093 * E2.3.1.9_mRNA)</v>
      </c>
      <c r="N117" s="22" t="str">
        <f t="shared" si="21"/>
        <v>Peptide116: E2.3.1.9_mRNA -&gt; E2.3.1.9 | (0.278 * E2.3.1.9_mRNA) - (0.000000278 * E2.3.1.9)</v>
      </c>
    </row>
    <row r="118" spans="1:14">
      <c r="A118">
        <v>117</v>
      </c>
      <c r="B118" s="4" t="s">
        <v>7443</v>
      </c>
      <c r="C118" s="4" t="str">
        <f t="shared" si="14"/>
        <v>E2.3.3.1_mRNA</v>
      </c>
      <c r="D118" s="4" t="s">
        <v>12860</v>
      </c>
      <c r="E118" s="22" t="str">
        <f t="shared" si="15"/>
        <v>E2.3.3.1_kcat : 13.7</v>
      </c>
      <c r="F118" s="23" t="str">
        <f t="shared" si="11"/>
        <v>E2.3.3.1_km : 1</v>
      </c>
      <c r="G118" s="24" t="str">
        <f t="shared" si="12"/>
        <v>E2.3.3.1_mRNA : E2.3.3.1_mRNA</v>
      </c>
      <c r="H118" s="25" t="str">
        <f t="shared" si="13"/>
        <v>E2.3.3.1 : E2.3.3.1</v>
      </c>
      <c r="I118" s="26" t="str">
        <f t="shared" si="16"/>
        <v>E2.3.3.1_mRNA : 0</v>
      </c>
      <c r="J118" s="27" t="str">
        <f t="shared" si="17"/>
        <v>E2.3.3.1 : 0</v>
      </c>
      <c r="K118" s="28" t="str">
        <f t="shared" si="18"/>
        <v>0.00292 - (0.0093 * E2.3.3.1_mRNA)</v>
      </c>
      <c r="L118" s="24" t="str">
        <f t="shared" si="19"/>
        <v>(0.278 * E2.3.3.1_mRNA) - (0.00000278 * E2.3.3.1)</v>
      </c>
      <c r="M118" s="29" t="str">
        <f t="shared" si="20"/>
        <v>mRNA117: -&gt; E2.3.3.1_mRNA | 0.00292 - (0.0093 * E2.3.3.1_mRNA)</v>
      </c>
      <c r="N118" s="22" t="str">
        <f t="shared" si="21"/>
        <v>Peptide117: E2.3.3.1_mRNA -&gt; E2.3.3.1 | (0.278 * E2.3.3.1_mRNA) - (0.000000278 * E2.3.3.1)</v>
      </c>
    </row>
    <row r="119" spans="1:14">
      <c r="A119">
        <v>118</v>
      </c>
      <c r="B119" s="4" t="s">
        <v>7327</v>
      </c>
      <c r="C119" s="4" t="str">
        <f t="shared" si="14"/>
        <v>E2.3.3.13_mRNA</v>
      </c>
      <c r="D119" s="4" t="s">
        <v>12785</v>
      </c>
      <c r="E119" s="22" t="str">
        <f t="shared" si="15"/>
        <v>E2.3.3.13_kcat : 13.7</v>
      </c>
      <c r="F119" s="23" t="str">
        <f t="shared" si="11"/>
        <v>E2.3.3.13_km : 1</v>
      </c>
      <c r="G119" s="24" t="str">
        <f t="shared" si="12"/>
        <v>E2.3.3.13_mRNA : E2.3.3.13_mRNA</v>
      </c>
      <c r="H119" s="25" t="str">
        <f t="shared" si="13"/>
        <v>E2.3.3.13 : E2.3.3.13</v>
      </c>
      <c r="I119" s="26" t="str">
        <f t="shared" si="16"/>
        <v>E2.3.3.13_mRNA : 0</v>
      </c>
      <c r="J119" s="27" t="str">
        <f t="shared" si="17"/>
        <v>E2.3.3.13 : 0</v>
      </c>
      <c r="K119" s="28" t="str">
        <f t="shared" si="18"/>
        <v>0.00292 - (0.0093 * E2.3.3.13_mRNA)</v>
      </c>
      <c r="L119" s="24" t="str">
        <f t="shared" si="19"/>
        <v>(0.278 * E2.3.3.13_mRNA) - (0.00000278 * E2.3.3.13)</v>
      </c>
      <c r="M119" s="29" t="str">
        <f t="shared" si="20"/>
        <v>mRNA118: -&gt; E2.3.3.13_mRNA | 0.00292 - (0.0093 * E2.3.3.13_mRNA)</v>
      </c>
      <c r="N119" s="22" t="str">
        <f t="shared" si="21"/>
        <v>Peptide118: E2.3.3.13_mRNA -&gt; E2.3.3.13 | (0.278 * E2.3.3.13_mRNA) - (0.000000278 * E2.3.3.13)</v>
      </c>
    </row>
    <row r="120" spans="1:14">
      <c r="A120">
        <v>119</v>
      </c>
      <c r="B120" s="4" t="s">
        <v>7457</v>
      </c>
      <c r="C120" s="4" t="str">
        <f t="shared" si="14"/>
        <v>E2.4.1.109_mRNA</v>
      </c>
      <c r="D120" s="4" t="s">
        <v>12869</v>
      </c>
      <c r="E120" s="22" t="str">
        <f t="shared" si="15"/>
        <v>E2.4.1.109_kcat : 13.7</v>
      </c>
      <c r="F120" s="23" t="str">
        <f t="shared" si="11"/>
        <v>E2.4.1.109_km : 1</v>
      </c>
      <c r="G120" s="24" t="str">
        <f t="shared" si="12"/>
        <v>E2.4.1.109_mRNA : E2.4.1.109_mRNA</v>
      </c>
      <c r="H120" s="25" t="str">
        <f t="shared" si="13"/>
        <v>E2.4.1.109 : E2.4.1.109</v>
      </c>
      <c r="I120" s="26" t="str">
        <f t="shared" si="16"/>
        <v>E2.4.1.109_mRNA : 0</v>
      </c>
      <c r="J120" s="27" t="str">
        <f t="shared" si="17"/>
        <v>E2.4.1.109 : 0</v>
      </c>
      <c r="K120" s="28" t="str">
        <f t="shared" si="18"/>
        <v>0.00292 - (0.0093 * E2.4.1.109_mRNA)</v>
      </c>
      <c r="L120" s="24" t="str">
        <f t="shared" si="19"/>
        <v>(0.278 * E2.4.1.109_mRNA) - (0.00000278 * E2.4.1.109)</v>
      </c>
      <c r="M120" s="29" t="str">
        <f t="shared" si="20"/>
        <v>mRNA119: -&gt; E2.4.1.109_mRNA | 0.00292 - (0.0093 * E2.4.1.109_mRNA)</v>
      </c>
      <c r="N120" s="22" t="str">
        <f t="shared" si="21"/>
        <v>Peptide119: E2.4.1.109_mRNA -&gt; E2.4.1.109 | (0.278 * E2.4.1.109_mRNA) - (0.000000278 * E2.4.1.109)</v>
      </c>
    </row>
    <row r="121" spans="1:14">
      <c r="A121">
        <v>120</v>
      </c>
      <c r="B121" s="4" t="s">
        <v>7813</v>
      </c>
      <c r="C121" s="4" t="str">
        <f t="shared" si="14"/>
        <v>E2.4.1.11_mRNA</v>
      </c>
      <c r="D121" s="4" t="s">
        <v>13137</v>
      </c>
      <c r="E121" s="22" t="str">
        <f t="shared" si="15"/>
        <v>E2.4.1.11_kcat : 13.7</v>
      </c>
      <c r="F121" s="23" t="str">
        <f t="shared" si="11"/>
        <v>E2.4.1.11_km : 1</v>
      </c>
      <c r="G121" s="24" t="str">
        <f t="shared" si="12"/>
        <v>E2.4.1.11_mRNA : E2.4.1.11_mRNA</v>
      </c>
      <c r="H121" s="25" t="str">
        <f t="shared" si="13"/>
        <v>E2.4.1.11 : E2.4.1.11</v>
      </c>
      <c r="I121" s="26" t="str">
        <f t="shared" si="16"/>
        <v>E2.4.1.11_mRNA : 0</v>
      </c>
      <c r="J121" s="27" t="str">
        <f t="shared" si="17"/>
        <v>E2.4.1.11 : 0</v>
      </c>
      <c r="K121" s="28" t="str">
        <f t="shared" si="18"/>
        <v>0.00292 - (0.0093 * E2.4.1.11_mRNA)</v>
      </c>
      <c r="L121" s="24" t="str">
        <f t="shared" si="19"/>
        <v>(0.278 * E2.4.1.11_mRNA) - (0.00000278 * E2.4.1.11)</v>
      </c>
      <c r="M121" s="29" t="str">
        <f t="shared" si="20"/>
        <v>mRNA120: -&gt; E2.4.1.11_mRNA | 0.00292 - (0.0093 * E2.4.1.11_mRNA)</v>
      </c>
      <c r="N121" s="22" t="str">
        <f t="shared" si="21"/>
        <v>Peptide120: E2.4.1.11_mRNA -&gt; E2.4.1.11 | (0.278 * E2.4.1.11_mRNA) - (0.000000278 * E2.4.1.11)</v>
      </c>
    </row>
    <row r="122" spans="1:14">
      <c r="A122">
        <v>121</v>
      </c>
      <c r="B122" s="4" t="s">
        <v>7672</v>
      </c>
      <c r="C122" s="4" t="str">
        <f t="shared" si="14"/>
        <v>E2.4.1.129_mRNA</v>
      </c>
      <c r="D122" s="4" t="s">
        <v>13030</v>
      </c>
      <c r="E122" s="22" t="str">
        <f t="shared" si="15"/>
        <v>E2.4.1.129_kcat : 13.7</v>
      </c>
      <c r="F122" s="23" t="str">
        <f t="shared" si="11"/>
        <v>E2.4.1.129_km : 1</v>
      </c>
      <c r="G122" s="24" t="str">
        <f t="shared" si="12"/>
        <v>E2.4.1.129_mRNA : E2.4.1.129_mRNA</v>
      </c>
      <c r="H122" s="25" t="str">
        <f t="shared" si="13"/>
        <v>E2.4.1.129 : E2.4.1.129</v>
      </c>
      <c r="I122" s="26" t="str">
        <f t="shared" si="16"/>
        <v>E2.4.1.129_mRNA : 0</v>
      </c>
      <c r="J122" s="27" t="str">
        <f t="shared" si="17"/>
        <v>E2.4.1.129 : 0</v>
      </c>
      <c r="K122" s="28" t="str">
        <f t="shared" si="18"/>
        <v>0.00292 - (0.0093 * E2.4.1.129_mRNA)</v>
      </c>
      <c r="L122" s="24" t="str">
        <f t="shared" si="19"/>
        <v>(0.278 * E2.4.1.129_mRNA) - (0.00000278 * E2.4.1.129)</v>
      </c>
      <c r="M122" s="29" t="str">
        <f t="shared" si="20"/>
        <v>mRNA121: -&gt; E2.4.1.129_mRNA | 0.00292 - (0.0093 * E2.4.1.129_mRNA)</v>
      </c>
      <c r="N122" s="22" t="str">
        <f t="shared" si="21"/>
        <v>Peptide121: E2.4.1.129_mRNA -&gt; E2.4.1.129 | (0.278 * E2.4.1.129_mRNA) - (0.000000278 * E2.4.1.129)</v>
      </c>
    </row>
    <row r="123" spans="1:14">
      <c r="A123">
        <v>122</v>
      </c>
      <c r="B123" s="4" t="s">
        <v>7667</v>
      </c>
      <c r="C123" s="4" t="str">
        <f t="shared" si="14"/>
        <v>E2.4.1.227_mRNA</v>
      </c>
      <c r="D123" s="4" t="s">
        <v>13025</v>
      </c>
      <c r="E123" s="22" t="str">
        <f t="shared" si="15"/>
        <v>E2.4.1.227_kcat : 13.7</v>
      </c>
      <c r="F123" s="23" t="str">
        <f t="shared" si="11"/>
        <v>E2.4.1.227_km : 1</v>
      </c>
      <c r="G123" s="24" t="str">
        <f t="shared" si="12"/>
        <v>E2.4.1.227_mRNA : E2.4.1.227_mRNA</v>
      </c>
      <c r="H123" s="25" t="str">
        <f t="shared" si="13"/>
        <v>E2.4.1.227 : E2.4.1.227</v>
      </c>
      <c r="I123" s="26" t="str">
        <f t="shared" si="16"/>
        <v>E2.4.1.227_mRNA : 0</v>
      </c>
      <c r="J123" s="27" t="str">
        <f t="shared" si="17"/>
        <v>E2.4.1.227 : 0</v>
      </c>
      <c r="K123" s="28" t="str">
        <f t="shared" si="18"/>
        <v>0.00292 - (0.0093 * E2.4.1.227_mRNA)</v>
      </c>
      <c r="L123" s="24" t="str">
        <f t="shared" si="19"/>
        <v>(0.278 * E2.4.1.227_mRNA) - (0.00000278 * E2.4.1.227)</v>
      </c>
      <c r="M123" s="29" t="str">
        <f t="shared" si="20"/>
        <v>mRNA122: -&gt; E2.4.1.227_mRNA | 0.00292 - (0.0093 * E2.4.1.227_mRNA)</v>
      </c>
      <c r="N123" s="22" t="str">
        <f t="shared" si="21"/>
        <v>Peptide122: E2.4.1.227_mRNA -&gt; E2.4.1.227 | (0.278 * E2.4.1.227_mRNA) - (0.000000278 * E2.4.1.227)</v>
      </c>
    </row>
    <row r="124" spans="1:14">
      <c r="A124">
        <v>123</v>
      </c>
      <c r="B124" s="4" t="s">
        <v>7349</v>
      </c>
      <c r="C124" s="4" t="str">
        <f t="shared" si="14"/>
        <v>E2.4.1.250_mRNA</v>
      </c>
      <c r="D124" s="4" t="s">
        <v>12802</v>
      </c>
      <c r="E124" s="22" t="str">
        <f t="shared" si="15"/>
        <v>E2.4.1.250_kcat : 13.7</v>
      </c>
      <c r="F124" s="23" t="str">
        <f t="shared" si="11"/>
        <v>E2.4.1.250_km : 1</v>
      </c>
      <c r="G124" s="24" t="str">
        <f t="shared" si="12"/>
        <v>E2.4.1.250_mRNA : E2.4.1.250_mRNA</v>
      </c>
      <c r="H124" s="25" t="str">
        <f t="shared" si="13"/>
        <v>E2.4.1.250 : E2.4.1.250</v>
      </c>
      <c r="I124" s="26" t="str">
        <f t="shared" si="16"/>
        <v>E2.4.1.250_mRNA : 0</v>
      </c>
      <c r="J124" s="27" t="str">
        <f t="shared" si="17"/>
        <v>E2.4.1.250 : 0</v>
      </c>
      <c r="K124" s="28" t="str">
        <f t="shared" si="18"/>
        <v>0.00292 - (0.0093 * E2.4.1.250_mRNA)</v>
      </c>
      <c r="L124" s="24" t="str">
        <f t="shared" si="19"/>
        <v>(0.278 * E2.4.1.250_mRNA) - (0.00000278 * E2.4.1.250)</v>
      </c>
      <c r="M124" s="29" t="str">
        <f t="shared" si="20"/>
        <v>mRNA123: -&gt; E2.4.1.250_mRNA | 0.00292 - (0.0093 * E2.4.1.250_mRNA)</v>
      </c>
      <c r="N124" s="22" t="str">
        <f t="shared" si="21"/>
        <v>Peptide123: E2.4.1.250_mRNA -&gt; E2.4.1.250 | (0.278 * E2.4.1.250_mRNA) - (0.000000278 * E2.4.1.250)</v>
      </c>
    </row>
    <row r="125" spans="1:14">
      <c r="A125">
        <v>124</v>
      </c>
      <c r="B125" s="4" t="s">
        <v>7315</v>
      </c>
      <c r="C125" s="4" t="str">
        <f t="shared" si="14"/>
        <v>E2.4.1.287_mRNA</v>
      </c>
      <c r="D125" s="4" t="s">
        <v>12777</v>
      </c>
      <c r="E125" s="22" t="str">
        <f t="shared" si="15"/>
        <v>E2.4.1.287_kcat : 13.7</v>
      </c>
      <c r="F125" s="23" t="str">
        <f t="shared" si="11"/>
        <v>E2.4.1.287_km : 1</v>
      </c>
      <c r="G125" s="24" t="str">
        <f t="shared" si="12"/>
        <v>E2.4.1.287_mRNA : E2.4.1.287_mRNA</v>
      </c>
      <c r="H125" s="25" t="str">
        <f t="shared" si="13"/>
        <v>E2.4.1.287 : E2.4.1.287</v>
      </c>
      <c r="I125" s="26" t="str">
        <f t="shared" si="16"/>
        <v>E2.4.1.287_mRNA : 0</v>
      </c>
      <c r="J125" s="27" t="str">
        <f t="shared" si="17"/>
        <v>E2.4.1.287 : 0</v>
      </c>
      <c r="K125" s="28" t="str">
        <f t="shared" si="18"/>
        <v>0.00292 - (0.0093 * E2.4.1.287_mRNA)</v>
      </c>
      <c r="L125" s="24" t="str">
        <f t="shared" si="19"/>
        <v>(0.278 * E2.4.1.287_mRNA) - (0.00000278 * E2.4.1.287)</v>
      </c>
      <c r="M125" s="29" t="str">
        <f t="shared" si="20"/>
        <v>mRNA124: -&gt; E2.4.1.287_mRNA | 0.00292 - (0.0093 * E2.4.1.287_mRNA)</v>
      </c>
      <c r="N125" s="22" t="str">
        <f t="shared" si="21"/>
        <v>Peptide124: E2.4.1.287_mRNA -&gt; E2.4.1.287 | (0.278 * E2.4.1.287_mRNA) - (0.000000278 * E2.4.1.287)</v>
      </c>
    </row>
    <row r="126" spans="1:14">
      <c r="A126">
        <v>125</v>
      </c>
      <c r="B126" s="4" t="s">
        <v>7804</v>
      </c>
      <c r="C126" s="4" t="str">
        <f t="shared" si="14"/>
        <v>E2.4.1.288_mRNA</v>
      </c>
      <c r="D126" s="4" t="s">
        <v>13144</v>
      </c>
      <c r="E126" s="22" t="str">
        <f t="shared" si="15"/>
        <v>E2.4.1.288_kcat : 13.7</v>
      </c>
      <c r="F126" s="23" t="str">
        <f t="shared" si="11"/>
        <v>E2.4.1.288_km : 1</v>
      </c>
      <c r="G126" s="24" t="str">
        <f t="shared" si="12"/>
        <v>E2.4.1.288_mRNA : E2.4.1.288_mRNA</v>
      </c>
      <c r="H126" s="25" t="str">
        <f t="shared" si="13"/>
        <v>E2.4.1.288 : E2.4.1.288</v>
      </c>
      <c r="I126" s="26" t="str">
        <f t="shared" si="16"/>
        <v>E2.4.1.288_mRNA : 0</v>
      </c>
      <c r="J126" s="27" t="str">
        <f t="shared" si="17"/>
        <v>E2.4.1.288 : 0</v>
      </c>
      <c r="K126" s="28" t="str">
        <f t="shared" si="18"/>
        <v>0.00292 - (0.0093 * E2.4.1.288_mRNA)</v>
      </c>
      <c r="L126" s="24" t="str">
        <f t="shared" si="19"/>
        <v>(0.278 * E2.4.1.288_mRNA) - (0.00000278 * E2.4.1.288)</v>
      </c>
      <c r="M126" s="29" t="str">
        <f t="shared" si="20"/>
        <v>mRNA125: -&gt; E2.4.1.288_mRNA | 0.00292 - (0.0093 * E2.4.1.288_mRNA)</v>
      </c>
      <c r="N126" s="22" t="str">
        <f t="shared" si="21"/>
        <v>Peptide125: E2.4.1.288_mRNA -&gt; E2.4.1.288 | (0.278 * E2.4.1.288_mRNA) - (0.000000278 * E2.4.1.288)</v>
      </c>
    </row>
    <row r="127" spans="1:14">
      <c r="A127">
        <v>126</v>
      </c>
      <c r="B127" s="4" t="s">
        <v>7609</v>
      </c>
      <c r="C127" s="4" t="str">
        <f t="shared" si="14"/>
        <v>E2.4.1.345_mRNA</v>
      </c>
      <c r="D127" s="4" t="s">
        <v>12984</v>
      </c>
      <c r="E127" s="22" t="str">
        <f t="shared" si="15"/>
        <v>E2.4.1.345_kcat : 13.7</v>
      </c>
      <c r="F127" s="23" t="str">
        <f t="shared" si="11"/>
        <v>E2.4.1.345_km : 1</v>
      </c>
      <c r="G127" s="24" t="str">
        <f t="shared" si="12"/>
        <v>E2.4.1.345_mRNA : E2.4.1.345_mRNA</v>
      </c>
      <c r="H127" s="25" t="str">
        <f t="shared" si="13"/>
        <v>E2.4.1.345 : E2.4.1.345</v>
      </c>
      <c r="I127" s="26" t="str">
        <f t="shared" si="16"/>
        <v>E2.4.1.345_mRNA : 0</v>
      </c>
      <c r="J127" s="27" t="str">
        <f t="shared" si="17"/>
        <v>E2.4.1.345 : 0</v>
      </c>
      <c r="K127" s="28" t="str">
        <f t="shared" si="18"/>
        <v>0.00292 - (0.0093 * E2.4.1.345_mRNA)</v>
      </c>
      <c r="L127" s="24" t="str">
        <f t="shared" si="19"/>
        <v>(0.278 * E2.4.1.345_mRNA) - (0.00000278 * E2.4.1.345)</v>
      </c>
      <c r="M127" s="29" t="str">
        <f t="shared" si="20"/>
        <v>mRNA126: -&gt; E2.4.1.345_mRNA | 0.00292 - (0.0093 * E2.4.1.345_mRNA)</v>
      </c>
      <c r="N127" s="22" t="str">
        <f t="shared" si="21"/>
        <v>Peptide126: E2.4.1.345_mRNA -&gt; E2.4.1.345 | (0.278 * E2.4.1.345_mRNA) - (0.000000278 * E2.4.1.345)</v>
      </c>
    </row>
    <row r="128" spans="1:14">
      <c r="A128">
        <v>127</v>
      </c>
      <c r="B128" s="4" t="s">
        <v>7564</v>
      </c>
      <c r="C128" s="4" t="str">
        <f t="shared" si="14"/>
        <v>E2.4.1.54_mRNA</v>
      </c>
      <c r="D128" s="4" t="s">
        <v>12947</v>
      </c>
      <c r="E128" s="22" t="str">
        <f t="shared" si="15"/>
        <v>E2.4.1.54_kcat : 13.7</v>
      </c>
      <c r="F128" s="23" t="str">
        <f t="shared" si="11"/>
        <v>E2.4.1.54_km : 1</v>
      </c>
      <c r="G128" s="24" t="str">
        <f t="shared" si="12"/>
        <v>E2.4.1.54_mRNA : E2.4.1.54_mRNA</v>
      </c>
      <c r="H128" s="25" t="str">
        <f t="shared" si="13"/>
        <v>E2.4.1.54 : E2.4.1.54</v>
      </c>
      <c r="I128" s="26" t="str">
        <f t="shared" si="16"/>
        <v>E2.4.1.54_mRNA : 0</v>
      </c>
      <c r="J128" s="27" t="str">
        <f t="shared" si="17"/>
        <v>E2.4.1.54 : 0</v>
      </c>
      <c r="K128" s="28" t="str">
        <f t="shared" si="18"/>
        <v>0.00292 - (0.0093 * E2.4.1.54_mRNA)</v>
      </c>
      <c r="L128" s="24" t="str">
        <f t="shared" si="19"/>
        <v>(0.278 * E2.4.1.54_mRNA) - (0.00000278 * E2.4.1.54)</v>
      </c>
      <c r="M128" s="29" t="str">
        <f t="shared" si="20"/>
        <v>mRNA127: -&gt; E2.4.1.54_mRNA | 0.00292 - (0.0093 * E2.4.1.54_mRNA)</v>
      </c>
      <c r="N128" s="22" t="str">
        <f t="shared" si="21"/>
        <v>Peptide127: E2.4.1.54_mRNA -&gt; E2.4.1.54 | (0.278 * E2.4.1.54_mRNA) - (0.000000278 * E2.4.1.54)</v>
      </c>
    </row>
    <row r="129" spans="1:14">
      <c r="A129">
        <v>128</v>
      </c>
      <c r="B129" s="4" t="s">
        <v>7372</v>
      </c>
      <c r="C129" s="4" t="str">
        <f t="shared" si="14"/>
        <v>E2.4.2.1_mRNA</v>
      </c>
      <c r="D129" s="4" t="s">
        <v>12821</v>
      </c>
      <c r="E129" s="22" t="str">
        <f t="shared" si="15"/>
        <v>E2.4.2.1_kcat : 13.7</v>
      </c>
      <c r="F129" s="23" t="str">
        <f t="shared" si="11"/>
        <v>E2.4.2.1_km : 1</v>
      </c>
      <c r="G129" s="24" t="str">
        <f t="shared" si="12"/>
        <v>E2.4.2.1_mRNA : E2.4.2.1_mRNA</v>
      </c>
      <c r="H129" s="25" t="str">
        <f t="shared" si="13"/>
        <v>E2.4.2.1 : E2.4.2.1</v>
      </c>
      <c r="I129" s="26" t="str">
        <f t="shared" si="16"/>
        <v>E2.4.2.1_mRNA : 0</v>
      </c>
      <c r="J129" s="27" t="str">
        <f t="shared" si="17"/>
        <v>E2.4.2.1 : 0</v>
      </c>
      <c r="K129" s="28" t="str">
        <f t="shared" si="18"/>
        <v>0.00292 - (0.0093 * E2.4.2.1_mRNA)</v>
      </c>
      <c r="L129" s="24" t="str">
        <f t="shared" si="19"/>
        <v>(0.278 * E2.4.2.1_mRNA) - (0.00000278 * E2.4.2.1)</v>
      </c>
      <c r="M129" s="29" t="str">
        <f t="shared" si="20"/>
        <v>mRNA128: -&gt; E2.4.2.1_mRNA | 0.00292 - (0.0093 * E2.4.2.1_mRNA)</v>
      </c>
      <c r="N129" s="22" t="str">
        <f t="shared" si="21"/>
        <v>Peptide128: E2.4.2.1_mRNA -&gt; E2.4.2.1 | (0.278 * E2.4.2.1_mRNA) - (0.000000278 * E2.4.2.1)</v>
      </c>
    </row>
    <row r="130" spans="1:14">
      <c r="A130">
        <v>129</v>
      </c>
      <c r="B130" s="4" t="s">
        <v>7823</v>
      </c>
      <c r="C130" s="4" t="str">
        <f t="shared" si="14"/>
        <v>E2.4.2.10_mRNA</v>
      </c>
      <c r="D130" s="4" t="s">
        <v>13127</v>
      </c>
      <c r="E130" s="22" t="str">
        <f t="shared" si="15"/>
        <v>E2.4.2.10_kcat : 13.7</v>
      </c>
      <c r="F130" s="23" t="str">
        <f t="shared" ref="F130:F193" si="22">CONCATENATE("E",B130,"_km : 1")</f>
        <v>E2.4.2.10_km : 1</v>
      </c>
      <c r="G130" s="24" t="str">
        <f t="shared" ref="G130:G193" si="23">CONCATENATE(C130," : ",C130)</f>
        <v>E2.4.2.10_mRNA : E2.4.2.10_mRNA</v>
      </c>
      <c r="H130" s="25" t="str">
        <f t="shared" ref="H130:H193" si="24">CONCATENATE(D130," : ",D130)</f>
        <v>E2.4.2.10 : E2.4.2.10</v>
      </c>
      <c r="I130" s="26" t="str">
        <f t="shared" si="16"/>
        <v>E2.4.2.10_mRNA : 0</v>
      </c>
      <c r="J130" s="27" t="str">
        <f t="shared" si="17"/>
        <v>E2.4.2.10 : 0</v>
      </c>
      <c r="K130" s="28" t="str">
        <f t="shared" si="18"/>
        <v>0.00292 - (0.0093 * E2.4.2.10_mRNA)</v>
      </c>
      <c r="L130" s="24" t="str">
        <f t="shared" si="19"/>
        <v>(0.278 * E2.4.2.10_mRNA) - (0.00000278 * E2.4.2.10)</v>
      </c>
      <c r="M130" s="29" t="str">
        <f t="shared" si="20"/>
        <v>mRNA129: -&gt; E2.4.2.10_mRNA | 0.00292 - (0.0093 * E2.4.2.10_mRNA)</v>
      </c>
      <c r="N130" s="22" t="str">
        <f t="shared" si="21"/>
        <v>Peptide129: E2.4.2.10_mRNA -&gt; E2.4.2.10 | (0.278 * E2.4.2.10_mRNA) - (0.000000278 * E2.4.2.10)</v>
      </c>
    </row>
    <row r="131" spans="1:14">
      <c r="A131">
        <v>130</v>
      </c>
      <c r="B131" s="4" t="s">
        <v>7755</v>
      </c>
      <c r="C131" s="4" t="str">
        <f t="shared" ref="C131:C194" si="25">CONCATENATE(D131,"_mRNA")</f>
        <v>E2.4.2.14_mRNA</v>
      </c>
      <c r="D131" s="4" t="s">
        <v>13102</v>
      </c>
      <c r="E131" s="22" t="str">
        <f t="shared" ref="E131:E194" si="26">CONCATENATE("E",B131,"_kcat : 13.7")</f>
        <v>E2.4.2.14_kcat : 13.7</v>
      </c>
      <c r="F131" s="23" t="str">
        <f t="shared" si="22"/>
        <v>E2.4.2.14_km : 1</v>
      </c>
      <c r="G131" s="24" t="str">
        <f t="shared" si="23"/>
        <v>E2.4.2.14_mRNA : E2.4.2.14_mRNA</v>
      </c>
      <c r="H131" s="25" t="str">
        <f t="shared" si="24"/>
        <v>E2.4.2.14 : E2.4.2.14</v>
      </c>
      <c r="I131" s="26" t="str">
        <f t="shared" ref="I131:I194" si="27">CONCATENATE(C131," : ","0")</f>
        <v>E2.4.2.14_mRNA : 0</v>
      </c>
      <c r="J131" s="27" t="str">
        <f t="shared" ref="J131:J194" si="28">CONCATENATE(D131," : ","0")</f>
        <v>E2.4.2.14 : 0</v>
      </c>
      <c r="K131" s="28" t="str">
        <f t="shared" ref="K131:K194" si="29">CONCATENATE("0.00292 - (0.0093 * ",C131,")")</f>
        <v>0.00292 - (0.0093 * E2.4.2.14_mRNA)</v>
      </c>
      <c r="L131" s="24" t="str">
        <f t="shared" ref="L131:L194" si="30">CONCATENATE("(0.278 * ",C131,")"," - (0.00000278 * ",D131,")")</f>
        <v>(0.278 * E2.4.2.14_mRNA) - (0.00000278 * E2.4.2.14)</v>
      </c>
      <c r="M131" s="29" t="str">
        <f t="shared" ref="M131:M194" si="31">CONCATENATE("mRNA",A131,": -&gt; ",C131," | ","0.00292"," - ","(","0.0093"," * ",C131,")")</f>
        <v>mRNA130: -&gt; E2.4.2.14_mRNA | 0.00292 - (0.0093 * E2.4.2.14_mRNA)</v>
      </c>
      <c r="N131" s="22" t="str">
        <f t="shared" ref="N131:N194" si="32">CONCATENATE("Peptide",A131,": ",C131," -&gt; ",D131," | ","(","0.278"," * ",C131,")"," - ","(","0.000000278"," * ",D131,")")</f>
        <v>Peptide130: E2.4.2.14_mRNA -&gt; E2.4.2.14 | (0.278 * E2.4.2.14_mRNA) - (0.000000278 * E2.4.2.14)</v>
      </c>
    </row>
    <row r="132" spans="1:14">
      <c r="A132">
        <v>131</v>
      </c>
      <c r="B132" s="4" t="s">
        <v>7571</v>
      </c>
      <c r="C132" s="4" t="str">
        <f t="shared" si="25"/>
        <v>E2.4.2.17_mRNA</v>
      </c>
      <c r="D132" s="4" t="s">
        <v>12950</v>
      </c>
      <c r="E132" s="22" t="str">
        <f t="shared" si="26"/>
        <v>E2.4.2.17_kcat : 13.7</v>
      </c>
      <c r="F132" s="23" t="str">
        <f t="shared" si="22"/>
        <v>E2.4.2.17_km : 1</v>
      </c>
      <c r="G132" s="24" t="str">
        <f t="shared" si="23"/>
        <v>E2.4.2.17_mRNA : E2.4.2.17_mRNA</v>
      </c>
      <c r="H132" s="25" t="str">
        <f t="shared" si="24"/>
        <v>E2.4.2.17 : E2.4.2.17</v>
      </c>
      <c r="I132" s="26" t="str">
        <f t="shared" si="27"/>
        <v>E2.4.2.17_mRNA : 0</v>
      </c>
      <c r="J132" s="27" t="str">
        <f t="shared" si="28"/>
        <v>E2.4.2.17 : 0</v>
      </c>
      <c r="K132" s="28" t="str">
        <f t="shared" si="29"/>
        <v>0.00292 - (0.0093 * E2.4.2.17_mRNA)</v>
      </c>
      <c r="L132" s="24" t="str">
        <f t="shared" si="30"/>
        <v>(0.278 * E2.4.2.17_mRNA) - (0.00000278 * E2.4.2.17)</v>
      </c>
      <c r="M132" s="29" t="str">
        <f t="shared" si="31"/>
        <v>mRNA131: -&gt; E2.4.2.17_mRNA | 0.00292 - (0.0093 * E2.4.2.17_mRNA)</v>
      </c>
      <c r="N132" s="22" t="str">
        <f t="shared" si="32"/>
        <v>Peptide131: E2.4.2.17_mRNA -&gt; E2.4.2.17 | (0.278 * E2.4.2.17_mRNA) - (0.000000278 * E2.4.2.17)</v>
      </c>
    </row>
    <row r="133" spans="1:14">
      <c r="A133">
        <v>132</v>
      </c>
      <c r="B133" s="4" t="s">
        <v>7471</v>
      </c>
      <c r="C133" s="4" t="str">
        <f t="shared" si="25"/>
        <v>E2.4.2.19_mRNA</v>
      </c>
      <c r="D133" s="4" t="s">
        <v>12879</v>
      </c>
      <c r="E133" s="22" t="str">
        <f t="shared" si="26"/>
        <v>E2.4.2.19_kcat : 13.7</v>
      </c>
      <c r="F133" s="23" t="str">
        <f t="shared" si="22"/>
        <v>E2.4.2.19_km : 1</v>
      </c>
      <c r="G133" s="24" t="str">
        <f t="shared" si="23"/>
        <v>E2.4.2.19_mRNA : E2.4.2.19_mRNA</v>
      </c>
      <c r="H133" s="25" t="str">
        <f t="shared" si="24"/>
        <v>E2.4.2.19 : E2.4.2.19</v>
      </c>
      <c r="I133" s="26" t="str">
        <f t="shared" si="27"/>
        <v>E2.4.2.19_mRNA : 0</v>
      </c>
      <c r="J133" s="27" t="str">
        <f t="shared" si="28"/>
        <v>E2.4.2.19 : 0</v>
      </c>
      <c r="K133" s="28" t="str">
        <f t="shared" si="29"/>
        <v>0.00292 - (0.0093 * E2.4.2.19_mRNA)</v>
      </c>
      <c r="L133" s="24" t="str">
        <f t="shared" si="30"/>
        <v>(0.278 * E2.4.2.19_mRNA) - (0.00000278 * E2.4.2.19)</v>
      </c>
      <c r="M133" s="29" t="str">
        <f t="shared" si="31"/>
        <v>mRNA132: -&gt; E2.4.2.19_mRNA | 0.00292 - (0.0093 * E2.4.2.19_mRNA)</v>
      </c>
      <c r="N133" s="22" t="str">
        <f t="shared" si="32"/>
        <v>Peptide132: E2.4.2.19_mRNA -&gt; E2.4.2.19 | (0.278 * E2.4.2.19_mRNA) - (0.000000278 * E2.4.2.19)</v>
      </c>
    </row>
    <row r="134" spans="1:14">
      <c r="A134">
        <v>133</v>
      </c>
      <c r="B134" s="4" t="s">
        <v>7406</v>
      </c>
      <c r="C134" s="4" t="str">
        <f t="shared" si="25"/>
        <v>E2.4.2.2_mRNA</v>
      </c>
      <c r="D134" s="4" t="s">
        <v>12842</v>
      </c>
      <c r="E134" s="22" t="str">
        <f t="shared" si="26"/>
        <v>E2.4.2.2_kcat : 13.7</v>
      </c>
      <c r="F134" s="23" t="str">
        <f t="shared" si="22"/>
        <v>E2.4.2.2_km : 1</v>
      </c>
      <c r="G134" s="24" t="str">
        <f t="shared" si="23"/>
        <v>E2.4.2.2_mRNA : E2.4.2.2_mRNA</v>
      </c>
      <c r="H134" s="25" t="str">
        <f t="shared" si="24"/>
        <v>E2.4.2.2 : E2.4.2.2</v>
      </c>
      <c r="I134" s="26" t="str">
        <f t="shared" si="27"/>
        <v>E2.4.2.2_mRNA : 0</v>
      </c>
      <c r="J134" s="27" t="str">
        <f t="shared" si="28"/>
        <v>E2.4.2.2 : 0</v>
      </c>
      <c r="K134" s="28" t="str">
        <f t="shared" si="29"/>
        <v>0.00292 - (0.0093 * E2.4.2.2_mRNA)</v>
      </c>
      <c r="L134" s="24" t="str">
        <f t="shared" si="30"/>
        <v>(0.278 * E2.4.2.2_mRNA) - (0.00000278 * E2.4.2.2)</v>
      </c>
      <c r="M134" s="29" t="str">
        <f t="shared" si="31"/>
        <v>mRNA133: -&gt; E2.4.2.2_mRNA | 0.00292 - (0.0093 * E2.4.2.2_mRNA)</v>
      </c>
      <c r="N134" s="22" t="str">
        <f t="shared" si="32"/>
        <v>Peptide133: E2.4.2.2_mRNA -&gt; E2.4.2.2 | (0.278 * E2.4.2.2_mRNA) - (0.000000278 * E2.4.2.2)</v>
      </c>
    </row>
    <row r="135" spans="1:14">
      <c r="A135">
        <v>134</v>
      </c>
      <c r="B135" s="4" t="s">
        <v>7681</v>
      </c>
      <c r="C135" s="4" t="str">
        <f t="shared" si="25"/>
        <v>E2.4.2.21_mRNA</v>
      </c>
      <c r="D135" s="4" t="s">
        <v>13037</v>
      </c>
      <c r="E135" s="22" t="str">
        <f t="shared" si="26"/>
        <v>E2.4.2.21_kcat : 13.7</v>
      </c>
      <c r="F135" s="23" t="str">
        <f t="shared" si="22"/>
        <v>E2.4.2.21_km : 1</v>
      </c>
      <c r="G135" s="24" t="str">
        <f t="shared" si="23"/>
        <v>E2.4.2.21_mRNA : E2.4.2.21_mRNA</v>
      </c>
      <c r="H135" s="25" t="str">
        <f t="shared" si="24"/>
        <v>E2.4.2.21 : E2.4.2.21</v>
      </c>
      <c r="I135" s="26" t="str">
        <f t="shared" si="27"/>
        <v>E2.4.2.21_mRNA : 0</v>
      </c>
      <c r="J135" s="27" t="str">
        <f t="shared" si="28"/>
        <v>E2.4.2.21 : 0</v>
      </c>
      <c r="K135" s="28" t="str">
        <f t="shared" si="29"/>
        <v>0.00292 - (0.0093 * E2.4.2.21_mRNA)</v>
      </c>
      <c r="L135" s="24" t="str">
        <f t="shared" si="30"/>
        <v>(0.278 * E2.4.2.21_mRNA) - (0.00000278 * E2.4.2.21)</v>
      </c>
      <c r="M135" s="29" t="str">
        <f t="shared" si="31"/>
        <v>mRNA134: -&gt; E2.4.2.21_mRNA | 0.00292 - (0.0093 * E2.4.2.21_mRNA)</v>
      </c>
      <c r="N135" s="22" t="str">
        <f t="shared" si="32"/>
        <v>Peptide134: E2.4.2.21_mRNA -&gt; E2.4.2.21 | (0.278 * E2.4.2.21_mRNA) - (0.000000278 * E2.4.2.21)</v>
      </c>
    </row>
    <row r="136" spans="1:14">
      <c r="A136">
        <v>135</v>
      </c>
      <c r="B136" s="4" t="s">
        <v>7325</v>
      </c>
      <c r="C136" s="4" t="str">
        <f t="shared" si="25"/>
        <v>E2.4.2.29_mRNA</v>
      </c>
      <c r="D136" s="4" t="s">
        <v>12784</v>
      </c>
      <c r="E136" s="22" t="str">
        <f t="shared" si="26"/>
        <v>E2.4.2.29_kcat : 13.7</v>
      </c>
      <c r="F136" s="23" t="str">
        <f t="shared" si="22"/>
        <v>E2.4.2.29_km : 1</v>
      </c>
      <c r="G136" s="24" t="str">
        <f t="shared" si="23"/>
        <v>E2.4.2.29_mRNA : E2.4.2.29_mRNA</v>
      </c>
      <c r="H136" s="25" t="str">
        <f t="shared" si="24"/>
        <v>E2.4.2.29 : E2.4.2.29</v>
      </c>
      <c r="I136" s="26" t="str">
        <f t="shared" si="27"/>
        <v>E2.4.2.29_mRNA : 0</v>
      </c>
      <c r="J136" s="27" t="str">
        <f t="shared" si="28"/>
        <v>E2.4.2.29 : 0</v>
      </c>
      <c r="K136" s="28" t="str">
        <f t="shared" si="29"/>
        <v>0.00292 - (0.0093 * E2.4.2.29_mRNA)</v>
      </c>
      <c r="L136" s="24" t="str">
        <f t="shared" si="30"/>
        <v>(0.278 * E2.4.2.29_mRNA) - (0.00000278 * E2.4.2.29)</v>
      </c>
      <c r="M136" s="29" t="str">
        <f t="shared" si="31"/>
        <v>mRNA135: -&gt; E2.4.2.29_mRNA | 0.00292 - (0.0093 * E2.4.2.29_mRNA)</v>
      </c>
      <c r="N136" s="22" t="str">
        <f t="shared" si="32"/>
        <v>Peptide135: E2.4.2.29_mRNA -&gt; E2.4.2.29 | (0.278 * E2.4.2.29_mRNA) - (0.000000278 * E2.4.2.29)</v>
      </c>
    </row>
    <row r="137" spans="1:14">
      <c r="A137">
        <v>136</v>
      </c>
      <c r="B137" s="4" t="s">
        <v>7805</v>
      </c>
      <c r="C137" s="4" t="str">
        <f t="shared" si="25"/>
        <v>E2.4.2.45_mRNA</v>
      </c>
      <c r="D137" s="4" t="s">
        <v>13143</v>
      </c>
      <c r="E137" s="22" t="str">
        <f t="shared" si="26"/>
        <v>E2.4.2.45_kcat : 13.7</v>
      </c>
      <c r="F137" s="23" t="str">
        <f t="shared" si="22"/>
        <v>E2.4.2.45_km : 1</v>
      </c>
      <c r="G137" s="24" t="str">
        <f t="shared" si="23"/>
        <v>E2.4.2.45_mRNA : E2.4.2.45_mRNA</v>
      </c>
      <c r="H137" s="25" t="str">
        <f t="shared" si="24"/>
        <v>E2.4.2.45 : E2.4.2.45</v>
      </c>
      <c r="I137" s="26" t="str">
        <f t="shared" si="27"/>
        <v>E2.4.2.45_mRNA : 0</v>
      </c>
      <c r="J137" s="27" t="str">
        <f t="shared" si="28"/>
        <v>E2.4.2.45 : 0</v>
      </c>
      <c r="K137" s="28" t="str">
        <f t="shared" si="29"/>
        <v>0.00292 - (0.0093 * E2.4.2.45_mRNA)</v>
      </c>
      <c r="L137" s="24" t="str">
        <f t="shared" si="30"/>
        <v>(0.278 * E2.4.2.45_mRNA) - (0.00000278 * E2.4.2.45)</v>
      </c>
      <c r="M137" s="29" t="str">
        <f t="shared" si="31"/>
        <v>mRNA136: -&gt; E2.4.2.45_mRNA | 0.00292 - (0.0093 * E2.4.2.45_mRNA)</v>
      </c>
      <c r="N137" s="22" t="str">
        <f t="shared" si="32"/>
        <v>Peptide136: E2.4.2.45_mRNA -&gt; E2.4.2.45 | (0.278 * E2.4.2.45_mRNA) - (0.000000278 * E2.4.2.45)</v>
      </c>
    </row>
    <row r="138" spans="1:14">
      <c r="A138">
        <v>137</v>
      </c>
      <c r="B138" s="4" t="s">
        <v>7607</v>
      </c>
      <c r="C138" s="4" t="str">
        <f t="shared" si="25"/>
        <v>E2.4.2.7_mRNA</v>
      </c>
      <c r="D138" s="4" t="s">
        <v>12983</v>
      </c>
      <c r="E138" s="22" t="str">
        <f t="shared" si="26"/>
        <v>E2.4.2.7_kcat : 13.7</v>
      </c>
      <c r="F138" s="23" t="str">
        <f t="shared" si="22"/>
        <v>E2.4.2.7_km : 1</v>
      </c>
      <c r="G138" s="24" t="str">
        <f t="shared" si="23"/>
        <v>E2.4.2.7_mRNA : E2.4.2.7_mRNA</v>
      </c>
      <c r="H138" s="25" t="str">
        <f t="shared" si="24"/>
        <v>E2.4.2.7 : E2.4.2.7</v>
      </c>
      <c r="I138" s="26" t="str">
        <f t="shared" si="27"/>
        <v>E2.4.2.7_mRNA : 0</v>
      </c>
      <c r="J138" s="27" t="str">
        <f t="shared" si="28"/>
        <v>E2.4.2.7 : 0</v>
      </c>
      <c r="K138" s="28" t="str">
        <f t="shared" si="29"/>
        <v>0.00292 - (0.0093 * E2.4.2.7_mRNA)</v>
      </c>
      <c r="L138" s="24" t="str">
        <f t="shared" si="30"/>
        <v>(0.278 * E2.4.2.7_mRNA) - (0.00000278 * E2.4.2.7)</v>
      </c>
      <c r="M138" s="29" t="str">
        <f t="shared" si="31"/>
        <v>mRNA137: -&gt; E2.4.2.7_mRNA | 0.00292 - (0.0093 * E2.4.2.7_mRNA)</v>
      </c>
      <c r="N138" s="22" t="str">
        <f t="shared" si="32"/>
        <v>Peptide137: E2.4.2.7_mRNA -&gt; E2.4.2.7 | (0.278 * E2.4.2.7_mRNA) - (0.000000278 * E2.4.2.7)</v>
      </c>
    </row>
    <row r="139" spans="1:14">
      <c r="A139">
        <v>138</v>
      </c>
      <c r="B139" s="4" t="s">
        <v>7774</v>
      </c>
      <c r="C139" s="4" t="str">
        <f t="shared" si="25"/>
        <v>E2.4.2.8_mRNA</v>
      </c>
      <c r="D139" s="4" t="s">
        <v>13119</v>
      </c>
      <c r="E139" s="22" t="str">
        <f t="shared" si="26"/>
        <v>E2.4.2.8_kcat : 13.7</v>
      </c>
      <c r="F139" s="23" t="str">
        <f t="shared" si="22"/>
        <v>E2.4.2.8_km : 1</v>
      </c>
      <c r="G139" s="24" t="str">
        <f t="shared" si="23"/>
        <v>E2.4.2.8_mRNA : E2.4.2.8_mRNA</v>
      </c>
      <c r="H139" s="25" t="str">
        <f t="shared" si="24"/>
        <v>E2.4.2.8 : E2.4.2.8</v>
      </c>
      <c r="I139" s="26" t="str">
        <f t="shared" si="27"/>
        <v>E2.4.2.8_mRNA : 0</v>
      </c>
      <c r="J139" s="27" t="str">
        <f t="shared" si="28"/>
        <v>E2.4.2.8 : 0</v>
      </c>
      <c r="K139" s="28" t="str">
        <f t="shared" si="29"/>
        <v>0.00292 - (0.0093 * E2.4.2.8_mRNA)</v>
      </c>
      <c r="L139" s="24" t="str">
        <f t="shared" si="30"/>
        <v>(0.278 * E2.4.2.8_mRNA) - (0.00000278 * E2.4.2.8)</v>
      </c>
      <c r="M139" s="29" t="str">
        <f t="shared" si="31"/>
        <v>mRNA138: -&gt; E2.4.2.8_mRNA | 0.00292 - (0.0093 * E2.4.2.8_mRNA)</v>
      </c>
      <c r="N139" s="22" t="str">
        <f t="shared" si="32"/>
        <v>Peptide138: E2.4.2.8_mRNA -&gt; E2.4.2.8 | (0.278 * E2.4.2.8_mRNA) - (0.000000278 * E2.4.2.8)</v>
      </c>
    </row>
    <row r="140" spans="1:14">
      <c r="A140">
        <v>139</v>
      </c>
      <c r="B140" s="4" t="s">
        <v>7400</v>
      </c>
      <c r="C140" s="4" t="str">
        <f t="shared" si="25"/>
        <v>E2.4.2.9_mRNA</v>
      </c>
      <c r="D140" s="4" t="s">
        <v>12836</v>
      </c>
      <c r="E140" s="22" t="str">
        <f t="shared" si="26"/>
        <v>E2.4.2.9_kcat : 13.7</v>
      </c>
      <c r="F140" s="23" t="str">
        <f t="shared" si="22"/>
        <v>E2.4.2.9_km : 1</v>
      </c>
      <c r="G140" s="24" t="str">
        <f t="shared" si="23"/>
        <v>E2.4.2.9_mRNA : E2.4.2.9_mRNA</v>
      </c>
      <c r="H140" s="25" t="str">
        <f t="shared" si="24"/>
        <v>E2.4.2.9 : E2.4.2.9</v>
      </c>
      <c r="I140" s="26" t="str">
        <f t="shared" si="27"/>
        <v>E2.4.2.9_mRNA : 0</v>
      </c>
      <c r="J140" s="27" t="str">
        <f t="shared" si="28"/>
        <v>E2.4.2.9 : 0</v>
      </c>
      <c r="K140" s="28" t="str">
        <f t="shared" si="29"/>
        <v>0.00292 - (0.0093 * E2.4.2.9_mRNA)</v>
      </c>
      <c r="L140" s="24" t="str">
        <f t="shared" si="30"/>
        <v>(0.278 * E2.4.2.9_mRNA) - (0.00000278 * E2.4.2.9)</v>
      </c>
      <c r="M140" s="29" t="str">
        <f t="shared" si="31"/>
        <v>mRNA139: -&gt; E2.4.2.9_mRNA | 0.00292 - (0.0093 * E2.4.2.9_mRNA)</v>
      </c>
      <c r="N140" s="22" t="str">
        <f t="shared" si="32"/>
        <v>Peptide139: E2.4.2.9_mRNA -&gt; E2.4.2.9 | (0.278 * E2.4.2.9_mRNA) - (0.000000278 * E2.4.2.9)</v>
      </c>
    </row>
    <row r="141" spans="1:14">
      <c r="A141">
        <v>140</v>
      </c>
      <c r="B141" s="4" t="s">
        <v>7674</v>
      </c>
      <c r="C141" s="4" t="str">
        <f t="shared" si="25"/>
        <v>E2.5.1.10_mRNA</v>
      </c>
      <c r="D141" s="4" t="s">
        <v>13031</v>
      </c>
      <c r="E141" s="22" t="str">
        <f t="shared" si="26"/>
        <v>E2.5.1.10_kcat : 13.7</v>
      </c>
      <c r="F141" s="23" t="str">
        <f t="shared" si="22"/>
        <v>E2.5.1.10_km : 1</v>
      </c>
      <c r="G141" s="24" t="str">
        <f t="shared" si="23"/>
        <v>E2.5.1.10_mRNA : E2.5.1.10_mRNA</v>
      </c>
      <c r="H141" s="25" t="str">
        <f t="shared" si="24"/>
        <v>E2.5.1.10 : E2.5.1.10</v>
      </c>
      <c r="I141" s="26" t="str">
        <f t="shared" si="27"/>
        <v>E2.5.1.10_mRNA : 0</v>
      </c>
      <c r="J141" s="27" t="str">
        <f t="shared" si="28"/>
        <v>E2.5.1.10 : 0</v>
      </c>
      <c r="K141" s="28" t="str">
        <f t="shared" si="29"/>
        <v>0.00292 - (0.0093 * E2.5.1.10_mRNA)</v>
      </c>
      <c r="L141" s="24" t="str">
        <f t="shared" si="30"/>
        <v>(0.278 * E2.5.1.10_mRNA) - (0.00000278 * E2.5.1.10)</v>
      </c>
      <c r="M141" s="29" t="str">
        <f t="shared" si="31"/>
        <v>mRNA140: -&gt; E2.5.1.10_mRNA | 0.00292 - (0.0093 * E2.5.1.10_mRNA)</v>
      </c>
      <c r="N141" s="22" t="str">
        <f t="shared" si="32"/>
        <v>Peptide140: E2.5.1.10_mRNA -&gt; E2.5.1.10 | (0.278 * E2.5.1.10_mRNA) - (0.000000278 * E2.5.1.10)</v>
      </c>
    </row>
    <row r="142" spans="1:14">
      <c r="A142">
        <v>141</v>
      </c>
      <c r="B142" s="4" t="s">
        <v>7773</v>
      </c>
      <c r="C142" s="4" t="str">
        <f t="shared" si="25"/>
        <v>E2.5.1.15_mRNA</v>
      </c>
      <c r="D142" s="4" t="s">
        <v>13118</v>
      </c>
      <c r="E142" s="22" t="str">
        <f t="shared" si="26"/>
        <v>E2.5.1.15_kcat : 13.7</v>
      </c>
      <c r="F142" s="23" t="str">
        <f t="shared" si="22"/>
        <v>E2.5.1.15_km : 1</v>
      </c>
      <c r="G142" s="24" t="str">
        <f t="shared" si="23"/>
        <v>E2.5.1.15_mRNA : E2.5.1.15_mRNA</v>
      </c>
      <c r="H142" s="25" t="str">
        <f t="shared" si="24"/>
        <v>E2.5.1.15 : E2.5.1.15</v>
      </c>
      <c r="I142" s="26" t="str">
        <f t="shared" si="27"/>
        <v>E2.5.1.15_mRNA : 0</v>
      </c>
      <c r="J142" s="27" t="str">
        <f t="shared" si="28"/>
        <v>E2.5.1.15 : 0</v>
      </c>
      <c r="K142" s="28" t="str">
        <f t="shared" si="29"/>
        <v>0.00292 - (0.0093 * E2.5.1.15_mRNA)</v>
      </c>
      <c r="L142" s="24" t="str">
        <f t="shared" si="30"/>
        <v>(0.278 * E2.5.1.15_mRNA) - (0.00000278 * E2.5.1.15)</v>
      </c>
      <c r="M142" s="29" t="str">
        <f t="shared" si="31"/>
        <v>mRNA141: -&gt; E2.5.1.15_mRNA | 0.00292 - (0.0093 * E2.5.1.15_mRNA)</v>
      </c>
      <c r="N142" s="22" t="str">
        <f t="shared" si="32"/>
        <v>Peptide141: E2.5.1.15_mRNA -&gt; E2.5.1.15 | (0.278 * E2.5.1.15_mRNA) - (0.000000278 * E2.5.1.15)</v>
      </c>
    </row>
    <row r="143" spans="1:14">
      <c r="A143">
        <v>142</v>
      </c>
      <c r="B143" s="4" t="s">
        <v>7433</v>
      </c>
      <c r="C143" s="4" t="str">
        <f t="shared" si="25"/>
        <v>E2.5.1.19_mRNA</v>
      </c>
      <c r="D143" s="4" t="s">
        <v>12855</v>
      </c>
      <c r="E143" s="22" t="str">
        <f t="shared" si="26"/>
        <v>E2.5.1.19_kcat : 13.7</v>
      </c>
      <c r="F143" s="23" t="str">
        <f t="shared" si="22"/>
        <v>E2.5.1.19_km : 1</v>
      </c>
      <c r="G143" s="24" t="str">
        <f t="shared" si="23"/>
        <v>E2.5.1.19_mRNA : E2.5.1.19_mRNA</v>
      </c>
      <c r="H143" s="25" t="str">
        <f t="shared" si="24"/>
        <v>E2.5.1.19 : E2.5.1.19</v>
      </c>
      <c r="I143" s="26" t="str">
        <f t="shared" si="27"/>
        <v>E2.5.1.19_mRNA : 0</v>
      </c>
      <c r="J143" s="27" t="str">
        <f t="shared" si="28"/>
        <v>E2.5.1.19 : 0</v>
      </c>
      <c r="K143" s="28" t="str">
        <f t="shared" si="29"/>
        <v>0.00292 - (0.0093 * E2.5.1.19_mRNA)</v>
      </c>
      <c r="L143" s="24" t="str">
        <f t="shared" si="30"/>
        <v>(0.278 * E2.5.1.19_mRNA) - (0.00000278 * E2.5.1.19)</v>
      </c>
      <c r="M143" s="29" t="str">
        <f t="shared" si="31"/>
        <v>mRNA142: -&gt; E2.5.1.19_mRNA | 0.00292 - (0.0093 * E2.5.1.19_mRNA)</v>
      </c>
      <c r="N143" s="22" t="str">
        <f t="shared" si="32"/>
        <v>Peptide142: E2.5.1.19_mRNA -&gt; E2.5.1.19 | (0.278 * E2.5.1.19_mRNA) - (0.000000278 * E2.5.1.19)</v>
      </c>
    </row>
    <row r="144" spans="1:14">
      <c r="A144">
        <v>143</v>
      </c>
      <c r="B144" s="4" t="s">
        <v>7369</v>
      </c>
      <c r="C144" s="4" t="str">
        <f t="shared" si="25"/>
        <v>E2.5.1.30_mRNA</v>
      </c>
      <c r="D144" s="4" t="s">
        <v>12819</v>
      </c>
      <c r="E144" s="22" t="str">
        <f t="shared" si="26"/>
        <v>E2.5.1.30_kcat : 13.7</v>
      </c>
      <c r="F144" s="23" t="str">
        <f t="shared" si="22"/>
        <v>E2.5.1.30_km : 1</v>
      </c>
      <c r="G144" s="24" t="str">
        <f t="shared" si="23"/>
        <v>E2.5.1.30_mRNA : E2.5.1.30_mRNA</v>
      </c>
      <c r="H144" s="25" t="str">
        <f t="shared" si="24"/>
        <v>E2.5.1.30 : E2.5.1.30</v>
      </c>
      <c r="I144" s="26" t="str">
        <f t="shared" si="27"/>
        <v>E2.5.1.30_mRNA : 0</v>
      </c>
      <c r="J144" s="27" t="str">
        <f t="shared" si="28"/>
        <v>E2.5.1.30 : 0</v>
      </c>
      <c r="K144" s="28" t="str">
        <f t="shared" si="29"/>
        <v>0.00292 - (0.0093 * E2.5.1.30_mRNA)</v>
      </c>
      <c r="L144" s="24" t="str">
        <f t="shared" si="30"/>
        <v>(0.278 * E2.5.1.30_mRNA) - (0.00000278 * E2.5.1.30)</v>
      </c>
      <c r="M144" s="29" t="str">
        <f t="shared" si="31"/>
        <v>mRNA143: -&gt; E2.5.1.30_mRNA | 0.00292 - (0.0093 * E2.5.1.30_mRNA)</v>
      </c>
      <c r="N144" s="22" t="str">
        <f t="shared" si="32"/>
        <v>Peptide143: E2.5.1.30_mRNA -&gt; E2.5.1.30 | (0.278 * E2.5.1.30_mRNA) - (0.000000278 * E2.5.1.30)</v>
      </c>
    </row>
    <row r="145" spans="1:14">
      <c r="A145">
        <v>144</v>
      </c>
      <c r="B145" s="4" t="s">
        <v>7767</v>
      </c>
      <c r="C145" s="4" t="str">
        <f t="shared" si="25"/>
        <v>E2.5.1.32_mRNA</v>
      </c>
      <c r="D145" s="4" t="s">
        <v>13113</v>
      </c>
      <c r="E145" s="22" t="str">
        <f t="shared" si="26"/>
        <v>E2.5.1.32_kcat : 13.7</v>
      </c>
      <c r="F145" s="23" t="str">
        <f t="shared" si="22"/>
        <v>E2.5.1.32_km : 1</v>
      </c>
      <c r="G145" s="24" t="str">
        <f t="shared" si="23"/>
        <v>E2.5.1.32_mRNA : E2.5.1.32_mRNA</v>
      </c>
      <c r="H145" s="25" t="str">
        <f t="shared" si="24"/>
        <v>E2.5.1.32 : E2.5.1.32</v>
      </c>
      <c r="I145" s="26" t="str">
        <f t="shared" si="27"/>
        <v>E2.5.1.32_mRNA : 0</v>
      </c>
      <c r="J145" s="27" t="str">
        <f t="shared" si="28"/>
        <v>E2.5.1.32 : 0</v>
      </c>
      <c r="K145" s="28" t="str">
        <f t="shared" si="29"/>
        <v>0.00292 - (0.0093 * E2.5.1.32_mRNA)</v>
      </c>
      <c r="L145" s="24" t="str">
        <f t="shared" si="30"/>
        <v>(0.278 * E2.5.1.32_mRNA) - (0.00000278 * E2.5.1.32)</v>
      </c>
      <c r="M145" s="29" t="str">
        <f t="shared" si="31"/>
        <v>mRNA144: -&gt; E2.5.1.32_mRNA | 0.00292 - (0.0093 * E2.5.1.32_mRNA)</v>
      </c>
      <c r="N145" s="22" t="str">
        <f t="shared" si="32"/>
        <v>Peptide144: E2.5.1.32_mRNA -&gt; E2.5.1.32 | (0.278 * E2.5.1.32_mRNA) - (0.000000278 * E2.5.1.32)</v>
      </c>
    </row>
    <row r="146" spans="1:14">
      <c r="A146">
        <v>145</v>
      </c>
      <c r="B146" s="4" t="s">
        <v>7748</v>
      </c>
      <c r="C146" s="4" t="str">
        <f t="shared" si="25"/>
        <v>E2.5.1.47_mRNA</v>
      </c>
      <c r="D146" s="4" t="s">
        <v>13096</v>
      </c>
      <c r="E146" s="22" t="str">
        <f t="shared" si="26"/>
        <v>E2.5.1.47_kcat : 13.7</v>
      </c>
      <c r="F146" s="23" t="str">
        <f t="shared" si="22"/>
        <v>E2.5.1.47_km : 1</v>
      </c>
      <c r="G146" s="24" t="str">
        <f t="shared" si="23"/>
        <v>E2.5.1.47_mRNA : E2.5.1.47_mRNA</v>
      </c>
      <c r="H146" s="25" t="str">
        <f t="shared" si="24"/>
        <v>E2.5.1.47 : E2.5.1.47</v>
      </c>
      <c r="I146" s="26" t="str">
        <f t="shared" si="27"/>
        <v>E2.5.1.47_mRNA : 0</v>
      </c>
      <c r="J146" s="27" t="str">
        <f t="shared" si="28"/>
        <v>E2.5.1.47 : 0</v>
      </c>
      <c r="K146" s="28" t="str">
        <f t="shared" si="29"/>
        <v>0.00292 - (0.0093 * E2.5.1.47_mRNA)</v>
      </c>
      <c r="L146" s="24" t="str">
        <f t="shared" si="30"/>
        <v>(0.278 * E2.5.1.47_mRNA) - (0.00000278 * E2.5.1.47)</v>
      </c>
      <c r="M146" s="29" t="str">
        <f t="shared" si="31"/>
        <v>mRNA145: -&gt; E2.5.1.47_mRNA | 0.00292 - (0.0093 * E2.5.1.47_mRNA)</v>
      </c>
      <c r="N146" s="22" t="str">
        <f t="shared" si="32"/>
        <v>Peptide145: E2.5.1.47_mRNA -&gt; E2.5.1.47 | (0.278 * E2.5.1.47_mRNA) - (0.000000278 * E2.5.1.47)</v>
      </c>
    </row>
    <row r="147" spans="1:14">
      <c r="A147">
        <v>146</v>
      </c>
      <c r="B147" s="4" t="s">
        <v>7733</v>
      </c>
      <c r="C147" s="4" t="str">
        <f t="shared" si="25"/>
        <v>E2.5.1.48_mRNA</v>
      </c>
      <c r="D147" s="4" t="s">
        <v>13081</v>
      </c>
      <c r="E147" s="22" t="str">
        <f t="shared" si="26"/>
        <v>E2.5.1.48_kcat : 13.7</v>
      </c>
      <c r="F147" s="23" t="str">
        <f t="shared" si="22"/>
        <v>E2.5.1.48_km : 1</v>
      </c>
      <c r="G147" s="24" t="str">
        <f t="shared" si="23"/>
        <v>E2.5.1.48_mRNA : E2.5.1.48_mRNA</v>
      </c>
      <c r="H147" s="25" t="str">
        <f t="shared" si="24"/>
        <v>E2.5.1.48 : E2.5.1.48</v>
      </c>
      <c r="I147" s="26" t="str">
        <f t="shared" si="27"/>
        <v>E2.5.1.48_mRNA : 0</v>
      </c>
      <c r="J147" s="27" t="str">
        <f t="shared" si="28"/>
        <v>E2.5.1.48 : 0</v>
      </c>
      <c r="K147" s="28" t="str">
        <f t="shared" si="29"/>
        <v>0.00292 - (0.0093 * E2.5.1.48_mRNA)</v>
      </c>
      <c r="L147" s="24" t="str">
        <f t="shared" si="30"/>
        <v>(0.278 * E2.5.1.48_mRNA) - (0.00000278 * E2.5.1.48)</v>
      </c>
      <c r="M147" s="29" t="str">
        <f t="shared" si="31"/>
        <v>mRNA146: -&gt; E2.5.1.48_mRNA | 0.00292 - (0.0093 * E2.5.1.48_mRNA)</v>
      </c>
      <c r="N147" s="22" t="str">
        <f t="shared" si="32"/>
        <v>Peptide146: E2.5.1.48_mRNA -&gt; E2.5.1.48 | (0.278 * E2.5.1.48_mRNA) - (0.000000278 * E2.5.1.48)</v>
      </c>
    </row>
    <row r="148" spans="1:14">
      <c r="A148">
        <v>147</v>
      </c>
      <c r="B148" s="4" t="s">
        <v>7675</v>
      </c>
      <c r="C148" s="4" t="str">
        <f t="shared" si="25"/>
        <v>E2.5.1.54_mRNA</v>
      </c>
      <c r="D148" s="4" t="s">
        <v>13032</v>
      </c>
      <c r="E148" s="22" t="str">
        <f t="shared" si="26"/>
        <v>E2.5.1.54_kcat : 13.7</v>
      </c>
      <c r="F148" s="23" t="str">
        <f t="shared" si="22"/>
        <v>E2.5.1.54_km : 1</v>
      </c>
      <c r="G148" s="24" t="str">
        <f t="shared" si="23"/>
        <v>E2.5.1.54_mRNA : E2.5.1.54_mRNA</v>
      </c>
      <c r="H148" s="25" t="str">
        <f t="shared" si="24"/>
        <v>E2.5.1.54 : E2.5.1.54</v>
      </c>
      <c r="I148" s="26" t="str">
        <f t="shared" si="27"/>
        <v>E2.5.1.54_mRNA : 0</v>
      </c>
      <c r="J148" s="27" t="str">
        <f t="shared" si="28"/>
        <v>E2.5.1.54 : 0</v>
      </c>
      <c r="K148" s="28" t="str">
        <f t="shared" si="29"/>
        <v>0.00292 - (0.0093 * E2.5.1.54_mRNA)</v>
      </c>
      <c r="L148" s="24" t="str">
        <f t="shared" si="30"/>
        <v>(0.278 * E2.5.1.54_mRNA) - (0.00000278 * E2.5.1.54)</v>
      </c>
      <c r="M148" s="29" t="str">
        <f t="shared" si="31"/>
        <v>mRNA147: -&gt; E2.5.1.54_mRNA | 0.00292 - (0.0093 * E2.5.1.54_mRNA)</v>
      </c>
      <c r="N148" s="22" t="str">
        <f t="shared" si="32"/>
        <v>Peptide147: E2.5.1.54_mRNA -&gt; E2.5.1.54 | (0.278 * E2.5.1.54_mRNA) - (0.000000278 * E2.5.1.54)</v>
      </c>
    </row>
    <row r="149" spans="1:14">
      <c r="A149">
        <v>148</v>
      </c>
      <c r="B149" s="4" t="s">
        <v>8711</v>
      </c>
      <c r="C149" s="4" t="str">
        <f t="shared" si="25"/>
        <v>E2.5.1.6_mRNA</v>
      </c>
      <c r="D149" s="4" t="s">
        <v>12966</v>
      </c>
      <c r="E149" s="22" t="str">
        <f t="shared" si="26"/>
        <v>E2.5.1.6_kcat : 13.7</v>
      </c>
      <c r="F149" s="23" t="str">
        <f t="shared" si="22"/>
        <v>E2.5.1.6_km : 1</v>
      </c>
      <c r="G149" s="24" t="str">
        <f t="shared" si="23"/>
        <v>E2.5.1.6_mRNA : E2.5.1.6_mRNA</v>
      </c>
      <c r="H149" s="25" t="str">
        <f t="shared" si="24"/>
        <v>E2.5.1.6 : E2.5.1.6</v>
      </c>
      <c r="I149" s="26" t="str">
        <f t="shared" si="27"/>
        <v>E2.5.1.6_mRNA : 0</v>
      </c>
      <c r="J149" s="27" t="str">
        <f t="shared" si="28"/>
        <v>E2.5.1.6 : 0</v>
      </c>
      <c r="K149" s="28" t="str">
        <f t="shared" si="29"/>
        <v>0.00292 - (0.0093 * E2.5.1.6_mRNA)</v>
      </c>
      <c r="L149" s="24" t="str">
        <f t="shared" si="30"/>
        <v>(0.278 * E2.5.1.6_mRNA) - (0.00000278 * E2.5.1.6)</v>
      </c>
      <c r="M149" s="29" t="str">
        <f t="shared" si="31"/>
        <v>mRNA148: -&gt; E2.5.1.6_mRNA | 0.00292 - (0.0093 * E2.5.1.6_mRNA)</v>
      </c>
      <c r="N149" s="22" t="str">
        <f t="shared" si="32"/>
        <v>Peptide148: E2.5.1.6_mRNA -&gt; E2.5.1.6 | (0.278 * E2.5.1.6_mRNA) - (0.000000278 * E2.5.1.6)</v>
      </c>
    </row>
    <row r="150" spans="1:14">
      <c r="A150">
        <v>149</v>
      </c>
      <c r="B150" s="4" t="s">
        <v>7355</v>
      </c>
      <c r="C150" s="4" t="str">
        <f t="shared" si="25"/>
        <v>E2.5.1.61_mRNA</v>
      </c>
      <c r="D150" s="4" t="s">
        <v>12807</v>
      </c>
      <c r="E150" s="22" t="str">
        <f t="shared" si="26"/>
        <v>E2.5.1.61_kcat : 13.7</v>
      </c>
      <c r="F150" s="23" t="str">
        <f t="shared" si="22"/>
        <v>E2.5.1.61_km : 1</v>
      </c>
      <c r="G150" s="24" t="str">
        <f t="shared" si="23"/>
        <v>E2.5.1.61_mRNA : E2.5.1.61_mRNA</v>
      </c>
      <c r="H150" s="25" t="str">
        <f t="shared" si="24"/>
        <v>E2.5.1.61 : E2.5.1.61</v>
      </c>
      <c r="I150" s="26" t="str">
        <f t="shared" si="27"/>
        <v>E2.5.1.61_mRNA : 0</v>
      </c>
      <c r="J150" s="27" t="str">
        <f t="shared" si="28"/>
        <v>E2.5.1.61 : 0</v>
      </c>
      <c r="K150" s="28" t="str">
        <f t="shared" si="29"/>
        <v>0.00292 - (0.0093 * E2.5.1.61_mRNA)</v>
      </c>
      <c r="L150" s="24" t="str">
        <f t="shared" si="30"/>
        <v>(0.278 * E2.5.1.61_mRNA) - (0.00000278 * E2.5.1.61)</v>
      </c>
      <c r="M150" s="29" t="str">
        <f t="shared" si="31"/>
        <v>mRNA149: -&gt; E2.5.1.61_mRNA | 0.00292 - (0.0093 * E2.5.1.61_mRNA)</v>
      </c>
      <c r="N150" s="22" t="str">
        <f t="shared" si="32"/>
        <v>Peptide149: E2.5.1.61_mRNA -&gt; E2.5.1.61 | (0.278 * E2.5.1.61_mRNA) - (0.000000278 * E2.5.1.61)</v>
      </c>
    </row>
    <row r="151" spans="1:14">
      <c r="A151">
        <v>150</v>
      </c>
      <c r="B151" s="4" t="s">
        <v>7480</v>
      </c>
      <c r="C151" s="4" t="str">
        <f t="shared" si="25"/>
        <v>E2.5.1.68_mRNA</v>
      </c>
      <c r="D151" s="4" t="s">
        <v>12885</v>
      </c>
      <c r="E151" s="22" t="str">
        <f t="shared" si="26"/>
        <v>E2.5.1.68_kcat : 13.7</v>
      </c>
      <c r="F151" s="23" t="str">
        <f t="shared" si="22"/>
        <v>E2.5.1.68_km : 1</v>
      </c>
      <c r="G151" s="24" t="str">
        <f t="shared" si="23"/>
        <v>E2.5.1.68_mRNA : E2.5.1.68_mRNA</v>
      </c>
      <c r="H151" s="25" t="str">
        <f t="shared" si="24"/>
        <v>E2.5.1.68 : E2.5.1.68</v>
      </c>
      <c r="I151" s="26" t="str">
        <f t="shared" si="27"/>
        <v>E2.5.1.68_mRNA : 0</v>
      </c>
      <c r="J151" s="27" t="str">
        <f t="shared" si="28"/>
        <v>E2.5.1.68 : 0</v>
      </c>
      <c r="K151" s="28" t="str">
        <f t="shared" si="29"/>
        <v>0.00292 - (0.0093 * E2.5.1.68_mRNA)</v>
      </c>
      <c r="L151" s="24" t="str">
        <f t="shared" si="30"/>
        <v>(0.278 * E2.5.1.68_mRNA) - (0.00000278 * E2.5.1.68)</v>
      </c>
      <c r="M151" s="29" t="str">
        <f t="shared" si="31"/>
        <v>mRNA150: -&gt; E2.5.1.68_mRNA | 0.00292 - (0.0093 * E2.5.1.68_mRNA)</v>
      </c>
      <c r="N151" s="22" t="str">
        <f t="shared" si="32"/>
        <v>Peptide150: E2.5.1.68_mRNA -&gt; E2.5.1.68 | (0.278 * E2.5.1.68_mRNA) - (0.000000278 * E2.5.1.68)</v>
      </c>
    </row>
    <row r="152" spans="1:14">
      <c r="A152">
        <v>151</v>
      </c>
      <c r="B152" s="4" t="s">
        <v>7747</v>
      </c>
      <c r="C152" s="4" t="str">
        <f t="shared" si="25"/>
        <v>E2.5.1.7_mRNA</v>
      </c>
      <c r="D152" s="4" t="s">
        <v>13095</v>
      </c>
      <c r="E152" s="22" t="str">
        <f t="shared" si="26"/>
        <v>E2.5.1.7_kcat : 13.7</v>
      </c>
      <c r="F152" s="23" t="str">
        <f t="shared" si="22"/>
        <v>E2.5.1.7_km : 1</v>
      </c>
      <c r="G152" s="24" t="str">
        <f t="shared" si="23"/>
        <v>E2.5.1.7_mRNA : E2.5.1.7_mRNA</v>
      </c>
      <c r="H152" s="25" t="str">
        <f t="shared" si="24"/>
        <v>E2.5.1.7 : E2.5.1.7</v>
      </c>
      <c r="I152" s="26" t="str">
        <f t="shared" si="27"/>
        <v>E2.5.1.7_mRNA : 0</v>
      </c>
      <c r="J152" s="27" t="str">
        <f t="shared" si="28"/>
        <v>E2.5.1.7 : 0</v>
      </c>
      <c r="K152" s="28" t="str">
        <f t="shared" si="29"/>
        <v>0.00292 - (0.0093 * E2.5.1.7_mRNA)</v>
      </c>
      <c r="L152" s="24" t="str">
        <f t="shared" si="30"/>
        <v>(0.278 * E2.5.1.7_mRNA) - (0.00000278 * E2.5.1.7)</v>
      </c>
      <c r="M152" s="29" t="str">
        <f t="shared" si="31"/>
        <v>mRNA151: -&gt; E2.5.1.7_mRNA | 0.00292 - (0.0093 * E2.5.1.7_mRNA)</v>
      </c>
      <c r="N152" s="22" t="str">
        <f t="shared" si="32"/>
        <v>Peptide151: E2.5.1.7_mRNA -&gt; E2.5.1.7 | (0.278 * E2.5.1.7_mRNA) - (0.000000278 * E2.5.1.7)</v>
      </c>
    </row>
    <row r="153" spans="1:14">
      <c r="A153">
        <v>152</v>
      </c>
      <c r="B153" s="4" t="s">
        <v>7472</v>
      </c>
      <c r="C153" s="4" t="str">
        <f t="shared" si="25"/>
        <v>E2.5.1.72_mRNA</v>
      </c>
      <c r="D153" s="4" t="s">
        <v>12880</v>
      </c>
      <c r="E153" s="22" t="str">
        <f t="shared" si="26"/>
        <v>E2.5.1.72_kcat : 13.7</v>
      </c>
      <c r="F153" s="23" t="str">
        <f t="shared" si="22"/>
        <v>E2.5.1.72_km : 1</v>
      </c>
      <c r="G153" s="24" t="str">
        <f t="shared" si="23"/>
        <v>E2.5.1.72_mRNA : E2.5.1.72_mRNA</v>
      </c>
      <c r="H153" s="25" t="str">
        <f t="shared" si="24"/>
        <v>E2.5.1.72 : E2.5.1.72</v>
      </c>
      <c r="I153" s="26" t="str">
        <f t="shared" si="27"/>
        <v>E2.5.1.72_mRNA : 0</v>
      </c>
      <c r="J153" s="27" t="str">
        <f t="shared" si="28"/>
        <v>E2.5.1.72 : 0</v>
      </c>
      <c r="K153" s="28" t="str">
        <f t="shared" si="29"/>
        <v>0.00292 - (0.0093 * E2.5.1.72_mRNA)</v>
      </c>
      <c r="L153" s="24" t="str">
        <f t="shared" si="30"/>
        <v>(0.278 * E2.5.1.72_mRNA) - (0.00000278 * E2.5.1.72)</v>
      </c>
      <c r="M153" s="29" t="str">
        <f t="shared" si="31"/>
        <v>mRNA152: -&gt; E2.5.1.72_mRNA | 0.00292 - (0.0093 * E2.5.1.72_mRNA)</v>
      </c>
      <c r="N153" s="22" t="str">
        <f t="shared" si="32"/>
        <v>Peptide152: E2.5.1.72_mRNA -&gt; E2.5.1.72 | (0.278 * E2.5.1.72_mRNA) - (0.000000278 * E2.5.1.72)</v>
      </c>
    </row>
    <row r="154" spans="1:14">
      <c r="A154">
        <v>153</v>
      </c>
      <c r="B154" s="4" t="s">
        <v>7362</v>
      </c>
      <c r="C154" s="4" t="str">
        <f t="shared" si="25"/>
        <v>E2.5.1.74_mRNA</v>
      </c>
      <c r="D154" s="4" t="s">
        <v>12814</v>
      </c>
      <c r="E154" s="22" t="str">
        <f t="shared" si="26"/>
        <v>E2.5.1.74_kcat : 13.7</v>
      </c>
      <c r="F154" s="23" t="str">
        <f t="shared" si="22"/>
        <v>E2.5.1.74_km : 1</v>
      </c>
      <c r="G154" s="24" t="str">
        <f t="shared" si="23"/>
        <v>E2.5.1.74_mRNA : E2.5.1.74_mRNA</v>
      </c>
      <c r="H154" s="25" t="str">
        <f t="shared" si="24"/>
        <v>E2.5.1.74 : E2.5.1.74</v>
      </c>
      <c r="I154" s="26" t="str">
        <f t="shared" si="27"/>
        <v>E2.5.1.74_mRNA : 0</v>
      </c>
      <c r="J154" s="27" t="str">
        <f t="shared" si="28"/>
        <v>E2.5.1.74 : 0</v>
      </c>
      <c r="K154" s="28" t="str">
        <f t="shared" si="29"/>
        <v>0.00292 - (0.0093 * E2.5.1.74_mRNA)</v>
      </c>
      <c r="L154" s="24" t="str">
        <f t="shared" si="30"/>
        <v>(0.278 * E2.5.1.74_mRNA) - (0.00000278 * E2.5.1.74)</v>
      </c>
      <c r="M154" s="29" t="str">
        <f t="shared" si="31"/>
        <v>mRNA153: -&gt; E2.5.1.74_mRNA | 0.00292 - (0.0093 * E2.5.1.74_mRNA)</v>
      </c>
      <c r="N154" s="22" t="str">
        <f t="shared" si="32"/>
        <v>Peptide153: E2.5.1.74_mRNA -&gt; E2.5.1.74 | (0.278 * E2.5.1.74_mRNA) - (0.000000278 * E2.5.1.74)</v>
      </c>
    </row>
    <row r="155" spans="1:14">
      <c r="A155">
        <v>154</v>
      </c>
      <c r="B155" s="4" t="s">
        <v>7627</v>
      </c>
      <c r="C155" s="4" t="str">
        <f t="shared" si="25"/>
        <v>E2.5.1.75_mRNA</v>
      </c>
      <c r="D155" s="4" t="s">
        <v>12998</v>
      </c>
      <c r="E155" s="22" t="str">
        <f t="shared" si="26"/>
        <v>E2.5.1.75_kcat : 13.7</v>
      </c>
      <c r="F155" s="23" t="str">
        <f t="shared" si="22"/>
        <v>E2.5.1.75_km : 1</v>
      </c>
      <c r="G155" s="24" t="str">
        <f t="shared" si="23"/>
        <v>E2.5.1.75_mRNA : E2.5.1.75_mRNA</v>
      </c>
      <c r="H155" s="25" t="str">
        <f t="shared" si="24"/>
        <v>E2.5.1.75 : E2.5.1.75</v>
      </c>
      <c r="I155" s="26" t="str">
        <f t="shared" si="27"/>
        <v>E2.5.1.75_mRNA : 0</v>
      </c>
      <c r="J155" s="27" t="str">
        <f t="shared" si="28"/>
        <v>E2.5.1.75 : 0</v>
      </c>
      <c r="K155" s="28" t="str">
        <f t="shared" si="29"/>
        <v>0.00292 - (0.0093 * E2.5.1.75_mRNA)</v>
      </c>
      <c r="L155" s="24" t="str">
        <f t="shared" si="30"/>
        <v>(0.278 * E2.5.1.75_mRNA) - (0.00000278 * E2.5.1.75)</v>
      </c>
      <c r="M155" s="29" t="str">
        <f t="shared" si="31"/>
        <v>mRNA154: -&gt; E2.5.1.75_mRNA | 0.00292 - (0.0093 * E2.5.1.75_mRNA)</v>
      </c>
      <c r="N155" s="22" t="str">
        <f t="shared" si="32"/>
        <v>Peptide154: E2.5.1.75_mRNA -&gt; E2.5.1.75 | (0.278 * E2.5.1.75_mRNA) - (0.000000278 * E2.5.1.75)</v>
      </c>
    </row>
    <row r="156" spans="1:14">
      <c r="A156">
        <v>155</v>
      </c>
      <c r="B156" s="4" t="s">
        <v>7584</v>
      </c>
      <c r="C156" s="4" t="str">
        <f t="shared" si="25"/>
        <v>E2.5.1.78_mRNA</v>
      </c>
      <c r="D156" s="4" t="s">
        <v>12961</v>
      </c>
      <c r="E156" s="22" t="str">
        <f t="shared" si="26"/>
        <v>E2.5.1.78_kcat : 13.7</v>
      </c>
      <c r="F156" s="23" t="str">
        <f t="shared" si="22"/>
        <v>E2.5.1.78_km : 1</v>
      </c>
      <c r="G156" s="24" t="str">
        <f t="shared" si="23"/>
        <v>E2.5.1.78_mRNA : E2.5.1.78_mRNA</v>
      </c>
      <c r="H156" s="25" t="str">
        <f t="shared" si="24"/>
        <v>E2.5.1.78 : E2.5.1.78</v>
      </c>
      <c r="I156" s="26" t="str">
        <f t="shared" si="27"/>
        <v>E2.5.1.78_mRNA : 0</v>
      </c>
      <c r="J156" s="27" t="str">
        <f t="shared" si="28"/>
        <v>E2.5.1.78 : 0</v>
      </c>
      <c r="K156" s="28" t="str">
        <f t="shared" si="29"/>
        <v>0.00292 - (0.0093 * E2.5.1.78_mRNA)</v>
      </c>
      <c r="L156" s="24" t="str">
        <f t="shared" si="30"/>
        <v>(0.278 * E2.5.1.78_mRNA) - (0.00000278 * E2.5.1.78)</v>
      </c>
      <c r="M156" s="29" t="str">
        <f t="shared" si="31"/>
        <v>mRNA155: -&gt; E2.5.1.78_mRNA | 0.00292 - (0.0093 * E2.5.1.78_mRNA)</v>
      </c>
      <c r="N156" s="22" t="str">
        <f t="shared" si="32"/>
        <v>Peptide155: E2.5.1.78_mRNA -&gt; E2.5.1.78 | (0.278 * E2.5.1.78_mRNA) - (0.000000278 * E2.5.1.78)</v>
      </c>
    </row>
    <row r="157" spans="1:14">
      <c r="A157">
        <v>156</v>
      </c>
      <c r="B157" s="4" t="s">
        <v>7707</v>
      </c>
      <c r="C157" s="4" t="str">
        <f t="shared" si="25"/>
        <v>E2.5.1.88_mRNA</v>
      </c>
      <c r="D157" s="4" t="s">
        <v>13059</v>
      </c>
      <c r="E157" s="22" t="str">
        <f t="shared" si="26"/>
        <v>E2.5.1.88_kcat : 13.7</v>
      </c>
      <c r="F157" s="23" t="str">
        <f t="shared" si="22"/>
        <v>E2.5.1.88_km : 1</v>
      </c>
      <c r="G157" s="24" t="str">
        <f t="shared" si="23"/>
        <v>E2.5.1.88_mRNA : E2.5.1.88_mRNA</v>
      </c>
      <c r="H157" s="25" t="str">
        <f t="shared" si="24"/>
        <v>E2.5.1.88 : E2.5.1.88</v>
      </c>
      <c r="I157" s="26" t="str">
        <f t="shared" si="27"/>
        <v>E2.5.1.88_mRNA : 0</v>
      </c>
      <c r="J157" s="27" t="str">
        <f t="shared" si="28"/>
        <v>E2.5.1.88 : 0</v>
      </c>
      <c r="K157" s="28" t="str">
        <f t="shared" si="29"/>
        <v>0.00292 - (0.0093 * E2.5.1.88_mRNA)</v>
      </c>
      <c r="L157" s="24" t="str">
        <f t="shared" si="30"/>
        <v>(0.278 * E2.5.1.88_mRNA) - (0.00000278 * E2.5.1.88)</v>
      </c>
      <c r="M157" s="29" t="str">
        <f t="shared" si="31"/>
        <v>mRNA156: -&gt; E2.5.1.88_mRNA | 0.00292 - (0.0093 * E2.5.1.88_mRNA)</v>
      </c>
      <c r="N157" s="22" t="str">
        <f t="shared" si="32"/>
        <v>Peptide156: E2.5.1.88_mRNA -&gt; E2.5.1.88 | (0.278 * E2.5.1.88_mRNA) - (0.000000278 * E2.5.1.88)</v>
      </c>
    </row>
    <row r="158" spans="1:14">
      <c r="A158">
        <v>157</v>
      </c>
      <c r="B158" s="4" t="s">
        <v>7585</v>
      </c>
      <c r="C158" s="4" t="str">
        <f t="shared" si="25"/>
        <v>E2.5.1.9_mRNA</v>
      </c>
      <c r="D158" s="4" t="s">
        <v>12962</v>
      </c>
      <c r="E158" s="22" t="str">
        <f t="shared" si="26"/>
        <v>E2.5.1.9_kcat : 13.7</v>
      </c>
      <c r="F158" s="23" t="str">
        <f t="shared" si="22"/>
        <v>E2.5.1.9_km : 1</v>
      </c>
      <c r="G158" s="24" t="str">
        <f t="shared" si="23"/>
        <v>E2.5.1.9_mRNA : E2.5.1.9_mRNA</v>
      </c>
      <c r="H158" s="25" t="str">
        <f t="shared" si="24"/>
        <v>E2.5.1.9 : E2.5.1.9</v>
      </c>
      <c r="I158" s="26" t="str">
        <f t="shared" si="27"/>
        <v>E2.5.1.9_mRNA : 0</v>
      </c>
      <c r="J158" s="27" t="str">
        <f t="shared" si="28"/>
        <v>E2.5.1.9 : 0</v>
      </c>
      <c r="K158" s="28" t="str">
        <f t="shared" si="29"/>
        <v>0.00292 - (0.0093 * E2.5.1.9_mRNA)</v>
      </c>
      <c r="L158" s="24" t="str">
        <f t="shared" si="30"/>
        <v>(0.278 * E2.5.1.9_mRNA) - (0.00000278 * E2.5.1.9)</v>
      </c>
      <c r="M158" s="29" t="str">
        <f t="shared" si="31"/>
        <v>mRNA157: -&gt; E2.5.1.9_mRNA | 0.00292 - (0.0093 * E2.5.1.9_mRNA)</v>
      </c>
      <c r="N158" s="22" t="str">
        <f t="shared" si="32"/>
        <v>Peptide157: E2.5.1.9_mRNA -&gt; E2.5.1.9 | (0.278 * E2.5.1.9_mRNA) - (0.000000278 * E2.5.1.9)</v>
      </c>
    </row>
    <row r="159" spans="1:14">
      <c r="A159">
        <v>158</v>
      </c>
      <c r="B159" s="4" t="s">
        <v>7540</v>
      </c>
      <c r="C159" s="4" t="str">
        <f t="shared" si="25"/>
        <v>E2.6.1.11_mRNA</v>
      </c>
      <c r="D159" s="4" t="s">
        <v>12931</v>
      </c>
      <c r="E159" s="22" t="str">
        <f t="shared" si="26"/>
        <v>E2.6.1.11_kcat : 13.7</v>
      </c>
      <c r="F159" s="23" t="str">
        <f t="shared" si="22"/>
        <v>E2.6.1.11_km : 1</v>
      </c>
      <c r="G159" s="24" t="str">
        <f t="shared" si="23"/>
        <v>E2.6.1.11_mRNA : E2.6.1.11_mRNA</v>
      </c>
      <c r="H159" s="25" t="str">
        <f t="shared" si="24"/>
        <v>E2.6.1.11 : E2.6.1.11</v>
      </c>
      <c r="I159" s="26" t="str">
        <f t="shared" si="27"/>
        <v>E2.6.1.11_mRNA : 0</v>
      </c>
      <c r="J159" s="27" t="str">
        <f t="shared" si="28"/>
        <v>E2.6.1.11 : 0</v>
      </c>
      <c r="K159" s="28" t="str">
        <f t="shared" si="29"/>
        <v>0.00292 - (0.0093 * E2.6.1.11_mRNA)</v>
      </c>
      <c r="L159" s="24" t="str">
        <f t="shared" si="30"/>
        <v>(0.278 * E2.6.1.11_mRNA) - (0.00000278 * E2.6.1.11)</v>
      </c>
      <c r="M159" s="29" t="str">
        <f t="shared" si="31"/>
        <v>mRNA158: -&gt; E2.6.1.11_mRNA | 0.00292 - (0.0093 * E2.6.1.11_mRNA)</v>
      </c>
      <c r="N159" s="22" t="str">
        <f t="shared" si="32"/>
        <v>Peptide158: E2.6.1.11_mRNA -&gt; E2.6.1.11 | (0.278 * E2.6.1.11_mRNA) - (0.000000278 * E2.6.1.11)</v>
      </c>
    </row>
    <row r="160" spans="1:14">
      <c r="A160">
        <v>159</v>
      </c>
      <c r="B160" s="4" t="s">
        <v>7382</v>
      </c>
      <c r="C160" s="4" t="str">
        <f t="shared" si="25"/>
        <v>E2.6.1.16_mRNA</v>
      </c>
      <c r="D160" s="4" t="s">
        <v>12828</v>
      </c>
      <c r="E160" s="22" t="str">
        <f t="shared" si="26"/>
        <v>E2.6.1.16_kcat : 13.7</v>
      </c>
      <c r="F160" s="23" t="str">
        <f t="shared" si="22"/>
        <v>E2.6.1.16_km : 1</v>
      </c>
      <c r="G160" s="24" t="str">
        <f t="shared" si="23"/>
        <v>E2.6.1.16_mRNA : E2.6.1.16_mRNA</v>
      </c>
      <c r="H160" s="25" t="str">
        <f t="shared" si="24"/>
        <v>E2.6.1.16 : E2.6.1.16</v>
      </c>
      <c r="I160" s="26" t="str">
        <f t="shared" si="27"/>
        <v>E2.6.1.16_mRNA : 0</v>
      </c>
      <c r="J160" s="27" t="str">
        <f t="shared" si="28"/>
        <v>E2.6.1.16 : 0</v>
      </c>
      <c r="K160" s="28" t="str">
        <f t="shared" si="29"/>
        <v>0.00292 - (0.0093 * E2.6.1.16_mRNA)</v>
      </c>
      <c r="L160" s="24" t="str">
        <f t="shared" si="30"/>
        <v>(0.278 * E2.6.1.16_mRNA) - (0.00000278 * E2.6.1.16)</v>
      </c>
      <c r="M160" s="29" t="str">
        <f t="shared" si="31"/>
        <v>mRNA159: -&gt; E2.6.1.16_mRNA | 0.00292 - (0.0093 * E2.6.1.16_mRNA)</v>
      </c>
      <c r="N160" s="22" t="str">
        <f t="shared" si="32"/>
        <v>Peptide159: E2.6.1.16_mRNA -&gt; E2.6.1.16 | (0.278 * E2.6.1.16_mRNA) - (0.000000278 * E2.6.1.16)</v>
      </c>
    </row>
    <row r="161" spans="1:14">
      <c r="A161">
        <v>160</v>
      </c>
      <c r="B161" s="4" t="s">
        <v>7816</v>
      </c>
      <c r="C161" s="4" t="str">
        <f t="shared" si="25"/>
        <v>E2.6.1.2_mRNA</v>
      </c>
      <c r="D161" s="4" t="s">
        <v>13134</v>
      </c>
      <c r="E161" s="22" t="str">
        <f t="shared" si="26"/>
        <v>E2.6.1.2_kcat : 13.7</v>
      </c>
      <c r="F161" s="23" t="str">
        <f t="shared" si="22"/>
        <v>E2.6.1.2_km : 1</v>
      </c>
      <c r="G161" s="24" t="str">
        <f t="shared" si="23"/>
        <v>E2.6.1.2_mRNA : E2.6.1.2_mRNA</v>
      </c>
      <c r="H161" s="25" t="str">
        <f t="shared" si="24"/>
        <v>E2.6.1.2 : E2.6.1.2</v>
      </c>
      <c r="I161" s="26" t="str">
        <f t="shared" si="27"/>
        <v>E2.6.1.2_mRNA : 0</v>
      </c>
      <c r="J161" s="27" t="str">
        <f t="shared" si="28"/>
        <v>E2.6.1.2 : 0</v>
      </c>
      <c r="K161" s="28" t="str">
        <f t="shared" si="29"/>
        <v>0.00292 - (0.0093 * E2.6.1.2_mRNA)</v>
      </c>
      <c r="L161" s="24" t="str">
        <f t="shared" si="30"/>
        <v>(0.278 * E2.6.1.2_mRNA) - (0.00000278 * E2.6.1.2)</v>
      </c>
      <c r="M161" s="29" t="str">
        <f t="shared" si="31"/>
        <v>mRNA160: -&gt; E2.6.1.2_mRNA | 0.00292 - (0.0093 * E2.6.1.2_mRNA)</v>
      </c>
      <c r="N161" s="22" t="str">
        <f t="shared" si="32"/>
        <v>Peptide160: E2.6.1.2_mRNA -&gt; E2.6.1.2 | (0.278 * E2.6.1.2_mRNA) - (0.000000278 * E2.6.1.2)</v>
      </c>
    </row>
    <row r="162" spans="1:14">
      <c r="A162">
        <v>161</v>
      </c>
      <c r="B162" s="4" t="s">
        <v>7753</v>
      </c>
      <c r="C162" s="4" t="str">
        <f t="shared" si="25"/>
        <v>E2.6.1.21_mRNA</v>
      </c>
      <c r="D162" s="4" t="s">
        <v>13100</v>
      </c>
      <c r="E162" s="22" t="str">
        <f t="shared" si="26"/>
        <v>E2.6.1.21_kcat : 13.7</v>
      </c>
      <c r="F162" s="23" t="str">
        <f t="shared" si="22"/>
        <v>E2.6.1.21_km : 1</v>
      </c>
      <c r="G162" s="24" t="str">
        <f t="shared" si="23"/>
        <v>E2.6.1.21_mRNA : E2.6.1.21_mRNA</v>
      </c>
      <c r="H162" s="25" t="str">
        <f t="shared" si="24"/>
        <v>E2.6.1.21 : E2.6.1.21</v>
      </c>
      <c r="I162" s="26" t="str">
        <f t="shared" si="27"/>
        <v>E2.6.1.21_mRNA : 0</v>
      </c>
      <c r="J162" s="27" t="str">
        <f t="shared" si="28"/>
        <v>E2.6.1.21 : 0</v>
      </c>
      <c r="K162" s="28" t="str">
        <f t="shared" si="29"/>
        <v>0.00292 - (0.0093 * E2.6.1.21_mRNA)</v>
      </c>
      <c r="L162" s="24" t="str">
        <f t="shared" si="30"/>
        <v>(0.278 * E2.6.1.21_mRNA) - (0.00000278 * E2.6.1.21)</v>
      </c>
      <c r="M162" s="29" t="str">
        <f t="shared" si="31"/>
        <v>mRNA161: -&gt; E2.6.1.21_mRNA | 0.00292 - (0.0093 * E2.6.1.21_mRNA)</v>
      </c>
      <c r="N162" s="22" t="str">
        <f t="shared" si="32"/>
        <v>Peptide161: E2.6.1.21_mRNA -&gt; E2.6.1.21 | (0.278 * E2.6.1.21_mRNA) - (0.000000278 * E2.6.1.21)</v>
      </c>
    </row>
    <row r="163" spans="1:14">
      <c r="A163">
        <v>162</v>
      </c>
      <c r="B163" s="4" t="s">
        <v>7682</v>
      </c>
      <c r="C163" s="4" t="str">
        <f t="shared" si="25"/>
        <v>E2.6.1.42_mRNA</v>
      </c>
      <c r="D163" s="4" t="s">
        <v>13038</v>
      </c>
      <c r="E163" s="22" t="str">
        <f t="shared" si="26"/>
        <v>E2.6.1.42_kcat : 13.7</v>
      </c>
      <c r="F163" s="23" t="str">
        <f t="shared" si="22"/>
        <v>E2.6.1.42_km : 1</v>
      </c>
      <c r="G163" s="24" t="str">
        <f t="shared" si="23"/>
        <v>E2.6.1.42_mRNA : E2.6.1.42_mRNA</v>
      </c>
      <c r="H163" s="25" t="str">
        <f t="shared" si="24"/>
        <v>E2.6.1.42 : E2.6.1.42</v>
      </c>
      <c r="I163" s="26" t="str">
        <f t="shared" si="27"/>
        <v>E2.6.1.42_mRNA : 0</v>
      </c>
      <c r="J163" s="27" t="str">
        <f t="shared" si="28"/>
        <v>E2.6.1.42 : 0</v>
      </c>
      <c r="K163" s="28" t="str">
        <f t="shared" si="29"/>
        <v>0.00292 - (0.0093 * E2.6.1.42_mRNA)</v>
      </c>
      <c r="L163" s="24" t="str">
        <f t="shared" si="30"/>
        <v>(0.278 * E2.6.1.42_mRNA) - (0.00000278 * E2.6.1.42)</v>
      </c>
      <c r="M163" s="29" t="str">
        <f t="shared" si="31"/>
        <v>mRNA162: -&gt; E2.6.1.42_mRNA | 0.00292 - (0.0093 * E2.6.1.42_mRNA)</v>
      </c>
      <c r="N163" s="22" t="str">
        <f t="shared" si="32"/>
        <v>Peptide162: E2.6.1.42_mRNA -&gt; E2.6.1.42 | (0.278 * E2.6.1.42_mRNA) - (0.000000278 * E2.6.1.42)</v>
      </c>
    </row>
    <row r="164" spans="1:14">
      <c r="A164">
        <v>163</v>
      </c>
      <c r="B164" s="4" t="s">
        <v>7307</v>
      </c>
      <c r="C164" s="4" t="str">
        <f t="shared" si="25"/>
        <v>E2.6.1.48_mRNA</v>
      </c>
      <c r="D164" s="4" t="s">
        <v>12774</v>
      </c>
      <c r="E164" s="22" t="str">
        <f t="shared" si="26"/>
        <v>E2.6.1.48_kcat : 13.7</v>
      </c>
      <c r="F164" s="23" t="str">
        <f t="shared" si="22"/>
        <v>E2.6.1.48_km : 1</v>
      </c>
      <c r="G164" s="24" t="str">
        <f t="shared" si="23"/>
        <v>E2.6.1.48_mRNA : E2.6.1.48_mRNA</v>
      </c>
      <c r="H164" s="25" t="str">
        <f t="shared" si="24"/>
        <v>E2.6.1.48 : E2.6.1.48</v>
      </c>
      <c r="I164" s="26" t="str">
        <f t="shared" si="27"/>
        <v>E2.6.1.48_mRNA : 0</v>
      </c>
      <c r="J164" s="27" t="str">
        <f t="shared" si="28"/>
        <v>E2.6.1.48 : 0</v>
      </c>
      <c r="K164" s="28" t="str">
        <f t="shared" si="29"/>
        <v>0.00292 - (0.0093 * E2.6.1.48_mRNA)</v>
      </c>
      <c r="L164" s="24" t="str">
        <f t="shared" si="30"/>
        <v>(0.278 * E2.6.1.48_mRNA) - (0.00000278 * E2.6.1.48)</v>
      </c>
      <c r="M164" s="29" t="str">
        <f t="shared" si="31"/>
        <v>mRNA163: -&gt; E2.6.1.48_mRNA | 0.00292 - (0.0093 * E2.6.1.48_mRNA)</v>
      </c>
      <c r="N164" s="22" t="str">
        <f t="shared" si="32"/>
        <v>Peptide163: E2.6.1.48_mRNA -&gt; E2.6.1.48 | (0.278 * E2.6.1.48_mRNA) - (0.000000278 * E2.6.1.48)</v>
      </c>
    </row>
    <row r="165" spans="1:14">
      <c r="A165">
        <v>164</v>
      </c>
      <c r="B165" s="4" t="s">
        <v>7442</v>
      </c>
      <c r="C165" s="4" t="str">
        <f t="shared" si="25"/>
        <v>E2.6.1.52_mRNA</v>
      </c>
      <c r="D165" s="4" t="s">
        <v>12859</v>
      </c>
      <c r="E165" s="22" t="str">
        <f t="shared" si="26"/>
        <v>E2.6.1.52_kcat : 13.7</v>
      </c>
      <c r="F165" s="23" t="str">
        <f t="shared" si="22"/>
        <v>E2.6.1.52_km : 1</v>
      </c>
      <c r="G165" s="24" t="str">
        <f t="shared" si="23"/>
        <v>E2.6.1.52_mRNA : E2.6.1.52_mRNA</v>
      </c>
      <c r="H165" s="25" t="str">
        <f t="shared" si="24"/>
        <v>E2.6.1.52 : E2.6.1.52</v>
      </c>
      <c r="I165" s="26" t="str">
        <f t="shared" si="27"/>
        <v>E2.6.1.52_mRNA : 0</v>
      </c>
      <c r="J165" s="27" t="str">
        <f t="shared" si="28"/>
        <v>E2.6.1.52 : 0</v>
      </c>
      <c r="K165" s="28" t="str">
        <f t="shared" si="29"/>
        <v>0.00292 - (0.0093 * E2.6.1.52_mRNA)</v>
      </c>
      <c r="L165" s="24" t="str">
        <f t="shared" si="30"/>
        <v>(0.278 * E2.6.1.52_mRNA) - (0.00000278 * E2.6.1.52)</v>
      </c>
      <c r="M165" s="29" t="str">
        <f t="shared" si="31"/>
        <v>mRNA164: -&gt; E2.6.1.52_mRNA | 0.00292 - (0.0093 * E2.6.1.52_mRNA)</v>
      </c>
      <c r="N165" s="22" t="str">
        <f t="shared" si="32"/>
        <v>Peptide164: E2.6.1.52_mRNA -&gt; E2.6.1.52 | (0.278 * E2.6.1.52_mRNA) - (0.000000278 * E2.6.1.52)</v>
      </c>
    </row>
    <row r="166" spans="1:14">
      <c r="A166">
        <v>165</v>
      </c>
      <c r="B166" s="4" t="s">
        <v>7737</v>
      </c>
      <c r="C166" s="4" t="str">
        <f t="shared" si="25"/>
        <v>E2.6.1.62_mRNA</v>
      </c>
      <c r="D166" s="4" t="s">
        <v>13085</v>
      </c>
      <c r="E166" s="22" t="str">
        <f t="shared" si="26"/>
        <v>E2.6.1.62_kcat : 13.7</v>
      </c>
      <c r="F166" s="23" t="str">
        <f t="shared" si="22"/>
        <v>E2.6.1.62_km : 1</v>
      </c>
      <c r="G166" s="24" t="str">
        <f t="shared" si="23"/>
        <v>E2.6.1.62_mRNA : E2.6.1.62_mRNA</v>
      </c>
      <c r="H166" s="25" t="str">
        <f t="shared" si="24"/>
        <v>E2.6.1.62 : E2.6.1.62</v>
      </c>
      <c r="I166" s="26" t="str">
        <f t="shared" si="27"/>
        <v>E2.6.1.62_mRNA : 0</v>
      </c>
      <c r="J166" s="27" t="str">
        <f t="shared" si="28"/>
        <v>E2.6.1.62 : 0</v>
      </c>
      <c r="K166" s="28" t="str">
        <f t="shared" si="29"/>
        <v>0.00292 - (0.0093 * E2.6.1.62_mRNA)</v>
      </c>
      <c r="L166" s="24" t="str">
        <f t="shared" si="30"/>
        <v>(0.278 * E2.6.1.62_mRNA) - (0.00000278 * E2.6.1.62)</v>
      </c>
      <c r="M166" s="29" t="str">
        <f t="shared" si="31"/>
        <v>mRNA165: -&gt; E2.6.1.62_mRNA | 0.00292 - (0.0093 * E2.6.1.62_mRNA)</v>
      </c>
      <c r="N166" s="22" t="str">
        <f t="shared" si="32"/>
        <v>Peptide165: E2.6.1.62_mRNA -&gt; E2.6.1.62 | (0.278 * E2.6.1.62_mRNA) - (0.000000278 * E2.6.1.62)</v>
      </c>
    </row>
    <row r="167" spans="1:14">
      <c r="A167">
        <v>166</v>
      </c>
      <c r="B167" s="4" t="s">
        <v>7495</v>
      </c>
      <c r="C167" s="4" t="str">
        <f t="shared" si="25"/>
        <v>E2.6.1.83_mRNA</v>
      </c>
      <c r="D167" s="4" t="s">
        <v>12896</v>
      </c>
      <c r="E167" s="22" t="str">
        <f t="shared" si="26"/>
        <v>E2.6.1.83_kcat : 13.7</v>
      </c>
      <c r="F167" s="23" t="str">
        <f t="shared" si="22"/>
        <v>E2.6.1.83_km : 1</v>
      </c>
      <c r="G167" s="24" t="str">
        <f t="shared" si="23"/>
        <v>E2.6.1.83_mRNA : E2.6.1.83_mRNA</v>
      </c>
      <c r="H167" s="25" t="str">
        <f t="shared" si="24"/>
        <v>E2.6.1.83 : E2.6.1.83</v>
      </c>
      <c r="I167" s="26" t="str">
        <f t="shared" si="27"/>
        <v>E2.6.1.83_mRNA : 0</v>
      </c>
      <c r="J167" s="27" t="str">
        <f t="shared" si="28"/>
        <v>E2.6.1.83 : 0</v>
      </c>
      <c r="K167" s="28" t="str">
        <f t="shared" si="29"/>
        <v>0.00292 - (0.0093 * E2.6.1.83_mRNA)</v>
      </c>
      <c r="L167" s="24" t="str">
        <f t="shared" si="30"/>
        <v>(0.278 * E2.6.1.83_mRNA) - (0.00000278 * E2.6.1.83)</v>
      </c>
      <c r="M167" s="29" t="str">
        <f t="shared" si="31"/>
        <v>mRNA166: -&gt; E2.6.1.83_mRNA | 0.00292 - (0.0093 * E2.6.1.83_mRNA)</v>
      </c>
      <c r="N167" s="22" t="str">
        <f t="shared" si="32"/>
        <v>Peptide166: E2.6.1.83_mRNA -&gt; E2.6.1.83 | (0.278 * E2.6.1.83_mRNA) - (0.000000278 * E2.6.1.83)</v>
      </c>
    </row>
    <row r="168" spans="1:14">
      <c r="A168">
        <v>167</v>
      </c>
      <c r="B168" s="4" t="s">
        <v>7803</v>
      </c>
      <c r="C168" s="4" t="str">
        <f t="shared" si="25"/>
        <v>E2.6.1.85_mRNA</v>
      </c>
      <c r="D168" s="4" t="s">
        <v>13145</v>
      </c>
      <c r="E168" s="22" t="str">
        <f t="shared" si="26"/>
        <v>E2.6.1.85_kcat : 13.7</v>
      </c>
      <c r="F168" s="23" t="str">
        <f t="shared" si="22"/>
        <v>E2.6.1.85_km : 1</v>
      </c>
      <c r="G168" s="24" t="str">
        <f t="shared" si="23"/>
        <v>E2.6.1.85_mRNA : E2.6.1.85_mRNA</v>
      </c>
      <c r="H168" s="25" t="str">
        <f t="shared" si="24"/>
        <v>E2.6.1.85 : E2.6.1.85</v>
      </c>
      <c r="I168" s="26" t="str">
        <f t="shared" si="27"/>
        <v>E2.6.1.85_mRNA : 0</v>
      </c>
      <c r="J168" s="27" t="str">
        <f t="shared" si="28"/>
        <v>E2.6.1.85 : 0</v>
      </c>
      <c r="K168" s="28" t="str">
        <f t="shared" si="29"/>
        <v>0.00292 - (0.0093 * E2.6.1.85_mRNA)</v>
      </c>
      <c r="L168" s="24" t="str">
        <f t="shared" si="30"/>
        <v>(0.278 * E2.6.1.85_mRNA) - (0.00000278 * E2.6.1.85)</v>
      </c>
      <c r="M168" s="29" t="str">
        <f t="shared" si="31"/>
        <v>mRNA167: -&gt; E2.6.1.85_mRNA | 0.00292 - (0.0093 * E2.6.1.85_mRNA)</v>
      </c>
      <c r="N168" s="22" t="str">
        <f t="shared" si="32"/>
        <v>Peptide167: E2.6.1.85_mRNA -&gt; E2.6.1.85 | (0.278 * E2.6.1.85_mRNA) - (0.000000278 * E2.6.1.85)</v>
      </c>
    </row>
    <row r="169" spans="1:14">
      <c r="A169">
        <v>168</v>
      </c>
      <c r="B169" s="4" t="s">
        <v>7658</v>
      </c>
      <c r="C169" s="4" t="str">
        <f t="shared" si="25"/>
        <v>E2.6.1.9_mRNA</v>
      </c>
      <c r="D169" s="4" t="s">
        <v>13018</v>
      </c>
      <c r="E169" s="22" t="str">
        <f t="shared" si="26"/>
        <v>E2.6.1.9_kcat : 13.7</v>
      </c>
      <c r="F169" s="23" t="str">
        <f t="shared" si="22"/>
        <v>E2.6.1.9_km : 1</v>
      </c>
      <c r="G169" s="24" t="str">
        <f t="shared" si="23"/>
        <v>E2.6.1.9_mRNA : E2.6.1.9_mRNA</v>
      </c>
      <c r="H169" s="25" t="str">
        <f t="shared" si="24"/>
        <v>E2.6.1.9 : E2.6.1.9</v>
      </c>
      <c r="I169" s="26" t="str">
        <f t="shared" si="27"/>
        <v>E2.6.1.9_mRNA : 0</v>
      </c>
      <c r="J169" s="27" t="str">
        <f t="shared" si="28"/>
        <v>E2.6.1.9 : 0</v>
      </c>
      <c r="K169" s="28" t="str">
        <f t="shared" si="29"/>
        <v>0.00292 - (0.0093 * E2.6.1.9_mRNA)</v>
      </c>
      <c r="L169" s="24" t="str">
        <f t="shared" si="30"/>
        <v>(0.278 * E2.6.1.9_mRNA) - (0.00000278 * E2.6.1.9)</v>
      </c>
      <c r="M169" s="29" t="str">
        <f t="shared" si="31"/>
        <v>mRNA168: -&gt; E2.6.1.9_mRNA | 0.00292 - (0.0093 * E2.6.1.9_mRNA)</v>
      </c>
      <c r="N169" s="22" t="str">
        <f t="shared" si="32"/>
        <v>Peptide168: E2.6.1.9_mRNA -&gt; E2.6.1.9 | (0.278 * E2.6.1.9_mRNA) - (0.000000278 * E2.6.1.9)</v>
      </c>
    </row>
    <row r="170" spans="1:14">
      <c r="A170">
        <v>169</v>
      </c>
      <c r="B170" s="4" t="s">
        <v>7752</v>
      </c>
      <c r="C170" s="4" t="str">
        <f t="shared" si="25"/>
        <v>E2.7.1.107_mRNA</v>
      </c>
      <c r="D170" s="4" t="s">
        <v>13099</v>
      </c>
      <c r="E170" s="22" t="str">
        <f t="shared" si="26"/>
        <v>E2.7.1.107_kcat : 13.7</v>
      </c>
      <c r="F170" s="23" t="str">
        <f t="shared" si="22"/>
        <v>E2.7.1.107_km : 1</v>
      </c>
      <c r="G170" s="24" t="str">
        <f t="shared" si="23"/>
        <v>E2.7.1.107_mRNA : E2.7.1.107_mRNA</v>
      </c>
      <c r="H170" s="25" t="str">
        <f t="shared" si="24"/>
        <v>E2.7.1.107 : E2.7.1.107</v>
      </c>
      <c r="I170" s="26" t="str">
        <f t="shared" si="27"/>
        <v>E2.7.1.107_mRNA : 0</v>
      </c>
      <c r="J170" s="27" t="str">
        <f t="shared" si="28"/>
        <v>E2.7.1.107 : 0</v>
      </c>
      <c r="K170" s="28" t="str">
        <f t="shared" si="29"/>
        <v>0.00292 - (0.0093 * E2.7.1.107_mRNA)</v>
      </c>
      <c r="L170" s="24" t="str">
        <f t="shared" si="30"/>
        <v>(0.278 * E2.7.1.107_mRNA) - (0.00000278 * E2.7.1.107)</v>
      </c>
      <c r="M170" s="29" t="str">
        <f t="shared" si="31"/>
        <v>mRNA169: -&gt; E2.7.1.107_mRNA | 0.00292 - (0.0093 * E2.7.1.107_mRNA)</v>
      </c>
      <c r="N170" s="22" t="str">
        <f t="shared" si="32"/>
        <v>Peptide169: E2.7.1.107_mRNA -&gt; E2.7.1.107 | (0.278 * E2.7.1.107_mRNA) - (0.000000278 * E2.7.1.107)</v>
      </c>
    </row>
    <row r="171" spans="1:14">
      <c r="A171">
        <v>170</v>
      </c>
      <c r="B171" s="4" t="s">
        <v>7522</v>
      </c>
      <c r="C171" s="4" t="str">
        <f t="shared" si="25"/>
        <v>E2.7.1.11_mRNA</v>
      </c>
      <c r="D171" s="4" t="s">
        <v>12914</v>
      </c>
      <c r="E171" s="22" t="str">
        <f t="shared" si="26"/>
        <v>E2.7.1.11_kcat : 13.7</v>
      </c>
      <c r="F171" s="23" t="str">
        <f t="shared" si="22"/>
        <v>E2.7.1.11_km : 1</v>
      </c>
      <c r="G171" s="24" t="str">
        <f t="shared" si="23"/>
        <v>E2.7.1.11_mRNA : E2.7.1.11_mRNA</v>
      </c>
      <c r="H171" s="25" t="str">
        <f t="shared" si="24"/>
        <v>E2.7.1.11 : E2.7.1.11</v>
      </c>
      <c r="I171" s="26" t="str">
        <f t="shared" si="27"/>
        <v>E2.7.1.11_mRNA : 0</v>
      </c>
      <c r="J171" s="27" t="str">
        <f t="shared" si="28"/>
        <v>E2.7.1.11 : 0</v>
      </c>
      <c r="K171" s="28" t="str">
        <f t="shared" si="29"/>
        <v>0.00292 - (0.0093 * E2.7.1.11_mRNA)</v>
      </c>
      <c r="L171" s="24" t="str">
        <f t="shared" si="30"/>
        <v>(0.278 * E2.7.1.11_mRNA) - (0.00000278 * E2.7.1.11)</v>
      </c>
      <c r="M171" s="29" t="str">
        <f t="shared" si="31"/>
        <v>mRNA170: -&gt; E2.7.1.11_mRNA | 0.00292 - (0.0093 * E2.7.1.11_mRNA)</v>
      </c>
      <c r="N171" s="22" t="str">
        <f t="shared" si="32"/>
        <v>Peptide170: E2.7.1.11_mRNA -&gt; E2.7.1.11 | (0.278 * E2.7.1.11_mRNA) - (0.000000278 * E2.7.1.11)</v>
      </c>
    </row>
    <row r="172" spans="1:14">
      <c r="A172">
        <v>171</v>
      </c>
      <c r="B172" s="4" t="s">
        <v>7624</v>
      </c>
      <c r="C172" s="4" t="str">
        <f t="shared" si="25"/>
        <v>E2.7.1.144_mRNA</v>
      </c>
      <c r="D172" s="4" t="s">
        <v>12996</v>
      </c>
      <c r="E172" s="22" t="str">
        <f t="shared" si="26"/>
        <v>E2.7.1.144_kcat : 13.7</v>
      </c>
      <c r="F172" s="23" t="str">
        <f t="shared" si="22"/>
        <v>E2.7.1.144_km : 1</v>
      </c>
      <c r="G172" s="24" t="str">
        <f t="shared" si="23"/>
        <v>E2.7.1.144_mRNA : E2.7.1.144_mRNA</v>
      </c>
      <c r="H172" s="25" t="str">
        <f t="shared" si="24"/>
        <v>E2.7.1.144 : E2.7.1.144</v>
      </c>
      <c r="I172" s="26" t="str">
        <f t="shared" si="27"/>
        <v>E2.7.1.144_mRNA : 0</v>
      </c>
      <c r="J172" s="27" t="str">
        <f t="shared" si="28"/>
        <v>E2.7.1.144 : 0</v>
      </c>
      <c r="K172" s="28" t="str">
        <f t="shared" si="29"/>
        <v>0.00292 - (0.0093 * E2.7.1.144_mRNA)</v>
      </c>
      <c r="L172" s="24" t="str">
        <f t="shared" si="30"/>
        <v>(0.278 * E2.7.1.144_mRNA) - (0.00000278 * E2.7.1.144)</v>
      </c>
      <c r="M172" s="29" t="str">
        <f t="shared" si="31"/>
        <v>mRNA171: -&gt; E2.7.1.144_mRNA | 0.00292 - (0.0093 * E2.7.1.144_mRNA)</v>
      </c>
      <c r="N172" s="22" t="str">
        <f t="shared" si="32"/>
        <v>Peptide171: E2.7.1.144_mRNA -&gt; E2.7.1.144 | (0.278 * E2.7.1.144_mRNA) - (0.000000278 * E2.7.1.144)</v>
      </c>
    </row>
    <row r="173" spans="1:14">
      <c r="A173">
        <v>172</v>
      </c>
      <c r="B173" s="4" t="s">
        <v>7461</v>
      </c>
      <c r="C173" s="4" t="str">
        <f t="shared" si="25"/>
        <v>E2.7.1.148_mRNA</v>
      </c>
      <c r="D173" s="4" t="s">
        <v>12872</v>
      </c>
      <c r="E173" s="22" t="str">
        <f t="shared" si="26"/>
        <v>E2.7.1.148_kcat : 13.7</v>
      </c>
      <c r="F173" s="23" t="str">
        <f t="shared" si="22"/>
        <v>E2.7.1.148_km : 1</v>
      </c>
      <c r="G173" s="24" t="str">
        <f t="shared" si="23"/>
        <v>E2.7.1.148_mRNA : E2.7.1.148_mRNA</v>
      </c>
      <c r="H173" s="25" t="str">
        <f t="shared" si="24"/>
        <v>E2.7.1.148 : E2.7.1.148</v>
      </c>
      <c r="I173" s="26" t="str">
        <f t="shared" si="27"/>
        <v>E2.7.1.148_mRNA : 0</v>
      </c>
      <c r="J173" s="27" t="str">
        <f t="shared" si="28"/>
        <v>E2.7.1.148 : 0</v>
      </c>
      <c r="K173" s="28" t="str">
        <f t="shared" si="29"/>
        <v>0.00292 - (0.0093 * E2.7.1.148_mRNA)</v>
      </c>
      <c r="L173" s="24" t="str">
        <f t="shared" si="30"/>
        <v>(0.278 * E2.7.1.148_mRNA) - (0.00000278 * E2.7.1.148)</v>
      </c>
      <c r="M173" s="29" t="str">
        <f t="shared" si="31"/>
        <v>mRNA172: -&gt; E2.7.1.148_mRNA | 0.00292 - (0.0093 * E2.7.1.148_mRNA)</v>
      </c>
      <c r="N173" s="22" t="str">
        <f t="shared" si="32"/>
        <v>Peptide172: E2.7.1.148_mRNA -&gt; E2.7.1.148 | (0.278 * E2.7.1.148_mRNA) - (0.000000278 * E2.7.1.148)</v>
      </c>
    </row>
    <row r="174" spans="1:14">
      <c r="A174">
        <v>173</v>
      </c>
      <c r="B174" s="4" t="s">
        <v>7416</v>
      </c>
      <c r="C174" s="4" t="str">
        <f t="shared" si="25"/>
        <v>E2.7.1.15_mRNA</v>
      </c>
      <c r="D174" s="4" t="s">
        <v>12849</v>
      </c>
      <c r="E174" s="22" t="str">
        <f t="shared" si="26"/>
        <v>E2.7.1.15_kcat : 13.7</v>
      </c>
      <c r="F174" s="23" t="str">
        <f t="shared" si="22"/>
        <v>E2.7.1.15_km : 1</v>
      </c>
      <c r="G174" s="24" t="str">
        <f t="shared" si="23"/>
        <v>E2.7.1.15_mRNA : E2.7.1.15_mRNA</v>
      </c>
      <c r="H174" s="25" t="str">
        <f t="shared" si="24"/>
        <v>E2.7.1.15 : E2.7.1.15</v>
      </c>
      <c r="I174" s="26" t="str">
        <f t="shared" si="27"/>
        <v>E2.7.1.15_mRNA : 0</v>
      </c>
      <c r="J174" s="27" t="str">
        <f t="shared" si="28"/>
        <v>E2.7.1.15 : 0</v>
      </c>
      <c r="K174" s="28" t="str">
        <f t="shared" si="29"/>
        <v>0.00292 - (0.0093 * E2.7.1.15_mRNA)</v>
      </c>
      <c r="L174" s="24" t="str">
        <f t="shared" si="30"/>
        <v>(0.278 * E2.7.1.15_mRNA) - (0.00000278 * E2.7.1.15)</v>
      </c>
      <c r="M174" s="29" t="str">
        <f t="shared" si="31"/>
        <v>mRNA173: -&gt; E2.7.1.15_mRNA | 0.00292 - (0.0093 * E2.7.1.15_mRNA)</v>
      </c>
      <c r="N174" s="22" t="str">
        <f t="shared" si="32"/>
        <v>Peptide173: E2.7.1.15_mRNA -&gt; E2.7.1.15 | (0.278 * E2.7.1.15_mRNA) - (0.000000278 * E2.7.1.15)</v>
      </c>
    </row>
    <row r="175" spans="1:14">
      <c r="A175">
        <v>174</v>
      </c>
      <c r="B175" s="4" t="s">
        <v>7651</v>
      </c>
      <c r="C175" s="4" t="str">
        <f t="shared" si="25"/>
        <v>E2.7.1.165_mRNA</v>
      </c>
      <c r="D175" s="4" t="s">
        <v>13013</v>
      </c>
      <c r="E175" s="22" t="str">
        <f t="shared" si="26"/>
        <v>E2.7.1.165_kcat : 13.7</v>
      </c>
      <c r="F175" s="23" t="str">
        <f t="shared" si="22"/>
        <v>E2.7.1.165_km : 1</v>
      </c>
      <c r="G175" s="24" t="str">
        <f t="shared" si="23"/>
        <v>E2.7.1.165_mRNA : E2.7.1.165_mRNA</v>
      </c>
      <c r="H175" s="25" t="str">
        <f t="shared" si="24"/>
        <v>E2.7.1.165 : E2.7.1.165</v>
      </c>
      <c r="I175" s="26" t="str">
        <f t="shared" si="27"/>
        <v>E2.7.1.165_mRNA : 0</v>
      </c>
      <c r="J175" s="27" t="str">
        <f t="shared" si="28"/>
        <v>E2.7.1.165 : 0</v>
      </c>
      <c r="K175" s="28" t="str">
        <f t="shared" si="29"/>
        <v>0.00292 - (0.0093 * E2.7.1.165_mRNA)</v>
      </c>
      <c r="L175" s="24" t="str">
        <f t="shared" si="30"/>
        <v>(0.278 * E2.7.1.165_mRNA) - (0.00000278 * E2.7.1.165)</v>
      </c>
      <c r="M175" s="29" t="str">
        <f t="shared" si="31"/>
        <v>mRNA174: -&gt; E2.7.1.165_mRNA | 0.00292 - (0.0093 * E2.7.1.165_mRNA)</v>
      </c>
      <c r="N175" s="22" t="str">
        <f t="shared" si="32"/>
        <v>Peptide174: E2.7.1.165_mRNA -&gt; E2.7.1.165 | (0.278 * E2.7.1.165_mRNA) - (0.000000278 * E2.7.1.165)</v>
      </c>
    </row>
    <row r="176" spans="1:14">
      <c r="A176">
        <v>175</v>
      </c>
      <c r="B176" s="4" t="s">
        <v>7677</v>
      </c>
      <c r="C176" s="4" t="str">
        <f t="shared" si="25"/>
        <v>E2.7.1.2_mRNA</v>
      </c>
      <c r="D176" s="4" t="s">
        <v>13033</v>
      </c>
      <c r="E176" s="22" t="str">
        <f t="shared" si="26"/>
        <v>E2.7.1.2_kcat : 13.7</v>
      </c>
      <c r="F176" s="23" t="str">
        <f t="shared" si="22"/>
        <v>E2.7.1.2_km : 1</v>
      </c>
      <c r="G176" s="24" t="str">
        <f t="shared" si="23"/>
        <v>E2.7.1.2_mRNA : E2.7.1.2_mRNA</v>
      </c>
      <c r="H176" s="25" t="str">
        <f t="shared" si="24"/>
        <v>E2.7.1.2 : E2.7.1.2</v>
      </c>
      <c r="I176" s="26" t="str">
        <f t="shared" si="27"/>
        <v>E2.7.1.2_mRNA : 0</v>
      </c>
      <c r="J176" s="27" t="str">
        <f t="shared" si="28"/>
        <v>E2.7.1.2 : 0</v>
      </c>
      <c r="K176" s="28" t="str">
        <f t="shared" si="29"/>
        <v>0.00292 - (0.0093 * E2.7.1.2_mRNA)</v>
      </c>
      <c r="L176" s="24" t="str">
        <f t="shared" si="30"/>
        <v>(0.278 * E2.7.1.2_mRNA) - (0.00000278 * E2.7.1.2)</v>
      </c>
      <c r="M176" s="29" t="str">
        <f t="shared" si="31"/>
        <v>mRNA175: -&gt; E2.7.1.2_mRNA | 0.00292 - (0.0093 * E2.7.1.2_mRNA)</v>
      </c>
      <c r="N176" s="22" t="str">
        <f t="shared" si="32"/>
        <v>Peptide175: E2.7.1.2_mRNA -&gt; E2.7.1.2 | (0.278 * E2.7.1.2_mRNA) - (0.000000278 * E2.7.1.2)</v>
      </c>
    </row>
    <row r="177" spans="1:14">
      <c r="A177">
        <v>176</v>
      </c>
      <c r="B177" s="4" t="s">
        <v>7551</v>
      </c>
      <c r="C177" s="4" t="str">
        <f t="shared" si="25"/>
        <v>E2.7.1.23_mRNA</v>
      </c>
      <c r="D177" s="4" t="s">
        <v>12940</v>
      </c>
      <c r="E177" s="22" t="str">
        <f t="shared" si="26"/>
        <v>E2.7.1.23_kcat : 13.7</v>
      </c>
      <c r="F177" s="23" t="str">
        <f t="shared" si="22"/>
        <v>E2.7.1.23_km : 1</v>
      </c>
      <c r="G177" s="24" t="str">
        <f t="shared" si="23"/>
        <v>E2.7.1.23_mRNA : E2.7.1.23_mRNA</v>
      </c>
      <c r="H177" s="25" t="str">
        <f t="shared" si="24"/>
        <v>E2.7.1.23 : E2.7.1.23</v>
      </c>
      <c r="I177" s="26" t="str">
        <f t="shared" si="27"/>
        <v>E2.7.1.23_mRNA : 0</v>
      </c>
      <c r="J177" s="27" t="str">
        <f t="shared" si="28"/>
        <v>E2.7.1.23 : 0</v>
      </c>
      <c r="K177" s="28" t="str">
        <f t="shared" si="29"/>
        <v>0.00292 - (0.0093 * E2.7.1.23_mRNA)</v>
      </c>
      <c r="L177" s="24" t="str">
        <f t="shared" si="30"/>
        <v>(0.278 * E2.7.1.23_mRNA) - (0.00000278 * E2.7.1.23)</v>
      </c>
      <c r="M177" s="29" t="str">
        <f t="shared" si="31"/>
        <v>mRNA176: -&gt; E2.7.1.23_mRNA | 0.00292 - (0.0093 * E2.7.1.23_mRNA)</v>
      </c>
      <c r="N177" s="22" t="str">
        <f t="shared" si="32"/>
        <v>Peptide176: E2.7.1.23_mRNA -&gt; E2.7.1.23 | (0.278 * E2.7.1.23_mRNA) - (0.000000278 * E2.7.1.23)</v>
      </c>
    </row>
    <row r="178" spans="1:14">
      <c r="A178">
        <v>177</v>
      </c>
      <c r="B178" s="4" t="s">
        <v>7536</v>
      </c>
      <c r="C178" s="4" t="str">
        <f t="shared" si="25"/>
        <v>E2.7.1.24_mRNA</v>
      </c>
      <c r="D178" s="4" t="s">
        <v>12927</v>
      </c>
      <c r="E178" s="22" t="str">
        <f t="shared" si="26"/>
        <v>E2.7.1.24_kcat : 13.7</v>
      </c>
      <c r="F178" s="23" t="str">
        <f t="shared" si="22"/>
        <v>E2.7.1.24_km : 1</v>
      </c>
      <c r="G178" s="24" t="str">
        <f t="shared" si="23"/>
        <v>E2.7.1.24_mRNA : E2.7.1.24_mRNA</v>
      </c>
      <c r="H178" s="25" t="str">
        <f t="shared" si="24"/>
        <v>E2.7.1.24 : E2.7.1.24</v>
      </c>
      <c r="I178" s="26" t="str">
        <f t="shared" si="27"/>
        <v>E2.7.1.24_mRNA : 0</v>
      </c>
      <c r="J178" s="27" t="str">
        <f t="shared" si="28"/>
        <v>E2.7.1.24 : 0</v>
      </c>
      <c r="K178" s="28" t="str">
        <f t="shared" si="29"/>
        <v>0.00292 - (0.0093 * E2.7.1.24_mRNA)</v>
      </c>
      <c r="L178" s="24" t="str">
        <f t="shared" si="30"/>
        <v>(0.278 * E2.7.1.24_mRNA) - (0.00000278 * E2.7.1.24)</v>
      </c>
      <c r="M178" s="29" t="str">
        <f t="shared" si="31"/>
        <v>mRNA177: -&gt; E2.7.1.24_mRNA | 0.00292 - (0.0093 * E2.7.1.24_mRNA)</v>
      </c>
      <c r="N178" s="22" t="str">
        <f t="shared" si="32"/>
        <v>Peptide177: E2.7.1.24_mRNA -&gt; E2.7.1.24 | (0.278 * E2.7.1.24_mRNA) - (0.000000278 * E2.7.1.24)</v>
      </c>
    </row>
    <row r="179" spans="1:14">
      <c r="A179">
        <v>178</v>
      </c>
      <c r="B179" s="4" t="s">
        <v>7800</v>
      </c>
      <c r="C179" s="4" t="str">
        <f t="shared" si="25"/>
        <v>E2.7.1.30_mRNA</v>
      </c>
      <c r="D179" s="4" t="s">
        <v>13148</v>
      </c>
      <c r="E179" s="22" t="str">
        <f t="shared" si="26"/>
        <v>E2.7.1.30_kcat : 13.7</v>
      </c>
      <c r="F179" s="23" t="str">
        <f t="shared" si="22"/>
        <v>E2.7.1.30_km : 1</v>
      </c>
      <c r="G179" s="24" t="str">
        <f t="shared" si="23"/>
        <v>E2.7.1.30_mRNA : E2.7.1.30_mRNA</v>
      </c>
      <c r="H179" s="25" t="str">
        <f t="shared" si="24"/>
        <v>E2.7.1.30 : E2.7.1.30</v>
      </c>
      <c r="I179" s="26" t="str">
        <f t="shared" si="27"/>
        <v>E2.7.1.30_mRNA : 0</v>
      </c>
      <c r="J179" s="27" t="str">
        <f t="shared" si="28"/>
        <v>E2.7.1.30 : 0</v>
      </c>
      <c r="K179" s="28" t="str">
        <f t="shared" si="29"/>
        <v>0.00292 - (0.0093 * E2.7.1.30_mRNA)</v>
      </c>
      <c r="L179" s="24" t="str">
        <f t="shared" si="30"/>
        <v>(0.278 * E2.7.1.30_mRNA) - (0.00000278 * E2.7.1.30)</v>
      </c>
      <c r="M179" s="29" t="str">
        <f t="shared" si="31"/>
        <v>mRNA178: -&gt; E2.7.1.30_mRNA | 0.00292 - (0.0093 * E2.7.1.30_mRNA)</v>
      </c>
      <c r="N179" s="22" t="str">
        <f t="shared" si="32"/>
        <v>Peptide178: E2.7.1.30_mRNA -&gt; E2.7.1.30 | (0.278 * E2.7.1.30_mRNA) - (0.000000278 * E2.7.1.30)</v>
      </c>
    </row>
    <row r="180" spans="1:14">
      <c r="A180">
        <v>179</v>
      </c>
      <c r="B180" s="4" t="s">
        <v>7481</v>
      </c>
      <c r="C180" s="4" t="str">
        <f t="shared" si="25"/>
        <v>E2.7.1.33_mRNA</v>
      </c>
      <c r="D180" s="4" t="s">
        <v>12886</v>
      </c>
      <c r="E180" s="22" t="str">
        <f t="shared" si="26"/>
        <v>E2.7.1.33_kcat : 13.7</v>
      </c>
      <c r="F180" s="23" t="str">
        <f t="shared" si="22"/>
        <v>E2.7.1.33_km : 1</v>
      </c>
      <c r="G180" s="24" t="str">
        <f t="shared" si="23"/>
        <v>E2.7.1.33_mRNA : E2.7.1.33_mRNA</v>
      </c>
      <c r="H180" s="25" t="str">
        <f t="shared" si="24"/>
        <v>E2.7.1.33 : E2.7.1.33</v>
      </c>
      <c r="I180" s="26" t="str">
        <f t="shared" si="27"/>
        <v>E2.7.1.33_mRNA : 0</v>
      </c>
      <c r="J180" s="27" t="str">
        <f t="shared" si="28"/>
        <v>E2.7.1.33 : 0</v>
      </c>
      <c r="K180" s="28" t="str">
        <f t="shared" si="29"/>
        <v>0.00292 - (0.0093 * E2.7.1.33_mRNA)</v>
      </c>
      <c r="L180" s="24" t="str">
        <f t="shared" si="30"/>
        <v>(0.278 * E2.7.1.33_mRNA) - (0.00000278 * E2.7.1.33)</v>
      </c>
      <c r="M180" s="29" t="str">
        <f t="shared" si="31"/>
        <v>mRNA179: -&gt; E2.7.1.33_mRNA | 0.00292 - (0.0093 * E2.7.1.33_mRNA)</v>
      </c>
      <c r="N180" s="22" t="str">
        <f t="shared" si="32"/>
        <v>Peptide179: E2.7.1.33_mRNA -&gt; E2.7.1.33 | (0.278 * E2.7.1.33_mRNA) - (0.000000278 * E2.7.1.33)</v>
      </c>
    </row>
    <row r="181" spans="1:14">
      <c r="A181">
        <v>180</v>
      </c>
      <c r="B181" s="4" t="s">
        <v>7709</v>
      </c>
      <c r="C181" s="4" t="str">
        <f t="shared" si="25"/>
        <v>E2.7.1.35_mRNA</v>
      </c>
      <c r="D181" s="4" t="s">
        <v>13061</v>
      </c>
      <c r="E181" s="22" t="str">
        <f t="shared" si="26"/>
        <v>E2.7.1.35_kcat : 13.7</v>
      </c>
      <c r="F181" s="23" t="str">
        <f t="shared" si="22"/>
        <v>E2.7.1.35_km : 1</v>
      </c>
      <c r="G181" s="24" t="str">
        <f t="shared" si="23"/>
        <v>E2.7.1.35_mRNA : E2.7.1.35_mRNA</v>
      </c>
      <c r="H181" s="25" t="str">
        <f t="shared" si="24"/>
        <v>E2.7.1.35 : E2.7.1.35</v>
      </c>
      <c r="I181" s="26" t="str">
        <f t="shared" si="27"/>
        <v>E2.7.1.35_mRNA : 0</v>
      </c>
      <c r="J181" s="27" t="str">
        <f t="shared" si="28"/>
        <v>E2.7.1.35 : 0</v>
      </c>
      <c r="K181" s="28" t="str">
        <f t="shared" si="29"/>
        <v>0.00292 - (0.0093 * E2.7.1.35_mRNA)</v>
      </c>
      <c r="L181" s="24" t="str">
        <f t="shared" si="30"/>
        <v>(0.278 * E2.7.1.35_mRNA) - (0.00000278 * E2.7.1.35)</v>
      </c>
      <c r="M181" s="29" t="str">
        <f t="shared" si="31"/>
        <v>mRNA180: -&gt; E2.7.1.35_mRNA | 0.00292 - (0.0093 * E2.7.1.35_mRNA)</v>
      </c>
      <c r="N181" s="22" t="str">
        <f t="shared" si="32"/>
        <v>Peptide180: E2.7.1.35_mRNA -&gt; E2.7.1.35 | (0.278 * E2.7.1.35_mRNA) - (0.000000278 * E2.7.1.35)</v>
      </c>
    </row>
    <row r="182" spans="1:14">
      <c r="A182">
        <v>181</v>
      </c>
      <c r="B182" s="4" t="s">
        <v>7512</v>
      </c>
      <c r="C182" s="4" t="str">
        <f t="shared" si="25"/>
        <v>E2.7.1.39_mRNA</v>
      </c>
      <c r="D182" s="4" t="s">
        <v>12908</v>
      </c>
      <c r="E182" s="22" t="str">
        <f t="shared" si="26"/>
        <v>E2.7.1.39_kcat : 13.7</v>
      </c>
      <c r="F182" s="23" t="str">
        <f t="shared" si="22"/>
        <v>E2.7.1.39_km : 1</v>
      </c>
      <c r="G182" s="24" t="str">
        <f t="shared" si="23"/>
        <v>E2.7.1.39_mRNA : E2.7.1.39_mRNA</v>
      </c>
      <c r="H182" s="25" t="str">
        <f t="shared" si="24"/>
        <v>E2.7.1.39 : E2.7.1.39</v>
      </c>
      <c r="I182" s="26" t="str">
        <f t="shared" si="27"/>
        <v>E2.7.1.39_mRNA : 0</v>
      </c>
      <c r="J182" s="27" t="str">
        <f t="shared" si="28"/>
        <v>E2.7.1.39 : 0</v>
      </c>
      <c r="K182" s="28" t="str">
        <f t="shared" si="29"/>
        <v>0.00292 - (0.0093 * E2.7.1.39_mRNA)</v>
      </c>
      <c r="L182" s="24" t="str">
        <f t="shared" si="30"/>
        <v>(0.278 * E2.7.1.39_mRNA) - (0.00000278 * E2.7.1.39)</v>
      </c>
      <c r="M182" s="29" t="str">
        <f t="shared" si="31"/>
        <v>mRNA181: -&gt; E2.7.1.39_mRNA | 0.00292 - (0.0093 * E2.7.1.39_mRNA)</v>
      </c>
      <c r="N182" s="22" t="str">
        <f t="shared" si="32"/>
        <v>Peptide181: E2.7.1.39_mRNA -&gt; E2.7.1.39 | (0.278 * E2.7.1.39_mRNA) - (0.000000278 * E2.7.1.39)</v>
      </c>
    </row>
    <row r="183" spans="1:14">
      <c r="A183">
        <v>182</v>
      </c>
      <c r="B183" s="4" t="s">
        <v>7652</v>
      </c>
      <c r="C183" s="4" t="str">
        <f t="shared" si="25"/>
        <v>E2.7.1.40_mRNA</v>
      </c>
      <c r="D183" s="4" t="s">
        <v>13014</v>
      </c>
      <c r="E183" s="22" t="str">
        <f t="shared" si="26"/>
        <v>E2.7.1.40_kcat : 13.7</v>
      </c>
      <c r="F183" s="23" t="str">
        <f t="shared" si="22"/>
        <v>E2.7.1.40_km : 1</v>
      </c>
      <c r="G183" s="24" t="str">
        <f t="shared" si="23"/>
        <v>E2.7.1.40_mRNA : E2.7.1.40_mRNA</v>
      </c>
      <c r="H183" s="25" t="str">
        <f t="shared" si="24"/>
        <v>E2.7.1.40 : E2.7.1.40</v>
      </c>
      <c r="I183" s="26" t="str">
        <f t="shared" si="27"/>
        <v>E2.7.1.40_mRNA : 0</v>
      </c>
      <c r="J183" s="27" t="str">
        <f t="shared" si="28"/>
        <v>E2.7.1.40 : 0</v>
      </c>
      <c r="K183" s="28" t="str">
        <f t="shared" si="29"/>
        <v>0.00292 - (0.0093 * E2.7.1.40_mRNA)</v>
      </c>
      <c r="L183" s="24" t="str">
        <f t="shared" si="30"/>
        <v>(0.278 * E2.7.1.40_mRNA) - (0.00000278 * E2.7.1.40)</v>
      </c>
      <c r="M183" s="29" t="str">
        <f t="shared" si="31"/>
        <v>mRNA182: -&gt; E2.7.1.40_mRNA | 0.00292 - (0.0093 * E2.7.1.40_mRNA)</v>
      </c>
      <c r="N183" s="22" t="str">
        <f t="shared" si="32"/>
        <v>Peptide182: E2.7.1.40_mRNA -&gt; E2.7.1.40 | (0.278 * E2.7.1.40_mRNA) - (0.000000278 * E2.7.1.40)</v>
      </c>
    </row>
    <row r="184" spans="1:14">
      <c r="A184">
        <v>183</v>
      </c>
      <c r="B184" s="4" t="s">
        <v>7560</v>
      </c>
      <c r="C184" s="4" t="str">
        <f t="shared" si="25"/>
        <v>E2.7.1.49_mRNA</v>
      </c>
      <c r="D184" s="4" t="s">
        <v>12945</v>
      </c>
      <c r="E184" s="22" t="str">
        <f t="shared" si="26"/>
        <v>E2.7.1.49_kcat : 13.7</v>
      </c>
      <c r="F184" s="23" t="str">
        <f t="shared" si="22"/>
        <v>E2.7.1.49_km : 1</v>
      </c>
      <c r="G184" s="24" t="str">
        <f t="shared" si="23"/>
        <v>E2.7.1.49_mRNA : E2.7.1.49_mRNA</v>
      </c>
      <c r="H184" s="25" t="str">
        <f t="shared" si="24"/>
        <v>E2.7.1.49 : E2.7.1.49</v>
      </c>
      <c r="I184" s="26" t="str">
        <f t="shared" si="27"/>
        <v>E2.7.1.49_mRNA : 0</v>
      </c>
      <c r="J184" s="27" t="str">
        <f t="shared" si="28"/>
        <v>E2.7.1.49 : 0</v>
      </c>
      <c r="K184" s="28" t="str">
        <f t="shared" si="29"/>
        <v>0.00292 - (0.0093 * E2.7.1.49_mRNA)</v>
      </c>
      <c r="L184" s="24" t="str">
        <f t="shared" si="30"/>
        <v>(0.278 * E2.7.1.49_mRNA) - (0.00000278 * E2.7.1.49)</v>
      </c>
      <c r="M184" s="29" t="str">
        <f t="shared" si="31"/>
        <v>mRNA183: -&gt; E2.7.1.49_mRNA | 0.00292 - (0.0093 * E2.7.1.49_mRNA)</v>
      </c>
      <c r="N184" s="22" t="str">
        <f t="shared" si="32"/>
        <v>Peptide183: E2.7.1.49_mRNA -&gt; E2.7.1.49 | (0.278 * E2.7.1.49_mRNA) - (0.000000278 * E2.7.1.49)</v>
      </c>
    </row>
    <row r="185" spans="1:14">
      <c r="A185">
        <v>184</v>
      </c>
      <c r="B185" s="4" t="s">
        <v>7561</v>
      </c>
      <c r="C185" s="4" t="str">
        <f t="shared" si="25"/>
        <v>E2.7.1.50_mRNA</v>
      </c>
      <c r="D185" s="4" t="s">
        <v>12946</v>
      </c>
      <c r="E185" s="22" t="str">
        <f t="shared" si="26"/>
        <v>E2.7.1.50_kcat : 13.7</v>
      </c>
      <c r="F185" s="23" t="str">
        <f t="shared" si="22"/>
        <v>E2.7.1.50_km : 1</v>
      </c>
      <c r="G185" s="24" t="str">
        <f t="shared" si="23"/>
        <v>E2.7.1.50_mRNA : E2.7.1.50_mRNA</v>
      </c>
      <c r="H185" s="25" t="str">
        <f t="shared" si="24"/>
        <v>E2.7.1.50 : E2.7.1.50</v>
      </c>
      <c r="I185" s="26" t="str">
        <f t="shared" si="27"/>
        <v>E2.7.1.50_mRNA : 0</v>
      </c>
      <c r="J185" s="27" t="str">
        <f t="shared" si="28"/>
        <v>E2.7.1.50 : 0</v>
      </c>
      <c r="K185" s="28" t="str">
        <f t="shared" si="29"/>
        <v>0.00292 - (0.0093 * E2.7.1.50_mRNA)</v>
      </c>
      <c r="L185" s="24" t="str">
        <f t="shared" si="30"/>
        <v>(0.278 * E2.7.1.50_mRNA) - (0.00000278 * E2.7.1.50)</v>
      </c>
      <c r="M185" s="29" t="str">
        <f t="shared" si="31"/>
        <v>mRNA184: -&gt; E2.7.1.50_mRNA | 0.00292 - (0.0093 * E2.7.1.50_mRNA)</v>
      </c>
      <c r="N185" s="22" t="str">
        <f t="shared" si="32"/>
        <v>Peptide184: E2.7.1.50_mRNA -&gt; E2.7.1.50 | (0.278 * E2.7.1.50_mRNA) - (0.000000278 * E2.7.1.50)</v>
      </c>
    </row>
    <row r="186" spans="1:14">
      <c r="A186">
        <v>185</v>
      </c>
      <c r="B186" s="4" t="s">
        <v>7419</v>
      </c>
      <c r="C186" s="4" t="str">
        <f t="shared" si="25"/>
        <v>E2.7.1.6_mRNA</v>
      </c>
      <c r="D186" s="4" t="s">
        <v>12852</v>
      </c>
      <c r="E186" s="22" t="str">
        <f t="shared" si="26"/>
        <v>E2.7.1.6_kcat : 13.7</v>
      </c>
      <c r="F186" s="23" t="str">
        <f t="shared" si="22"/>
        <v>E2.7.1.6_km : 1</v>
      </c>
      <c r="G186" s="24" t="str">
        <f t="shared" si="23"/>
        <v>E2.7.1.6_mRNA : E2.7.1.6_mRNA</v>
      </c>
      <c r="H186" s="25" t="str">
        <f t="shared" si="24"/>
        <v>E2.7.1.6 : E2.7.1.6</v>
      </c>
      <c r="I186" s="26" t="str">
        <f t="shared" si="27"/>
        <v>E2.7.1.6_mRNA : 0</v>
      </c>
      <c r="J186" s="27" t="str">
        <f t="shared" si="28"/>
        <v>E2.7.1.6 : 0</v>
      </c>
      <c r="K186" s="28" t="str">
        <f t="shared" si="29"/>
        <v>0.00292 - (0.0093 * E2.7.1.6_mRNA)</v>
      </c>
      <c r="L186" s="24" t="str">
        <f t="shared" si="30"/>
        <v>(0.278 * E2.7.1.6_mRNA) - (0.00000278 * E2.7.1.6)</v>
      </c>
      <c r="M186" s="29" t="str">
        <f t="shared" si="31"/>
        <v>mRNA185: -&gt; E2.7.1.6_mRNA | 0.00292 - (0.0093 * E2.7.1.6_mRNA)</v>
      </c>
      <c r="N186" s="22" t="str">
        <f t="shared" si="32"/>
        <v>Peptide185: E2.7.1.6_mRNA -&gt; E2.7.1.6 | (0.278 * E2.7.1.6_mRNA) - (0.000000278 * E2.7.1.6)</v>
      </c>
    </row>
    <row r="187" spans="1:14">
      <c r="A187">
        <v>186</v>
      </c>
      <c r="B187" s="4" t="s">
        <v>7619</v>
      </c>
      <c r="C187" s="4" t="str">
        <f t="shared" si="25"/>
        <v>E2.7.1.63_mRNA</v>
      </c>
      <c r="D187" s="4" t="s">
        <v>12992</v>
      </c>
      <c r="E187" s="22" t="str">
        <f t="shared" si="26"/>
        <v>E2.7.1.63_kcat : 13.7</v>
      </c>
      <c r="F187" s="23" t="str">
        <f t="shared" si="22"/>
        <v>E2.7.1.63_km : 1</v>
      </c>
      <c r="G187" s="24" t="str">
        <f t="shared" si="23"/>
        <v>E2.7.1.63_mRNA : E2.7.1.63_mRNA</v>
      </c>
      <c r="H187" s="25" t="str">
        <f t="shared" si="24"/>
        <v>E2.7.1.63 : E2.7.1.63</v>
      </c>
      <c r="I187" s="26" t="str">
        <f t="shared" si="27"/>
        <v>E2.7.1.63_mRNA : 0</v>
      </c>
      <c r="J187" s="27" t="str">
        <f t="shared" si="28"/>
        <v>E2.7.1.63 : 0</v>
      </c>
      <c r="K187" s="28" t="str">
        <f t="shared" si="29"/>
        <v>0.00292 - (0.0093 * E2.7.1.63_mRNA)</v>
      </c>
      <c r="L187" s="24" t="str">
        <f t="shared" si="30"/>
        <v>(0.278 * E2.7.1.63_mRNA) - (0.00000278 * E2.7.1.63)</v>
      </c>
      <c r="M187" s="29" t="str">
        <f t="shared" si="31"/>
        <v>mRNA186: -&gt; E2.7.1.63_mRNA | 0.00292 - (0.0093 * E2.7.1.63_mRNA)</v>
      </c>
      <c r="N187" s="22" t="str">
        <f t="shared" si="32"/>
        <v>Peptide186: E2.7.1.63_mRNA -&gt; E2.7.1.63 | (0.278 * E2.7.1.63_mRNA) - (0.000000278 * E2.7.1.63)</v>
      </c>
    </row>
    <row r="188" spans="1:14">
      <c r="A188">
        <v>187</v>
      </c>
      <c r="B188" s="4" t="s">
        <v>7596</v>
      </c>
      <c r="C188" s="4" t="str">
        <f t="shared" si="25"/>
        <v>E2.7.1.71_mRNA</v>
      </c>
      <c r="D188" s="4" t="s">
        <v>12973</v>
      </c>
      <c r="E188" s="22" t="str">
        <f t="shared" si="26"/>
        <v>E2.7.1.71_kcat : 13.7</v>
      </c>
      <c r="F188" s="23" t="str">
        <f t="shared" si="22"/>
        <v>E2.7.1.71_km : 1</v>
      </c>
      <c r="G188" s="24" t="str">
        <f t="shared" si="23"/>
        <v>E2.7.1.71_mRNA : E2.7.1.71_mRNA</v>
      </c>
      <c r="H188" s="25" t="str">
        <f t="shared" si="24"/>
        <v>E2.7.1.71 : E2.7.1.71</v>
      </c>
      <c r="I188" s="26" t="str">
        <f t="shared" si="27"/>
        <v>E2.7.1.71_mRNA : 0</v>
      </c>
      <c r="J188" s="27" t="str">
        <f t="shared" si="28"/>
        <v>E2.7.1.71 : 0</v>
      </c>
      <c r="K188" s="28" t="str">
        <f t="shared" si="29"/>
        <v>0.00292 - (0.0093 * E2.7.1.71_mRNA)</v>
      </c>
      <c r="L188" s="24" t="str">
        <f t="shared" si="30"/>
        <v>(0.278 * E2.7.1.71_mRNA) - (0.00000278 * E2.7.1.71)</v>
      </c>
      <c r="M188" s="29" t="str">
        <f t="shared" si="31"/>
        <v>mRNA187: -&gt; E2.7.1.71_mRNA | 0.00292 - (0.0093 * E2.7.1.71_mRNA)</v>
      </c>
      <c r="N188" s="22" t="str">
        <f t="shared" si="32"/>
        <v>Peptide187: E2.7.1.71_mRNA -&gt; E2.7.1.71 | (0.278 * E2.7.1.71_mRNA) - (0.000000278 * E2.7.1.71)</v>
      </c>
    </row>
    <row r="189" spans="1:14">
      <c r="A189">
        <v>188</v>
      </c>
      <c r="B189" s="4" t="s">
        <v>7291</v>
      </c>
      <c r="C189" s="4" t="str">
        <f t="shared" si="25"/>
        <v>E2.7.11.1_mRNA</v>
      </c>
      <c r="D189" s="4" t="s">
        <v>12750</v>
      </c>
      <c r="E189" s="22" t="str">
        <f t="shared" si="26"/>
        <v>E2.7.11.1_kcat : 13.7</v>
      </c>
      <c r="F189" s="23" t="str">
        <f t="shared" si="22"/>
        <v>E2.7.11.1_km : 1</v>
      </c>
      <c r="G189" s="24" t="str">
        <f t="shared" si="23"/>
        <v>E2.7.11.1_mRNA : E2.7.11.1_mRNA</v>
      </c>
      <c r="H189" s="25" t="str">
        <f t="shared" si="24"/>
        <v>E2.7.11.1 : E2.7.11.1</v>
      </c>
      <c r="I189" s="26" t="str">
        <f t="shared" si="27"/>
        <v>E2.7.11.1_mRNA : 0</v>
      </c>
      <c r="J189" s="27" t="str">
        <f t="shared" si="28"/>
        <v>E2.7.11.1 : 0</v>
      </c>
      <c r="K189" s="28" t="str">
        <f t="shared" si="29"/>
        <v>0.00292 - (0.0093 * E2.7.11.1_mRNA)</v>
      </c>
      <c r="L189" s="24" t="str">
        <f t="shared" si="30"/>
        <v>(0.278 * E2.7.11.1_mRNA) - (0.00000278 * E2.7.11.1)</v>
      </c>
      <c r="M189" s="29" t="str">
        <f t="shared" si="31"/>
        <v>mRNA188: -&gt; E2.7.11.1_mRNA | 0.00292 - (0.0093 * E2.7.11.1_mRNA)</v>
      </c>
      <c r="N189" s="22" t="str">
        <f t="shared" si="32"/>
        <v>Peptide188: E2.7.11.1_mRNA -&gt; E2.7.11.1 | (0.278 * E2.7.11.1_mRNA) - (0.000000278 * E2.7.11.1)</v>
      </c>
    </row>
    <row r="190" spans="1:14">
      <c r="A190">
        <v>189</v>
      </c>
      <c r="B190" s="4" t="s">
        <v>7781</v>
      </c>
      <c r="C190" s="4" t="str">
        <f t="shared" si="25"/>
        <v>E2.7.2.1_mRNA</v>
      </c>
      <c r="D190" s="4" t="s">
        <v>13122</v>
      </c>
      <c r="E190" s="22" t="str">
        <f t="shared" si="26"/>
        <v>E2.7.2.1_kcat : 13.7</v>
      </c>
      <c r="F190" s="23" t="str">
        <f t="shared" si="22"/>
        <v>E2.7.2.1_km : 1</v>
      </c>
      <c r="G190" s="24" t="str">
        <f t="shared" si="23"/>
        <v>E2.7.2.1_mRNA : E2.7.2.1_mRNA</v>
      </c>
      <c r="H190" s="25" t="str">
        <f t="shared" si="24"/>
        <v>E2.7.2.1 : E2.7.2.1</v>
      </c>
      <c r="I190" s="26" t="str">
        <f t="shared" si="27"/>
        <v>E2.7.2.1_mRNA : 0</v>
      </c>
      <c r="J190" s="27" t="str">
        <f t="shared" si="28"/>
        <v>E2.7.2.1 : 0</v>
      </c>
      <c r="K190" s="28" t="str">
        <f t="shared" si="29"/>
        <v>0.00292 - (0.0093 * E2.7.2.1_mRNA)</v>
      </c>
      <c r="L190" s="24" t="str">
        <f t="shared" si="30"/>
        <v>(0.278 * E2.7.2.1_mRNA) - (0.00000278 * E2.7.2.1)</v>
      </c>
      <c r="M190" s="29" t="str">
        <f t="shared" si="31"/>
        <v>mRNA189: -&gt; E2.7.2.1_mRNA | 0.00292 - (0.0093 * E2.7.2.1_mRNA)</v>
      </c>
      <c r="N190" s="22" t="str">
        <f t="shared" si="32"/>
        <v>Peptide189: E2.7.2.1_mRNA -&gt; E2.7.2.1 | (0.278 * E2.7.2.1_mRNA) - (0.000000278 * E2.7.2.1)</v>
      </c>
    </row>
    <row r="191" spans="1:14">
      <c r="A191">
        <v>190</v>
      </c>
      <c r="B191" s="4" t="s">
        <v>7721</v>
      </c>
      <c r="C191" s="4" t="str">
        <f t="shared" si="25"/>
        <v>E2.7.2.11_mRNA</v>
      </c>
      <c r="D191" s="4" t="s">
        <v>13071</v>
      </c>
      <c r="E191" s="22" t="str">
        <f t="shared" si="26"/>
        <v>E2.7.2.11_kcat : 13.7</v>
      </c>
      <c r="F191" s="23" t="str">
        <f t="shared" si="22"/>
        <v>E2.7.2.11_km : 1</v>
      </c>
      <c r="G191" s="24" t="str">
        <f t="shared" si="23"/>
        <v>E2.7.2.11_mRNA : E2.7.2.11_mRNA</v>
      </c>
      <c r="H191" s="25" t="str">
        <f t="shared" si="24"/>
        <v>E2.7.2.11 : E2.7.2.11</v>
      </c>
      <c r="I191" s="26" t="str">
        <f t="shared" si="27"/>
        <v>E2.7.2.11_mRNA : 0</v>
      </c>
      <c r="J191" s="27" t="str">
        <f t="shared" si="28"/>
        <v>E2.7.2.11 : 0</v>
      </c>
      <c r="K191" s="28" t="str">
        <f t="shared" si="29"/>
        <v>0.00292 - (0.0093 * E2.7.2.11_mRNA)</v>
      </c>
      <c r="L191" s="24" t="str">
        <f t="shared" si="30"/>
        <v>(0.278 * E2.7.2.11_mRNA) - (0.00000278 * E2.7.2.11)</v>
      </c>
      <c r="M191" s="29" t="str">
        <f t="shared" si="31"/>
        <v>mRNA190: -&gt; E2.7.2.11_mRNA | 0.00292 - (0.0093 * E2.7.2.11_mRNA)</v>
      </c>
      <c r="N191" s="22" t="str">
        <f t="shared" si="32"/>
        <v>Peptide190: E2.7.2.11_mRNA -&gt; E2.7.2.11 | (0.278 * E2.7.2.11_mRNA) - (0.000000278 * E2.7.2.11)</v>
      </c>
    </row>
    <row r="192" spans="1:14">
      <c r="A192">
        <v>191</v>
      </c>
      <c r="B192" s="4" t="s">
        <v>7583</v>
      </c>
      <c r="C192" s="4" t="str">
        <f t="shared" si="25"/>
        <v>E2.7.2.3_mRNA</v>
      </c>
      <c r="D192" s="4" t="s">
        <v>12960</v>
      </c>
      <c r="E192" s="22" t="str">
        <f t="shared" si="26"/>
        <v>E2.7.2.3_kcat : 13.7</v>
      </c>
      <c r="F192" s="23" t="str">
        <f t="shared" si="22"/>
        <v>E2.7.2.3_km : 1</v>
      </c>
      <c r="G192" s="24" t="str">
        <f t="shared" si="23"/>
        <v>E2.7.2.3_mRNA : E2.7.2.3_mRNA</v>
      </c>
      <c r="H192" s="25" t="str">
        <f t="shared" si="24"/>
        <v>E2.7.2.3 : E2.7.2.3</v>
      </c>
      <c r="I192" s="26" t="str">
        <f t="shared" si="27"/>
        <v>E2.7.2.3_mRNA : 0</v>
      </c>
      <c r="J192" s="27" t="str">
        <f t="shared" si="28"/>
        <v>E2.7.2.3 : 0</v>
      </c>
      <c r="K192" s="28" t="str">
        <f t="shared" si="29"/>
        <v>0.00292 - (0.0093 * E2.7.2.3_mRNA)</v>
      </c>
      <c r="L192" s="24" t="str">
        <f t="shared" si="30"/>
        <v>(0.278 * E2.7.2.3_mRNA) - (0.00000278 * E2.7.2.3)</v>
      </c>
      <c r="M192" s="29" t="str">
        <f t="shared" si="31"/>
        <v>mRNA191: -&gt; E2.7.2.3_mRNA | 0.00292 - (0.0093 * E2.7.2.3_mRNA)</v>
      </c>
      <c r="N192" s="22" t="str">
        <f t="shared" si="32"/>
        <v>Peptide191: E2.7.2.3_mRNA -&gt; E2.7.2.3 | (0.278 * E2.7.2.3_mRNA) - (0.000000278 * E2.7.2.3)</v>
      </c>
    </row>
    <row r="193" spans="1:14">
      <c r="A193">
        <v>192</v>
      </c>
      <c r="B193" s="4" t="s">
        <v>7328</v>
      </c>
      <c r="C193" s="4" t="str">
        <f t="shared" si="25"/>
        <v>E2.7.2.4_mRNA</v>
      </c>
      <c r="D193" s="4" t="s">
        <v>12786</v>
      </c>
      <c r="E193" s="22" t="str">
        <f t="shared" si="26"/>
        <v>E2.7.2.4_kcat : 13.7</v>
      </c>
      <c r="F193" s="23" t="str">
        <f t="shared" si="22"/>
        <v>E2.7.2.4_km : 1</v>
      </c>
      <c r="G193" s="24" t="str">
        <f t="shared" si="23"/>
        <v>E2.7.2.4_mRNA : E2.7.2.4_mRNA</v>
      </c>
      <c r="H193" s="25" t="str">
        <f t="shared" si="24"/>
        <v>E2.7.2.4 : E2.7.2.4</v>
      </c>
      <c r="I193" s="26" t="str">
        <f t="shared" si="27"/>
        <v>E2.7.2.4_mRNA : 0</v>
      </c>
      <c r="J193" s="27" t="str">
        <f t="shared" si="28"/>
        <v>E2.7.2.4 : 0</v>
      </c>
      <c r="K193" s="28" t="str">
        <f t="shared" si="29"/>
        <v>0.00292 - (0.0093 * E2.7.2.4_mRNA)</v>
      </c>
      <c r="L193" s="24" t="str">
        <f t="shared" si="30"/>
        <v>(0.278 * E2.7.2.4_mRNA) - (0.00000278 * E2.7.2.4)</v>
      </c>
      <c r="M193" s="29" t="str">
        <f t="shared" si="31"/>
        <v>mRNA192: -&gt; E2.7.2.4_mRNA | 0.00292 - (0.0093 * E2.7.2.4_mRNA)</v>
      </c>
      <c r="N193" s="22" t="str">
        <f t="shared" si="32"/>
        <v>Peptide192: E2.7.2.4_mRNA -&gt; E2.7.2.4 | (0.278 * E2.7.2.4_mRNA) - (0.000000278 * E2.7.2.4)</v>
      </c>
    </row>
    <row r="194" spans="1:14">
      <c r="A194">
        <v>193</v>
      </c>
      <c r="B194" s="4" t="s">
        <v>7539</v>
      </c>
      <c r="C194" s="4" t="str">
        <f t="shared" si="25"/>
        <v>E2.7.2.8_mRNA</v>
      </c>
      <c r="D194" s="4" t="s">
        <v>12930</v>
      </c>
      <c r="E194" s="22" t="str">
        <f t="shared" si="26"/>
        <v>E2.7.2.8_kcat : 13.7</v>
      </c>
      <c r="F194" s="23" t="str">
        <f t="shared" ref="F194:F257" si="33">CONCATENATE("E",B194,"_km : 1")</f>
        <v>E2.7.2.8_km : 1</v>
      </c>
      <c r="G194" s="24" t="str">
        <f t="shared" ref="G194:G257" si="34">CONCATENATE(C194," : ",C194)</f>
        <v>E2.7.2.8_mRNA : E2.7.2.8_mRNA</v>
      </c>
      <c r="H194" s="25" t="str">
        <f t="shared" ref="H194:H257" si="35">CONCATENATE(D194," : ",D194)</f>
        <v>E2.7.2.8 : E2.7.2.8</v>
      </c>
      <c r="I194" s="26" t="str">
        <f t="shared" si="27"/>
        <v>E2.7.2.8_mRNA : 0</v>
      </c>
      <c r="J194" s="27" t="str">
        <f t="shared" si="28"/>
        <v>E2.7.2.8 : 0</v>
      </c>
      <c r="K194" s="28" t="str">
        <f t="shared" si="29"/>
        <v>0.00292 - (0.0093 * E2.7.2.8_mRNA)</v>
      </c>
      <c r="L194" s="24" t="str">
        <f t="shared" si="30"/>
        <v>(0.278 * E2.7.2.8_mRNA) - (0.00000278 * E2.7.2.8)</v>
      </c>
      <c r="M194" s="29" t="str">
        <f t="shared" si="31"/>
        <v>mRNA193: -&gt; E2.7.2.8_mRNA | 0.00292 - (0.0093 * E2.7.2.8_mRNA)</v>
      </c>
      <c r="N194" s="22" t="str">
        <f t="shared" si="32"/>
        <v>Peptide193: E2.7.2.8_mRNA -&gt; E2.7.2.8 | (0.278 * E2.7.2.8_mRNA) - (0.000000278 * E2.7.2.8)</v>
      </c>
    </row>
    <row r="195" spans="1:14">
      <c r="A195">
        <v>194</v>
      </c>
      <c r="B195" s="4" t="s">
        <v>7623</v>
      </c>
      <c r="C195" s="4" t="str">
        <f t="shared" ref="C195:C258" si="36">CONCATENATE(D195,"_mRNA")</f>
        <v>E2.7.3.9_mRNA</v>
      </c>
      <c r="D195" s="4" t="s">
        <v>12995</v>
      </c>
      <c r="E195" s="22" t="str">
        <f t="shared" ref="E195:E258" si="37">CONCATENATE("E",B195,"_kcat : 13.7")</f>
        <v>E2.7.3.9_kcat : 13.7</v>
      </c>
      <c r="F195" s="23" t="str">
        <f t="shared" si="33"/>
        <v>E2.7.3.9_km : 1</v>
      </c>
      <c r="G195" s="24" t="str">
        <f t="shared" si="34"/>
        <v>E2.7.3.9_mRNA : E2.7.3.9_mRNA</v>
      </c>
      <c r="H195" s="25" t="str">
        <f t="shared" si="35"/>
        <v>E2.7.3.9 : E2.7.3.9</v>
      </c>
      <c r="I195" s="26" t="str">
        <f t="shared" ref="I195:I258" si="38">CONCATENATE(C195," : ","0")</f>
        <v>E2.7.3.9_mRNA : 0</v>
      </c>
      <c r="J195" s="27" t="str">
        <f t="shared" ref="J195:J258" si="39">CONCATENATE(D195," : ","0")</f>
        <v>E2.7.3.9 : 0</v>
      </c>
      <c r="K195" s="28" t="str">
        <f t="shared" ref="K195:K258" si="40">CONCATENATE("0.00292 - (0.0093 * ",C195,")")</f>
        <v>0.00292 - (0.0093 * E2.7.3.9_mRNA)</v>
      </c>
      <c r="L195" s="24" t="str">
        <f t="shared" ref="L195:L258" si="41">CONCATENATE("(0.278 * ",C195,")"," - (0.00000278 * ",D195,")")</f>
        <v>(0.278 * E2.7.3.9_mRNA) - (0.00000278 * E2.7.3.9)</v>
      </c>
      <c r="M195" s="29" t="str">
        <f t="shared" ref="M195:M258" si="42">CONCATENATE("mRNA",A195,": -&gt; ",C195," | ","0.00292"," - ","(","0.0093"," * ",C195,")")</f>
        <v>mRNA194: -&gt; E2.7.3.9_mRNA | 0.00292 - (0.0093 * E2.7.3.9_mRNA)</v>
      </c>
      <c r="N195" s="22" t="str">
        <f t="shared" ref="N195:N258" si="43">CONCATENATE("Peptide",A195,": ",C195," -&gt; ",D195," | ","(","0.278"," * ",C195,")"," - ","(","0.000000278"," * ",D195,")")</f>
        <v>Peptide194: E2.7.3.9_mRNA -&gt; E2.7.3.9 | (0.278 * E2.7.3.9_mRNA) - (0.000000278 * E2.7.3.9)</v>
      </c>
    </row>
    <row r="196" spans="1:14">
      <c r="A196">
        <v>195</v>
      </c>
      <c r="B196" s="4" t="s">
        <v>7532</v>
      </c>
      <c r="C196" s="4" t="str">
        <f t="shared" si="36"/>
        <v>E2.7.4.16_mRNA</v>
      </c>
      <c r="D196" s="4" t="s">
        <v>12924</v>
      </c>
      <c r="E196" s="22" t="str">
        <f t="shared" si="37"/>
        <v>E2.7.4.16_kcat : 13.7</v>
      </c>
      <c r="F196" s="23" t="str">
        <f t="shared" si="33"/>
        <v>E2.7.4.16_km : 1</v>
      </c>
      <c r="G196" s="24" t="str">
        <f t="shared" si="34"/>
        <v>E2.7.4.16_mRNA : E2.7.4.16_mRNA</v>
      </c>
      <c r="H196" s="25" t="str">
        <f t="shared" si="35"/>
        <v>E2.7.4.16 : E2.7.4.16</v>
      </c>
      <c r="I196" s="26" t="str">
        <f t="shared" si="38"/>
        <v>E2.7.4.16_mRNA : 0</v>
      </c>
      <c r="J196" s="27" t="str">
        <f t="shared" si="39"/>
        <v>E2.7.4.16 : 0</v>
      </c>
      <c r="K196" s="28" t="str">
        <f t="shared" si="40"/>
        <v>0.00292 - (0.0093 * E2.7.4.16_mRNA)</v>
      </c>
      <c r="L196" s="24" t="str">
        <f t="shared" si="41"/>
        <v>(0.278 * E2.7.4.16_mRNA) - (0.00000278 * E2.7.4.16)</v>
      </c>
      <c r="M196" s="29" t="str">
        <f t="shared" si="42"/>
        <v>mRNA195: -&gt; E2.7.4.16_mRNA | 0.00292 - (0.0093 * E2.7.4.16_mRNA)</v>
      </c>
      <c r="N196" s="22" t="str">
        <f t="shared" si="43"/>
        <v>Peptide195: E2.7.4.16_mRNA -&gt; E2.7.4.16 | (0.278 * E2.7.4.16_mRNA) - (0.000000278 * E2.7.4.16)</v>
      </c>
    </row>
    <row r="197" spans="1:14">
      <c r="A197">
        <v>196</v>
      </c>
      <c r="B197" s="4" t="s">
        <v>7643</v>
      </c>
      <c r="C197" s="4" t="str">
        <f t="shared" si="36"/>
        <v>E2.7.4.22_mRNA</v>
      </c>
      <c r="D197" s="4" t="s">
        <v>13009</v>
      </c>
      <c r="E197" s="22" t="str">
        <f t="shared" si="37"/>
        <v>E2.7.4.22_kcat : 13.7</v>
      </c>
      <c r="F197" s="23" t="str">
        <f t="shared" si="33"/>
        <v>E2.7.4.22_km : 1</v>
      </c>
      <c r="G197" s="24" t="str">
        <f t="shared" si="34"/>
        <v>E2.7.4.22_mRNA : E2.7.4.22_mRNA</v>
      </c>
      <c r="H197" s="25" t="str">
        <f t="shared" si="35"/>
        <v>E2.7.4.22 : E2.7.4.22</v>
      </c>
      <c r="I197" s="26" t="str">
        <f t="shared" si="38"/>
        <v>E2.7.4.22_mRNA : 0</v>
      </c>
      <c r="J197" s="27" t="str">
        <f t="shared" si="39"/>
        <v>E2.7.4.22 : 0</v>
      </c>
      <c r="K197" s="28" t="str">
        <f t="shared" si="40"/>
        <v>0.00292 - (0.0093 * E2.7.4.22_mRNA)</v>
      </c>
      <c r="L197" s="24" t="str">
        <f t="shared" si="41"/>
        <v>(0.278 * E2.7.4.22_mRNA) - (0.00000278 * E2.7.4.22)</v>
      </c>
      <c r="M197" s="29" t="str">
        <f t="shared" si="42"/>
        <v>mRNA196: -&gt; E2.7.4.22_mRNA | 0.00292 - (0.0093 * E2.7.4.22_mRNA)</v>
      </c>
      <c r="N197" s="22" t="str">
        <f t="shared" si="43"/>
        <v>Peptide196: E2.7.4.22_mRNA -&gt; E2.7.4.22 | (0.278 * E2.7.4.22_mRNA) - (0.000000278 * E2.7.4.22)</v>
      </c>
    </row>
    <row r="198" spans="1:14">
      <c r="A198">
        <v>197</v>
      </c>
      <c r="B198" s="4" t="s">
        <v>7555</v>
      </c>
      <c r="C198" s="4" t="str">
        <f t="shared" si="36"/>
        <v>E2.7.4.25_mRNA</v>
      </c>
      <c r="D198" s="4" t="s">
        <v>12942</v>
      </c>
      <c r="E198" s="22" t="str">
        <f t="shared" si="37"/>
        <v>E2.7.4.25_kcat : 13.7</v>
      </c>
      <c r="F198" s="23" t="str">
        <f t="shared" si="33"/>
        <v>E2.7.4.25_km : 1</v>
      </c>
      <c r="G198" s="24" t="str">
        <f t="shared" si="34"/>
        <v>E2.7.4.25_mRNA : E2.7.4.25_mRNA</v>
      </c>
      <c r="H198" s="25" t="str">
        <f t="shared" si="35"/>
        <v>E2.7.4.25 : E2.7.4.25</v>
      </c>
      <c r="I198" s="26" t="str">
        <f t="shared" si="38"/>
        <v>E2.7.4.25_mRNA : 0</v>
      </c>
      <c r="J198" s="27" t="str">
        <f t="shared" si="39"/>
        <v>E2.7.4.25 : 0</v>
      </c>
      <c r="K198" s="28" t="str">
        <f t="shared" si="40"/>
        <v>0.00292 - (0.0093 * E2.7.4.25_mRNA)</v>
      </c>
      <c r="L198" s="24" t="str">
        <f t="shared" si="41"/>
        <v>(0.278 * E2.7.4.25_mRNA) - (0.00000278 * E2.7.4.25)</v>
      </c>
      <c r="M198" s="29" t="str">
        <f t="shared" si="42"/>
        <v>mRNA197: -&gt; E2.7.4.25_mRNA | 0.00292 - (0.0093 * E2.7.4.25_mRNA)</v>
      </c>
      <c r="N198" s="22" t="str">
        <f t="shared" si="43"/>
        <v>Peptide197: E2.7.4.25_mRNA -&gt; E2.7.4.25 | (0.278 * E2.7.4.25_mRNA) - (0.000000278 * E2.7.4.25)</v>
      </c>
    </row>
    <row r="199" spans="1:14">
      <c r="A199">
        <v>198</v>
      </c>
      <c r="B199" s="4" t="s">
        <v>7377</v>
      </c>
      <c r="C199" s="4" t="str">
        <f t="shared" si="36"/>
        <v>E2.7.4.3_mRNA</v>
      </c>
      <c r="D199" s="4" t="s">
        <v>12825</v>
      </c>
      <c r="E199" s="22" t="str">
        <f t="shared" si="37"/>
        <v>E2.7.4.3_kcat : 13.7</v>
      </c>
      <c r="F199" s="23" t="str">
        <f t="shared" si="33"/>
        <v>E2.7.4.3_km : 1</v>
      </c>
      <c r="G199" s="24" t="str">
        <f t="shared" si="34"/>
        <v>E2.7.4.3_mRNA : E2.7.4.3_mRNA</v>
      </c>
      <c r="H199" s="25" t="str">
        <f t="shared" si="35"/>
        <v>E2.7.4.3 : E2.7.4.3</v>
      </c>
      <c r="I199" s="26" t="str">
        <f t="shared" si="38"/>
        <v>E2.7.4.3_mRNA : 0</v>
      </c>
      <c r="J199" s="27" t="str">
        <f t="shared" si="39"/>
        <v>E2.7.4.3 : 0</v>
      </c>
      <c r="K199" s="28" t="str">
        <f t="shared" si="40"/>
        <v>0.00292 - (0.0093 * E2.7.4.3_mRNA)</v>
      </c>
      <c r="L199" s="24" t="str">
        <f t="shared" si="41"/>
        <v>(0.278 * E2.7.4.3_mRNA) - (0.00000278 * E2.7.4.3)</v>
      </c>
      <c r="M199" s="29" t="str">
        <f t="shared" si="42"/>
        <v>mRNA198: -&gt; E2.7.4.3_mRNA | 0.00292 - (0.0093 * E2.7.4.3_mRNA)</v>
      </c>
      <c r="N199" s="22" t="str">
        <f t="shared" si="43"/>
        <v>Peptide198: E2.7.4.3_mRNA -&gt; E2.7.4.3 | (0.278 * E2.7.4.3_mRNA) - (0.000000278 * E2.7.4.3)</v>
      </c>
    </row>
    <row r="200" spans="1:14">
      <c r="A200">
        <v>199</v>
      </c>
      <c r="B200" s="4" t="s">
        <v>7723</v>
      </c>
      <c r="C200" s="4" t="str">
        <f t="shared" si="36"/>
        <v>E2.7.4.6_mRNA</v>
      </c>
      <c r="D200" s="4" t="s">
        <v>13072</v>
      </c>
      <c r="E200" s="22" t="str">
        <f t="shared" si="37"/>
        <v>E2.7.4.6_kcat : 13.7</v>
      </c>
      <c r="F200" s="23" t="str">
        <f t="shared" si="33"/>
        <v>E2.7.4.6_km : 1</v>
      </c>
      <c r="G200" s="24" t="str">
        <f t="shared" si="34"/>
        <v>E2.7.4.6_mRNA : E2.7.4.6_mRNA</v>
      </c>
      <c r="H200" s="25" t="str">
        <f t="shared" si="35"/>
        <v>E2.7.4.6 : E2.7.4.6</v>
      </c>
      <c r="I200" s="26" t="str">
        <f t="shared" si="38"/>
        <v>E2.7.4.6_mRNA : 0</v>
      </c>
      <c r="J200" s="27" t="str">
        <f t="shared" si="39"/>
        <v>E2.7.4.6 : 0</v>
      </c>
      <c r="K200" s="28" t="str">
        <f t="shared" si="40"/>
        <v>0.00292 - (0.0093 * E2.7.4.6_mRNA)</v>
      </c>
      <c r="L200" s="24" t="str">
        <f t="shared" si="41"/>
        <v>(0.278 * E2.7.4.6_mRNA) - (0.00000278 * E2.7.4.6)</v>
      </c>
      <c r="M200" s="29" t="str">
        <f t="shared" si="42"/>
        <v>mRNA199: -&gt; E2.7.4.6_mRNA | 0.00292 - (0.0093 * E2.7.4.6_mRNA)</v>
      </c>
      <c r="N200" s="22" t="str">
        <f t="shared" si="43"/>
        <v>Peptide199: E2.7.4.6_mRNA -&gt; E2.7.4.6 | (0.278 * E2.7.4.6_mRNA) - (0.000000278 * E2.7.4.6)</v>
      </c>
    </row>
    <row r="201" spans="1:14">
      <c r="A201">
        <v>200</v>
      </c>
      <c r="B201" s="4" t="s">
        <v>7590</v>
      </c>
      <c r="C201" s="4" t="str">
        <f t="shared" si="36"/>
        <v>E2.7.4.8_mRNA</v>
      </c>
      <c r="D201" s="4" t="s">
        <v>12967</v>
      </c>
      <c r="E201" s="22" t="str">
        <f t="shared" si="37"/>
        <v>E2.7.4.8_kcat : 13.7</v>
      </c>
      <c r="F201" s="23" t="str">
        <f t="shared" si="33"/>
        <v>E2.7.4.8_km : 1</v>
      </c>
      <c r="G201" s="24" t="str">
        <f t="shared" si="34"/>
        <v>E2.7.4.8_mRNA : E2.7.4.8_mRNA</v>
      </c>
      <c r="H201" s="25" t="str">
        <f t="shared" si="35"/>
        <v>E2.7.4.8 : E2.7.4.8</v>
      </c>
      <c r="I201" s="26" t="str">
        <f t="shared" si="38"/>
        <v>E2.7.4.8_mRNA : 0</v>
      </c>
      <c r="J201" s="27" t="str">
        <f t="shared" si="39"/>
        <v>E2.7.4.8 : 0</v>
      </c>
      <c r="K201" s="28" t="str">
        <f t="shared" si="40"/>
        <v>0.00292 - (0.0093 * E2.7.4.8_mRNA)</v>
      </c>
      <c r="L201" s="24" t="str">
        <f t="shared" si="41"/>
        <v>(0.278 * E2.7.4.8_mRNA) - (0.00000278 * E2.7.4.8)</v>
      </c>
      <c r="M201" s="29" t="str">
        <f t="shared" si="42"/>
        <v>mRNA200: -&gt; E2.7.4.8_mRNA | 0.00292 - (0.0093 * E2.7.4.8_mRNA)</v>
      </c>
      <c r="N201" s="22" t="str">
        <f t="shared" si="43"/>
        <v>Peptide200: E2.7.4.8_mRNA -&gt; E2.7.4.8 | (0.278 * E2.7.4.8_mRNA) - (0.000000278 * E2.7.4.8)</v>
      </c>
    </row>
    <row r="202" spans="1:14">
      <c r="A202">
        <v>201</v>
      </c>
      <c r="B202" s="4" t="s">
        <v>7468</v>
      </c>
      <c r="C202" s="4" t="str">
        <f t="shared" si="36"/>
        <v>E2.7.6.1_mRNA</v>
      </c>
      <c r="D202" s="4" t="s">
        <v>12878</v>
      </c>
      <c r="E202" s="22" t="str">
        <f t="shared" si="37"/>
        <v>E2.7.6.1_kcat : 13.7</v>
      </c>
      <c r="F202" s="23" t="str">
        <f t="shared" si="33"/>
        <v>E2.7.6.1_km : 1</v>
      </c>
      <c r="G202" s="24" t="str">
        <f t="shared" si="34"/>
        <v>E2.7.6.1_mRNA : E2.7.6.1_mRNA</v>
      </c>
      <c r="H202" s="25" t="str">
        <f t="shared" si="35"/>
        <v>E2.7.6.1 : E2.7.6.1</v>
      </c>
      <c r="I202" s="26" t="str">
        <f t="shared" si="38"/>
        <v>E2.7.6.1_mRNA : 0</v>
      </c>
      <c r="J202" s="27" t="str">
        <f t="shared" si="39"/>
        <v>E2.7.6.1 : 0</v>
      </c>
      <c r="K202" s="28" t="str">
        <f t="shared" si="40"/>
        <v>0.00292 - (0.0093 * E2.7.6.1_mRNA)</v>
      </c>
      <c r="L202" s="24" t="str">
        <f t="shared" si="41"/>
        <v>(0.278 * E2.7.6.1_mRNA) - (0.00000278 * E2.7.6.1)</v>
      </c>
      <c r="M202" s="29" t="str">
        <f t="shared" si="42"/>
        <v>mRNA201: -&gt; E2.7.6.1_mRNA | 0.00292 - (0.0093 * E2.7.6.1_mRNA)</v>
      </c>
      <c r="N202" s="22" t="str">
        <f t="shared" si="43"/>
        <v>Peptide201: E2.7.6.1_mRNA -&gt; E2.7.6.1 | (0.278 * E2.7.6.1_mRNA) - (0.000000278 * E2.7.6.1)</v>
      </c>
    </row>
    <row r="203" spans="1:14">
      <c r="A203">
        <v>202</v>
      </c>
      <c r="B203" s="4" t="s">
        <v>7771</v>
      </c>
      <c r="C203" s="4" t="str">
        <f t="shared" si="36"/>
        <v>E2.7.6.3_mRNA</v>
      </c>
      <c r="D203" s="4" t="s">
        <v>13116</v>
      </c>
      <c r="E203" s="22" t="str">
        <f t="shared" si="37"/>
        <v>E2.7.6.3_kcat : 13.7</v>
      </c>
      <c r="F203" s="23" t="str">
        <f t="shared" si="33"/>
        <v>E2.7.6.3_km : 1</v>
      </c>
      <c r="G203" s="24" t="str">
        <f t="shared" si="34"/>
        <v>E2.7.6.3_mRNA : E2.7.6.3_mRNA</v>
      </c>
      <c r="H203" s="25" t="str">
        <f t="shared" si="35"/>
        <v>E2.7.6.3 : E2.7.6.3</v>
      </c>
      <c r="I203" s="26" t="str">
        <f t="shared" si="38"/>
        <v>E2.7.6.3_mRNA : 0</v>
      </c>
      <c r="J203" s="27" t="str">
        <f t="shared" si="39"/>
        <v>E2.7.6.3 : 0</v>
      </c>
      <c r="K203" s="28" t="str">
        <f t="shared" si="40"/>
        <v>0.00292 - (0.0093 * E2.7.6.3_mRNA)</v>
      </c>
      <c r="L203" s="24" t="str">
        <f t="shared" si="41"/>
        <v>(0.278 * E2.7.6.3_mRNA) - (0.00000278 * E2.7.6.3)</v>
      </c>
      <c r="M203" s="29" t="str">
        <f t="shared" si="42"/>
        <v>mRNA202: -&gt; E2.7.6.3_mRNA | 0.00292 - (0.0093 * E2.7.6.3_mRNA)</v>
      </c>
      <c r="N203" s="22" t="str">
        <f t="shared" si="43"/>
        <v>Peptide202: E2.7.6.3_mRNA -&gt; E2.7.6.3 | (0.278 * E2.7.6.3_mRNA) - (0.000000278 * E2.7.6.3)</v>
      </c>
    </row>
    <row r="204" spans="1:14">
      <c r="A204">
        <v>203</v>
      </c>
      <c r="B204" s="4" t="s">
        <v>7660</v>
      </c>
      <c r="C204" s="4" t="str">
        <f t="shared" si="36"/>
        <v>E2.7.6.5_mRNA</v>
      </c>
      <c r="D204" s="4" t="s">
        <v>13020</v>
      </c>
      <c r="E204" s="22" t="str">
        <f t="shared" si="37"/>
        <v>E2.7.6.5_kcat : 13.7</v>
      </c>
      <c r="F204" s="23" t="str">
        <f t="shared" si="33"/>
        <v>E2.7.6.5_km : 1</v>
      </c>
      <c r="G204" s="24" t="str">
        <f t="shared" si="34"/>
        <v>E2.7.6.5_mRNA : E2.7.6.5_mRNA</v>
      </c>
      <c r="H204" s="25" t="str">
        <f t="shared" si="35"/>
        <v>E2.7.6.5 : E2.7.6.5</v>
      </c>
      <c r="I204" s="26" t="str">
        <f t="shared" si="38"/>
        <v>E2.7.6.5_mRNA : 0</v>
      </c>
      <c r="J204" s="27" t="str">
        <f t="shared" si="39"/>
        <v>E2.7.6.5 : 0</v>
      </c>
      <c r="K204" s="28" t="str">
        <f t="shared" si="40"/>
        <v>0.00292 - (0.0093 * E2.7.6.5_mRNA)</v>
      </c>
      <c r="L204" s="24" t="str">
        <f t="shared" si="41"/>
        <v>(0.278 * E2.7.6.5_mRNA) - (0.00000278 * E2.7.6.5)</v>
      </c>
      <c r="M204" s="29" t="str">
        <f t="shared" si="42"/>
        <v>mRNA203: -&gt; E2.7.6.5_mRNA | 0.00292 - (0.0093 * E2.7.6.5_mRNA)</v>
      </c>
      <c r="N204" s="22" t="str">
        <f t="shared" si="43"/>
        <v>Peptide203: E2.7.6.5_mRNA -&gt; E2.7.6.5 | (0.278 * E2.7.6.5_mRNA) - (0.000000278 * E2.7.6.5)</v>
      </c>
    </row>
    <row r="205" spans="1:14">
      <c r="A205">
        <v>204</v>
      </c>
      <c r="B205" s="4" t="s">
        <v>7418</v>
      </c>
      <c r="C205" s="4" t="str">
        <f t="shared" si="36"/>
        <v>E2.7.7.12_mRNA</v>
      </c>
      <c r="D205" s="4" t="s">
        <v>12851</v>
      </c>
      <c r="E205" s="22" t="str">
        <f t="shared" si="37"/>
        <v>E2.7.7.12_kcat : 13.7</v>
      </c>
      <c r="F205" s="23" t="str">
        <f t="shared" si="33"/>
        <v>E2.7.7.12_km : 1</v>
      </c>
      <c r="G205" s="24" t="str">
        <f t="shared" si="34"/>
        <v>E2.7.7.12_mRNA : E2.7.7.12_mRNA</v>
      </c>
      <c r="H205" s="25" t="str">
        <f t="shared" si="35"/>
        <v>E2.7.7.12 : E2.7.7.12</v>
      </c>
      <c r="I205" s="26" t="str">
        <f t="shared" si="38"/>
        <v>E2.7.7.12_mRNA : 0</v>
      </c>
      <c r="J205" s="27" t="str">
        <f t="shared" si="39"/>
        <v>E2.7.7.12 : 0</v>
      </c>
      <c r="K205" s="28" t="str">
        <f t="shared" si="40"/>
        <v>0.00292 - (0.0093 * E2.7.7.12_mRNA)</v>
      </c>
      <c r="L205" s="24" t="str">
        <f t="shared" si="41"/>
        <v>(0.278 * E2.7.7.12_mRNA) - (0.00000278 * E2.7.7.12)</v>
      </c>
      <c r="M205" s="29" t="str">
        <f t="shared" si="42"/>
        <v>mRNA204: -&gt; E2.7.7.12_mRNA | 0.00292 - (0.0093 * E2.7.7.12_mRNA)</v>
      </c>
      <c r="N205" s="22" t="str">
        <f t="shared" si="43"/>
        <v>Peptide204: E2.7.7.12_mRNA -&gt; E2.7.7.12 | (0.278 * E2.7.7.12_mRNA) - (0.000000278 * E2.7.7.12)</v>
      </c>
    </row>
    <row r="206" spans="1:14">
      <c r="A206">
        <v>205</v>
      </c>
      <c r="B206" s="4" t="s">
        <v>7718</v>
      </c>
      <c r="C206" s="4" t="str">
        <f t="shared" si="36"/>
        <v>E2.7.7.18_mRNA</v>
      </c>
      <c r="D206" s="4" t="s">
        <v>13068</v>
      </c>
      <c r="E206" s="22" t="str">
        <f t="shared" si="37"/>
        <v>E2.7.7.18_kcat : 13.7</v>
      </c>
      <c r="F206" s="23" t="str">
        <f t="shared" si="33"/>
        <v>E2.7.7.18_km : 1</v>
      </c>
      <c r="G206" s="24" t="str">
        <f t="shared" si="34"/>
        <v>E2.7.7.18_mRNA : E2.7.7.18_mRNA</v>
      </c>
      <c r="H206" s="25" t="str">
        <f t="shared" si="35"/>
        <v>E2.7.7.18 : E2.7.7.18</v>
      </c>
      <c r="I206" s="26" t="str">
        <f t="shared" si="38"/>
        <v>E2.7.7.18_mRNA : 0</v>
      </c>
      <c r="J206" s="27" t="str">
        <f t="shared" si="39"/>
        <v>E2.7.7.18 : 0</v>
      </c>
      <c r="K206" s="28" t="str">
        <f t="shared" si="40"/>
        <v>0.00292 - (0.0093 * E2.7.7.18_mRNA)</v>
      </c>
      <c r="L206" s="24" t="str">
        <f t="shared" si="41"/>
        <v>(0.278 * E2.7.7.18_mRNA) - (0.00000278 * E2.7.7.18)</v>
      </c>
      <c r="M206" s="29" t="str">
        <f t="shared" si="42"/>
        <v>mRNA205: -&gt; E2.7.7.18_mRNA | 0.00292 - (0.0093 * E2.7.7.18_mRNA)</v>
      </c>
      <c r="N206" s="22" t="str">
        <f t="shared" si="43"/>
        <v>Peptide205: E2.7.7.18_mRNA -&gt; E2.7.7.18 | (0.278 * E2.7.7.18_mRNA) - (0.000000278 * E2.7.7.18)</v>
      </c>
    </row>
    <row r="207" spans="1:14">
      <c r="A207">
        <v>206</v>
      </c>
      <c r="B207" s="4" t="s">
        <v>7338</v>
      </c>
      <c r="C207" s="4" t="str">
        <f t="shared" si="36"/>
        <v>E2.7.7.24_mRNA</v>
      </c>
      <c r="D207" s="4" t="s">
        <v>12793</v>
      </c>
      <c r="E207" s="22" t="str">
        <f t="shared" si="37"/>
        <v>E2.7.7.24_kcat : 13.7</v>
      </c>
      <c r="F207" s="23" t="str">
        <f t="shared" si="33"/>
        <v>E2.7.7.24_km : 1</v>
      </c>
      <c r="G207" s="24" t="str">
        <f t="shared" si="34"/>
        <v>E2.7.7.24_mRNA : E2.7.7.24_mRNA</v>
      </c>
      <c r="H207" s="25" t="str">
        <f t="shared" si="35"/>
        <v>E2.7.7.24 : E2.7.7.24</v>
      </c>
      <c r="I207" s="26" t="str">
        <f t="shared" si="38"/>
        <v>E2.7.7.24_mRNA : 0</v>
      </c>
      <c r="J207" s="27" t="str">
        <f t="shared" si="39"/>
        <v>E2.7.7.24 : 0</v>
      </c>
      <c r="K207" s="28" t="str">
        <f t="shared" si="40"/>
        <v>0.00292 - (0.0093 * E2.7.7.24_mRNA)</v>
      </c>
      <c r="L207" s="24" t="str">
        <f t="shared" si="41"/>
        <v>(0.278 * E2.7.7.24_mRNA) - (0.00000278 * E2.7.7.24)</v>
      </c>
      <c r="M207" s="29" t="str">
        <f t="shared" si="42"/>
        <v>mRNA206: -&gt; E2.7.7.24_mRNA | 0.00292 - (0.0093 * E2.7.7.24_mRNA)</v>
      </c>
      <c r="N207" s="22" t="str">
        <f t="shared" si="43"/>
        <v>Peptide206: E2.7.7.24_mRNA -&gt; E2.7.7.24 | (0.278 * E2.7.7.24_mRNA) - (0.000000278 * E2.7.7.24)</v>
      </c>
    </row>
    <row r="208" spans="1:14">
      <c r="A208">
        <v>207</v>
      </c>
      <c r="B208" s="4" t="s">
        <v>7535</v>
      </c>
      <c r="C208" s="4" t="str">
        <f t="shared" si="36"/>
        <v>E2.7.7.3_mRNA</v>
      </c>
      <c r="D208" s="4" t="s">
        <v>12926</v>
      </c>
      <c r="E208" s="22" t="str">
        <f t="shared" si="37"/>
        <v>E2.7.7.3_kcat : 13.7</v>
      </c>
      <c r="F208" s="23" t="str">
        <f t="shared" si="33"/>
        <v>E2.7.7.3_km : 1</v>
      </c>
      <c r="G208" s="24" t="str">
        <f t="shared" si="34"/>
        <v>E2.7.7.3_mRNA : E2.7.7.3_mRNA</v>
      </c>
      <c r="H208" s="25" t="str">
        <f t="shared" si="35"/>
        <v>E2.7.7.3 : E2.7.7.3</v>
      </c>
      <c r="I208" s="26" t="str">
        <f t="shared" si="38"/>
        <v>E2.7.7.3_mRNA : 0</v>
      </c>
      <c r="J208" s="27" t="str">
        <f t="shared" si="39"/>
        <v>E2.7.7.3 : 0</v>
      </c>
      <c r="K208" s="28" t="str">
        <f t="shared" si="40"/>
        <v>0.00292 - (0.0093 * E2.7.7.3_mRNA)</v>
      </c>
      <c r="L208" s="24" t="str">
        <f t="shared" si="41"/>
        <v>(0.278 * E2.7.7.3_mRNA) - (0.00000278 * E2.7.7.3)</v>
      </c>
      <c r="M208" s="29" t="str">
        <f t="shared" si="42"/>
        <v>mRNA207: -&gt; E2.7.7.3_mRNA | 0.00292 - (0.0093 * E2.7.7.3_mRNA)</v>
      </c>
      <c r="N208" s="22" t="str">
        <f t="shared" si="43"/>
        <v>Peptide207: E2.7.7.3_mRNA -&gt; E2.7.7.3 | (0.278 * E2.7.7.3_mRNA) - (0.000000278 * E2.7.7.3)</v>
      </c>
    </row>
    <row r="209" spans="1:14">
      <c r="A209">
        <v>208</v>
      </c>
      <c r="B209" s="4" t="s">
        <v>7818</v>
      </c>
      <c r="C209" s="4" t="str">
        <f t="shared" si="36"/>
        <v>E2.7.7.4_mRNA</v>
      </c>
      <c r="D209" s="4" t="s">
        <v>13132</v>
      </c>
      <c r="E209" s="22" t="str">
        <f t="shared" si="37"/>
        <v>E2.7.7.4_kcat : 13.7</v>
      </c>
      <c r="F209" s="23" t="str">
        <f t="shared" si="33"/>
        <v>E2.7.7.4_km : 1</v>
      </c>
      <c r="G209" s="24" t="str">
        <f t="shared" si="34"/>
        <v>E2.7.7.4_mRNA : E2.7.7.4_mRNA</v>
      </c>
      <c r="H209" s="25" t="str">
        <f t="shared" si="35"/>
        <v>E2.7.7.4 : E2.7.7.4</v>
      </c>
      <c r="I209" s="26" t="str">
        <f t="shared" si="38"/>
        <v>E2.7.7.4_mRNA : 0</v>
      </c>
      <c r="J209" s="27" t="str">
        <f t="shared" si="39"/>
        <v>E2.7.7.4 : 0</v>
      </c>
      <c r="K209" s="28" t="str">
        <f t="shared" si="40"/>
        <v>0.00292 - (0.0093 * E2.7.7.4_mRNA)</v>
      </c>
      <c r="L209" s="24" t="str">
        <f t="shared" si="41"/>
        <v>(0.278 * E2.7.7.4_mRNA) - (0.00000278 * E2.7.7.4)</v>
      </c>
      <c r="M209" s="29" t="str">
        <f t="shared" si="42"/>
        <v>mRNA208: -&gt; E2.7.7.4_mRNA | 0.00292 - (0.0093 * E2.7.7.4_mRNA)</v>
      </c>
      <c r="N209" s="22" t="str">
        <f t="shared" si="43"/>
        <v>Peptide208: E2.7.7.4_mRNA -&gt; E2.7.7.4 | (0.278 * E2.7.7.4_mRNA) - (0.000000278 * E2.7.7.4)</v>
      </c>
    </row>
    <row r="210" spans="1:14">
      <c r="A210">
        <v>209</v>
      </c>
      <c r="B210" s="4" t="s">
        <v>7642</v>
      </c>
      <c r="C210" s="4" t="str">
        <f t="shared" si="36"/>
        <v>E2.7.7.41_mRNA</v>
      </c>
      <c r="D210" s="4" t="s">
        <v>13008</v>
      </c>
      <c r="E210" s="22" t="str">
        <f t="shared" si="37"/>
        <v>E2.7.7.41_kcat : 13.7</v>
      </c>
      <c r="F210" s="23" t="str">
        <f t="shared" si="33"/>
        <v>E2.7.7.41_km : 1</v>
      </c>
      <c r="G210" s="24" t="str">
        <f t="shared" si="34"/>
        <v>E2.7.7.41_mRNA : E2.7.7.41_mRNA</v>
      </c>
      <c r="H210" s="25" t="str">
        <f t="shared" si="35"/>
        <v>E2.7.7.41 : E2.7.7.41</v>
      </c>
      <c r="I210" s="26" t="str">
        <f t="shared" si="38"/>
        <v>E2.7.7.41_mRNA : 0</v>
      </c>
      <c r="J210" s="27" t="str">
        <f t="shared" si="39"/>
        <v>E2.7.7.41 : 0</v>
      </c>
      <c r="K210" s="28" t="str">
        <f t="shared" si="40"/>
        <v>0.00292 - (0.0093 * E2.7.7.41_mRNA)</v>
      </c>
      <c r="L210" s="24" t="str">
        <f t="shared" si="41"/>
        <v>(0.278 * E2.7.7.41_mRNA) - (0.00000278 * E2.7.7.41)</v>
      </c>
      <c r="M210" s="29" t="str">
        <f t="shared" si="42"/>
        <v>mRNA209: -&gt; E2.7.7.41_mRNA | 0.00292 - (0.0093 * E2.7.7.41_mRNA)</v>
      </c>
      <c r="N210" s="22" t="str">
        <f t="shared" si="43"/>
        <v>Peptide209: E2.7.7.41_mRNA -&gt; E2.7.7.41 | (0.278 * E2.7.7.41_mRNA) - (0.000000278 * E2.7.7.41)</v>
      </c>
    </row>
    <row r="211" spans="1:14">
      <c r="A211">
        <v>210</v>
      </c>
      <c r="B211" s="4" t="s">
        <v>7692</v>
      </c>
      <c r="C211" s="4" t="str">
        <f t="shared" si="36"/>
        <v>E2.7.7.42_mRNA</v>
      </c>
      <c r="D211" s="4" t="s">
        <v>13047</v>
      </c>
      <c r="E211" s="22" t="str">
        <f t="shared" si="37"/>
        <v>E2.7.7.42_kcat : 13.7</v>
      </c>
      <c r="F211" s="23" t="str">
        <f t="shared" si="33"/>
        <v>E2.7.7.42_km : 1</v>
      </c>
      <c r="G211" s="24" t="str">
        <f t="shared" si="34"/>
        <v>E2.7.7.42_mRNA : E2.7.7.42_mRNA</v>
      </c>
      <c r="H211" s="25" t="str">
        <f t="shared" si="35"/>
        <v>E2.7.7.42 : E2.7.7.42</v>
      </c>
      <c r="I211" s="26" t="str">
        <f t="shared" si="38"/>
        <v>E2.7.7.42_mRNA : 0</v>
      </c>
      <c r="J211" s="27" t="str">
        <f t="shared" si="39"/>
        <v>E2.7.7.42 : 0</v>
      </c>
      <c r="K211" s="28" t="str">
        <f t="shared" si="40"/>
        <v>0.00292 - (0.0093 * E2.7.7.42_mRNA)</v>
      </c>
      <c r="L211" s="24" t="str">
        <f t="shared" si="41"/>
        <v>(0.278 * E2.7.7.42_mRNA) - (0.00000278 * E2.7.7.42)</v>
      </c>
      <c r="M211" s="29" t="str">
        <f t="shared" si="42"/>
        <v>mRNA210: -&gt; E2.7.7.42_mRNA | 0.00292 - (0.0093 * E2.7.7.42_mRNA)</v>
      </c>
      <c r="N211" s="22" t="str">
        <f t="shared" si="43"/>
        <v>Peptide210: E2.7.7.42_mRNA -&gt; E2.7.7.42 | (0.278 * E2.7.7.42_mRNA) - (0.000000278 * E2.7.7.42)</v>
      </c>
    </row>
    <row r="212" spans="1:14">
      <c r="A212">
        <v>211</v>
      </c>
      <c r="B212" s="4" t="s">
        <v>7611</v>
      </c>
      <c r="C212" s="4" t="str">
        <f t="shared" si="36"/>
        <v>E2.7.7.53_mRNA</v>
      </c>
      <c r="D212" s="4" t="s">
        <v>12986</v>
      </c>
      <c r="E212" s="22" t="str">
        <f t="shared" si="37"/>
        <v>E2.7.7.53_kcat : 13.7</v>
      </c>
      <c r="F212" s="23" t="str">
        <f t="shared" si="33"/>
        <v>E2.7.7.53_km : 1</v>
      </c>
      <c r="G212" s="24" t="str">
        <f t="shared" si="34"/>
        <v>E2.7.7.53_mRNA : E2.7.7.53_mRNA</v>
      </c>
      <c r="H212" s="25" t="str">
        <f t="shared" si="35"/>
        <v>E2.7.7.53 : E2.7.7.53</v>
      </c>
      <c r="I212" s="26" t="str">
        <f t="shared" si="38"/>
        <v>E2.7.7.53_mRNA : 0</v>
      </c>
      <c r="J212" s="27" t="str">
        <f t="shared" si="39"/>
        <v>E2.7.7.53 : 0</v>
      </c>
      <c r="K212" s="28" t="str">
        <f t="shared" si="40"/>
        <v>0.00292 - (0.0093 * E2.7.7.53_mRNA)</v>
      </c>
      <c r="L212" s="24" t="str">
        <f t="shared" si="41"/>
        <v>(0.278 * E2.7.7.53_mRNA) - (0.00000278 * E2.7.7.53)</v>
      </c>
      <c r="M212" s="29" t="str">
        <f t="shared" si="42"/>
        <v>mRNA211: -&gt; E2.7.7.53_mRNA | 0.00292 - (0.0093 * E2.7.7.53_mRNA)</v>
      </c>
      <c r="N212" s="22" t="str">
        <f t="shared" si="43"/>
        <v>Peptide211: E2.7.7.53_mRNA -&gt; E2.7.7.53 | (0.278 * E2.7.7.53_mRNA) - (0.000000278 * E2.7.7.53)</v>
      </c>
    </row>
    <row r="213" spans="1:14">
      <c r="A213">
        <v>212</v>
      </c>
      <c r="B213" s="4" t="s">
        <v>7742</v>
      </c>
      <c r="C213" s="4" t="str">
        <f t="shared" si="36"/>
        <v>E2.7.7.56_mRNA</v>
      </c>
      <c r="D213" s="4" t="s">
        <v>13090</v>
      </c>
      <c r="E213" s="22" t="str">
        <f t="shared" si="37"/>
        <v>E2.7.7.56_kcat : 13.7</v>
      </c>
      <c r="F213" s="23" t="str">
        <f t="shared" si="33"/>
        <v>E2.7.7.56_km : 1</v>
      </c>
      <c r="G213" s="24" t="str">
        <f t="shared" si="34"/>
        <v>E2.7.7.56_mRNA : E2.7.7.56_mRNA</v>
      </c>
      <c r="H213" s="25" t="str">
        <f t="shared" si="35"/>
        <v>E2.7.7.56 : E2.7.7.56</v>
      </c>
      <c r="I213" s="26" t="str">
        <f t="shared" si="38"/>
        <v>E2.7.7.56_mRNA : 0</v>
      </c>
      <c r="J213" s="27" t="str">
        <f t="shared" si="39"/>
        <v>E2.7.7.56 : 0</v>
      </c>
      <c r="K213" s="28" t="str">
        <f t="shared" si="40"/>
        <v>0.00292 - (0.0093 * E2.7.7.56_mRNA)</v>
      </c>
      <c r="L213" s="24" t="str">
        <f t="shared" si="41"/>
        <v>(0.278 * E2.7.7.56_mRNA) - (0.00000278 * E2.7.7.56)</v>
      </c>
      <c r="M213" s="29" t="str">
        <f t="shared" si="42"/>
        <v>mRNA212: -&gt; E2.7.7.56_mRNA | 0.00292 - (0.0093 * E2.7.7.56_mRNA)</v>
      </c>
      <c r="N213" s="22" t="str">
        <f t="shared" si="43"/>
        <v>Peptide212: E2.7.7.56_mRNA -&gt; E2.7.7.56 | (0.278 * E2.7.7.56_mRNA) - (0.000000278 * E2.7.7.56)</v>
      </c>
    </row>
    <row r="214" spans="1:14">
      <c r="A214">
        <v>213</v>
      </c>
      <c r="B214" s="4" t="s">
        <v>7374</v>
      </c>
      <c r="C214" s="4" t="str">
        <f t="shared" si="36"/>
        <v>E2.7.7.6_mRNA</v>
      </c>
      <c r="D214" s="4" t="s">
        <v>12823</v>
      </c>
      <c r="E214" s="22" t="str">
        <f t="shared" si="37"/>
        <v>E2.7.7.6_kcat : 13.7</v>
      </c>
      <c r="F214" s="23" t="str">
        <f t="shared" si="33"/>
        <v>E2.7.7.6_km : 1</v>
      </c>
      <c r="G214" s="24" t="str">
        <f t="shared" si="34"/>
        <v>E2.7.7.6_mRNA : E2.7.7.6_mRNA</v>
      </c>
      <c r="H214" s="25" t="str">
        <f t="shared" si="35"/>
        <v>E2.7.7.6 : E2.7.7.6</v>
      </c>
      <c r="I214" s="26" t="str">
        <f t="shared" si="38"/>
        <v>E2.7.7.6_mRNA : 0</v>
      </c>
      <c r="J214" s="27" t="str">
        <f t="shared" si="39"/>
        <v>E2.7.7.6 : 0</v>
      </c>
      <c r="K214" s="28" t="str">
        <f t="shared" si="40"/>
        <v>0.00292 - (0.0093 * E2.7.7.6_mRNA)</v>
      </c>
      <c r="L214" s="24" t="str">
        <f t="shared" si="41"/>
        <v>(0.278 * E2.7.7.6_mRNA) - (0.00000278 * E2.7.7.6)</v>
      </c>
      <c r="M214" s="29" t="str">
        <f t="shared" si="42"/>
        <v>mRNA213: -&gt; E2.7.7.6_mRNA | 0.00292 - (0.0093 * E2.7.7.6_mRNA)</v>
      </c>
      <c r="N214" s="22" t="str">
        <f t="shared" si="43"/>
        <v>Peptide213: E2.7.7.6_mRNA -&gt; E2.7.7.6 | (0.278 * E2.7.7.6_mRNA) - (0.000000278 * E2.7.7.6)</v>
      </c>
    </row>
    <row r="215" spans="1:14">
      <c r="A215">
        <v>214</v>
      </c>
      <c r="B215" s="4" t="s">
        <v>7765</v>
      </c>
      <c r="C215" s="4" t="str">
        <f t="shared" si="36"/>
        <v>E2.7.7.60_mRNA</v>
      </c>
      <c r="D215" s="4" t="s">
        <v>13111</v>
      </c>
      <c r="E215" s="22" t="str">
        <f t="shared" si="37"/>
        <v>E2.7.7.60_kcat : 13.7</v>
      </c>
      <c r="F215" s="23" t="str">
        <f t="shared" si="33"/>
        <v>E2.7.7.60_km : 1</v>
      </c>
      <c r="G215" s="24" t="str">
        <f t="shared" si="34"/>
        <v>E2.7.7.60_mRNA : E2.7.7.60_mRNA</v>
      </c>
      <c r="H215" s="25" t="str">
        <f t="shared" si="35"/>
        <v>E2.7.7.60 : E2.7.7.60</v>
      </c>
      <c r="I215" s="26" t="str">
        <f t="shared" si="38"/>
        <v>E2.7.7.60_mRNA : 0</v>
      </c>
      <c r="J215" s="27" t="str">
        <f t="shared" si="39"/>
        <v>E2.7.7.60 : 0</v>
      </c>
      <c r="K215" s="28" t="str">
        <f t="shared" si="40"/>
        <v>0.00292 - (0.0093 * E2.7.7.60_mRNA)</v>
      </c>
      <c r="L215" s="24" t="str">
        <f t="shared" si="41"/>
        <v>(0.278 * E2.7.7.60_mRNA) - (0.00000278 * E2.7.7.60)</v>
      </c>
      <c r="M215" s="29" t="str">
        <f t="shared" si="42"/>
        <v>mRNA214: -&gt; E2.7.7.60_mRNA | 0.00292 - (0.0093 * E2.7.7.60_mRNA)</v>
      </c>
      <c r="N215" s="22" t="str">
        <f t="shared" si="43"/>
        <v>Peptide214: E2.7.7.60_mRNA -&gt; E2.7.7.60 | (0.278 * E2.7.7.60_mRNA) - (0.000000278 * E2.7.7.60)</v>
      </c>
    </row>
    <row r="216" spans="1:14">
      <c r="A216">
        <v>215</v>
      </c>
      <c r="B216" s="4" t="s">
        <v>7279</v>
      </c>
      <c r="C216" s="4" t="str">
        <f t="shared" si="36"/>
        <v>E2.7.7.7_mRNA</v>
      </c>
      <c r="D216" s="4" t="s">
        <v>12744</v>
      </c>
      <c r="E216" s="22" t="str">
        <f t="shared" si="37"/>
        <v>E2.7.7.7_kcat : 13.7</v>
      </c>
      <c r="F216" s="23" t="str">
        <f t="shared" si="33"/>
        <v>E2.7.7.7_km : 1</v>
      </c>
      <c r="G216" s="24" t="str">
        <f t="shared" si="34"/>
        <v>E2.7.7.7_mRNA : E2.7.7.7_mRNA</v>
      </c>
      <c r="H216" s="25" t="str">
        <f t="shared" si="35"/>
        <v>E2.7.7.7 : E2.7.7.7</v>
      </c>
      <c r="I216" s="26" t="str">
        <f t="shared" si="38"/>
        <v>E2.7.7.7_mRNA : 0</v>
      </c>
      <c r="J216" s="27" t="str">
        <f t="shared" si="39"/>
        <v>E2.7.7.7 : 0</v>
      </c>
      <c r="K216" s="28" t="str">
        <f t="shared" si="40"/>
        <v>0.00292 - (0.0093 * E2.7.7.7_mRNA)</v>
      </c>
      <c r="L216" s="24" t="str">
        <f t="shared" si="41"/>
        <v>(0.278 * E2.7.7.7_mRNA) - (0.00000278 * E2.7.7.7)</v>
      </c>
      <c r="M216" s="29" t="str">
        <f t="shared" si="42"/>
        <v>mRNA215: -&gt; E2.7.7.7_mRNA | 0.00292 - (0.0093 * E2.7.7.7_mRNA)</v>
      </c>
      <c r="N216" s="22" t="str">
        <f t="shared" si="43"/>
        <v>Peptide215: E2.7.7.7_mRNA -&gt; E2.7.7.7 | (0.278 * E2.7.7.7_mRNA) - (0.000000278 * E2.7.7.7)</v>
      </c>
    </row>
    <row r="217" spans="1:14">
      <c r="A217">
        <v>216</v>
      </c>
      <c r="B217" s="4" t="s">
        <v>7785</v>
      </c>
      <c r="C217" s="4" t="str">
        <f t="shared" si="36"/>
        <v>E2.7.7.72_mRNA</v>
      </c>
      <c r="D217" s="4" t="s">
        <v>13162</v>
      </c>
      <c r="E217" s="22" t="str">
        <f t="shared" si="37"/>
        <v>E2.7.7.72_kcat : 13.7</v>
      </c>
      <c r="F217" s="23" t="str">
        <f t="shared" si="33"/>
        <v>E2.7.7.72_km : 1</v>
      </c>
      <c r="G217" s="24" t="str">
        <f t="shared" si="34"/>
        <v>E2.7.7.72_mRNA : E2.7.7.72_mRNA</v>
      </c>
      <c r="H217" s="25" t="str">
        <f t="shared" si="35"/>
        <v>E2.7.7.72 : E2.7.7.72</v>
      </c>
      <c r="I217" s="26" t="str">
        <f t="shared" si="38"/>
        <v>E2.7.7.72_mRNA : 0</v>
      </c>
      <c r="J217" s="27" t="str">
        <f t="shared" si="39"/>
        <v>E2.7.7.72 : 0</v>
      </c>
      <c r="K217" s="28" t="str">
        <f t="shared" si="40"/>
        <v>0.00292 - (0.0093 * E2.7.7.72_mRNA)</v>
      </c>
      <c r="L217" s="24" t="str">
        <f t="shared" si="41"/>
        <v>(0.278 * E2.7.7.72_mRNA) - (0.00000278 * E2.7.7.72)</v>
      </c>
      <c r="M217" s="29" t="str">
        <f t="shared" si="42"/>
        <v>mRNA216: -&gt; E2.7.7.72_mRNA | 0.00292 - (0.0093 * E2.7.7.72_mRNA)</v>
      </c>
      <c r="N217" s="22" t="str">
        <f t="shared" si="43"/>
        <v>Peptide216: E2.7.7.72_mRNA -&gt; E2.7.7.72 | (0.278 * E2.7.7.72_mRNA) - (0.000000278 * E2.7.7.72)</v>
      </c>
    </row>
    <row r="218" spans="1:14">
      <c r="A218">
        <v>217</v>
      </c>
      <c r="B218" s="4" t="s">
        <v>7633</v>
      </c>
      <c r="C218" s="4" t="str">
        <f t="shared" si="36"/>
        <v>E2.7.7.8_mRNA</v>
      </c>
      <c r="D218" s="4" t="s">
        <v>13001</v>
      </c>
      <c r="E218" s="22" t="str">
        <f t="shared" si="37"/>
        <v>E2.7.7.8_kcat : 13.7</v>
      </c>
      <c r="F218" s="23" t="str">
        <f t="shared" si="33"/>
        <v>E2.7.7.8_km : 1</v>
      </c>
      <c r="G218" s="24" t="str">
        <f t="shared" si="34"/>
        <v>E2.7.7.8_mRNA : E2.7.7.8_mRNA</v>
      </c>
      <c r="H218" s="25" t="str">
        <f t="shared" si="35"/>
        <v>E2.7.7.8 : E2.7.7.8</v>
      </c>
      <c r="I218" s="26" t="str">
        <f t="shared" si="38"/>
        <v>E2.7.7.8_mRNA : 0</v>
      </c>
      <c r="J218" s="27" t="str">
        <f t="shared" si="39"/>
        <v>E2.7.7.8 : 0</v>
      </c>
      <c r="K218" s="28" t="str">
        <f t="shared" si="40"/>
        <v>0.00292 - (0.0093 * E2.7.7.8_mRNA)</v>
      </c>
      <c r="L218" s="24" t="str">
        <f t="shared" si="41"/>
        <v>(0.278 * E2.7.7.8_mRNA) - (0.00000278 * E2.7.7.8)</v>
      </c>
      <c r="M218" s="29" t="str">
        <f t="shared" si="42"/>
        <v>mRNA217: -&gt; E2.7.7.8_mRNA | 0.00292 - (0.0093 * E2.7.7.8_mRNA)</v>
      </c>
      <c r="N218" s="22" t="str">
        <f t="shared" si="43"/>
        <v>Peptide217: E2.7.7.8_mRNA -&gt; E2.7.7.8 | (0.278 * E2.7.7.8_mRNA) - (0.000000278 * E2.7.7.8)</v>
      </c>
    </row>
    <row r="219" spans="1:14">
      <c r="A219">
        <v>218</v>
      </c>
      <c r="B219" s="4" t="s">
        <v>7515</v>
      </c>
      <c r="C219" s="4" t="str">
        <f t="shared" si="36"/>
        <v>E2.7.7.87_mRNA</v>
      </c>
      <c r="D219" s="4" t="s">
        <v>12910</v>
      </c>
      <c r="E219" s="22" t="str">
        <f t="shared" si="37"/>
        <v>E2.7.7.87_kcat : 13.7</v>
      </c>
      <c r="F219" s="23" t="str">
        <f t="shared" si="33"/>
        <v>E2.7.7.87_km : 1</v>
      </c>
      <c r="G219" s="24" t="str">
        <f t="shared" si="34"/>
        <v>E2.7.7.87_mRNA : E2.7.7.87_mRNA</v>
      </c>
      <c r="H219" s="25" t="str">
        <f t="shared" si="35"/>
        <v>E2.7.7.87 : E2.7.7.87</v>
      </c>
      <c r="I219" s="26" t="str">
        <f t="shared" si="38"/>
        <v>E2.7.7.87_mRNA : 0</v>
      </c>
      <c r="J219" s="27" t="str">
        <f t="shared" si="39"/>
        <v>E2.7.7.87 : 0</v>
      </c>
      <c r="K219" s="28" t="str">
        <f t="shared" si="40"/>
        <v>0.00292 - (0.0093 * E2.7.7.87_mRNA)</v>
      </c>
      <c r="L219" s="24" t="str">
        <f t="shared" si="41"/>
        <v>(0.278 * E2.7.7.87_mRNA) - (0.00000278 * E2.7.7.87)</v>
      </c>
      <c r="M219" s="29" t="str">
        <f t="shared" si="42"/>
        <v>mRNA218: -&gt; E2.7.7.87_mRNA | 0.00292 - (0.0093 * E2.7.7.87_mRNA)</v>
      </c>
      <c r="N219" s="22" t="str">
        <f t="shared" si="43"/>
        <v>Peptide218: E2.7.7.87_mRNA -&gt; E2.7.7.87 | (0.278 * E2.7.7.87_mRNA) - (0.000000278 * E2.7.7.87)</v>
      </c>
    </row>
    <row r="220" spans="1:14">
      <c r="A220">
        <v>219</v>
      </c>
      <c r="B220" s="4" t="s">
        <v>7455</v>
      </c>
      <c r="C220" s="4" t="str">
        <f t="shared" si="36"/>
        <v>E2.7.7.9_mRNA</v>
      </c>
      <c r="D220" s="4" t="s">
        <v>12868</v>
      </c>
      <c r="E220" s="22" t="str">
        <f t="shared" si="37"/>
        <v>E2.7.7.9_kcat : 13.7</v>
      </c>
      <c r="F220" s="23" t="str">
        <f t="shared" si="33"/>
        <v>E2.7.7.9_km : 1</v>
      </c>
      <c r="G220" s="24" t="str">
        <f t="shared" si="34"/>
        <v>E2.7.7.9_mRNA : E2.7.7.9_mRNA</v>
      </c>
      <c r="H220" s="25" t="str">
        <f t="shared" si="35"/>
        <v>E2.7.7.9 : E2.7.7.9</v>
      </c>
      <c r="I220" s="26" t="str">
        <f t="shared" si="38"/>
        <v>E2.7.7.9_mRNA : 0</v>
      </c>
      <c r="J220" s="27" t="str">
        <f t="shared" si="39"/>
        <v>E2.7.7.9 : 0</v>
      </c>
      <c r="K220" s="28" t="str">
        <f t="shared" si="40"/>
        <v>0.00292 - (0.0093 * E2.7.7.9_mRNA)</v>
      </c>
      <c r="L220" s="24" t="str">
        <f t="shared" si="41"/>
        <v>(0.278 * E2.7.7.9_mRNA) - (0.00000278 * E2.7.7.9)</v>
      </c>
      <c r="M220" s="29" t="str">
        <f t="shared" si="42"/>
        <v>mRNA219: -&gt; E2.7.7.9_mRNA | 0.00292 - (0.0093 * E2.7.7.9_mRNA)</v>
      </c>
      <c r="N220" s="22" t="str">
        <f t="shared" si="43"/>
        <v>Peptide219: E2.7.7.9_mRNA -&gt; E2.7.7.9 | (0.278 * E2.7.7.9_mRNA) - (0.000000278 * E2.7.7.9)</v>
      </c>
    </row>
    <row r="221" spans="1:14">
      <c r="A221">
        <v>220</v>
      </c>
      <c r="B221" s="4" t="s">
        <v>7610</v>
      </c>
      <c r="C221" s="4" t="str">
        <f t="shared" si="36"/>
        <v>E2.7.8.11_mRNA</v>
      </c>
      <c r="D221" s="4" t="s">
        <v>12985</v>
      </c>
      <c r="E221" s="22" t="str">
        <f t="shared" si="37"/>
        <v>E2.7.8.11_kcat : 13.7</v>
      </c>
      <c r="F221" s="23" t="str">
        <f t="shared" si="33"/>
        <v>E2.7.8.11_km : 1</v>
      </c>
      <c r="G221" s="24" t="str">
        <f t="shared" si="34"/>
        <v>E2.7.8.11_mRNA : E2.7.8.11_mRNA</v>
      </c>
      <c r="H221" s="25" t="str">
        <f t="shared" si="35"/>
        <v>E2.7.8.11 : E2.7.8.11</v>
      </c>
      <c r="I221" s="26" t="str">
        <f t="shared" si="38"/>
        <v>E2.7.8.11_mRNA : 0</v>
      </c>
      <c r="J221" s="27" t="str">
        <f t="shared" si="39"/>
        <v>E2.7.8.11 : 0</v>
      </c>
      <c r="K221" s="28" t="str">
        <f t="shared" si="40"/>
        <v>0.00292 - (0.0093 * E2.7.8.11_mRNA)</v>
      </c>
      <c r="L221" s="24" t="str">
        <f t="shared" si="41"/>
        <v>(0.278 * E2.7.8.11_mRNA) - (0.00000278 * E2.7.8.11)</v>
      </c>
      <c r="M221" s="29" t="str">
        <f t="shared" si="42"/>
        <v>mRNA220: -&gt; E2.7.8.11_mRNA | 0.00292 - (0.0093 * E2.7.8.11_mRNA)</v>
      </c>
      <c r="N221" s="22" t="str">
        <f t="shared" si="43"/>
        <v>Peptide220: E2.7.8.11_mRNA -&gt; E2.7.8.11 | (0.278 * E2.7.8.11_mRNA) - (0.000000278 * E2.7.8.11)</v>
      </c>
    </row>
    <row r="222" spans="1:14">
      <c r="A222">
        <v>221</v>
      </c>
      <c r="B222" s="4" t="s">
        <v>7669</v>
      </c>
      <c r="C222" s="4" t="str">
        <f t="shared" si="36"/>
        <v>E2.7.8.13_mRNA</v>
      </c>
      <c r="D222" s="4" t="s">
        <v>13027</v>
      </c>
      <c r="E222" s="22" t="str">
        <f t="shared" si="37"/>
        <v>E2.7.8.13_kcat : 13.7</v>
      </c>
      <c r="F222" s="23" t="str">
        <f t="shared" si="33"/>
        <v>E2.7.8.13_km : 1</v>
      </c>
      <c r="G222" s="24" t="str">
        <f t="shared" si="34"/>
        <v>E2.7.8.13_mRNA : E2.7.8.13_mRNA</v>
      </c>
      <c r="H222" s="25" t="str">
        <f t="shared" si="35"/>
        <v>E2.7.8.13 : E2.7.8.13</v>
      </c>
      <c r="I222" s="26" t="str">
        <f t="shared" si="38"/>
        <v>E2.7.8.13_mRNA : 0</v>
      </c>
      <c r="J222" s="27" t="str">
        <f t="shared" si="39"/>
        <v>E2.7.8.13 : 0</v>
      </c>
      <c r="K222" s="28" t="str">
        <f t="shared" si="40"/>
        <v>0.00292 - (0.0093 * E2.7.8.13_mRNA)</v>
      </c>
      <c r="L222" s="24" t="str">
        <f t="shared" si="41"/>
        <v>(0.278 * E2.7.8.13_mRNA) - (0.00000278 * E2.7.8.13)</v>
      </c>
      <c r="M222" s="29" t="str">
        <f t="shared" si="42"/>
        <v>mRNA221: -&gt; E2.7.8.13_mRNA | 0.00292 - (0.0093 * E2.7.8.13_mRNA)</v>
      </c>
      <c r="N222" s="22" t="str">
        <f t="shared" si="43"/>
        <v>Peptide221: E2.7.8.13_mRNA -&gt; E2.7.8.13 | (0.278 * E2.7.8.13_mRNA) - (0.000000278 * E2.7.8.13)</v>
      </c>
    </row>
    <row r="223" spans="1:14">
      <c r="A223">
        <v>222</v>
      </c>
      <c r="B223" s="4" t="s">
        <v>7403</v>
      </c>
      <c r="C223" s="4" t="str">
        <f t="shared" si="36"/>
        <v>E2.7.8.23_mRNA</v>
      </c>
      <c r="D223" s="4" t="s">
        <v>12839</v>
      </c>
      <c r="E223" s="22" t="str">
        <f t="shared" si="37"/>
        <v>E2.7.8.23_kcat : 13.7</v>
      </c>
      <c r="F223" s="23" t="str">
        <f t="shared" si="33"/>
        <v>E2.7.8.23_km : 1</v>
      </c>
      <c r="G223" s="24" t="str">
        <f t="shared" si="34"/>
        <v>E2.7.8.23_mRNA : E2.7.8.23_mRNA</v>
      </c>
      <c r="H223" s="25" t="str">
        <f t="shared" si="35"/>
        <v>E2.7.8.23 : E2.7.8.23</v>
      </c>
      <c r="I223" s="26" t="str">
        <f t="shared" si="38"/>
        <v>E2.7.8.23_mRNA : 0</v>
      </c>
      <c r="J223" s="27" t="str">
        <f t="shared" si="39"/>
        <v>E2.7.8.23 : 0</v>
      </c>
      <c r="K223" s="28" t="str">
        <f t="shared" si="40"/>
        <v>0.00292 - (0.0093 * E2.7.8.23_mRNA)</v>
      </c>
      <c r="L223" s="24" t="str">
        <f t="shared" si="41"/>
        <v>(0.278 * E2.7.8.23_mRNA) - (0.00000278 * E2.7.8.23)</v>
      </c>
      <c r="M223" s="29" t="str">
        <f t="shared" si="42"/>
        <v>mRNA222: -&gt; E2.7.8.23_mRNA | 0.00292 - (0.0093 * E2.7.8.23_mRNA)</v>
      </c>
      <c r="N223" s="22" t="str">
        <f t="shared" si="43"/>
        <v>Peptide222: E2.7.8.23_mRNA -&gt; E2.7.8.23 | (0.278 * E2.7.8.23_mRNA) - (0.000000278 * E2.7.8.23)</v>
      </c>
    </row>
    <row r="224" spans="1:14">
      <c r="A224">
        <v>223</v>
      </c>
      <c r="B224" s="4" t="s">
        <v>7629</v>
      </c>
      <c r="C224" s="4" t="str">
        <f t="shared" si="36"/>
        <v>E2.7.8.5_mRNA</v>
      </c>
      <c r="D224" s="4" t="s">
        <v>12999</v>
      </c>
      <c r="E224" s="22" t="str">
        <f t="shared" si="37"/>
        <v>E2.7.8.5_kcat : 13.7</v>
      </c>
      <c r="F224" s="23" t="str">
        <f t="shared" si="33"/>
        <v>E2.7.8.5_km : 1</v>
      </c>
      <c r="G224" s="24" t="str">
        <f t="shared" si="34"/>
        <v>E2.7.8.5_mRNA : E2.7.8.5_mRNA</v>
      </c>
      <c r="H224" s="25" t="str">
        <f t="shared" si="35"/>
        <v>E2.7.8.5 : E2.7.8.5</v>
      </c>
      <c r="I224" s="26" t="str">
        <f t="shared" si="38"/>
        <v>E2.7.8.5_mRNA : 0</v>
      </c>
      <c r="J224" s="27" t="str">
        <f t="shared" si="39"/>
        <v>E2.7.8.5 : 0</v>
      </c>
      <c r="K224" s="28" t="str">
        <f t="shared" si="40"/>
        <v>0.00292 - (0.0093 * E2.7.8.5_mRNA)</v>
      </c>
      <c r="L224" s="24" t="str">
        <f t="shared" si="41"/>
        <v>(0.278 * E2.7.8.5_mRNA) - (0.00000278 * E2.7.8.5)</v>
      </c>
      <c r="M224" s="29" t="str">
        <f t="shared" si="42"/>
        <v>mRNA223: -&gt; E2.7.8.5_mRNA | 0.00292 - (0.0093 * E2.7.8.5_mRNA)</v>
      </c>
      <c r="N224" s="22" t="str">
        <f t="shared" si="43"/>
        <v>Peptide223: E2.7.8.5_mRNA -&gt; E2.7.8.5 | (0.278 * E2.7.8.5_mRNA) - (0.000000278 * E2.7.8.5)</v>
      </c>
    </row>
    <row r="225" spans="1:14">
      <c r="A225">
        <v>224</v>
      </c>
      <c r="B225" s="4" t="s">
        <v>7635</v>
      </c>
      <c r="C225" s="4" t="str">
        <f t="shared" si="36"/>
        <v>E2.7.8.7_mRNA</v>
      </c>
      <c r="D225" s="4" t="s">
        <v>13002</v>
      </c>
      <c r="E225" s="22" t="str">
        <f t="shared" si="37"/>
        <v>E2.7.8.7_kcat : 13.7</v>
      </c>
      <c r="F225" s="23" t="str">
        <f t="shared" si="33"/>
        <v>E2.7.8.7_km : 1</v>
      </c>
      <c r="G225" s="24" t="str">
        <f t="shared" si="34"/>
        <v>E2.7.8.7_mRNA : E2.7.8.7_mRNA</v>
      </c>
      <c r="H225" s="25" t="str">
        <f t="shared" si="35"/>
        <v>E2.7.8.7 : E2.7.8.7</v>
      </c>
      <c r="I225" s="26" t="str">
        <f t="shared" si="38"/>
        <v>E2.7.8.7_mRNA : 0</v>
      </c>
      <c r="J225" s="27" t="str">
        <f t="shared" si="39"/>
        <v>E2.7.8.7 : 0</v>
      </c>
      <c r="K225" s="28" t="str">
        <f t="shared" si="40"/>
        <v>0.00292 - (0.0093 * E2.7.8.7_mRNA)</v>
      </c>
      <c r="L225" s="24" t="str">
        <f t="shared" si="41"/>
        <v>(0.278 * E2.7.8.7_mRNA) - (0.00000278 * E2.7.8.7)</v>
      </c>
      <c r="M225" s="29" t="str">
        <f t="shared" si="42"/>
        <v>mRNA224: -&gt; E2.7.8.7_mRNA | 0.00292 - (0.0093 * E2.7.8.7_mRNA)</v>
      </c>
      <c r="N225" s="22" t="str">
        <f t="shared" si="43"/>
        <v>Peptide224: E2.7.8.7_mRNA -&gt; E2.7.8.7 | (0.278 * E2.7.8.7_mRNA) - (0.000000278 * E2.7.8.7)</v>
      </c>
    </row>
    <row r="226" spans="1:14">
      <c r="A226">
        <v>225</v>
      </c>
      <c r="B226" s="4" t="s">
        <v>7492</v>
      </c>
      <c r="C226" s="4" t="str">
        <f t="shared" si="36"/>
        <v>E2.7.9.3_mRNA</v>
      </c>
      <c r="D226" s="4" t="s">
        <v>12893</v>
      </c>
      <c r="E226" s="22" t="str">
        <f t="shared" si="37"/>
        <v>E2.7.9.3_kcat : 13.7</v>
      </c>
      <c r="F226" s="23" t="str">
        <f t="shared" si="33"/>
        <v>E2.7.9.3_km : 1</v>
      </c>
      <c r="G226" s="24" t="str">
        <f t="shared" si="34"/>
        <v>E2.7.9.3_mRNA : E2.7.9.3_mRNA</v>
      </c>
      <c r="H226" s="25" t="str">
        <f t="shared" si="35"/>
        <v>E2.7.9.3 : E2.7.9.3</v>
      </c>
      <c r="I226" s="26" t="str">
        <f t="shared" si="38"/>
        <v>E2.7.9.3_mRNA : 0</v>
      </c>
      <c r="J226" s="27" t="str">
        <f t="shared" si="39"/>
        <v>E2.7.9.3 : 0</v>
      </c>
      <c r="K226" s="28" t="str">
        <f t="shared" si="40"/>
        <v>0.00292 - (0.0093 * E2.7.9.3_mRNA)</v>
      </c>
      <c r="L226" s="24" t="str">
        <f t="shared" si="41"/>
        <v>(0.278 * E2.7.9.3_mRNA) - (0.00000278 * E2.7.9.3)</v>
      </c>
      <c r="M226" s="29" t="str">
        <f t="shared" si="42"/>
        <v>mRNA225: -&gt; E2.7.9.3_mRNA | 0.00292 - (0.0093 * E2.7.9.3_mRNA)</v>
      </c>
      <c r="N226" s="22" t="str">
        <f t="shared" si="43"/>
        <v>Peptide225: E2.7.9.3_mRNA -&gt; E2.7.9.3 | (0.278 * E2.7.9.3_mRNA) - (0.000000278 * E2.7.9.3)</v>
      </c>
    </row>
    <row r="227" spans="1:14">
      <c r="A227">
        <v>226</v>
      </c>
      <c r="B227" s="4" t="s">
        <v>7407</v>
      </c>
      <c r="C227" s="4" t="str">
        <f t="shared" si="36"/>
        <v>E2.8.1.1_mRNA</v>
      </c>
      <c r="D227" s="4" t="s">
        <v>12843</v>
      </c>
      <c r="E227" s="22" t="str">
        <f t="shared" si="37"/>
        <v>E2.8.1.1_kcat : 13.7</v>
      </c>
      <c r="F227" s="23" t="str">
        <f t="shared" si="33"/>
        <v>E2.8.1.1_km : 1</v>
      </c>
      <c r="G227" s="24" t="str">
        <f t="shared" si="34"/>
        <v>E2.8.1.1_mRNA : E2.8.1.1_mRNA</v>
      </c>
      <c r="H227" s="25" t="str">
        <f t="shared" si="35"/>
        <v>E2.8.1.1 : E2.8.1.1</v>
      </c>
      <c r="I227" s="26" t="str">
        <f t="shared" si="38"/>
        <v>E2.8.1.1_mRNA : 0</v>
      </c>
      <c r="J227" s="27" t="str">
        <f t="shared" si="39"/>
        <v>E2.8.1.1 : 0</v>
      </c>
      <c r="K227" s="28" t="str">
        <f t="shared" si="40"/>
        <v>0.00292 - (0.0093 * E2.8.1.1_mRNA)</v>
      </c>
      <c r="L227" s="24" t="str">
        <f t="shared" si="41"/>
        <v>(0.278 * E2.8.1.1_mRNA) - (0.00000278 * E2.8.1.1)</v>
      </c>
      <c r="M227" s="29" t="str">
        <f t="shared" si="42"/>
        <v>mRNA226: -&gt; E2.8.1.1_mRNA | 0.00292 - (0.0093 * E2.8.1.1_mRNA)</v>
      </c>
      <c r="N227" s="22" t="str">
        <f t="shared" si="43"/>
        <v>Peptide226: E2.8.1.1_mRNA -&gt; E2.8.1.1 | (0.278 * E2.8.1.1_mRNA) - (0.000000278 * E2.8.1.1)</v>
      </c>
    </row>
    <row r="228" spans="1:14">
      <c r="A228">
        <v>227</v>
      </c>
      <c r="B228" s="4" t="s">
        <v>7545</v>
      </c>
      <c r="C228" s="4" t="str">
        <f t="shared" si="36"/>
        <v>E2.8.1.10_mRNA</v>
      </c>
      <c r="D228" s="4" t="s">
        <v>12936</v>
      </c>
      <c r="E228" s="22" t="str">
        <f t="shared" si="37"/>
        <v>E2.8.1.10_kcat : 13.7</v>
      </c>
      <c r="F228" s="23" t="str">
        <f t="shared" si="33"/>
        <v>E2.8.1.10_km : 1</v>
      </c>
      <c r="G228" s="24" t="str">
        <f t="shared" si="34"/>
        <v>E2.8.1.10_mRNA : E2.8.1.10_mRNA</v>
      </c>
      <c r="H228" s="25" t="str">
        <f t="shared" si="35"/>
        <v>E2.8.1.10 : E2.8.1.10</v>
      </c>
      <c r="I228" s="26" t="str">
        <f t="shared" si="38"/>
        <v>E2.8.1.10_mRNA : 0</v>
      </c>
      <c r="J228" s="27" t="str">
        <f t="shared" si="39"/>
        <v>E2.8.1.10 : 0</v>
      </c>
      <c r="K228" s="28" t="str">
        <f t="shared" si="40"/>
        <v>0.00292 - (0.0093 * E2.8.1.10_mRNA)</v>
      </c>
      <c r="L228" s="24" t="str">
        <f t="shared" si="41"/>
        <v>(0.278 * E2.8.1.10_mRNA) - (0.00000278 * E2.8.1.10)</v>
      </c>
      <c r="M228" s="29" t="str">
        <f t="shared" si="42"/>
        <v>mRNA227: -&gt; E2.8.1.10_mRNA | 0.00292 - (0.0093 * E2.8.1.10_mRNA)</v>
      </c>
      <c r="N228" s="22" t="str">
        <f t="shared" si="43"/>
        <v>Peptide227: E2.8.1.10_mRNA -&gt; E2.8.1.10 | (0.278 * E2.8.1.10_mRNA) - (0.000000278 * E2.8.1.10)</v>
      </c>
    </row>
    <row r="229" spans="1:14">
      <c r="A229">
        <v>228</v>
      </c>
      <c r="B229" s="4" t="s">
        <v>7319</v>
      </c>
      <c r="C229" s="4" t="str">
        <f t="shared" si="36"/>
        <v>E2.8.1.12_mRNA</v>
      </c>
      <c r="D229" s="4" t="s">
        <v>12779</v>
      </c>
      <c r="E229" s="22" t="str">
        <f t="shared" si="37"/>
        <v>E2.8.1.12_kcat : 13.7</v>
      </c>
      <c r="F229" s="23" t="str">
        <f t="shared" si="33"/>
        <v>E2.8.1.12_km : 1</v>
      </c>
      <c r="G229" s="24" t="str">
        <f t="shared" si="34"/>
        <v>E2.8.1.12_mRNA : E2.8.1.12_mRNA</v>
      </c>
      <c r="H229" s="25" t="str">
        <f t="shared" si="35"/>
        <v>E2.8.1.12 : E2.8.1.12</v>
      </c>
      <c r="I229" s="26" t="str">
        <f t="shared" si="38"/>
        <v>E2.8.1.12_mRNA : 0</v>
      </c>
      <c r="J229" s="27" t="str">
        <f t="shared" si="39"/>
        <v>E2.8.1.12 : 0</v>
      </c>
      <c r="K229" s="28" t="str">
        <f t="shared" si="40"/>
        <v>0.00292 - (0.0093 * E2.8.1.12_mRNA)</v>
      </c>
      <c r="L229" s="24" t="str">
        <f t="shared" si="41"/>
        <v>(0.278 * E2.8.1.12_mRNA) - (0.00000278 * E2.8.1.12)</v>
      </c>
      <c r="M229" s="29" t="str">
        <f t="shared" si="42"/>
        <v>mRNA228: -&gt; E2.8.1.12_mRNA | 0.00292 - (0.0093 * E2.8.1.12_mRNA)</v>
      </c>
      <c r="N229" s="22" t="str">
        <f t="shared" si="43"/>
        <v>Peptide228: E2.8.1.12_mRNA -&gt; E2.8.1.12 | (0.278 * E2.8.1.12_mRNA) - (0.000000278 * E2.8.1.12)</v>
      </c>
    </row>
    <row r="230" spans="1:14">
      <c r="A230">
        <v>229</v>
      </c>
      <c r="B230" s="4" t="s">
        <v>7822</v>
      </c>
      <c r="C230" s="4" t="str">
        <f t="shared" si="36"/>
        <v>E2.8.1.2_mRNA</v>
      </c>
      <c r="D230" s="4" t="s">
        <v>13128</v>
      </c>
      <c r="E230" s="22" t="str">
        <f t="shared" si="37"/>
        <v>E2.8.1.2_kcat : 13.7</v>
      </c>
      <c r="F230" s="23" t="str">
        <f t="shared" si="33"/>
        <v>E2.8.1.2_km : 1</v>
      </c>
      <c r="G230" s="24" t="str">
        <f t="shared" si="34"/>
        <v>E2.8.1.2_mRNA : E2.8.1.2_mRNA</v>
      </c>
      <c r="H230" s="25" t="str">
        <f t="shared" si="35"/>
        <v>E2.8.1.2 : E2.8.1.2</v>
      </c>
      <c r="I230" s="26" t="str">
        <f t="shared" si="38"/>
        <v>E2.8.1.2_mRNA : 0</v>
      </c>
      <c r="J230" s="27" t="str">
        <f t="shared" si="39"/>
        <v>E2.8.1.2 : 0</v>
      </c>
      <c r="K230" s="28" t="str">
        <f t="shared" si="40"/>
        <v>0.00292 - (0.0093 * E2.8.1.2_mRNA)</v>
      </c>
      <c r="L230" s="24" t="str">
        <f t="shared" si="41"/>
        <v>(0.278 * E2.8.1.2_mRNA) - (0.00000278 * E2.8.1.2)</v>
      </c>
      <c r="M230" s="29" t="str">
        <f t="shared" si="42"/>
        <v>mRNA229: -&gt; E2.8.1.2_mRNA | 0.00292 - (0.0093 * E2.8.1.2_mRNA)</v>
      </c>
      <c r="N230" s="22" t="str">
        <f t="shared" si="43"/>
        <v>Peptide229: E2.8.1.2_mRNA -&gt; E2.8.1.2 | (0.278 * E2.8.1.2_mRNA) - (0.000000278 * E2.8.1.2)</v>
      </c>
    </row>
    <row r="231" spans="1:14">
      <c r="A231">
        <v>230</v>
      </c>
      <c r="B231" s="4" t="s">
        <v>7295</v>
      </c>
      <c r="C231" s="4" t="str">
        <f t="shared" si="36"/>
        <v>E2.8.1.6_mRNA</v>
      </c>
      <c r="D231" s="4" t="s">
        <v>12767</v>
      </c>
      <c r="E231" s="22" t="str">
        <f t="shared" si="37"/>
        <v>E2.8.1.6_kcat : 13.7</v>
      </c>
      <c r="F231" s="23" t="str">
        <f t="shared" si="33"/>
        <v>E2.8.1.6_km : 1</v>
      </c>
      <c r="G231" s="24" t="str">
        <f t="shared" si="34"/>
        <v>E2.8.1.6_mRNA : E2.8.1.6_mRNA</v>
      </c>
      <c r="H231" s="25" t="str">
        <f t="shared" si="35"/>
        <v>E2.8.1.6 : E2.8.1.6</v>
      </c>
      <c r="I231" s="26" t="str">
        <f t="shared" si="38"/>
        <v>E2.8.1.6_mRNA : 0</v>
      </c>
      <c r="J231" s="27" t="str">
        <f t="shared" si="39"/>
        <v>E2.8.1.6 : 0</v>
      </c>
      <c r="K231" s="28" t="str">
        <f t="shared" si="40"/>
        <v>0.00292 - (0.0093 * E2.8.1.6_mRNA)</v>
      </c>
      <c r="L231" s="24" t="str">
        <f t="shared" si="41"/>
        <v>(0.278 * E2.8.1.6_mRNA) - (0.00000278 * E2.8.1.6)</v>
      </c>
      <c r="M231" s="29" t="str">
        <f t="shared" si="42"/>
        <v>mRNA230: -&gt; E2.8.1.6_mRNA | 0.00292 - (0.0093 * E2.8.1.6_mRNA)</v>
      </c>
      <c r="N231" s="22" t="str">
        <f t="shared" si="43"/>
        <v>Peptide230: E2.8.1.6_mRNA -&gt; E2.8.1.6 | (0.278 * E2.8.1.6_mRNA) - (0.000000278 * E2.8.1.6)</v>
      </c>
    </row>
    <row r="232" spans="1:14">
      <c r="A232">
        <v>231</v>
      </c>
      <c r="B232" s="4" t="s">
        <v>7518</v>
      </c>
      <c r="C232" s="4" t="str">
        <f t="shared" si="36"/>
        <v>E2.8.1.7_mRNA</v>
      </c>
      <c r="D232" s="4" t="s">
        <v>12912</v>
      </c>
      <c r="E232" s="22" t="str">
        <f t="shared" si="37"/>
        <v>E2.8.1.7_kcat : 13.7</v>
      </c>
      <c r="F232" s="23" t="str">
        <f t="shared" si="33"/>
        <v>E2.8.1.7_km : 1</v>
      </c>
      <c r="G232" s="24" t="str">
        <f t="shared" si="34"/>
        <v>E2.8.1.7_mRNA : E2.8.1.7_mRNA</v>
      </c>
      <c r="H232" s="25" t="str">
        <f t="shared" si="35"/>
        <v>E2.8.1.7 : E2.8.1.7</v>
      </c>
      <c r="I232" s="26" t="str">
        <f t="shared" si="38"/>
        <v>E2.8.1.7_mRNA : 0</v>
      </c>
      <c r="J232" s="27" t="str">
        <f t="shared" si="39"/>
        <v>E2.8.1.7 : 0</v>
      </c>
      <c r="K232" s="28" t="str">
        <f t="shared" si="40"/>
        <v>0.00292 - (0.0093 * E2.8.1.7_mRNA)</v>
      </c>
      <c r="L232" s="24" t="str">
        <f t="shared" si="41"/>
        <v>(0.278 * E2.8.1.7_mRNA) - (0.00000278 * E2.8.1.7)</v>
      </c>
      <c r="M232" s="29" t="str">
        <f t="shared" si="42"/>
        <v>mRNA231: -&gt; E2.8.1.7_mRNA | 0.00292 - (0.0093 * E2.8.1.7_mRNA)</v>
      </c>
      <c r="N232" s="22" t="str">
        <f t="shared" si="43"/>
        <v>Peptide231: E2.8.1.7_mRNA -&gt; E2.8.1.7 | (0.278 * E2.8.1.7_mRNA) - (0.000000278 * E2.8.1.7)</v>
      </c>
    </row>
    <row r="233" spans="1:14">
      <c r="A233">
        <v>232</v>
      </c>
      <c r="B233" s="4" t="s">
        <v>7688</v>
      </c>
      <c r="C233" s="4" t="str">
        <f t="shared" si="36"/>
        <v>E2.8.1.8_mRNA</v>
      </c>
      <c r="D233" s="4" t="s">
        <v>13044</v>
      </c>
      <c r="E233" s="22" t="str">
        <f t="shared" si="37"/>
        <v>E2.8.1.8_kcat : 13.7</v>
      </c>
      <c r="F233" s="23" t="str">
        <f t="shared" si="33"/>
        <v>E2.8.1.8_km : 1</v>
      </c>
      <c r="G233" s="24" t="str">
        <f t="shared" si="34"/>
        <v>E2.8.1.8_mRNA : E2.8.1.8_mRNA</v>
      </c>
      <c r="H233" s="25" t="str">
        <f t="shared" si="35"/>
        <v>E2.8.1.8 : E2.8.1.8</v>
      </c>
      <c r="I233" s="26" t="str">
        <f t="shared" si="38"/>
        <v>E2.8.1.8_mRNA : 0</v>
      </c>
      <c r="J233" s="27" t="str">
        <f t="shared" si="39"/>
        <v>E2.8.1.8 : 0</v>
      </c>
      <c r="K233" s="28" t="str">
        <f t="shared" si="40"/>
        <v>0.00292 - (0.0093 * E2.8.1.8_mRNA)</v>
      </c>
      <c r="L233" s="24" t="str">
        <f t="shared" si="41"/>
        <v>(0.278 * E2.8.1.8_mRNA) - (0.00000278 * E2.8.1.8)</v>
      </c>
      <c r="M233" s="29" t="str">
        <f t="shared" si="42"/>
        <v>mRNA232: -&gt; E2.8.1.8_mRNA | 0.00292 - (0.0093 * E2.8.1.8_mRNA)</v>
      </c>
      <c r="N233" s="22" t="str">
        <f t="shared" si="43"/>
        <v>Peptide232: E2.8.1.8_mRNA -&gt; E2.8.1.8 | (0.278 * E2.8.1.8_mRNA) - (0.000000278 * E2.8.1.8)</v>
      </c>
    </row>
    <row r="234" spans="1:14">
      <c r="A234">
        <v>233</v>
      </c>
      <c r="B234" s="4" t="s">
        <v>7701</v>
      </c>
      <c r="C234" s="4" t="str">
        <f t="shared" si="36"/>
        <v>E2.8.3.5_mRNA</v>
      </c>
      <c r="D234" s="4" t="s">
        <v>13055</v>
      </c>
      <c r="E234" s="22" t="str">
        <f t="shared" si="37"/>
        <v>E2.8.3.5_kcat : 13.7</v>
      </c>
      <c r="F234" s="23" t="str">
        <f t="shared" si="33"/>
        <v>E2.8.3.5_km : 1</v>
      </c>
      <c r="G234" s="24" t="str">
        <f t="shared" si="34"/>
        <v>E2.8.3.5_mRNA : E2.8.3.5_mRNA</v>
      </c>
      <c r="H234" s="25" t="str">
        <f t="shared" si="35"/>
        <v>E2.8.3.5 : E2.8.3.5</v>
      </c>
      <c r="I234" s="26" t="str">
        <f t="shared" si="38"/>
        <v>E2.8.3.5_mRNA : 0</v>
      </c>
      <c r="J234" s="27" t="str">
        <f t="shared" si="39"/>
        <v>E2.8.3.5 : 0</v>
      </c>
      <c r="K234" s="28" t="str">
        <f t="shared" si="40"/>
        <v>0.00292 - (0.0093 * E2.8.3.5_mRNA)</v>
      </c>
      <c r="L234" s="24" t="str">
        <f t="shared" si="41"/>
        <v>(0.278 * E2.8.3.5_mRNA) - (0.00000278 * E2.8.3.5)</v>
      </c>
      <c r="M234" s="29" t="str">
        <f t="shared" si="42"/>
        <v>mRNA233: -&gt; E2.8.3.5_mRNA | 0.00292 - (0.0093 * E2.8.3.5_mRNA)</v>
      </c>
      <c r="N234" s="22" t="str">
        <f t="shared" si="43"/>
        <v>Peptide233: E2.8.3.5_mRNA -&gt; E2.8.3.5 | (0.278 * E2.8.3.5_mRNA) - (0.000000278 * E2.8.3.5)</v>
      </c>
    </row>
    <row r="235" spans="1:14">
      <c r="A235">
        <v>234</v>
      </c>
      <c r="B235" s="4" t="s">
        <v>7493</v>
      </c>
      <c r="C235" s="4" t="str">
        <f t="shared" si="36"/>
        <v>E2.9.1.1_mRNA</v>
      </c>
      <c r="D235" s="4" t="s">
        <v>12894</v>
      </c>
      <c r="E235" s="22" t="str">
        <f t="shared" si="37"/>
        <v>E2.9.1.1_kcat : 13.7</v>
      </c>
      <c r="F235" s="23" t="str">
        <f t="shared" si="33"/>
        <v>E2.9.1.1_km : 1</v>
      </c>
      <c r="G235" s="24" t="str">
        <f t="shared" si="34"/>
        <v>E2.9.1.1_mRNA : E2.9.1.1_mRNA</v>
      </c>
      <c r="H235" s="25" t="str">
        <f t="shared" si="35"/>
        <v>E2.9.1.1 : E2.9.1.1</v>
      </c>
      <c r="I235" s="26" t="str">
        <f t="shared" si="38"/>
        <v>E2.9.1.1_mRNA : 0</v>
      </c>
      <c r="J235" s="27" t="str">
        <f t="shared" si="39"/>
        <v>E2.9.1.1 : 0</v>
      </c>
      <c r="K235" s="28" t="str">
        <f t="shared" si="40"/>
        <v>0.00292 - (0.0093 * E2.9.1.1_mRNA)</v>
      </c>
      <c r="L235" s="24" t="str">
        <f t="shared" si="41"/>
        <v>(0.278 * E2.9.1.1_mRNA) - (0.00000278 * E2.9.1.1)</v>
      </c>
      <c r="M235" s="29" t="str">
        <f t="shared" si="42"/>
        <v>mRNA234: -&gt; E2.9.1.1_mRNA | 0.00292 - (0.0093 * E2.9.1.1_mRNA)</v>
      </c>
      <c r="N235" s="22" t="str">
        <f t="shared" si="43"/>
        <v>Peptide234: E2.9.1.1_mRNA -&gt; E2.9.1.1 | (0.278 * E2.9.1.1_mRNA) - (0.000000278 * E2.9.1.1)</v>
      </c>
    </row>
    <row r="236" spans="1:14">
      <c r="A236">
        <v>235</v>
      </c>
      <c r="B236" s="4" t="s">
        <v>7398</v>
      </c>
      <c r="C236" s="4" t="str">
        <f t="shared" si="36"/>
        <v>E3.1.1.1_mRNA</v>
      </c>
      <c r="D236" s="4" t="s">
        <v>12835</v>
      </c>
      <c r="E236" s="22" t="str">
        <f t="shared" si="37"/>
        <v>E3.1.1.1_kcat : 13.7</v>
      </c>
      <c r="F236" s="23" t="str">
        <f t="shared" si="33"/>
        <v>E3.1.1.1_km : 1</v>
      </c>
      <c r="G236" s="24" t="str">
        <f t="shared" si="34"/>
        <v>E3.1.1.1_mRNA : E3.1.1.1_mRNA</v>
      </c>
      <c r="H236" s="25" t="str">
        <f t="shared" si="35"/>
        <v>E3.1.1.1 : E3.1.1.1</v>
      </c>
      <c r="I236" s="26" t="str">
        <f t="shared" si="38"/>
        <v>E3.1.1.1_mRNA : 0</v>
      </c>
      <c r="J236" s="27" t="str">
        <f t="shared" si="39"/>
        <v>E3.1.1.1 : 0</v>
      </c>
      <c r="K236" s="28" t="str">
        <f t="shared" si="40"/>
        <v>0.00292 - (0.0093 * E3.1.1.1_mRNA)</v>
      </c>
      <c r="L236" s="24" t="str">
        <f t="shared" si="41"/>
        <v>(0.278 * E3.1.1.1_mRNA) - (0.00000278 * E3.1.1.1)</v>
      </c>
      <c r="M236" s="29" t="str">
        <f t="shared" si="42"/>
        <v>mRNA235: -&gt; E3.1.1.1_mRNA | 0.00292 - (0.0093 * E3.1.1.1_mRNA)</v>
      </c>
      <c r="N236" s="22" t="str">
        <f t="shared" si="43"/>
        <v>Peptide235: E3.1.1.1_mRNA -&gt; E3.1.1.1 | (0.278 * E3.1.1.1_mRNA) - (0.000000278 * E3.1.1.1)</v>
      </c>
    </row>
    <row r="237" spans="1:14">
      <c r="A237">
        <v>236</v>
      </c>
      <c r="B237" s="4" t="s">
        <v>7465</v>
      </c>
      <c r="C237" s="4" t="str">
        <f t="shared" si="36"/>
        <v>E3.1.1.29_mRNA</v>
      </c>
      <c r="D237" s="4" t="s">
        <v>12875</v>
      </c>
      <c r="E237" s="22" t="str">
        <f t="shared" si="37"/>
        <v>E3.1.1.29_kcat : 13.7</v>
      </c>
      <c r="F237" s="23" t="str">
        <f t="shared" si="33"/>
        <v>E3.1.1.29_km : 1</v>
      </c>
      <c r="G237" s="24" t="str">
        <f t="shared" si="34"/>
        <v>E3.1.1.29_mRNA : E3.1.1.29_mRNA</v>
      </c>
      <c r="H237" s="25" t="str">
        <f t="shared" si="35"/>
        <v>E3.1.1.29 : E3.1.1.29</v>
      </c>
      <c r="I237" s="26" t="str">
        <f t="shared" si="38"/>
        <v>E3.1.1.29_mRNA : 0</v>
      </c>
      <c r="J237" s="27" t="str">
        <f t="shared" si="39"/>
        <v>E3.1.1.29 : 0</v>
      </c>
      <c r="K237" s="28" t="str">
        <f t="shared" si="40"/>
        <v>0.00292 - (0.0093 * E3.1.1.29_mRNA)</v>
      </c>
      <c r="L237" s="24" t="str">
        <f t="shared" si="41"/>
        <v>(0.278 * E3.1.1.29_mRNA) - (0.00000278 * E3.1.1.29)</v>
      </c>
      <c r="M237" s="29" t="str">
        <f t="shared" si="42"/>
        <v>mRNA236: -&gt; E3.1.1.29_mRNA | 0.00292 - (0.0093 * E3.1.1.29_mRNA)</v>
      </c>
      <c r="N237" s="22" t="str">
        <f t="shared" si="43"/>
        <v>Peptide236: E3.1.1.29_mRNA -&gt; E3.1.1.29 | (0.278 * E3.1.1.29_mRNA) - (0.000000278 * E3.1.1.29)</v>
      </c>
    </row>
    <row r="238" spans="1:14">
      <c r="A238">
        <v>237</v>
      </c>
      <c r="B238" s="4" t="s">
        <v>7581</v>
      </c>
      <c r="C238" s="4" t="str">
        <f t="shared" si="36"/>
        <v>E3.1.1.31_mRNA</v>
      </c>
      <c r="D238" s="4" t="s">
        <v>12958</v>
      </c>
      <c r="E238" s="22" t="str">
        <f t="shared" si="37"/>
        <v>E3.1.1.31_kcat : 13.7</v>
      </c>
      <c r="F238" s="23" t="str">
        <f t="shared" si="33"/>
        <v>E3.1.1.31_km : 1</v>
      </c>
      <c r="G238" s="24" t="str">
        <f t="shared" si="34"/>
        <v>E3.1.1.31_mRNA : E3.1.1.31_mRNA</v>
      </c>
      <c r="H238" s="25" t="str">
        <f t="shared" si="35"/>
        <v>E3.1.1.31 : E3.1.1.31</v>
      </c>
      <c r="I238" s="26" t="str">
        <f t="shared" si="38"/>
        <v>E3.1.1.31_mRNA : 0</v>
      </c>
      <c r="J238" s="27" t="str">
        <f t="shared" si="39"/>
        <v>E3.1.1.31 : 0</v>
      </c>
      <c r="K238" s="28" t="str">
        <f t="shared" si="40"/>
        <v>0.00292 - (0.0093 * E3.1.1.31_mRNA)</v>
      </c>
      <c r="L238" s="24" t="str">
        <f t="shared" si="41"/>
        <v>(0.278 * E3.1.1.31_mRNA) - (0.00000278 * E3.1.1.31)</v>
      </c>
      <c r="M238" s="29" t="str">
        <f t="shared" si="42"/>
        <v>mRNA237: -&gt; E3.1.1.31_mRNA | 0.00292 - (0.0093 * E3.1.1.31_mRNA)</v>
      </c>
      <c r="N238" s="22" t="str">
        <f t="shared" si="43"/>
        <v>Peptide237: E3.1.1.31_mRNA -&gt; E3.1.1.31 | (0.278 * E3.1.1.31_mRNA) - (0.000000278 * E3.1.1.31)</v>
      </c>
    </row>
    <row r="239" spans="1:14">
      <c r="A239">
        <v>238</v>
      </c>
      <c r="B239" s="4" t="s">
        <v>7788</v>
      </c>
      <c r="C239" s="4" t="str">
        <f t="shared" si="36"/>
        <v>E3.1.3.1_mRNA</v>
      </c>
      <c r="D239" s="4" t="s">
        <v>13159</v>
      </c>
      <c r="E239" s="22" t="str">
        <f t="shared" si="37"/>
        <v>E3.1.3.1_kcat : 13.7</v>
      </c>
      <c r="F239" s="23" t="str">
        <f t="shared" si="33"/>
        <v>E3.1.3.1_km : 1</v>
      </c>
      <c r="G239" s="24" t="str">
        <f t="shared" si="34"/>
        <v>E3.1.3.1_mRNA : E3.1.3.1_mRNA</v>
      </c>
      <c r="H239" s="25" t="str">
        <f t="shared" si="35"/>
        <v>E3.1.3.1 : E3.1.3.1</v>
      </c>
      <c r="I239" s="26" t="str">
        <f t="shared" si="38"/>
        <v>E3.1.3.1_mRNA : 0</v>
      </c>
      <c r="J239" s="27" t="str">
        <f t="shared" si="39"/>
        <v>E3.1.3.1 : 0</v>
      </c>
      <c r="K239" s="28" t="str">
        <f t="shared" si="40"/>
        <v>0.00292 - (0.0093 * E3.1.3.1_mRNA)</v>
      </c>
      <c r="L239" s="24" t="str">
        <f t="shared" si="41"/>
        <v>(0.278 * E3.1.3.1_mRNA) - (0.00000278 * E3.1.3.1)</v>
      </c>
      <c r="M239" s="29" t="str">
        <f t="shared" si="42"/>
        <v>mRNA238: -&gt; E3.1.3.1_mRNA | 0.00292 - (0.0093 * E3.1.3.1_mRNA)</v>
      </c>
      <c r="N239" s="22" t="str">
        <f t="shared" si="43"/>
        <v>Peptide238: E3.1.3.1_mRNA -&gt; E3.1.3.1 | (0.278 * E3.1.3.1_mRNA) - (0.000000278 * E3.1.3.1)</v>
      </c>
    </row>
    <row r="240" spans="1:14">
      <c r="A240">
        <v>239</v>
      </c>
      <c r="B240" s="4" t="s">
        <v>7484</v>
      </c>
      <c r="C240" s="4" t="str">
        <f t="shared" si="36"/>
        <v>E3.1.3.11_mRNA</v>
      </c>
      <c r="D240" s="4" t="s">
        <v>12889</v>
      </c>
      <c r="E240" s="22" t="str">
        <f t="shared" si="37"/>
        <v>E3.1.3.11_kcat : 13.7</v>
      </c>
      <c r="F240" s="23" t="str">
        <f t="shared" si="33"/>
        <v>E3.1.3.11_km : 1</v>
      </c>
      <c r="G240" s="24" t="str">
        <f t="shared" si="34"/>
        <v>E3.1.3.11_mRNA : E3.1.3.11_mRNA</v>
      </c>
      <c r="H240" s="25" t="str">
        <f t="shared" si="35"/>
        <v>E3.1.3.11 : E3.1.3.11</v>
      </c>
      <c r="I240" s="26" t="str">
        <f t="shared" si="38"/>
        <v>E3.1.3.11_mRNA : 0</v>
      </c>
      <c r="J240" s="27" t="str">
        <f t="shared" si="39"/>
        <v>E3.1.3.11 : 0</v>
      </c>
      <c r="K240" s="28" t="str">
        <f t="shared" si="40"/>
        <v>0.00292 - (0.0093 * E3.1.3.11_mRNA)</v>
      </c>
      <c r="L240" s="24" t="str">
        <f t="shared" si="41"/>
        <v>(0.278 * E3.1.3.11_mRNA) - (0.00000278 * E3.1.3.11)</v>
      </c>
      <c r="M240" s="29" t="str">
        <f t="shared" si="42"/>
        <v>mRNA239: -&gt; E3.1.3.11_mRNA | 0.00292 - (0.0093 * E3.1.3.11_mRNA)</v>
      </c>
      <c r="N240" s="22" t="str">
        <f t="shared" si="43"/>
        <v>Peptide239: E3.1.3.11_mRNA -&gt; E3.1.3.11 | (0.278 * E3.1.3.11_mRNA) - (0.000000278 * E3.1.3.11)</v>
      </c>
    </row>
    <row r="241" spans="1:14">
      <c r="A241">
        <v>240</v>
      </c>
      <c r="B241" s="4" t="s">
        <v>7762</v>
      </c>
      <c r="C241" s="4" t="str">
        <f t="shared" si="36"/>
        <v>E3.1.3.12_mRNA</v>
      </c>
      <c r="D241" s="4" t="s">
        <v>13108</v>
      </c>
      <c r="E241" s="22" t="str">
        <f t="shared" si="37"/>
        <v>E3.1.3.12_kcat : 13.7</v>
      </c>
      <c r="F241" s="23" t="str">
        <f t="shared" si="33"/>
        <v>E3.1.3.12_km : 1</v>
      </c>
      <c r="G241" s="24" t="str">
        <f t="shared" si="34"/>
        <v>E3.1.3.12_mRNA : E3.1.3.12_mRNA</v>
      </c>
      <c r="H241" s="25" t="str">
        <f t="shared" si="35"/>
        <v>E3.1.3.12 : E3.1.3.12</v>
      </c>
      <c r="I241" s="26" t="str">
        <f t="shared" si="38"/>
        <v>E3.1.3.12_mRNA : 0</v>
      </c>
      <c r="J241" s="27" t="str">
        <f t="shared" si="39"/>
        <v>E3.1.3.12 : 0</v>
      </c>
      <c r="K241" s="28" t="str">
        <f t="shared" si="40"/>
        <v>0.00292 - (0.0093 * E3.1.3.12_mRNA)</v>
      </c>
      <c r="L241" s="24" t="str">
        <f t="shared" si="41"/>
        <v>(0.278 * E3.1.3.12_mRNA) - (0.00000278 * E3.1.3.12)</v>
      </c>
      <c r="M241" s="29" t="str">
        <f t="shared" si="42"/>
        <v>mRNA240: -&gt; E3.1.3.12_mRNA | 0.00292 - (0.0093 * E3.1.3.12_mRNA)</v>
      </c>
      <c r="N241" s="22" t="str">
        <f t="shared" si="43"/>
        <v>Peptide240: E3.1.3.12_mRNA -&gt; E3.1.3.12 | (0.278 * E3.1.3.12_mRNA) - (0.000000278 * E3.1.3.12)</v>
      </c>
    </row>
    <row r="242" spans="1:14">
      <c r="A242">
        <v>241</v>
      </c>
      <c r="B242" s="4" t="s">
        <v>7438</v>
      </c>
      <c r="C242" s="4" t="str">
        <f t="shared" si="36"/>
        <v>E3.1.3.15_mRNA</v>
      </c>
      <c r="D242" s="4" t="s">
        <v>12857</v>
      </c>
      <c r="E242" s="22" t="str">
        <f t="shared" si="37"/>
        <v>E3.1.3.15_kcat : 13.7</v>
      </c>
      <c r="F242" s="23" t="str">
        <f t="shared" si="33"/>
        <v>E3.1.3.15_km : 1</v>
      </c>
      <c r="G242" s="24" t="str">
        <f t="shared" si="34"/>
        <v>E3.1.3.15_mRNA : E3.1.3.15_mRNA</v>
      </c>
      <c r="H242" s="25" t="str">
        <f t="shared" si="35"/>
        <v>E3.1.3.15 : E3.1.3.15</v>
      </c>
      <c r="I242" s="26" t="str">
        <f t="shared" si="38"/>
        <v>E3.1.3.15_mRNA : 0</v>
      </c>
      <c r="J242" s="27" t="str">
        <f t="shared" si="39"/>
        <v>E3.1.3.15 : 0</v>
      </c>
      <c r="K242" s="28" t="str">
        <f t="shared" si="40"/>
        <v>0.00292 - (0.0093 * E3.1.3.15_mRNA)</v>
      </c>
      <c r="L242" s="24" t="str">
        <f t="shared" si="41"/>
        <v>(0.278 * E3.1.3.15_mRNA) - (0.00000278 * E3.1.3.15)</v>
      </c>
      <c r="M242" s="29" t="str">
        <f t="shared" si="42"/>
        <v>mRNA241: -&gt; E3.1.3.15_mRNA | 0.00292 - (0.0093 * E3.1.3.15_mRNA)</v>
      </c>
      <c r="N242" s="22" t="str">
        <f t="shared" si="43"/>
        <v>Peptide241: E3.1.3.15_mRNA -&gt; E3.1.3.15 | (0.278 * E3.1.3.15_mRNA) - (0.000000278 * E3.1.3.15)</v>
      </c>
    </row>
    <row r="243" spans="1:14">
      <c r="A243">
        <v>242</v>
      </c>
      <c r="B243" s="4" t="s">
        <v>7292</v>
      </c>
      <c r="C243" s="4" t="str">
        <f t="shared" si="36"/>
        <v>E3.1.3.16_mRNA</v>
      </c>
      <c r="D243" s="4" t="s">
        <v>12765</v>
      </c>
      <c r="E243" s="22" t="str">
        <f t="shared" si="37"/>
        <v>E3.1.3.16_kcat : 13.7</v>
      </c>
      <c r="F243" s="23" t="str">
        <f t="shared" si="33"/>
        <v>E3.1.3.16_km : 1</v>
      </c>
      <c r="G243" s="24" t="str">
        <f t="shared" si="34"/>
        <v>E3.1.3.16_mRNA : E3.1.3.16_mRNA</v>
      </c>
      <c r="H243" s="25" t="str">
        <f t="shared" si="35"/>
        <v>E3.1.3.16 : E3.1.3.16</v>
      </c>
      <c r="I243" s="26" t="str">
        <f t="shared" si="38"/>
        <v>E3.1.3.16_mRNA : 0</v>
      </c>
      <c r="J243" s="27" t="str">
        <f t="shared" si="39"/>
        <v>E3.1.3.16 : 0</v>
      </c>
      <c r="K243" s="28" t="str">
        <f t="shared" si="40"/>
        <v>0.00292 - (0.0093 * E3.1.3.16_mRNA)</v>
      </c>
      <c r="L243" s="24" t="str">
        <f t="shared" si="41"/>
        <v>(0.278 * E3.1.3.16_mRNA) - (0.00000278 * E3.1.3.16)</v>
      </c>
      <c r="M243" s="29" t="str">
        <f t="shared" si="42"/>
        <v>mRNA242: -&gt; E3.1.3.16_mRNA | 0.00292 - (0.0093 * E3.1.3.16_mRNA)</v>
      </c>
      <c r="N243" s="22" t="str">
        <f t="shared" si="43"/>
        <v>Peptide242: E3.1.3.16_mRNA -&gt; E3.1.3.16 | (0.278 * E3.1.3.16_mRNA) - (0.000000278 * E3.1.3.16)</v>
      </c>
    </row>
    <row r="244" spans="1:14">
      <c r="A244">
        <v>243</v>
      </c>
      <c r="B244" s="4" t="s">
        <v>7801</v>
      </c>
      <c r="C244" s="4" t="str">
        <f t="shared" si="36"/>
        <v>E3.1.3.23_mRNA</v>
      </c>
      <c r="D244" s="4" t="s">
        <v>13147</v>
      </c>
      <c r="E244" s="22" t="str">
        <f t="shared" si="37"/>
        <v>E3.1.3.23_kcat : 13.7</v>
      </c>
      <c r="F244" s="23" t="str">
        <f t="shared" si="33"/>
        <v>E3.1.3.23_km : 1</v>
      </c>
      <c r="G244" s="24" t="str">
        <f t="shared" si="34"/>
        <v>E3.1.3.23_mRNA : E3.1.3.23_mRNA</v>
      </c>
      <c r="H244" s="25" t="str">
        <f t="shared" si="35"/>
        <v>E3.1.3.23 : E3.1.3.23</v>
      </c>
      <c r="I244" s="26" t="str">
        <f t="shared" si="38"/>
        <v>E3.1.3.23_mRNA : 0</v>
      </c>
      <c r="J244" s="27" t="str">
        <f t="shared" si="39"/>
        <v>E3.1.3.23 : 0</v>
      </c>
      <c r="K244" s="28" t="str">
        <f t="shared" si="40"/>
        <v>0.00292 - (0.0093 * E3.1.3.23_mRNA)</v>
      </c>
      <c r="L244" s="24" t="str">
        <f t="shared" si="41"/>
        <v>(0.278 * E3.1.3.23_mRNA) - (0.00000278 * E3.1.3.23)</v>
      </c>
      <c r="M244" s="29" t="str">
        <f t="shared" si="42"/>
        <v>mRNA243: -&gt; E3.1.3.23_mRNA | 0.00292 - (0.0093 * E3.1.3.23_mRNA)</v>
      </c>
      <c r="N244" s="22" t="str">
        <f t="shared" si="43"/>
        <v>Peptide243: E3.1.3.23_mRNA -&gt; E3.1.3.23 | (0.278 * E3.1.3.23_mRNA) - (0.000000278 * E3.1.3.23)</v>
      </c>
    </row>
    <row r="245" spans="1:14">
      <c r="A245">
        <v>244</v>
      </c>
      <c r="B245" s="4" t="s">
        <v>7439</v>
      </c>
      <c r="C245" s="4" t="str">
        <f t="shared" si="36"/>
        <v>E3.1.3.25_mRNA</v>
      </c>
      <c r="D245" s="4" t="s">
        <v>12858</v>
      </c>
      <c r="E245" s="22" t="str">
        <f t="shared" si="37"/>
        <v>E3.1.3.25_kcat : 13.7</v>
      </c>
      <c r="F245" s="23" t="str">
        <f t="shared" si="33"/>
        <v>E3.1.3.25_km : 1</v>
      </c>
      <c r="G245" s="24" t="str">
        <f t="shared" si="34"/>
        <v>E3.1.3.25_mRNA : E3.1.3.25_mRNA</v>
      </c>
      <c r="H245" s="25" t="str">
        <f t="shared" si="35"/>
        <v>E3.1.3.25 : E3.1.3.25</v>
      </c>
      <c r="I245" s="26" t="str">
        <f t="shared" si="38"/>
        <v>E3.1.3.25_mRNA : 0</v>
      </c>
      <c r="J245" s="27" t="str">
        <f t="shared" si="39"/>
        <v>E3.1.3.25 : 0</v>
      </c>
      <c r="K245" s="28" t="str">
        <f t="shared" si="40"/>
        <v>0.00292 - (0.0093 * E3.1.3.25_mRNA)</v>
      </c>
      <c r="L245" s="24" t="str">
        <f t="shared" si="41"/>
        <v>(0.278 * E3.1.3.25_mRNA) - (0.00000278 * E3.1.3.25)</v>
      </c>
      <c r="M245" s="29" t="str">
        <f t="shared" si="42"/>
        <v>mRNA244: -&gt; E3.1.3.25_mRNA | 0.00292 - (0.0093 * E3.1.3.25_mRNA)</v>
      </c>
      <c r="N245" s="22" t="str">
        <f t="shared" si="43"/>
        <v>Peptide244: E3.1.3.25_mRNA -&gt; E3.1.3.25 | (0.278 * E3.1.3.25_mRNA) - (0.000000278 * E3.1.3.25)</v>
      </c>
    </row>
    <row r="246" spans="1:14">
      <c r="A246">
        <v>245</v>
      </c>
      <c r="B246" s="4" t="s">
        <v>7353</v>
      </c>
      <c r="C246" s="4" t="str">
        <f t="shared" si="36"/>
        <v>E3.1.3.3_mRNA</v>
      </c>
      <c r="D246" s="4" t="s">
        <v>12805</v>
      </c>
      <c r="E246" s="22" t="str">
        <f t="shared" si="37"/>
        <v>E3.1.3.3_kcat : 13.7</v>
      </c>
      <c r="F246" s="23" t="str">
        <f t="shared" si="33"/>
        <v>E3.1.3.3_km : 1</v>
      </c>
      <c r="G246" s="24" t="str">
        <f t="shared" si="34"/>
        <v>E3.1.3.3_mRNA : E3.1.3.3_mRNA</v>
      </c>
      <c r="H246" s="25" t="str">
        <f t="shared" si="35"/>
        <v>E3.1.3.3 : E3.1.3.3</v>
      </c>
      <c r="I246" s="26" t="str">
        <f t="shared" si="38"/>
        <v>E3.1.3.3_mRNA : 0</v>
      </c>
      <c r="J246" s="27" t="str">
        <f t="shared" si="39"/>
        <v>E3.1.3.3 : 0</v>
      </c>
      <c r="K246" s="28" t="str">
        <f t="shared" si="40"/>
        <v>0.00292 - (0.0093 * E3.1.3.3_mRNA)</v>
      </c>
      <c r="L246" s="24" t="str">
        <f t="shared" si="41"/>
        <v>(0.278 * E3.1.3.3_mRNA) - (0.00000278 * E3.1.3.3)</v>
      </c>
      <c r="M246" s="29" t="str">
        <f t="shared" si="42"/>
        <v>mRNA245: -&gt; E3.1.3.3_mRNA | 0.00292 - (0.0093 * E3.1.3.3_mRNA)</v>
      </c>
      <c r="N246" s="22" t="str">
        <f t="shared" si="43"/>
        <v>Peptide245: E3.1.3.3_mRNA -&gt; E3.1.3.3 | (0.278 * E3.1.3.3_mRNA) - (0.000000278 * E3.1.3.3)</v>
      </c>
    </row>
    <row r="247" spans="1:14">
      <c r="A247">
        <v>246</v>
      </c>
      <c r="B247" s="4" t="s">
        <v>7697</v>
      </c>
      <c r="C247" s="4" t="str">
        <f t="shared" si="36"/>
        <v>E3.1.3.5_mRNA</v>
      </c>
      <c r="D247" s="4" t="s">
        <v>13051</v>
      </c>
      <c r="E247" s="22" t="str">
        <f t="shared" si="37"/>
        <v>E3.1.3.5_kcat : 13.7</v>
      </c>
      <c r="F247" s="23" t="str">
        <f t="shared" si="33"/>
        <v>E3.1.3.5_km : 1</v>
      </c>
      <c r="G247" s="24" t="str">
        <f t="shared" si="34"/>
        <v>E3.1.3.5_mRNA : E3.1.3.5_mRNA</v>
      </c>
      <c r="H247" s="25" t="str">
        <f t="shared" si="35"/>
        <v>E3.1.3.5 : E3.1.3.5</v>
      </c>
      <c r="I247" s="26" t="str">
        <f t="shared" si="38"/>
        <v>E3.1.3.5_mRNA : 0</v>
      </c>
      <c r="J247" s="27" t="str">
        <f t="shared" si="39"/>
        <v>E3.1.3.5 : 0</v>
      </c>
      <c r="K247" s="28" t="str">
        <f t="shared" si="40"/>
        <v>0.00292 - (0.0093 * E3.1.3.5_mRNA)</v>
      </c>
      <c r="L247" s="24" t="str">
        <f t="shared" si="41"/>
        <v>(0.278 * E3.1.3.5_mRNA) - (0.00000278 * E3.1.3.5)</v>
      </c>
      <c r="M247" s="29" t="str">
        <f t="shared" si="42"/>
        <v>mRNA246: -&gt; E3.1.3.5_mRNA | 0.00292 - (0.0093 * E3.1.3.5_mRNA)</v>
      </c>
      <c r="N247" s="22" t="str">
        <f t="shared" si="43"/>
        <v>Peptide246: E3.1.3.5_mRNA -&gt; E3.1.3.5 | (0.278 * E3.1.3.5_mRNA) - (0.000000278 * E3.1.3.5)</v>
      </c>
    </row>
    <row r="248" spans="1:14">
      <c r="A248">
        <v>247</v>
      </c>
      <c r="B248" s="4" t="s">
        <v>7447</v>
      </c>
      <c r="C248" s="4" t="str">
        <f t="shared" si="36"/>
        <v>E3.1.3.7_mRNA</v>
      </c>
      <c r="D248" s="4" t="s">
        <v>12863</v>
      </c>
      <c r="E248" s="22" t="str">
        <f t="shared" si="37"/>
        <v>E3.1.3.7_kcat : 13.7</v>
      </c>
      <c r="F248" s="23" t="str">
        <f t="shared" si="33"/>
        <v>E3.1.3.7_km : 1</v>
      </c>
      <c r="G248" s="24" t="str">
        <f t="shared" si="34"/>
        <v>E3.1.3.7_mRNA : E3.1.3.7_mRNA</v>
      </c>
      <c r="H248" s="25" t="str">
        <f t="shared" si="35"/>
        <v>E3.1.3.7 : E3.1.3.7</v>
      </c>
      <c r="I248" s="26" t="str">
        <f t="shared" si="38"/>
        <v>E3.1.3.7_mRNA : 0</v>
      </c>
      <c r="J248" s="27" t="str">
        <f t="shared" si="39"/>
        <v>E3.1.3.7 : 0</v>
      </c>
      <c r="K248" s="28" t="str">
        <f t="shared" si="40"/>
        <v>0.00292 - (0.0093 * E3.1.3.7_mRNA)</v>
      </c>
      <c r="L248" s="24" t="str">
        <f t="shared" si="41"/>
        <v>(0.278 * E3.1.3.7_mRNA) - (0.00000278 * E3.1.3.7)</v>
      </c>
      <c r="M248" s="29" t="str">
        <f t="shared" si="42"/>
        <v>mRNA247: -&gt; E3.1.3.7_mRNA | 0.00292 - (0.0093 * E3.1.3.7_mRNA)</v>
      </c>
      <c r="N248" s="22" t="str">
        <f t="shared" si="43"/>
        <v>Peptide247: E3.1.3.7_mRNA -&gt; E3.1.3.7 | (0.278 * E3.1.3.7_mRNA) - (0.000000278 * E3.1.3.7)</v>
      </c>
    </row>
    <row r="249" spans="1:14">
      <c r="A249">
        <v>248</v>
      </c>
      <c r="B249" s="4" t="s">
        <v>7797</v>
      </c>
      <c r="C249" s="4" t="str">
        <f t="shared" si="36"/>
        <v>E3.1.3.73_mRNA</v>
      </c>
      <c r="D249" s="4" t="s">
        <v>13151</v>
      </c>
      <c r="E249" s="22" t="str">
        <f t="shared" si="37"/>
        <v>E3.1.3.73_kcat : 13.7</v>
      </c>
      <c r="F249" s="23" t="str">
        <f t="shared" si="33"/>
        <v>E3.1.3.73_km : 1</v>
      </c>
      <c r="G249" s="24" t="str">
        <f t="shared" si="34"/>
        <v>E3.1.3.73_mRNA : E3.1.3.73_mRNA</v>
      </c>
      <c r="H249" s="25" t="str">
        <f t="shared" si="35"/>
        <v>E3.1.3.73 : E3.1.3.73</v>
      </c>
      <c r="I249" s="26" t="str">
        <f t="shared" si="38"/>
        <v>E3.1.3.73_mRNA : 0</v>
      </c>
      <c r="J249" s="27" t="str">
        <f t="shared" si="39"/>
        <v>E3.1.3.73 : 0</v>
      </c>
      <c r="K249" s="28" t="str">
        <f t="shared" si="40"/>
        <v>0.00292 - (0.0093 * E3.1.3.73_mRNA)</v>
      </c>
      <c r="L249" s="24" t="str">
        <f t="shared" si="41"/>
        <v>(0.278 * E3.1.3.73_mRNA) - (0.00000278 * E3.1.3.73)</v>
      </c>
      <c r="M249" s="29" t="str">
        <f t="shared" si="42"/>
        <v>mRNA248: -&gt; E3.1.3.73_mRNA | 0.00292 - (0.0093 * E3.1.3.73_mRNA)</v>
      </c>
      <c r="N249" s="22" t="str">
        <f t="shared" si="43"/>
        <v>Peptide248: E3.1.3.73_mRNA -&gt; E3.1.3.73 | (0.278 * E3.1.3.73_mRNA) - (0.000000278 * E3.1.3.73)</v>
      </c>
    </row>
    <row r="250" spans="1:14">
      <c r="A250">
        <v>249</v>
      </c>
      <c r="B250" s="4" t="s">
        <v>7715</v>
      </c>
      <c r="C250" s="4" t="str">
        <f t="shared" si="36"/>
        <v>E3.1.4.3_mRNA</v>
      </c>
      <c r="D250" s="4" t="s">
        <v>13066</v>
      </c>
      <c r="E250" s="22" t="str">
        <f t="shared" si="37"/>
        <v>E3.1.4.3_kcat : 13.7</v>
      </c>
      <c r="F250" s="23" t="str">
        <f t="shared" si="33"/>
        <v>E3.1.4.3_km : 1</v>
      </c>
      <c r="G250" s="24" t="str">
        <f t="shared" si="34"/>
        <v>E3.1.4.3_mRNA : E3.1.4.3_mRNA</v>
      </c>
      <c r="H250" s="25" t="str">
        <f t="shared" si="35"/>
        <v>E3.1.4.3 : E3.1.4.3</v>
      </c>
      <c r="I250" s="26" t="str">
        <f t="shared" si="38"/>
        <v>E3.1.4.3_mRNA : 0</v>
      </c>
      <c r="J250" s="27" t="str">
        <f t="shared" si="39"/>
        <v>E3.1.4.3 : 0</v>
      </c>
      <c r="K250" s="28" t="str">
        <f t="shared" si="40"/>
        <v>0.00292 - (0.0093 * E3.1.4.3_mRNA)</v>
      </c>
      <c r="L250" s="24" t="str">
        <f t="shared" si="41"/>
        <v>(0.278 * E3.1.4.3_mRNA) - (0.00000278 * E3.1.4.3)</v>
      </c>
      <c r="M250" s="29" t="str">
        <f t="shared" si="42"/>
        <v>mRNA249: -&gt; E3.1.4.3_mRNA | 0.00292 - (0.0093 * E3.1.4.3_mRNA)</v>
      </c>
      <c r="N250" s="22" t="str">
        <f t="shared" si="43"/>
        <v>Peptide249: E3.1.4.3_mRNA -&gt; E3.1.4.3 | (0.278 * E3.1.4.3_mRNA) - (0.000000278 * E3.1.4.3)</v>
      </c>
    </row>
    <row r="251" spans="1:14">
      <c r="A251">
        <v>250</v>
      </c>
      <c r="B251" s="4" t="s">
        <v>7794</v>
      </c>
      <c r="C251" s="4" t="str">
        <f t="shared" si="36"/>
        <v>E3.1.4.46_mRNA</v>
      </c>
      <c r="D251" s="4" t="s">
        <v>13154</v>
      </c>
      <c r="E251" s="22" t="str">
        <f t="shared" si="37"/>
        <v>E3.1.4.46_kcat : 13.7</v>
      </c>
      <c r="F251" s="23" t="str">
        <f t="shared" si="33"/>
        <v>E3.1.4.46_km : 1</v>
      </c>
      <c r="G251" s="24" t="str">
        <f t="shared" si="34"/>
        <v>E3.1.4.46_mRNA : E3.1.4.46_mRNA</v>
      </c>
      <c r="H251" s="25" t="str">
        <f t="shared" si="35"/>
        <v>E3.1.4.46 : E3.1.4.46</v>
      </c>
      <c r="I251" s="26" t="str">
        <f t="shared" si="38"/>
        <v>E3.1.4.46_mRNA : 0</v>
      </c>
      <c r="J251" s="27" t="str">
        <f t="shared" si="39"/>
        <v>E3.1.4.46 : 0</v>
      </c>
      <c r="K251" s="28" t="str">
        <f t="shared" si="40"/>
        <v>0.00292 - (0.0093 * E3.1.4.46_mRNA)</v>
      </c>
      <c r="L251" s="24" t="str">
        <f t="shared" si="41"/>
        <v>(0.278 * E3.1.4.46_mRNA) - (0.00000278 * E3.1.4.46)</v>
      </c>
      <c r="M251" s="29" t="str">
        <f t="shared" si="42"/>
        <v>mRNA250: -&gt; E3.1.4.46_mRNA | 0.00292 - (0.0093 * E3.1.4.46_mRNA)</v>
      </c>
      <c r="N251" s="22" t="str">
        <f t="shared" si="43"/>
        <v>Peptide250: E3.1.4.46_mRNA -&gt; E3.1.4.46 | (0.278 * E3.1.4.46_mRNA) - (0.000000278 * E3.1.4.46)</v>
      </c>
    </row>
    <row r="252" spans="1:14">
      <c r="A252">
        <v>251</v>
      </c>
      <c r="B252" s="4" t="s">
        <v>7705</v>
      </c>
      <c r="C252" s="4" t="str">
        <f t="shared" si="36"/>
        <v>E3.1.5.1_mRNA</v>
      </c>
      <c r="D252" s="4" t="s">
        <v>13057</v>
      </c>
      <c r="E252" s="22" t="str">
        <f t="shared" si="37"/>
        <v>E3.1.5.1_kcat : 13.7</v>
      </c>
      <c r="F252" s="23" t="str">
        <f t="shared" si="33"/>
        <v>E3.1.5.1_km : 1</v>
      </c>
      <c r="G252" s="24" t="str">
        <f t="shared" si="34"/>
        <v>E3.1.5.1_mRNA : E3.1.5.1_mRNA</v>
      </c>
      <c r="H252" s="25" t="str">
        <f t="shared" si="35"/>
        <v>E3.1.5.1 : E3.1.5.1</v>
      </c>
      <c r="I252" s="26" t="str">
        <f t="shared" si="38"/>
        <v>E3.1.5.1_mRNA : 0</v>
      </c>
      <c r="J252" s="27" t="str">
        <f t="shared" si="39"/>
        <v>E3.1.5.1 : 0</v>
      </c>
      <c r="K252" s="28" t="str">
        <f t="shared" si="40"/>
        <v>0.00292 - (0.0093 * E3.1.5.1_mRNA)</v>
      </c>
      <c r="L252" s="24" t="str">
        <f t="shared" si="41"/>
        <v>(0.278 * E3.1.5.1_mRNA) - (0.00000278 * E3.1.5.1)</v>
      </c>
      <c r="M252" s="29" t="str">
        <f t="shared" si="42"/>
        <v>mRNA251: -&gt; E3.1.5.1_mRNA | 0.00292 - (0.0093 * E3.1.5.1_mRNA)</v>
      </c>
      <c r="N252" s="22" t="str">
        <f t="shared" si="43"/>
        <v>Peptide251: E3.1.5.1_mRNA -&gt; E3.1.5.1 | (0.278 * E3.1.5.1_mRNA) - (0.000000278 * E3.1.5.1)</v>
      </c>
    </row>
    <row r="253" spans="1:14">
      <c r="A253">
        <v>252</v>
      </c>
      <c r="B253" s="4" t="s">
        <v>7410</v>
      </c>
      <c r="C253" s="4" t="str">
        <f t="shared" si="36"/>
        <v>E3.2.1.1_mRNA</v>
      </c>
      <c r="D253" s="4" t="s">
        <v>12845</v>
      </c>
      <c r="E253" s="22" t="str">
        <f t="shared" si="37"/>
        <v>E3.2.1.1_kcat : 13.7</v>
      </c>
      <c r="F253" s="23" t="str">
        <f t="shared" si="33"/>
        <v>E3.2.1.1_km : 1</v>
      </c>
      <c r="G253" s="24" t="str">
        <f t="shared" si="34"/>
        <v>E3.2.1.1_mRNA : E3.2.1.1_mRNA</v>
      </c>
      <c r="H253" s="25" t="str">
        <f t="shared" si="35"/>
        <v>E3.2.1.1 : E3.2.1.1</v>
      </c>
      <c r="I253" s="26" t="str">
        <f t="shared" si="38"/>
        <v>E3.2.1.1_mRNA : 0</v>
      </c>
      <c r="J253" s="27" t="str">
        <f t="shared" si="39"/>
        <v>E3.2.1.1 : 0</v>
      </c>
      <c r="K253" s="28" t="str">
        <f t="shared" si="40"/>
        <v>0.00292 - (0.0093 * E3.2.1.1_mRNA)</v>
      </c>
      <c r="L253" s="24" t="str">
        <f t="shared" si="41"/>
        <v>(0.278 * E3.2.1.1_mRNA) - (0.00000278 * E3.2.1.1)</v>
      </c>
      <c r="M253" s="29" t="str">
        <f t="shared" si="42"/>
        <v>mRNA252: -&gt; E3.2.1.1_mRNA | 0.00292 - (0.0093 * E3.2.1.1_mRNA)</v>
      </c>
      <c r="N253" s="22" t="str">
        <f t="shared" si="43"/>
        <v>Peptide252: E3.2.1.1_mRNA -&gt; E3.2.1.1 | (0.278 * E3.2.1.1_mRNA) - (0.000000278 * E3.2.1.1)</v>
      </c>
    </row>
    <row r="254" spans="1:14">
      <c r="A254">
        <v>253</v>
      </c>
      <c r="B254" s="4" t="s">
        <v>7500</v>
      </c>
      <c r="C254" s="4" t="str">
        <f t="shared" si="36"/>
        <v>E3.2.1.26_mRNA</v>
      </c>
      <c r="D254" s="4" t="s">
        <v>12899</v>
      </c>
      <c r="E254" s="22" t="str">
        <f t="shared" si="37"/>
        <v>E3.2.1.26_kcat : 13.7</v>
      </c>
      <c r="F254" s="23" t="str">
        <f t="shared" si="33"/>
        <v>E3.2.1.26_km : 1</v>
      </c>
      <c r="G254" s="24" t="str">
        <f t="shared" si="34"/>
        <v>E3.2.1.26_mRNA : E3.2.1.26_mRNA</v>
      </c>
      <c r="H254" s="25" t="str">
        <f t="shared" si="35"/>
        <v>E3.2.1.26 : E3.2.1.26</v>
      </c>
      <c r="I254" s="26" t="str">
        <f t="shared" si="38"/>
        <v>E3.2.1.26_mRNA : 0</v>
      </c>
      <c r="J254" s="27" t="str">
        <f t="shared" si="39"/>
        <v>E3.2.1.26 : 0</v>
      </c>
      <c r="K254" s="28" t="str">
        <f t="shared" si="40"/>
        <v>0.00292 - (0.0093 * E3.2.1.26_mRNA)</v>
      </c>
      <c r="L254" s="24" t="str">
        <f t="shared" si="41"/>
        <v>(0.278 * E3.2.1.26_mRNA) - (0.00000278 * E3.2.1.26)</v>
      </c>
      <c r="M254" s="29" t="str">
        <f t="shared" si="42"/>
        <v>mRNA253: -&gt; E3.2.1.26_mRNA | 0.00292 - (0.0093 * E3.2.1.26_mRNA)</v>
      </c>
      <c r="N254" s="22" t="str">
        <f t="shared" si="43"/>
        <v>Peptide253: E3.2.1.26_mRNA -&gt; E3.2.1.26 | (0.278 * E3.2.1.26_mRNA) - (0.000000278 * E3.2.1.26)</v>
      </c>
    </row>
    <row r="255" spans="1:14">
      <c r="A255">
        <v>254</v>
      </c>
      <c r="B255" s="4" t="s">
        <v>7814</v>
      </c>
      <c r="C255" s="4" t="str">
        <f t="shared" si="36"/>
        <v>E3.2.1.52_mRNA</v>
      </c>
      <c r="D255" s="4" t="s">
        <v>13136</v>
      </c>
      <c r="E255" s="22" t="str">
        <f t="shared" si="37"/>
        <v>E3.2.1.52_kcat : 13.7</v>
      </c>
      <c r="F255" s="23" t="str">
        <f t="shared" si="33"/>
        <v>E3.2.1.52_km : 1</v>
      </c>
      <c r="G255" s="24" t="str">
        <f t="shared" si="34"/>
        <v>E3.2.1.52_mRNA : E3.2.1.52_mRNA</v>
      </c>
      <c r="H255" s="25" t="str">
        <f t="shared" si="35"/>
        <v>E3.2.1.52 : E3.2.1.52</v>
      </c>
      <c r="I255" s="26" t="str">
        <f t="shared" si="38"/>
        <v>E3.2.1.52_mRNA : 0</v>
      </c>
      <c r="J255" s="27" t="str">
        <f t="shared" si="39"/>
        <v>E3.2.1.52 : 0</v>
      </c>
      <c r="K255" s="28" t="str">
        <f t="shared" si="40"/>
        <v>0.00292 - (0.0093 * E3.2.1.52_mRNA)</v>
      </c>
      <c r="L255" s="24" t="str">
        <f t="shared" si="41"/>
        <v>(0.278 * E3.2.1.52_mRNA) - (0.00000278 * E3.2.1.52)</v>
      </c>
      <c r="M255" s="29" t="str">
        <f t="shared" si="42"/>
        <v>mRNA254: -&gt; E3.2.1.52_mRNA | 0.00292 - (0.0093 * E3.2.1.52_mRNA)</v>
      </c>
      <c r="N255" s="22" t="str">
        <f t="shared" si="43"/>
        <v>Peptide254: E3.2.1.52_mRNA -&gt; E3.2.1.52 | (0.278 * E3.2.1.52_mRNA) - (0.000000278 * E3.2.1.52)</v>
      </c>
    </row>
    <row r="256" spans="1:14">
      <c r="A256">
        <v>255</v>
      </c>
      <c r="B256" s="4" t="s">
        <v>7297</v>
      </c>
      <c r="C256" s="4" t="str">
        <f t="shared" si="36"/>
        <v>E3.2.2.4_mRNA</v>
      </c>
      <c r="D256" s="4" t="s">
        <v>12768</v>
      </c>
      <c r="E256" s="22" t="str">
        <f t="shared" si="37"/>
        <v>E3.2.2.4_kcat : 13.7</v>
      </c>
      <c r="F256" s="23" t="str">
        <f t="shared" si="33"/>
        <v>E3.2.2.4_km : 1</v>
      </c>
      <c r="G256" s="24" t="str">
        <f t="shared" si="34"/>
        <v>E3.2.2.4_mRNA : E3.2.2.4_mRNA</v>
      </c>
      <c r="H256" s="25" t="str">
        <f t="shared" si="35"/>
        <v>E3.2.2.4 : E3.2.2.4</v>
      </c>
      <c r="I256" s="26" t="str">
        <f t="shared" si="38"/>
        <v>E3.2.2.4_mRNA : 0</v>
      </c>
      <c r="J256" s="27" t="str">
        <f t="shared" si="39"/>
        <v>E3.2.2.4 : 0</v>
      </c>
      <c r="K256" s="28" t="str">
        <f t="shared" si="40"/>
        <v>0.00292 - (0.0093 * E3.2.2.4_mRNA)</v>
      </c>
      <c r="L256" s="24" t="str">
        <f t="shared" si="41"/>
        <v>(0.278 * E3.2.2.4_mRNA) - (0.00000278 * E3.2.2.4)</v>
      </c>
      <c r="M256" s="29" t="str">
        <f t="shared" si="42"/>
        <v>mRNA255: -&gt; E3.2.2.4_mRNA | 0.00292 - (0.0093 * E3.2.2.4_mRNA)</v>
      </c>
      <c r="N256" s="22" t="str">
        <f t="shared" si="43"/>
        <v>Peptide255: E3.2.2.4_mRNA -&gt; E3.2.2.4 | (0.278 * E3.2.2.4_mRNA) - (0.000000278 * E3.2.2.4)</v>
      </c>
    </row>
    <row r="257" spans="1:14">
      <c r="A257">
        <v>256</v>
      </c>
      <c r="B257" s="4" t="s">
        <v>7334</v>
      </c>
      <c r="C257" s="4" t="str">
        <f t="shared" si="36"/>
        <v>E3.3.2.10_mRNA</v>
      </c>
      <c r="D257" s="4" t="s">
        <v>12789</v>
      </c>
      <c r="E257" s="22" t="str">
        <f t="shared" si="37"/>
        <v>E3.3.2.10_kcat : 13.7</v>
      </c>
      <c r="F257" s="23" t="str">
        <f t="shared" si="33"/>
        <v>E3.3.2.10_km : 1</v>
      </c>
      <c r="G257" s="24" t="str">
        <f t="shared" si="34"/>
        <v>E3.3.2.10_mRNA : E3.3.2.10_mRNA</v>
      </c>
      <c r="H257" s="25" t="str">
        <f t="shared" si="35"/>
        <v>E3.3.2.10 : E3.3.2.10</v>
      </c>
      <c r="I257" s="26" t="str">
        <f t="shared" si="38"/>
        <v>E3.3.2.10_mRNA : 0</v>
      </c>
      <c r="J257" s="27" t="str">
        <f t="shared" si="39"/>
        <v>E3.3.2.10 : 0</v>
      </c>
      <c r="K257" s="28" t="str">
        <f t="shared" si="40"/>
        <v>0.00292 - (0.0093 * E3.3.2.10_mRNA)</v>
      </c>
      <c r="L257" s="24" t="str">
        <f t="shared" si="41"/>
        <v>(0.278 * E3.3.2.10_mRNA) - (0.00000278 * E3.3.2.10)</v>
      </c>
      <c r="M257" s="29" t="str">
        <f t="shared" si="42"/>
        <v>mRNA256: -&gt; E3.3.2.10_mRNA | 0.00292 - (0.0093 * E3.3.2.10_mRNA)</v>
      </c>
      <c r="N257" s="22" t="str">
        <f t="shared" si="43"/>
        <v>Peptide256: E3.3.2.10_mRNA -&gt; E3.3.2.10 | (0.278 * E3.3.2.10_mRNA) - (0.000000278 * E3.3.2.10)</v>
      </c>
    </row>
    <row r="258" spans="1:14">
      <c r="A258">
        <v>257</v>
      </c>
      <c r="B258" s="4" t="s">
        <v>7683</v>
      </c>
      <c r="C258" s="4" t="str">
        <f t="shared" si="36"/>
        <v>E3.4.11.1_mRNA</v>
      </c>
      <c r="D258" s="4" t="s">
        <v>13039</v>
      </c>
      <c r="E258" s="22" t="str">
        <f t="shared" si="37"/>
        <v>E3.4.11.1_kcat : 13.7</v>
      </c>
      <c r="F258" s="23" t="str">
        <f t="shared" ref="F258:F321" si="44">CONCATENATE("E",B258,"_km : 1")</f>
        <v>E3.4.11.1_km : 1</v>
      </c>
      <c r="G258" s="24" t="str">
        <f t="shared" ref="G258:G321" si="45">CONCATENATE(C258," : ",C258)</f>
        <v>E3.4.11.1_mRNA : E3.4.11.1_mRNA</v>
      </c>
      <c r="H258" s="25" t="str">
        <f t="shared" ref="H258:H321" si="46">CONCATENATE(D258," : ",D258)</f>
        <v>E3.4.11.1 : E3.4.11.1</v>
      </c>
      <c r="I258" s="26" t="str">
        <f t="shared" si="38"/>
        <v>E3.4.11.1_mRNA : 0</v>
      </c>
      <c r="J258" s="27" t="str">
        <f t="shared" si="39"/>
        <v>E3.4.11.1 : 0</v>
      </c>
      <c r="K258" s="28" t="str">
        <f t="shared" si="40"/>
        <v>0.00292 - (0.0093 * E3.4.11.1_mRNA)</v>
      </c>
      <c r="L258" s="24" t="str">
        <f t="shared" si="41"/>
        <v>(0.278 * E3.4.11.1_mRNA) - (0.00000278 * E3.4.11.1)</v>
      </c>
      <c r="M258" s="29" t="str">
        <f t="shared" si="42"/>
        <v>mRNA257: -&gt; E3.4.11.1_mRNA | 0.00292 - (0.0093 * E3.4.11.1_mRNA)</v>
      </c>
      <c r="N258" s="22" t="str">
        <f t="shared" si="43"/>
        <v>Peptide257: E3.4.11.1_mRNA -&gt; E3.4.11.1 | (0.278 * E3.4.11.1_mRNA) - (0.000000278 * E3.4.11.1)</v>
      </c>
    </row>
    <row r="259" spans="1:14">
      <c r="A259">
        <v>258</v>
      </c>
      <c r="B259" s="4" t="s">
        <v>7341</v>
      </c>
      <c r="C259" s="4" t="str">
        <f t="shared" ref="C259:C322" si="47">CONCATENATE(D259,"_mRNA")</f>
        <v>E3.4.11.2_mRNA</v>
      </c>
      <c r="D259" s="4" t="s">
        <v>12796</v>
      </c>
      <c r="E259" s="22" t="str">
        <f t="shared" ref="E259:E322" si="48">CONCATENATE("E",B259,"_kcat : 13.7")</f>
        <v>E3.4.11.2_kcat : 13.7</v>
      </c>
      <c r="F259" s="23" t="str">
        <f t="shared" si="44"/>
        <v>E3.4.11.2_km : 1</v>
      </c>
      <c r="G259" s="24" t="str">
        <f t="shared" si="45"/>
        <v>E3.4.11.2_mRNA : E3.4.11.2_mRNA</v>
      </c>
      <c r="H259" s="25" t="str">
        <f t="shared" si="46"/>
        <v>E3.4.11.2 : E3.4.11.2</v>
      </c>
      <c r="I259" s="26" t="str">
        <f t="shared" ref="I259:I322" si="49">CONCATENATE(C259," : ","0")</f>
        <v>E3.4.11.2_mRNA : 0</v>
      </c>
      <c r="J259" s="27" t="str">
        <f t="shared" ref="J259:J322" si="50">CONCATENATE(D259," : ","0")</f>
        <v>E3.4.11.2 : 0</v>
      </c>
      <c r="K259" s="28" t="str">
        <f t="shared" ref="K259:K322" si="51">CONCATENATE("0.00292 - (0.0093 * ",C259,")")</f>
        <v>0.00292 - (0.0093 * E3.4.11.2_mRNA)</v>
      </c>
      <c r="L259" s="24" t="str">
        <f t="shared" ref="L259:L322" si="52">CONCATENATE("(0.278 * ",C259,")"," - (0.00000278 * ",D259,")")</f>
        <v>(0.278 * E3.4.11.2_mRNA) - (0.00000278 * E3.4.11.2)</v>
      </c>
      <c r="M259" s="29" t="str">
        <f t="shared" ref="M259:M322" si="53">CONCATENATE("mRNA",A259,": -&gt; ",C259," | ","0.00292"," - ","(","0.0093"," * ",C259,")")</f>
        <v>mRNA258: -&gt; E3.4.11.2_mRNA | 0.00292 - (0.0093 * E3.4.11.2_mRNA)</v>
      </c>
      <c r="N259" s="22" t="str">
        <f t="shared" ref="N259:N322" si="54">CONCATENATE("Peptide",A259,": ",C259," -&gt; ",D259," | ","(","0.278"," * ",C259,")"," - ","(","0.000000278"," * ",D259,")")</f>
        <v>Peptide258: E3.4.11.2_mRNA -&gt; E3.4.11.2 | (0.278 * E3.4.11.2_mRNA) - (0.000000278 * E3.4.11.2)</v>
      </c>
    </row>
    <row r="260" spans="1:14">
      <c r="A260">
        <v>259</v>
      </c>
      <c r="B260" s="4" t="s">
        <v>7738</v>
      </c>
      <c r="C260" s="4" t="str">
        <f t="shared" si="47"/>
        <v>E3.4.11.5_mRNA</v>
      </c>
      <c r="D260" s="4" t="s">
        <v>13086</v>
      </c>
      <c r="E260" s="22" t="str">
        <f t="shared" si="48"/>
        <v>E3.4.11.5_kcat : 13.7</v>
      </c>
      <c r="F260" s="23" t="str">
        <f t="shared" si="44"/>
        <v>E3.4.11.5_km : 1</v>
      </c>
      <c r="G260" s="24" t="str">
        <f t="shared" si="45"/>
        <v>E3.4.11.5_mRNA : E3.4.11.5_mRNA</v>
      </c>
      <c r="H260" s="25" t="str">
        <f t="shared" si="46"/>
        <v>E3.4.11.5 : E3.4.11.5</v>
      </c>
      <c r="I260" s="26" t="str">
        <f t="shared" si="49"/>
        <v>E3.4.11.5_mRNA : 0</v>
      </c>
      <c r="J260" s="27" t="str">
        <f t="shared" si="50"/>
        <v>E3.4.11.5 : 0</v>
      </c>
      <c r="K260" s="28" t="str">
        <f t="shared" si="51"/>
        <v>0.00292 - (0.0093 * E3.4.11.5_mRNA)</v>
      </c>
      <c r="L260" s="24" t="str">
        <f t="shared" si="52"/>
        <v>(0.278 * E3.4.11.5_mRNA) - (0.00000278 * E3.4.11.5)</v>
      </c>
      <c r="M260" s="29" t="str">
        <f t="shared" si="53"/>
        <v>mRNA259: -&gt; E3.4.11.5_mRNA | 0.00292 - (0.0093 * E3.4.11.5_mRNA)</v>
      </c>
      <c r="N260" s="22" t="str">
        <f t="shared" si="54"/>
        <v>Peptide259: E3.4.11.5_mRNA -&gt; E3.4.11.5 | (0.278 * E3.4.11.5_mRNA) - (0.000000278 * E3.4.11.5)</v>
      </c>
    </row>
    <row r="261" spans="1:14">
      <c r="A261">
        <v>260</v>
      </c>
      <c r="B261" s="4" t="s">
        <v>7664</v>
      </c>
      <c r="C261" s="4" t="str">
        <f t="shared" si="47"/>
        <v>E3.5.1.1_mRNA</v>
      </c>
      <c r="D261" s="4" t="s">
        <v>13022</v>
      </c>
      <c r="E261" s="22" t="str">
        <f t="shared" si="48"/>
        <v>E3.5.1.1_kcat : 13.7</v>
      </c>
      <c r="F261" s="23" t="str">
        <f t="shared" si="44"/>
        <v>E3.5.1.1_km : 1</v>
      </c>
      <c r="G261" s="24" t="str">
        <f t="shared" si="45"/>
        <v>E3.5.1.1_mRNA : E3.5.1.1_mRNA</v>
      </c>
      <c r="H261" s="25" t="str">
        <f t="shared" si="46"/>
        <v>E3.5.1.1 : E3.5.1.1</v>
      </c>
      <c r="I261" s="26" t="str">
        <f t="shared" si="49"/>
        <v>E3.5.1.1_mRNA : 0</v>
      </c>
      <c r="J261" s="27" t="str">
        <f t="shared" si="50"/>
        <v>E3.5.1.1 : 0</v>
      </c>
      <c r="K261" s="28" t="str">
        <f t="shared" si="51"/>
        <v>0.00292 - (0.0093 * E3.5.1.1_mRNA)</v>
      </c>
      <c r="L261" s="24" t="str">
        <f t="shared" si="52"/>
        <v>(0.278 * E3.5.1.1_mRNA) - (0.00000278 * E3.5.1.1)</v>
      </c>
      <c r="M261" s="29" t="str">
        <f t="shared" si="53"/>
        <v>mRNA260: -&gt; E3.5.1.1_mRNA | 0.00292 - (0.0093 * E3.5.1.1_mRNA)</v>
      </c>
      <c r="N261" s="22" t="str">
        <f t="shared" si="54"/>
        <v>Peptide260: E3.5.1.1_mRNA -&gt; E3.5.1.1 | (0.278 * E3.5.1.1_mRNA) - (0.000000278 * E3.5.1.1)</v>
      </c>
    </row>
    <row r="262" spans="1:14">
      <c r="A262">
        <v>261</v>
      </c>
      <c r="B262" s="4" t="s">
        <v>7494</v>
      </c>
      <c r="C262" s="4" t="str">
        <f t="shared" si="47"/>
        <v>E3.5.1.103_mRNA</v>
      </c>
      <c r="D262" s="4" t="s">
        <v>12895</v>
      </c>
      <c r="E262" s="22" t="str">
        <f t="shared" si="48"/>
        <v>E3.5.1.103_kcat : 13.7</v>
      </c>
      <c r="F262" s="23" t="str">
        <f t="shared" si="44"/>
        <v>E3.5.1.103_km : 1</v>
      </c>
      <c r="G262" s="24" t="str">
        <f t="shared" si="45"/>
        <v>E3.5.1.103_mRNA : E3.5.1.103_mRNA</v>
      </c>
      <c r="H262" s="25" t="str">
        <f t="shared" si="46"/>
        <v>E3.5.1.103 : E3.5.1.103</v>
      </c>
      <c r="I262" s="26" t="str">
        <f t="shared" si="49"/>
        <v>E3.5.1.103_mRNA : 0</v>
      </c>
      <c r="J262" s="27" t="str">
        <f t="shared" si="50"/>
        <v>E3.5.1.103 : 0</v>
      </c>
      <c r="K262" s="28" t="str">
        <f t="shared" si="51"/>
        <v>0.00292 - (0.0093 * E3.5.1.103_mRNA)</v>
      </c>
      <c r="L262" s="24" t="str">
        <f t="shared" si="52"/>
        <v>(0.278 * E3.5.1.103_mRNA) - (0.00000278 * E3.5.1.103)</v>
      </c>
      <c r="M262" s="29" t="str">
        <f t="shared" si="53"/>
        <v>mRNA261: -&gt; E3.5.1.103_mRNA | 0.00292 - (0.0093 * E3.5.1.103_mRNA)</v>
      </c>
      <c r="N262" s="22" t="str">
        <f t="shared" si="54"/>
        <v>Peptide261: E3.5.1.103_mRNA -&gt; E3.5.1.103 | (0.278 * E3.5.1.103_mRNA) - (0.000000278 * E3.5.1.103)</v>
      </c>
    </row>
    <row r="263" spans="1:14">
      <c r="A263">
        <v>262</v>
      </c>
      <c r="B263" s="4" t="s">
        <v>7820</v>
      </c>
      <c r="C263" s="4" t="str">
        <f t="shared" si="47"/>
        <v>E3.5.1.111_mRNA</v>
      </c>
      <c r="D263" s="4" t="s">
        <v>13130</v>
      </c>
      <c r="E263" s="22" t="str">
        <f t="shared" si="48"/>
        <v>E3.5.1.111_kcat : 13.7</v>
      </c>
      <c r="F263" s="23" t="str">
        <f t="shared" si="44"/>
        <v>E3.5.1.111_km : 1</v>
      </c>
      <c r="G263" s="24" t="str">
        <f t="shared" si="45"/>
        <v>E3.5.1.111_mRNA : E3.5.1.111_mRNA</v>
      </c>
      <c r="H263" s="25" t="str">
        <f t="shared" si="46"/>
        <v>E3.5.1.111 : E3.5.1.111</v>
      </c>
      <c r="I263" s="26" t="str">
        <f t="shared" si="49"/>
        <v>E3.5.1.111_mRNA : 0</v>
      </c>
      <c r="J263" s="27" t="str">
        <f t="shared" si="50"/>
        <v>E3.5.1.111 : 0</v>
      </c>
      <c r="K263" s="28" t="str">
        <f t="shared" si="51"/>
        <v>0.00292 - (0.0093 * E3.5.1.111_mRNA)</v>
      </c>
      <c r="L263" s="24" t="str">
        <f t="shared" si="52"/>
        <v>(0.278 * E3.5.1.111_mRNA) - (0.00000278 * E3.5.1.111)</v>
      </c>
      <c r="M263" s="29" t="str">
        <f t="shared" si="53"/>
        <v>mRNA262: -&gt; E3.5.1.111_mRNA | 0.00292 - (0.0093 * E3.5.1.111_mRNA)</v>
      </c>
      <c r="N263" s="22" t="str">
        <f t="shared" si="54"/>
        <v>Peptide262: E3.5.1.111_mRNA -&gt; E3.5.1.111 | (0.278 * E3.5.1.111_mRNA) - (0.000000278 * E3.5.1.111)</v>
      </c>
    </row>
    <row r="264" spans="1:14">
      <c r="A264">
        <v>263</v>
      </c>
      <c r="B264" s="4" t="s">
        <v>7476</v>
      </c>
      <c r="C264" s="4" t="str">
        <f t="shared" si="47"/>
        <v>E3.5.1.115_mRNA</v>
      </c>
      <c r="D264" s="4" t="s">
        <v>12884</v>
      </c>
      <c r="E264" s="22" t="str">
        <f t="shared" si="48"/>
        <v>E3.5.1.115_kcat : 13.7</v>
      </c>
      <c r="F264" s="23" t="str">
        <f t="shared" si="44"/>
        <v>E3.5.1.115_km : 1</v>
      </c>
      <c r="G264" s="24" t="str">
        <f t="shared" si="45"/>
        <v>E3.5.1.115_mRNA : E3.5.1.115_mRNA</v>
      </c>
      <c r="H264" s="25" t="str">
        <f t="shared" si="46"/>
        <v>E3.5.1.115 : E3.5.1.115</v>
      </c>
      <c r="I264" s="26" t="str">
        <f t="shared" si="49"/>
        <v>E3.5.1.115_mRNA : 0</v>
      </c>
      <c r="J264" s="27" t="str">
        <f t="shared" si="50"/>
        <v>E3.5.1.115 : 0</v>
      </c>
      <c r="K264" s="28" t="str">
        <f t="shared" si="51"/>
        <v>0.00292 - (0.0093 * E3.5.1.115_mRNA)</v>
      </c>
      <c r="L264" s="24" t="str">
        <f t="shared" si="52"/>
        <v>(0.278 * E3.5.1.115_mRNA) - (0.00000278 * E3.5.1.115)</v>
      </c>
      <c r="M264" s="29" t="str">
        <f t="shared" si="53"/>
        <v>mRNA263: -&gt; E3.5.1.115_mRNA | 0.00292 - (0.0093 * E3.5.1.115_mRNA)</v>
      </c>
      <c r="N264" s="22" t="str">
        <f t="shared" si="54"/>
        <v>Peptide263: E3.5.1.115_mRNA -&gt; E3.5.1.115 | (0.278 * E3.5.1.115_mRNA) - (0.000000278 * E3.5.1.115)</v>
      </c>
    </row>
    <row r="265" spans="1:14">
      <c r="A265">
        <v>264</v>
      </c>
      <c r="B265" s="4" t="s">
        <v>7795</v>
      </c>
      <c r="C265" s="4" t="str">
        <f t="shared" si="47"/>
        <v>E3.5.1.13_mRNA</v>
      </c>
      <c r="D265" s="4" t="s">
        <v>13153</v>
      </c>
      <c r="E265" s="22" t="str">
        <f t="shared" si="48"/>
        <v>E3.5.1.13_kcat : 13.7</v>
      </c>
      <c r="F265" s="23" t="str">
        <f t="shared" si="44"/>
        <v>E3.5.1.13_km : 1</v>
      </c>
      <c r="G265" s="24" t="str">
        <f t="shared" si="45"/>
        <v>E3.5.1.13_mRNA : E3.5.1.13_mRNA</v>
      </c>
      <c r="H265" s="25" t="str">
        <f t="shared" si="46"/>
        <v>E3.5.1.13 : E3.5.1.13</v>
      </c>
      <c r="I265" s="26" t="str">
        <f t="shared" si="49"/>
        <v>E3.5.1.13_mRNA : 0</v>
      </c>
      <c r="J265" s="27" t="str">
        <f t="shared" si="50"/>
        <v>E3.5.1.13 : 0</v>
      </c>
      <c r="K265" s="28" t="str">
        <f t="shared" si="51"/>
        <v>0.00292 - (0.0093 * E3.5.1.13_mRNA)</v>
      </c>
      <c r="L265" s="24" t="str">
        <f t="shared" si="52"/>
        <v>(0.278 * E3.5.1.13_mRNA) - (0.00000278 * E3.5.1.13)</v>
      </c>
      <c r="M265" s="29" t="str">
        <f t="shared" si="53"/>
        <v>mRNA264: -&gt; E3.5.1.13_mRNA | 0.00292 - (0.0093 * E3.5.1.13_mRNA)</v>
      </c>
      <c r="N265" s="22" t="str">
        <f t="shared" si="54"/>
        <v>Peptide264: E3.5.1.13_mRNA -&gt; E3.5.1.13 | (0.278 * E3.5.1.13_mRNA) - (0.000000278 * E3.5.1.13)</v>
      </c>
    </row>
    <row r="266" spans="1:14">
      <c r="A266">
        <v>265</v>
      </c>
      <c r="B266" s="4" t="s">
        <v>7294</v>
      </c>
      <c r="C266" s="4" t="str">
        <f t="shared" si="47"/>
        <v>E3.5.1.18_mRNA</v>
      </c>
      <c r="D266" s="4" t="s">
        <v>12766</v>
      </c>
      <c r="E266" s="22" t="str">
        <f t="shared" si="48"/>
        <v>E3.5.1.18_kcat : 13.7</v>
      </c>
      <c r="F266" s="23" t="str">
        <f t="shared" si="44"/>
        <v>E3.5.1.18_km : 1</v>
      </c>
      <c r="G266" s="24" t="str">
        <f t="shared" si="45"/>
        <v>E3.5.1.18_mRNA : E3.5.1.18_mRNA</v>
      </c>
      <c r="H266" s="25" t="str">
        <f t="shared" si="46"/>
        <v>E3.5.1.18 : E3.5.1.18</v>
      </c>
      <c r="I266" s="26" t="str">
        <f t="shared" si="49"/>
        <v>E3.5.1.18_mRNA : 0</v>
      </c>
      <c r="J266" s="27" t="str">
        <f t="shared" si="50"/>
        <v>E3.5.1.18 : 0</v>
      </c>
      <c r="K266" s="28" t="str">
        <f t="shared" si="51"/>
        <v>0.00292 - (0.0093 * E3.5.1.18_mRNA)</v>
      </c>
      <c r="L266" s="24" t="str">
        <f t="shared" si="52"/>
        <v>(0.278 * E3.5.1.18_mRNA) - (0.00000278 * E3.5.1.18)</v>
      </c>
      <c r="M266" s="29" t="str">
        <f t="shared" si="53"/>
        <v>mRNA265: -&gt; E3.5.1.18_mRNA | 0.00292 - (0.0093 * E3.5.1.18_mRNA)</v>
      </c>
      <c r="N266" s="22" t="str">
        <f t="shared" si="54"/>
        <v>Peptide265: E3.5.1.18_mRNA -&gt; E3.5.1.18 | (0.278 * E3.5.1.18_mRNA) - (0.000000278 * E3.5.1.18)</v>
      </c>
    </row>
    <row r="267" spans="1:14">
      <c r="A267">
        <v>266</v>
      </c>
      <c r="B267" s="4" t="s">
        <v>7735</v>
      </c>
      <c r="C267" s="4" t="str">
        <f t="shared" si="47"/>
        <v>E3.5.1.2_mRNA</v>
      </c>
      <c r="D267" s="4" t="s">
        <v>13083</v>
      </c>
      <c r="E267" s="22" t="str">
        <f t="shared" si="48"/>
        <v>E3.5.1.2_kcat : 13.7</v>
      </c>
      <c r="F267" s="23" t="str">
        <f t="shared" si="44"/>
        <v>E3.5.1.2_km : 1</v>
      </c>
      <c r="G267" s="24" t="str">
        <f t="shared" si="45"/>
        <v>E3.5.1.2_mRNA : E3.5.1.2_mRNA</v>
      </c>
      <c r="H267" s="25" t="str">
        <f t="shared" si="46"/>
        <v>E3.5.1.2 : E3.5.1.2</v>
      </c>
      <c r="I267" s="26" t="str">
        <f t="shared" si="49"/>
        <v>E3.5.1.2_mRNA : 0</v>
      </c>
      <c r="J267" s="27" t="str">
        <f t="shared" si="50"/>
        <v>E3.5.1.2 : 0</v>
      </c>
      <c r="K267" s="28" t="str">
        <f t="shared" si="51"/>
        <v>0.00292 - (0.0093 * E3.5.1.2_mRNA)</v>
      </c>
      <c r="L267" s="24" t="str">
        <f t="shared" si="52"/>
        <v>(0.278 * E3.5.1.2_mRNA) - (0.00000278 * E3.5.1.2)</v>
      </c>
      <c r="M267" s="29" t="str">
        <f t="shared" si="53"/>
        <v>mRNA266: -&gt; E3.5.1.2_mRNA | 0.00292 - (0.0093 * E3.5.1.2_mRNA)</v>
      </c>
      <c r="N267" s="22" t="str">
        <f t="shared" si="54"/>
        <v>Peptide266: E3.5.1.2_mRNA -&gt; E3.5.1.2 | (0.278 * E3.5.1.2_mRNA) - (0.000000278 * E3.5.1.2)</v>
      </c>
    </row>
    <row r="268" spans="1:14">
      <c r="A268">
        <v>267</v>
      </c>
      <c r="B268" s="4" t="s">
        <v>7289</v>
      </c>
      <c r="C268" s="4" t="str">
        <f t="shared" si="47"/>
        <v>E3.5.1.25_mRNA</v>
      </c>
      <c r="D268" s="4" t="s">
        <v>12748</v>
      </c>
      <c r="E268" s="22" t="str">
        <f t="shared" si="48"/>
        <v>E3.5.1.25_kcat : 13.7</v>
      </c>
      <c r="F268" s="23" t="str">
        <f t="shared" si="44"/>
        <v>E3.5.1.25_km : 1</v>
      </c>
      <c r="G268" s="24" t="str">
        <f t="shared" si="45"/>
        <v>E3.5.1.25_mRNA : E3.5.1.25_mRNA</v>
      </c>
      <c r="H268" s="25" t="str">
        <f t="shared" si="46"/>
        <v>E3.5.1.25 : E3.5.1.25</v>
      </c>
      <c r="I268" s="26" t="str">
        <f t="shared" si="49"/>
        <v>E3.5.1.25_mRNA : 0</v>
      </c>
      <c r="J268" s="27" t="str">
        <f t="shared" si="50"/>
        <v>E3.5.1.25 : 0</v>
      </c>
      <c r="K268" s="28" t="str">
        <f t="shared" si="51"/>
        <v>0.00292 - (0.0093 * E3.5.1.25_mRNA)</v>
      </c>
      <c r="L268" s="24" t="str">
        <f t="shared" si="52"/>
        <v>(0.278 * E3.5.1.25_mRNA) - (0.00000278 * E3.5.1.25)</v>
      </c>
      <c r="M268" s="29" t="str">
        <f t="shared" si="53"/>
        <v>mRNA267: -&gt; E3.5.1.25_mRNA | 0.00292 - (0.0093 * E3.5.1.25_mRNA)</v>
      </c>
      <c r="N268" s="22" t="str">
        <f t="shared" si="54"/>
        <v>Peptide267: E3.5.1.25_mRNA -&gt; E3.5.1.25 | (0.278 * E3.5.1.25_mRNA) - (0.000000278 * E3.5.1.25)</v>
      </c>
    </row>
    <row r="269" spans="1:14">
      <c r="A269">
        <v>268</v>
      </c>
      <c r="B269" s="4" t="s">
        <v>7783</v>
      </c>
      <c r="C269" s="4" t="str">
        <f t="shared" si="47"/>
        <v>E3.5.1.28_mRNA</v>
      </c>
      <c r="D269" s="4" t="s">
        <v>13164</v>
      </c>
      <c r="E269" s="22" t="str">
        <f t="shared" si="48"/>
        <v>E3.5.1.28_kcat : 13.7</v>
      </c>
      <c r="F269" s="23" t="str">
        <f t="shared" si="44"/>
        <v>E3.5.1.28_km : 1</v>
      </c>
      <c r="G269" s="24" t="str">
        <f t="shared" si="45"/>
        <v>E3.5.1.28_mRNA : E3.5.1.28_mRNA</v>
      </c>
      <c r="H269" s="25" t="str">
        <f t="shared" si="46"/>
        <v>E3.5.1.28 : E3.5.1.28</v>
      </c>
      <c r="I269" s="26" t="str">
        <f t="shared" si="49"/>
        <v>E3.5.1.28_mRNA : 0</v>
      </c>
      <c r="J269" s="27" t="str">
        <f t="shared" si="50"/>
        <v>E3.5.1.28 : 0</v>
      </c>
      <c r="K269" s="28" t="str">
        <f t="shared" si="51"/>
        <v>0.00292 - (0.0093 * E3.5.1.28_mRNA)</v>
      </c>
      <c r="L269" s="24" t="str">
        <f t="shared" si="52"/>
        <v>(0.278 * E3.5.1.28_mRNA) - (0.00000278 * E3.5.1.28)</v>
      </c>
      <c r="M269" s="29" t="str">
        <f t="shared" si="53"/>
        <v>mRNA268: -&gt; E3.5.1.28_mRNA | 0.00292 - (0.0093 * E3.5.1.28_mRNA)</v>
      </c>
      <c r="N269" s="22" t="str">
        <f t="shared" si="54"/>
        <v>Peptide268: E3.5.1.28_mRNA -&gt; E3.5.1.28 | (0.278 * E3.5.1.28_mRNA) - (0.000000278 * E3.5.1.28)</v>
      </c>
    </row>
    <row r="270" spans="1:14">
      <c r="A270">
        <v>269</v>
      </c>
      <c r="B270" s="4" t="s">
        <v>7708</v>
      </c>
      <c r="C270" s="4" t="str">
        <f t="shared" si="47"/>
        <v>E3.5.1.49_mRNA</v>
      </c>
      <c r="D270" s="4" t="s">
        <v>13060</v>
      </c>
      <c r="E270" s="22" t="str">
        <f t="shared" si="48"/>
        <v>E3.5.1.49_kcat : 13.7</v>
      </c>
      <c r="F270" s="23" t="str">
        <f t="shared" si="44"/>
        <v>E3.5.1.49_km : 1</v>
      </c>
      <c r="G270" s="24" t="str">
        <f t="shared" si="45"/>
        <v>E3.5.1.49_mRNA : E3.5.1.49_mRNA</v>
      </c>
      <c r="H270" s="25" t="str">
        <f t="shared" si="46"/>
        <v>E3.5.1.49 : E3.5.1.49</v>
      </c>
      <c r="I270" s="26" t="str">
        <f t="shared" si="49"/>
        <v>E3.5.1.49_mRNA : 0</v>
      </c>
      <c r="J270" s="27" t="str">
        <f t="shared" si="50"/>
        <v>E3.5.1.49 : 0</v>
      </c>
      <c r="K270" s="28" t="str">
        <f t="shared" si="51"/>
        <v>0.00292 - (0.0093 * E3.5.1.49_mRNA)</v>
      </c>
      <c r="L270" s="24" t="str">
        <f t="shared" si="52"/>
        <v>(0.278 * E3.5.1.49_mRNA) - (0.00000278 * E3.5.1.49)</v>
      </c>
      <c r="M270" s="29" t="str">
        <f t="shared" si="53"/>
        <v>mRNA269: -&gt; E3.5.1.49_mRNA | 0.00292 - (0.0093 * E3.5.1.49_mRNA)</v>
      </c>
      <c r="N270" s="22" t="str">
        <f t="shared" si="54"/>
        <v>Peptide269: E3.5.1.49_mRNA -&gt; E3.5.1.49 | (0.278 * E3.5.1.49_mRNA) - (0.000000278 * E3.5.1.49)</v>
      </c>
    </row>
    <row r="271" spans="1:14">
      <c r="A271">
        <v>270</v>
      </c>
      <c r="B271" s="4" t="s">
        <v>7589</v>
      </c>
      <c r="C271" s="4" t="str">
        <f t="shared" si="47"/>
        <v>E3.5.1.88_mRNA</v>
      </c>
      <c r="D271" s="4" t="s">
        <v>12965</v>
      </c>
      <c r="E271" s="22" t="str">
        <f t="shared" si="48"/>
        <v>E3.5.1.88_kcat : 13.7</v>
      </c>
      <c r="F271" s="23" t="str">
        <f t="shared" si="44"/>
        <v>E3.5.1.88_km : 1</v>
      </c>
      <c r="G271" s="24" t="str">
        <f t="shared" si="45"/>
        <v>E3.5.1.88_mRNA : E3.5.1.88_mRNA</v>
      </c>
      <c r="H271" s="25" t="str">
        <f t="shared" si="46"/>
        <v>E3.5.1.88 : E3.5.1.88</v>
      </c>
      <c r="I271" s="26" t="str">
        <f t="shared" si="49"/>
        <v>E3.5.1.88_mRNA : 0</v>
      </c>
      <c r="J271" s="27" t="str">
        <f t="shared" si="50"/>
        <v>E3.5.1.88 : 0</v>
      </c>
      <c r="K271" s="28" t="str">
        <f t="shared" si="51"/>
        <v>0.00292 - (0.0093 * E3.5.1.88_mRNA)</v>
      </c>
      <c r="L271" s="24" t="str">
        <f t="shared" si="52"/>
        <v>(0.278 * E3.5.1.88_mRNA) - (0.00000278 * E3.5.1.88)</v>
      </c>
      <c r="M271" s="29" t="str">
        <f t="shared" si="53"/>
        <v>mRNA270: -&gt; E3.5.1.88_mRNA | 0.00292 - (0.0093 * E3.5.1.88_mRNA)</v>
      </c>
      <c r="N271" s="22" t="str">
        <f t="shared" si="54"/>
        <v>Peptide270: E3.5.1.88_mRNA -&gt; E3.5.1.88 | (0.278 * E3.5.1.88_mRNA) - (0.000000278 * E3.5.1.88)</v>
      </c>
    </row>
    <row r="272" spans="1:14">
      <c r="A272">
        <v>271</v>
      </c>
      <c r="B272" s="4" t="s">
        <v>7409</v>
      </c>
      <c r="C272" s="4" t="str">
        <f t="shared" si="47"/>
        <v>E3.5.1.91_mRNA</v>
      </c>
      <c r="D272" s="4" t="s">
        <v>12773</v>
      </c>
      <c r="E272" s="22" t="str">
        <f t="shared" si="48"/>
        <v>E3.5.1.91_kcat : 13.7</v>
      </c>
      <c r="F272" s="23" t="str">
        <f t="shared" si="44"/>
        <v>E3.5.1.91_km : 1</v>
      </c>
      <c r="G272" s="24" t="str">
        <f t="shared" si="45"/>
        <v>E3.5.1.91_mRNA : E3.5.1.91_mRNA</v>
      </c>
      <c r="H272" s="25" t="str">
        <f t="shared" si="46"/>
        <v>E3.5.1.91 : E3.5.1.91</v>
      </c>
      <c r="I272" s="26" t="str">
        <f t="shared" si="49"/>
        <v>E3.5.1.91_mRNA : 0</v>
      </c>
      <c r="J272" s="27" t="str">
        <f t="shared" si="50"/>
        <v>E3.5.1.91 : 0</v>
      </c>
      <c r="K272" s="28" t="str">
        <f t="shared" si="51"/>
        <v>0.00292 - (0.0093 * E3.5.1.91_mRNA)</v>
      </c>
      <c r="L272" s="24" t="str">
        <f t="shared" si="52"/>
        <v>(0.278 * E3.5.1.91_mRNA) - (0.00000278 * E3.5.1.91)</v>
      </c>
      <c r="M272" s="29" t="str">
        <f t="shared" si="53"/>
        <v>mRNA271: -&gt; E3.5.1.91_mRNA | 0.00292 - (0.0093 * E3.5.1.91_mRNA)</v>
      </c>
      <c r="N272" s="22" t="str">
        <f t="shared" si="54"/>
        <v>Peptide271: E3.5.1.91_mRNA -&gt; E3.5.1.91 | (0.278 * E3.5.1.91_mRNA) - (0.000000278 * E3.5.1.91)</v>
      </c>
    </row>
    <row r="273" spans="1:14">
      <c r="A273">
        <v>272</v>
      </c>
      <c r="B273" s="4" t="s">
        <v>7592</v>
      </c>
      <c r="C273" s="4" t="str">
        <f t="shared" si="47"/>
        <v>E3.5.2.3_mRNA</v>
      </c>
      <c r="D273" s="4" t="s">
        <v>12969</v>
      </c>
      <c r="E273" s="22" t="str">
        <f t="shared" si="48"/>
        <v>E3.5.2.3_kcat : 13.7</v>
      </c>
      <c r="F273" s="23" t="str">
        <f t="shared" si="44"/>
        <v>E3.5.2.3_km : 1</v>
      </c>
      <c r="G273" s="24" t="str">
        <f t="shared" si="45"/>
        <v>E3.5.2.3_mRNA : E3.5.2.3_mRNA</v>
      </c>
      <c r="H273" s="25" t="str">
        <f t="shared" si="46"/>
        <v>E3.5.2.3 : E3.5.2.3</v>
      </c>
      <c r="I273" s="26" t="str">
        <f t="shared" si="49"/>
        <v>E3.5.2.3_mRNA : 0</v>
      </c>
      <c r="J273" s="27" t="str">
        <f t="shared" si="50"/>
        <v>E3.5.2.3 : 0</v>
      </c>
      <c r="K273" s="28" t="str">
        <f t="shared" si="51"/>
        <v>0.00292 - (0.0093 * E3.5.2.3_mRNA)</v>
      </c>
      <c r="L273" s="24" t="str">
        <f t="shared" si="52"/>
        <v>(0.278 * E3.5.2.3_mRNA) - (0.00000278 * E3.5.2.3)</v>
      </c>
      <c r="M273" s="29" t="str">
        <f t="shared" si="53"/>
        <v>mRNA272: -&gt; E3.5.2.3_mRNA | 0.00292 - (0.0093 * E3.5.2.3_mRNA)</v>
      </c>
      <c r="N273" s="22" t="str">
        <f t="shared" si="54"/>
        <v>Peptide272: E3.5.2.3_mRNA -&gt; E3.5.2.3 | (0.278 * E3.5.2.3_mRNA) - (0.000000278 * E3.5.2.3)</v>
      </c>
    </row>
    <row r="274" spans="1:14">
      <c r="A274">
        <v>273</v>
      </c>
      <c r="B274" s="4" t="s">
        <v>7507</v>
      </c>
      <c r="C274" s="4" t="str">
        <f t="shared" si="47"/>
        <v>E3.5.2.7_mRNA</v>
      </c>
      <c r="D274" s="4" t="s">
        <v>12904</v>
      </c>
      <c r="E274" s="22" t="str">
        <f t="shared" si="48"/>
        <v>E3.5.2.7_kcat : 13.7</v>
      </c>
      <c r="F274" s="23" t="str">
        <f t="shared" si="44"/>
        <v>E3.5.2.7_km : 1</v>
      </c>
      <c r="G274" s="24" t="str">
        <f t="shared" si="45"/>
        <v>E3.5.2.7_mRNA : E3.5.2.7_mRNA</v>
      </c>
      <c r="H274" s="25" t="str">
        <f t="shared" si="46"/>
        <v>E3.5.2.7 : E3.5.2.7</v>
      </c>
      <c r="I274" s="26" t="str">
        <f t="shared" si="49"/>
        <v>E3.5.2.7_mRNA : 0</v>
      </c>
      <c r="J274" s="27" t="str">
        <f t="shared" si="50"/>
        <v>E3.5.2.7 : 0</v>
      </c>
      <c r="K274" s="28" t="str">
        <f t="shared" si="51"/>
        <v>0.00292 - (0.0093 * E3.5.2.7_mRNA)</v>
      </c>
      <c r="L274" s="24" t="str">
        <f t="shared" si="52"/>
        <v>(0.278 * E3.5.2.7_mRNA) - (0.00000278 * E3.5.2.7)</v>
      </c>
      <c r="M274" s="29" t="str">
        <f t="shared" si="53"/>
        <v>mRNA273: -&gt; E3.5.2.7_mRNA | 0.00292 - (0.0093 * E3.5.2.7_mRNA)</v>
      </c>
      <c r="N274" s="22" t="str">
        <f t="shared" si="54"/>
        <v>Peptide273: E3.5.2.7_mRNA -&gt; E3.5.2.7 | (0.278 * E3.5.2.7_mRNA) - (0.000000278 * E3.5.2.7)</v>
      </c>
    </row>
    <row r="275" spans="1:14">
      <c r="A275">
        <v>274</v>
      </c>
      <c r="B275" s="4" t="s">
        <v>7812</v>
      </c>
      <c r="C275" s="4" t="str">
        <f t="shared" si="47"/>
        <v>E3.5.3.6_mRNA</v>
      </c>
      <c r="D275" s="4" t="s">
        <v>13138</v>
      </c>
      <c r="E275" s="22" t="str">
        <f t="shared" si="48"/>
        <v>E3.5.3.6_kcat : 13.7</v>
      </c>
      <c r="F275" s="23" t="str">
        <f t="shared" si="44"/>
        <v>E3.5.3.6_km : 1</v>
      </c>
      <c r="G275" s="24" t="str">
        <f t="shared" si="45"/>
        <v>E3.5.3.6_mRNA : E3.5.3.6_mRNA</v>
      </c>
      <c r="H275" s="25" t="str">
        <f t="shared" si="46"/>
        <v>E3.5.3.6 : E3.5.3.6</v>
      </c>
      <c r="I275" s="26" t="str">
        <f t="shared" si="49"/>
        <v>E3.5.3.6_mRNA : 0</v>
      </c>
      <c r="J275" s="27" t="str">
        <f t="shared" si="50"/>
        <v>E3.5.3.6 : 0</v>
      </c>
      <c r="K275" s="28" t="str">
        <f t="shared" si="51"/>
        <v>0.00292 - (0.0093 * E3.5.3.6_mRNA)</v>
      </c>
      <c r="L275" s="24" t="str">
        <f t="shared" si="52"/>
        <v>(0.278 * E3.5.3.6_mRNA) - (0.00000278 * E3.5.3.6)</v>
      </c>
      <c r="M275" s="29" t="str">
        <f t="shared" si="53"/>
        <v>mRNA274: -&gt; E3.5.3.6_mRNA | 0.00292 - (0.0093 * E3.5.3.6_mRNA)</v>
      </c>
      <c r="N275" s="22" t="str">
        <f t="shared" si="54"/>
        <v>Peptide274: E3.5.3.6_mRNA -&gt; E3.5.3.6 | (0.278 * E3.5.3.6_mRNA) - (0.000000278 * E3.5.3.6)</v>
      </c>
    </row>
    <row r="276" spans="1:14">
      <c r="A276">
        <v>275</v>
      </c>
      <c r="B276" s="4" t="s">
        <v>7504</v>
      </c>
      <c r="C276" s="4" t="str">
        <f t="shared" si="47"/>
        <v>E3.5.3.8_mRNA</v>
      </c>
      <c r="D276" s="4" t="s">
        <v>12901</v>
      </c>
      <c r="E276" s="22" t="str">
        <f t="shared" si="48"/>
        <v>E3.5.3.8_kcat : 13.7</v>
      </c>
      <c r="F276" s="23" t="str">
        <f t="shared" si="44"/>
        <v>E3.5.3.8_km : 1</v>
      </c>
      <c r="G276" s="24" t="str">
        <f t="shared" si="45"/>
        <v>E3.5.3.8_mRNA : E3.5.3.8_mRNA</v>
      </c>
      <c r="H276" s="25" t="str">
        <f t="shared" si="46"/>
        <v>E3.5.3.8 : E3.5.3.8</v>
      </c>
      <c r="I276" s="26" t="str">
        <f t="shared" si="49"/>
        <v>E3.5.3.8_mRNA : 0</v>
      </c>
      <c r="J276" s="27" t="str">
        <f t="shared" si="50"/>
        <v>E3.5.3.8 : 0</v>
      </c>
      <c r="K276" s="28" t="str">
        <f t="shared" si="51"/>
        <v>0.00292 - (0.0093 * E3.5.3.8_mRNA)</v>
      </c>
      <c r="L276" s="24" t="str">
        <f t="shared" si="52"/>
        <v>(0.278 * E3.5.3.8_mRNA) - (0.00000278 * E3.5.3.8)</v>
      </c>
      <c r="M276" s="29" t="str">
        <f t="shared" si="53"/>
        <v>mRNA275: -&gt; E3.5.3.8_mRNA | 0.00292 - (0.0093 * E3.5.3.8_mRNA)</v>
      </c>
      <c r="N276" s="22" t="str">
        <f t="shared" si="54"/>
        <v>Peptide275: E3.5.3.8_mRNA -&gt; E3.5.3.8 | (0.278 * E3.5.3.8_mRNA) - (0.000000278 * E3.5.3.8)</v>
      </c>
    </row>
    <row r="277" spans="1:14">
      <c r="A277">
        <v>276</v>
      </c>
      <c r="B277" s="4" t="s">
        <v>7694</v>
      </c>
      <c r="C277" s="4" t="str">
        <f t="shared" si="47"/>
        <v>E3.5.4.16_mRNA</v>
      </c>
      <c r="D277" s="4" t="s">
        <v>13049</v>
      </c>
      <c r="E277" s="22" t="str">
        <f t="shared" si="48"/>
        <v>E3.5.4.16_kcat : 13.7</v>
      </c>
      <c r="F277" s="23" t="str">
        <f t="shared" si="44"/>
        <v>E3.5.4.16_km : 1</v>
      </c>
      <c r="G277" s="24" t="str">
        <f t="shared" si="45"/>
        <v>E3.5.4.16_mRNA : E3.5.4.16_mRNA</v>
      </c>
      <c r="H277" s="25" t="str">
        <f t="shared" si="46"/>
        <v>E3.5.4.16 : E3.5.4.16</v>
      </c>
      <c r="I277" s="26" t="str">
        <f t="shared" si="49"/>
        <v>E3.5.4.16_mRNA : 0</v>
      </c>
      <c r="J277" s="27" t="str">
        <f t="shared" si="50"/>
        <v>E3.5.4.16 : 0</v>
      </c>
      <c r="K277" s="28" t="str">
        <f t="shared" si="51"/>
        <v>0.00292 - (0.0093 * E3.5.4.16_mRNA)</v>
      </c>
      <c r="L277" s="24" t="str">
        <f t="shared" si="52"/>
        <v>(0.278 * E3.5.4.16_mRNA) - (0.00000278 * E3.5.4.16)</v>
      </c>
      <c r="M277" s="29" t="str">
        <f t="shared" si="53"/>
        <v>mRNA276: -&gt; E3.5.4.16_mRNA | 0.00292 - (0.0093 * E3.5.4.16_mRNA)</v>
      </c>
      <c r="N277" s="22" t="str">
        <f t="shared" si="54"/>
        <v>Peptide276: E3.5.4.16_mRNA -&gt; E3.5.4.16 | (0.278 * E3.5.4.16_mRNA) - (0.000000278 * E3.5.4.16)</v>
      </c>
    </row>
    <row r="278" spans="1:14">
      <c r="A278">
        <v>277</v>
      </c>
      <c r="B278" s="4" t="s">
        <v>7323</v>
      </c>
      <c r="C278" s="4" t="str">
        <f t="shared" si="47"/>
        <v>E3.5.4.33_mRNA</v>
      </c>
      <c r="D278" s="4" t="s">
        <v>12783</v>
      </c>
      <c r="E278" s="22" t="str">
        <f t="shared" si="48"/>
        <v>E3.5.4.33_kcat : 13.7</v>
      </c>
      <c r="F278" s="23" t="str">
        <f t="shared" si="44"/>
        <v>E3.5.4.33_km : 1</v>
      </c>
      <c r="G278" s="24" t="str">
        <f t="shared" si="45"/>
        <v>E3.5.4.33_mRNA : E3.5.4.33_mRNA</v>
      </c>
      <c r="H278" s="25" t="str">
        <f t="shared" si="46"/>
        <v>E3.5.4.33 : E3.5.4.33</v>
      </c>
      <c r="I278" s="26" t="str">
        <f t="shared" si="49"/>
        <v>E3.5.4.33_mRNA : 0</v>
      </c>
      <c r="J278" s="27" t="str">
        <f t="shared" si="50"/>
        <v>E3.5.4.33 : 0</v>
      </c>
      <c r="K278" s="28" t="str">
        <f t="shared" si="51"/>
        <v>0.00292 - (0.0093 * E3.5.4.33_mRNA)</v>
      </c>
      <c r="L278" s="24" t="str">
        <f t="shared" si="52"/>
        <v>(0.278 * E3.5.4.33_mRNA) - (0.00000278 * E3.5.4.33)</v>
      </c>
      <c r="M278" s="29" t="str">
        <f t="shared" si="53"/>
        <v>mRNA277: -&gt; E3.5.4.33_mRNA | 0.00292 - (0.0093 * E3.5.4.33_mRNA)</v>
      </c>
      <c r="N278" s="22" t="str">
        <f t="shared" si="54"/>
        <v>Peptide277: E3.5.4.33_mRNA -&gt; E3.5.4.33 | (0.278 * E3.5.4.33_mRNA) - (0.000000278 * E3.5.4.33)</v>
      </c>
    </row>
    <row r="279" spans="1:14">
      <c r="A279">
        <v>278</v>
      </c>
      <c r="B279" s="4" t="s">
        <v>7405</v>
      </c>
      <c r="C279" s="4" t="str">
        <f t="shared" si="47"/>
        <v>E3.5.4.5_mRNA</v>
      </c>
      <c r="D279" s="4" t="s">
        <v>12841</v>
      </c>
      <c r="E279" s="22" t="str">
        <f t="shared" si="48"/>
        <v>E3.5.4.5_kcat : 13.7</v>
      </c>
      <c r="F279" s="23" t="str">
        <f t="shared" si="44"/>
        <v>E3.5.4.5_km : 1</v>
      </c>
      <c r="G279" s="24" t="str">
        <f t="shared" si="45"/>
        <v>E3.5.4.5_mRNA : E3.5.4.5_mRNA</v>
      </c>
      <c r="H279" s="25" t="str">
        <f t="shared" si="46"/>
        <v>E3.5.4.5 : E3.5.4.5</v>
      </c>
      <c r="I279" s="26" t="str">
        <f t="shared" si="49"/>
        <v>E3.5.4.5_mRNA : 0</v>
      </c>
      <c r="J279" s="27" t="str">
        <f t="shared" si="50"/>
        <v>E3.5.4.5 : 0</v>
      </c>
      <c r="K279" s="28" t="str">
        <f t="shared" si="51"/>
        <v>0.00292 - (0.0093 * E3.5.4.5_mRNA)</v>
      </c>
      <c r="L279" s="24" t="str">
        <f t="shared" si="52"/>
        <v>(0.278 * E3.5.4.5_mRNA) - (0.00000278 * E3.5.4.5)</v>
      </c>
      <c r="M279" s="29" t="str">
        <f t="shared" si="53"/>
        <v>mRNA278: -&gt; E3.5.4.5_mRNA | 0.00292 - (0.0093 * E3.5.4.5_mRNA)</v>
      </c>
      <c r="N279" s="22" t="str">
        <f t="shared" si="54"/>
        <v>Peptide278: E3.5.4.5_mRNA -&gt; E3.5.4.5 | (0.278 * E3.5.4.5_mRNA) - (0.000000278 * E3.5.4.5)</v>
      </c>
    </row>
    <row r="280" spans="1:14">
      <c r="A280">
        <v>279</v>
      </c>
      <c r="B280" s="4" t="s">
        <v>7290</v>
      </c>
      <c r="C280" s="4" t="str">
        <f t="shared" si="47"/>
        <v>E3.5.99.6_mRNA</v>
      </c>
      <c r="D280" s="4" t="s">
        <v>12749</v>
      </c>
      <c r="E280" s="22" t="str">
        <f t="shared" si="48"/>
        <v>E3.5.99.6_kcat : 13.7</v>
      </c>
      <c r="F280" s="23" t="str">
        <f t="shared" si="44"/>
        <v>E3.5.99.6_km : 1</v>
      </c>
      <c r="G280" s="24" t="str">
        <f t="shared" si="45"/>
        <v>E3.5.99.6_mRNA : E3.5.99.6_mRNA</v>
      </c>
      <c r="H280" s="25" t="str">
        <f t="shared" si="46"/>
        <v>E3.5.99.6 : E3.5.99.6</v>
      </c>
      <c r="I280" s="26" t="str">
        <f t="shared" si="49"/>
        <v>E3.5.99.6_mRNA : 0</v>
      </c>
      <c r="J280" s="27" t="str">
        <f t="shared" si="50"/>
        <v>E3.5.99.6 : 0</v>
      </c>
      <c r="K280" s="28" t="str">
        <f t="shared" si="51"/>
        <v>0.00292 - (0.0093 * E3.5.99.6_mRNA)</v>
      </c>
      <c r="L280" s="24" t="str">
        <f t="shared" si="52"/>
        <v>(0.278 * E3.5.99.6_mRNA) - (0.00000278 * E3.5.99.6)</v>
      </c>
      <c r="M280" s="29" t="str">
        <f t="shared" si="53"/>
        <v>mRNA279: -&gt; E3.5.99.6_mRNA | 0.00292 - (0.0093 * E3.5.99.6_mRNA)</v>
      </c>
      <c r="N280" s="22" t="str">
        <f t="shared" si="54"/>
        <v>Peptide279: E3.5.99.6_mRNA -&gt; E3.5.99.6 | (0.278 * E3.5.99.6_mRNA) - (0.000000278 * E3.5.99.6)</v>
      </c>
    </row>
    <row r="281" spans="1:14">
      <c r="A281">
        <v>280</v>
      </c>
      <c r="B281" s="4" t="s">
        <v>7777</v>
      </c>
      <c r="C281" s="4" t="str">
        <f t="shared" si="47"/>
        <v>E3.6.1.1_mRNA</v>
      </c>
      <c r="D281" s="4" t="s">
        <v>13120</v>
      </c>
      <c r="E281" s="22" t="str">
        <f t="shared" si="48"/>
        <v>E3.6.1.1_kcat : 13.7</v>
      </c>
      <c r="F281" s="23" t="str">
        <f t="shared" si="44"/>
        <v>E3.6.1.1_km : 1</v>
      </c>
      <c r="G281" s="24" t="str">
        <f t="shared" si="45"/>
        <v>E3.6.1.1_mRNA : E3.6.1.1_mRNA</v>
      </c>
      <c r="H281" s="25" t="str">
        <f t="shared" si="46"/>
        <v>E3.6.1.1 : E3.6.1.1</v>
      </c>
      <c r="I281" s="26" t="str">
        <f t="shared" si="49"/>
        <v>E3.6.1.1_mRNA : 0</v>
      </c>
      <c r="J281" s="27" t="str">
        <f t="shared" si="50"/>
        <v>E3.6.1.1 : 0</v>
      </c>
      <c r="K281" s="28" t="str">
        <f t="shared" si="51"/>
        <v>0.00292 - (0.0093 * E3.6.1.1_mRNA)</v>
      </c>
      <c r="L281" s="24" t="str">
        <f t="shared" si="52"/>
        <v>(0.278 * E3.6.1.1_mRNA) - (0.00000278 * E3.6.1.1)</v>
      </c>
      <c r="M281" s="29" t="str">
        <f t="shared" si="53"/>
        <v>mRNA280: -&gt; E3.6.1.1_mRNA | 0.00292 - (0.0093 * E3.6.1.1_mRNA)</v>
      </c>
      <c r="N281" s="22" t="str">
        <f t="shared" si="54"/>
        <v>Peptide280: E3.6.1.1_mRNA -&gt; E3.6.1.1 | (0.278 * E3.6.1.1_mRNA) - (0.000000278 * E3.6.1.1)</v>
      </c>
    </row>
    <row r="282" spans="1:14">
      <c r="A282">
        <v>281</v>
      </c>
      <c r="B282" s="4" t="s">
        <v>7351</v>
      </c>
      <c r="C282" s="4" t="str">
        <f t="shared" si="47"/>
        <v>E3.6.1.11_mRNA</v>
      </c>
      <c r="D282" s="4" t="s">
        <v>12803</v>
      </c>
      <c r="E282" s="22" t="str">
        <f t="shared" si="48"/>
        <v>E3.6.1.11_kcat : 13.7</v>
      </c>
      <c r="F282" s="23" t="str">
        <f t="shared" si="44"/>
        <v>E3.6.1.11_km : 1</v>
      </c>
      <c r="G282" s="24" t="str">
        <f t="shared" si="45"/>
        <v>E3.6.1.11_mRNA : E3.6.1.11_mRNA</v>
      </c>
      <c r="H282" s="25" t="str">
        <f t="shared" si="46"/>
        <v>E3.6.1.11 : E3.6.1.11</v>
      </c>
      <c r="I282" s="26" t="str">
        <f t="shared" si="49"/>
        <v>E3.6.1.11_mRNA : 0</v>
      </c>
      <c r="J282" s="27" t="str">
        <f t="shared" si="50"/>
        <v>E3.6.1.11 : 0</v>
      </c>
      <c r="K282" s="28" t="str">
        <f t="shared" si="51"/>
        <v>0.00292 - (0.0093 * E3.6.1.11_mRNA)</v>
      </c>
      <c r="L282" s="24" t="str">
        <f t="shared" si="52"/>
        <v>(0.278 * E3.6.1.11_mRNA) - (0.00000278 * E3.6.1.11)</v>
      </c>
      <c r="M282" s="29" t="str">
        <f t="shared" si="53"/>
        <v>mRNA281: -&gt; E3.6.1.11_mRNA | 0.00292 - (0.0093 * E3.6.1.11_mRNA)</v>
      </c>
      <c r="N282" s="22" t="str">
        <f t="shared" si="54"/>
        <v>Peptide281: E3.6.1.11_mRNA -&gt; E3.6.1.11 | (0.278 * E3.6.1.11_mRNA) - (0.000000278 * E3.6.1.11)</v>
      </c>
    </row>
    <row r="283" spans="1:14">
      <c r="A283">
        <v>282</v>
      </c>
      <c r="B283" s="4" t="s">
        <v>7552</v>
      </c>
      <c r="C283" s="4" t="str">
        <f t="shared" si="47"/>
        <v>E3.6.1.13_mRNA</v>
      </c>
      <c r="D283" s="4" t="s">
        <v>12941</v>
      </c>
      <c r="E283" s="22" t="str">
        <f t="shared" si="48"/>
        <v>E3.6.1.13_kcat : 13.7</v>
      </c>
      <c r="F283" s="23" t="str">
        <f t="shared" si="44"/>
        <v>E3.6.1.13_km : 1</v>
      </c>
      <c r="G283" s="24" t="str">
        <f t="shared" si="45"/>
        <v>E3.6.1.13_mRNA : E3.6.1.13_mRNA</v>
      </c>
      <c r="H283" s="25" t="str">
        <f t="shared" si="46"/>
        <v>E3.6.1.13 : E3.6.1.13</v>
      </c>
      <c r="I283" s="26" t="str">
        <f t="shared" si="49"/>
        <v>E3.6.1.13_mRNA : 0</v>
      </c>
      <c r="J283" s="27" t="str">
        <f t="shared" si="50"/>
        <v>E3.6.1.13 : 0</v>
      </c>
      <c r="K283" s="28" t="str">
        <f t="shared" si="51"/>
        <v>0.00292 - (0.0093 * E3.6.1.13_mRNA)</v>
      </c>
      <c r="L283" s="24" t="str">
        <f t="shared" si="52"/>
        <v>(0.278 * E3.6.1.13_mRNA) - (0.00000278 * E3.6.1.13)</v>
      </c>
      <c r="M283" s="29" t="str">
        <f t="shared" si="53"/>
        <v>mRNA282: -&gt; E3.6.1.13_mRNA | 0.00292 - (0.0093 * E3.6.1.13_mRNA)</v>
      </c>
      <c r="N283" s="22" t="str">
        <f t="shared" si="54"/>
        <v>Peptide282: E3.6.1.13_mRNA -&gt; E3.6.1.13 | (0.278 * E3.6.1.13_mRNA) - (0.000000278 * E3.6.1.13)</v>
      </c>
    </row>
    <row r="284" spans="1:14">
      <c r="A284">
        <v>283</v>
      </c>
      <c r="B284" s="4" t="s">
        <v>7436</v>
      </c>
      <c r="C284" s="4" t="str">
        <f t="shared" si="47"/>
        <v>E3.6.1.22_mRNA</v>
      </c>
      <c r="D284" s="4" t="s">
        <v>12856</v>
      </c>
      <c r="E284" s="22" t="str">
        <f t="shared" si="48"/>
        <v>E3.6.1.22_kcat : 13.7</v>
      </c>
      <c r="F284" s="23" t="str">
        <f t="shared" si="44"/>
        <v>E3.6.1.22_km : 1</v>
      </c>
      <c r="G284" s="24" t="str">
        <f t="shared" si="45"/>
        <v>E3.6.1.22_mRNA : E3.6.1.22_mRNA</v>
      </c>
      <c r="H284" s="25" t="str">
        <f t="shared" si="46"/>
        <v>E3.6.1.22 : E3.6.1.22</v>
      </c>
      <c r="I284" s="26" t="str">
        <f t="shared" si="49"/>
        <v>E3.6.1.22_mRNA : 0</v>
      </c>
      <c r="J284" s="27" t="str">
        <f t="shared" si="50"/>
        <v>E3.6.1.22 : 0</v>
      </c>
      <c r="K284" s="28" t="str">
        <f t="shared" si="51"/>
        <v>0.00292 - (0.0093 * E3.6.1.22_mRNA)</v>
      </c>
      <c r="L284" s="24" t="str">
        <f t="shared" si="52"/>
        <v>(0.278 * E3.6.1.22_mRNA) - (0.00000278 * E3.6.1.22)</v>
      </c>
      <c r="M284" s="29" t="str">
        <f t="shared" si="53"/>
        <v>mRNA283: -&gt; E3.6.1.22_mRNA | 0.00292 - (0.0093 * E3.6.1.22_mRNA)</v>
      </c>
      <c r="N284" s="22" t="str">
        <f t="shared" si="54"/>
        <v>Peptide283: E3.6.1.22_mRNA -&gt; E3.6.1.22 | (0.278 * E3.6.1.22_mRNA) - (0.000000278 * E3.6.1.22)</v>
      </c>
    </row>
    <row r="285" spans="1:14">
      <c r="A285">
        <v>284</v>
      </c>
      <c r="B285" s="4" t="s">
        <v>7618</v>
      </c>
      <c r="C285" s="4" t="str">
        <f t="shared" si="47"/>
        <v>E3.6.1.23_mRNA</v>
      </c>
      <c r="D285" s="4" t="s">
        <v>12991</v>
      </c>
      <c r="E285" s="22" t="str">
        <f t="shared" si="48"/>
        <v>E3.6.1.23_kcat : 13.7</v>
      </c>
      <c r="F285" s="23" t="str">
        <f t="shared" si="44"/>
        <v>E3.6.1.23_km : 1</v>
      </c>
      <c r="G285" s="24" t="str">
        <f t="shared" si="45"/>
        <v>E3.6.1.23_mRNA : E3.6.1.23_mRNA</v>
      </c>
      <c r="H285" s="25" t="str">
        <f t="shared" si="46"/>
        <v>E3.6.1.23 : E3.6.1.23</v>
      </c>
      <c r="I285" s="26" t="str">
        <f t="shared" si="49"/>
        <v>E3.6.1.23_mRNA : 0</v>
      </c>
      <c r="J285" s="27" t="str">
        <f t="shared" si="50"/>
        <v>E3.6.1.23 : 0</v>
      </c>
      <c r="K285" s="28" t="str">
        <f t="shared" si="51"/>
        <v>0.00292 - (0.0093 * E3.6.1.23_mRNA)</v>
      </c>
      <c r="L285" s="24" t="str">
        <f t="shared" si="52"/>
        <v>(0.278 * E3.6.1.23_mRNA) - (0.00000278 * E3.6.1.23)</v>
      </c>
      <c r="M285" s="29" t="str">
        <f t="shared" si="53"/>
        <v>mRNA284: -&gt; E3.6.1.23_mRNA | 0.00292 - (0.0093 * E3.6.1.23_mRNA)</v>
      </c>
      <c r="N285" s="22" t="str">
        <f t="shared" si="54"/>
        <v>Peptide284: E3.6.1.23_mRNA -&gt; E3.6.1.23 | (0.278 * E3.6.1.23_mRNA) - (0.000000278 * E3.6.1.23)</v>
      </c>
    </row>
    <row r="286" spans="1:14">
      <c r="A286">
        <v>285</v>
      </c>
      <c r="B286" s="4" t="s">
        <v>7574</v>
      </c>
      <c r="C286" s="4" t="str">
        <f t="shared" si="47"/>
        <v>E3.6.1.27_mRNA</v>
      </c>
      <c r="D286" s="4" t="s">
        <v>12952</v>
      </c>
      <c r="E286" s="22" t="str">
        <f t="shared" si="48"/>
        <v>E3.6.1.27_kcat : 13.7</v>
      </c>
      <c r="F286" s="23" t="str">
        <f t="shared" si="44"/>
        <v>E3.6.1.27_km : 1</v>
      </c>
      <c r="G286" s="24" t="str">
        <f t="shared" si="45"/>
        <v>E3.6.1.27_mRNA : E3.6.1.27_mRNA</v>
      </c>
      <c r="H286" s="25" t="str">
        <f t="shared" si="46"/>
        <v>E3.6.1.27 : E3.6.1.27</v>
      </c>
      <c r="I286" s="26" t="str">
        <f t="shared" si="49"/>
        <v>E3.6.1.27_mRNA : 0</v>
      </c>
      <c r="J286" s="27" t="str">
        <f t="shared" si="50"/>
        <v>E3.6.1.27 : 0</v>
      </c>
      <c r="K286" s="28" t="str">
        <f t="shared" si="51"/>
        <v>0.00292 - (0.0093 * E3.6.1.27_mRNA)</v>
      </c>
      <c r="L286" s="24" t="str">
        <f t="shared" si="52"/>
        <v>(0.278 * E3.6.1.27_mRNA) - (0.00000278 * E3.6.1.27)</v>
      </c>
      <c r="M286" s="29" t="str">
        <f t="shared" si="53"/>
        <v>mRNA285: -&gt; E3.6.1.27_mRNA | 0.00292 - (0.0093 * E3.6.1.27_mRNA)</v>
      </c>
      <c r="N286" s="22" t="str">
        <f t="shared" si="54"/>
        <v>Peptide285: E3.6.1.27_mRNA -&gt; E3.6.1.27 | (0.278 * E3.6.1.27_mRNA) - (0.000000278 * E3.6.1.27)</v>
      </c>
    </row>
    <row r="287" spans="1:14">
      <c r="A287">
        <v>286</v>
      </c>
      <c r="B287" s="4" t="s">
        <v>7475</v>
      </c>
      <c r="C287" s="4" t="str">
        <f t="shared" si="47"/>
        <v>E3.6.1.40_mRNA</v>
      </c>
      <c r="D287" s="4" t="s">
        <v>12883</v>
      </c>
      <c r="E287" s="22" t="str">
        <f t="shared" si="48"/>
        <v>E3.6.1.40_kcat : 13.7</v>
      </c>
      <c r="F287" s="23" t="str">
        <f t="shared" si="44"/>
        <v>E3.6.1.40_km : 1</v>
      </c>
      <c r="G287" s="24" t="str">
        <f t="shared" si="45"/>
        <v>E3.6.1.40_mRNA : E3.6.1.40_mRNA</v>
      </c>
      <c r="H287" s="25" t="str">
        <f t="shared" si="46"/>
        <v>E3.6.1.40 : E3.6.1.40</v>
      </c>
      <c r="I287" s="26" t="str">
        <f t="shared" si="49"/>
        <v>E3.6.1.40_mRNA : 0</v>
      </c>
      <c r="J287" s="27" t="str">
        <f t="shared" si="50"/>
        <v>E3.6.1.40 : 0</v>
      </c>
      <c r="K287" s="28" t="str">
        <f t="shared" si="51"/>
        <v>0.00292 - (0.0093 * E3.6.1.40_mRNA)</v>
      </c>
      <c r="L287" s="24" t="str">
        <f t="shared" si="52"/>
        <v>(0.278 * E3.6.1.40_mRNA) - (0.00000278 * E3.6.1.40)</v>
      </c>
      <c r="M287" s="29" t="str">
        <f t="shared" si="53"/>
        <v>mRNA286: -&gt; E3.6.1.40_mRNA | 0.00292 - (0.0093 * E3.6.1.40_mRNA)</v>
      </c>
      <c r="N287" s="22" t="str">
        <f t="shared" si="54"/>
        <v>Peptide286: E3.6.1.40_mRNA -&gt; E3.6.1.40 | (0.278 * E3.6.1.40_mRNA) - (0.000000278 * E3.6.1.40)</v>
      </c>
    </row>
    <row r="288" spans="1:14">
      <c r="A288">
        <v>287</v>
      </c>
      <c r="B288" s="4" t="s">
        <v>7321</v>
      </c>
      <c r="C288" s="4" t="str">
        <f t="shared" si="47"/>
        <v>E3.6.1.55_mRNA</v>
      </c>
      <c r="D288" s="4" t="s">
        <v>12781</v>
      </c>
      <c r="E288" s="22" t="str">
        <f t="shared" si="48"/>
        <v>E3.6.1.55_kcat : 13.7</v>
      </c>
      <c r="F288" s="23" t="str">
        <f t="shared" si="44"/>
        <v>E3.6.1.55_km : 1</v>
      </c>
      <c r="G288" s="24" t="str">
        <f t="shared" si="45"/>
        <v>E3.6.1.55_mRNA : E3.6.1.55_mRNA</v>
      </c>
      <c r="H288" s="25" t="str">
        <f t="shared" si="46"/>
        <v>E3.6.1.55 : E3.6.1.55</v>
      </c>
      <c r="I288" s="26" t="str">
        <f t="shared" si="49"/>
        <v>E3.6.1.55_mRNA : 0</v>
      </c>
      <c r="J288" s="27" t="str">
        <f t="shared" si="50"/>
        <v>E3.6.1.55 : 0</v>
      </c>
      <c r="K288" s="28" t="str">
        <f t="shared" si="51"/>
        <v>0.00292 - (0.0093 * E3.6.1.55_mRNA)</v>
      </c>
      <c r="L288" s="24" t="str">
        <f t="shared" si="52"/>
        <v>(0.278 * E3.6.1.55_mRNA) - (0.00000278 * E3.6.1.55)</v>
      </c>
      <c r="M288" s="29" t="str">
        <f t="shared" si="53"/>
        <v>mRNA287: -&gt; E3.6.1.55_mRNA | 0.00292 - (0.0093 * E3.6.1.55_mRNA)</v>
      </c>
      <c r="N288" s="22" t="str">
        <f t="shared" si="54"/>
        <v>Peptide287: E3.6.1.55_mRNA -&gt; E3.6.1.55 | (0.278 * E3.6.1.55_mRNA) - (0.000000278 * E3.6.1.55)</v>
      </c>
    </row>
    <row r="289" spans="1:14">
      <c r="A289">
        <v>288</v>
      </c>
      <c r="B289" s="4" t="s">
        <v>7503</v>
      </c>
      <c r="C289" s="4" t="str">
        <f t="shared" si="47"/>
        <v>E3.6.1.65_mRNA</v>
      </c>
      <c r="D289" s="4" t="s">
        <v>12900</v>
      </c>
      <c r="E289" s="22" t="str">
        <f t="shared" si="48"/>
        <v>E3.6.1.65_kcat : 13.7</v>
      </c>
      <c r="F289" s="23" t="str">
        <f t="shared" si="44"/>
        <v>E3.6.1.65_km : 1</v>
      </c>
      <c r="G289" s="24" t="str">
        <f t="shared" si="45"/>
        <v>E3.6.1.65_mRNA : E3.6.1.65_mRNA</v>
      </c>
      <c r="H289" s="25" t="str">
        <f t="shared" si="46"/>
        <v>E3.6.1.65 : E3.6.1.65</v>
      </c>
      <c r="I289" s="26" t="str">
        <f t="shared" si="49"/>
        <v>E3.6.1.65_mRNA : 0</v>
      </c>
      <c r="J289" s="27" t="str">
        <f t="shared" si="50"/>
        <v>E3.6.1.65 : 0</v>
      </c>
      <c r="K289" s="28" t="str">
        <f t="shared" si="51"/>
        <v>0.00292 - (0.0093 * E3.6.1.65_mRNA)</v>
      </c>
      <c r="L289" s="24" t="str">
        <f t="shared" si="52"/>
        <v>(0.278 * E3.6.1.65_mRNA) - (0.00000278 * E3.6.1.65)</v>
      </c>
      <c r="M289" s="29" t="str">
        <f t="shared" si="53"/>
        <v>mRNA288: -&gt; E3.6.1.65_mRNA | 0.00292 - (0.0093 * E3.6.1.65_mRNA)</v>
      </c>
      <c r="N289" s="22" t="str">
        <f t="shared" si="54"/>
        <v>Peptide288: E3.6.1.65_mRNA -&gt; E3.6.1.65 | (0.278 * E3.6.1.65_mRNA) - (0.000000278 * E3.6.1.65)</v>
      </c>
    </row>
    <row r="290" spans="1:14">
      <c r="A290">
        <v>289</v>
      </c>
      <c r="B290" s="4" t="s">
        <v>7647</v>
      </c>
      <c r="C290" s="4" t="str">
        <f t="shared" si="47"/>
        <v>E3.6.1.7_mRNA</v>
      </c>
      <c r="D290" s="4" t="s">
        <v>13011</v>
      </c>
      <c r="E290" s="22" t="str">
        <f t="shared" si="48"/>
        <v>E3.6.1.7_kcat : 13.7</v>
      </c>
      <c r="F290" s="23" t="str">
        <f t="shared" si="44"/>
        <v>E3.6.1.7_km : 1</v>
      </c>
      <c r="G290" s="24" t="str">
        <f t="shared" si="45"/>
        <v>E3.6.1.7_mRNA : E3.6.1.7_mRNA</v>
      </c>
      <c r="H290" s="25" t="str">
        <f t="shared" si="46"/>
        <v>E3.6.1.7 : E3.6.1.7</v>
      </c>
      <c r="I290" s="26" t="str">
        <f t="shared" si="49"/>
        <v>E3.6.1.7_mRNA : 0</v>
      </c>
      <c r="J290" s="27" t="str">
        <f t="shared" si="50"/>
        <v>E3.6.1.7 : 0</v>
      </c>
      <c r="K290" s="28" t="str">
        <f t="shared" si="51"/>
        <v>0.00292 - (0.0093 * E3.6.1.7_mRNA)</v>
      </c>
      <c r="L290" s="24" t="str">
        <f t="shared" si="52"/>
        <v>(0.278 * E3.6.1.7_mRNA) - (0.00000278 * E3.6.1.7)</v>
      </c>
      <c r="M290" s="29" t="str">
        <f t="shared" si="53"/>
        <v>mRNA289: -&gt; E3.6.1.7_mRNA | 0.00292 - (0.0093 * E3.6.1.7_mRNA)</v>
      </c>
      <c r="N290" s="22" t="str">
        <f t="shared" si="54"/>
        <v>Peptide289: E3.6.1.7_mRNA -&gt; E3.6.1.7 | (0.278 * E3.6.1.7_mRNA) - (0.000000278 * E3.6.1.7)</v>
      </c>
    </row>
    <row r="291" spans="1:14">
      <c r="A291">
        <v>290</v>
      </c>
      <c r="B291" s="4" t="s">
        <v>7473</v>
      </c>
      <c r="C291" s="4" t="str">
        <f t="shared" si="47"/>
        <v>E3.6.1.8_mRNA</v>
      </c>
      <c r="D291" s="4" t="s">
        <v>12881</v>
      </c>
      <c r="E291" s="22" t="str">
        <f t="shared" si="48"/>
        <v>E3.6.1.8_kcat : 13.7</v>
      </c>
      <c r="F291" s="23" t="str">
        <f t="shared" si="44"/>
        <v>E3.6.1.8_km : 1</v>
      </c>
      <c r="G291" s="24" t="str">
        <f t="shared" si="45"/>
        <v>E3.6.1.8_mRNA : E3.6.1.8_mRNA</v>
      </c>
      <c r="H291" s="25" t="str">
        <f t="shared" si="46"/>
        <v>E3.6.1.8 : E3.6.1.8</v>
      </c>
      <c r="I291" s="26" t="str">
        <f t="shared" si="49"/>
        <v>E3.6.1.8_mRNA : 0</v>
      </c>
      <c r="J291" s="27" t="str">
        <f t="shared" si="50"/>
        <v>E3.6.1.8 : 0</v>
      </c>
      <c r="K291" s="28" t="str">
        <f t="shared" si="51"/>
        <v>0.00292 - (0.0093 * E3.6.1.8_mRNA)</v>
      </c>
      <c r="L291" s="24" t="str">
        <f t="shared" si="52"/>
        <v>(0.278 * E3.6.1.8_mRNA) - (0.00000278 * E3.6.1.8)</v>
      </c>
      <c r="M291" s="29" t="str">
        <f t="shared" si="53"/>
        <v>mRNA290: -&gt; E3.6.1.8_mRNA | 0.00292 - (0.0093 * E3.6.1.8_mRNA)</v>
      </c>
      <c r="N291" s="22" t="str">
        <f t="shared" si="54"/>
        <v>Peptide290: E3.6.1.8_mRNA -&gt; E3.6.1.8 | (0.278 * E3.6.1.8_mRNA) - (0.000000278 * E3.6.1.8)</v>
      </c>
    </row>
    <row r="292" spans="1:14">
      <c r="A292">
        <v>291</v>
      </c>
      <c r="B292" s="4" t="s">
        <v>7741</v>
      </c>
      <c r="C292" s="4" t="str">
        <f t="shared" si="47"/>
        <v>E3.6.1.9_mRNA</v>
      </c>
      <c r="D292" s="4" t="s">
        <v>13089</v>
      </c>
      <c r="E292" s="22" t="str">
        <f t="shared" si="48"/>
        <v>E3.6.1.9_kcat : 13.7</v>
      </c>
      <c r="F292" s="23" t="str">
        <f t="shared" si="44"/>
        <v>E3.6.1.9_km : 1</v>
      </c>
      <c r="G292" s="24" t="str">
        <f t="shared" si="45"/>
        <v>E3.6.1.9_mRNA : E3.6.1.9_mRNA</v>
      </c>
      <c r="H292" s="25" t="str">
        <f t="shared" si="46"/>
        <v>E3.6.1.9 : E3.6.1.9</v>
      </c>
      <c r="I292" s="26" t="str">
        <f t="shared" si="49"/>
        <v>E3.6.1.9_mRNA : 0</v>
      </c>
      <c r="J292" s="27" t="str">
        <f t="shared" si="50"/>
        <v>E3.6.1.9 : 0</v>
      </c>
      <c r="K292" s="28" t="str">
        <f t="shared" si="51"/>
        <v>0.00292 - (0.0093 * E3.6.1.9_mRNA)</v>
      </c>
      <c r="L292" s="24" t="str">
        <f t="shared" si="52"/>
        <v>(0.278 * E3.6.1.9_mRNA) - (0.00000278 * E3.6.1.9)</v>
      </c>
      <c r="M292" s="29" t="str">
        <f t="shared" si="53"/>
        <v>mRNA291: -&gt; E3.6.1.9_mRNA | 0.00292 - (0.0093 * E3.6.1.9_mRNA)</v>
      </c>
      <c r="N292" s="22" t="str">
        <f t="shared" si="54"/>
        <v>Peptide291: E3.6.1.9_mRNA -&gt; E3.6.1.9 | (0.278 * E3.6.1.9_mRNA) - (0.000000278 * E3.6.1.9)</v>
      </c>
    </row>
    <row r="293" spans="1:14">
      <c r="A293">
        <v>292</v>
      </c>
      <c r="B293" s="4" t="s">
        <v>7510</v>
      </c>
      <c r="C293" s="4" t="str">
        <f t="shared" si="47"/>
        <v>E4.1.1.20_mRNA</v>
      </c>
      <c r="D293" s="4" t="s">
        <v>12906</v>
      </c>
      <c r="E293" s="22" t="str">
        <f t="shared" si="48"/>
        <v>E4.1.1.20_kcat : 13.7</v>
      </c>
      <c r="F293" s="23" t="str">
        <f t="shared" si="44"/>
        <v>E4.1.1.20_km : 1</v>
      </c>
      <c r="G293" s="24" t="str">
        <f t="shared" si="45"/>
        <v>E4.1.1.20_mRNA : E4.1.1.20_mRNA</v>
      </c>
      <c r="H293" s="25" t="str">
        <f t="shared" si="46"/>
        <v>E4.1.1.20 : E4.1.1.20</v>
      </c>
      <c r="I293" s="26" t="str">
        <f t="shared" si="49"/>
        <v>E4.1.1.20_mRNA : 0</v>
      </c>
      <c r="J293" s="27" t="str">
        <f t="shared" si="50"/>
        <v>E4.1.1.20 : 0</v>
      </c>
      <c r="K293" s="28" t="str">
        <f t="shared" si="51"/>
        <v>0.00292 - (0.0093 * E4.1.1.20_mRNA)</v>
      </c>
      <c r="L293" s="24" t="str">
        <f t="shared" si="52"/>
        <v>(0.278 * E4.1.1.20_mRNA) - (0.00000278 * E4.1.1.20)</v>
      </c>
      <c r="M293" s="29" t="str">
        <f t="shared" si="53"/>
        <v>mRNA292: -&gt; E4.1.1.20_mRNA | 0.00292 - (0.0093 * E4.1.1.20_mRNA)</v>
      </c>
      <c r="N293" s="22" t="str">
        <f t="shared" si="54"/>
        <v>Peptide292: E4.1.1.20_mRNA -&gt; E4.1.1.20 | (0.278 * E4.1.1.20_mRNA) - (0.000000278 * E4.1.1.20)</v>
      </c>
    </row>
    <row r="294" spans="1:14">
      <c r="A294">
        <v>293</v>
      </c>
      <c r="B294" s="4" t="s">
        <v>7809</v>
      </c>
      <c r="C294" s="4" t="str">
        <f t="shared" si="47"/>
        <v>E4.1.1.32_mRNA</v>
      </c>
      <c r="D294" s="4" t="s">
        <v>13140</v>
      </c>
      <c r="E294" s="22" t="str">
        <f t="shared" si="48"/>
        <v>E4.1.1.32_kcat : 13.7</v>
      </c>
      <c r="F294" s="23" t="str">
        <f t="shared" si="44"/>
        <v>E4.1.1.32_km : 1</v>
      </c>
      <c r="G294" s="24" t="str">
        <f t="shared" si="45"/>
        <v>E4.1.1.32_mRNA : E4.1.1.32_mRNA</v>
      </c>
      <c r="H294" s="25" t="str">
        <f t="shared" si="46"/>
        <v>E4.1.1.32 : E4.1.1.32</v>
      </c>
      <c r="I294" s="26" t="str">
        <f t="shared" si="49"/>
        <v>E4.1.1.32_mRNA : 0</v>
      </c>
      <c r="J294" s="27" t="str">
        <f t="shared" si="50"/>
        <v>E4.1.1.32 : 0</v>
      </c>
      <c r="K294" s="28" t="str">
        <f t="shared" si="51"/>
        <v>0.00292 - (0.0093 * E4.1.1.32_mRNA)</v>
      </c>
      <c r="L294" s="24" t="str">
        <f t="shared" si="52"/>
        <v>(0.278 * E4.1.1.32_mRNA) - (0.00000278 * E4.1.1.32)</v>
      </c>
      <c r="M294" s="29" t="str">
        <f t="shared" si="53"/>
        <v>mRNA293: -&gt; E4.1.1.32_mRNA | 0.00292 - (0.0093 * E4.1.1.32_mRNA)</v>
      </c>
      <c r="N294" s="22" t="str">
        <f t="shared" si="54"/>
        <v>Peptide293: E4.1.1.32_mRNA -&gt; E4.1.1.32 | (0.278 * E4.1.1.32_mRNA) - (0.000000278 * E4.1.1.32)</v>
      </c>
    </row>
    <row r="295" spans="1:14">
      <c r="A295">
        <v>294</v>
      </c>
      <c r="B295" s="4" t="s">
        <v>7358</v>
      </c>
      <c r="C295" s="4" t="str">
        <f t="shared" si="47"/>
        <v>E4.1.1.37_mRNA</v>
      </c>
      <c r="D295" s="4" t="s">
        <v>12810</v>
      </c>
      <c r="E295" s="22" t="str">
        <f t="shared" si="48"/>
        <v>E4.1.1.37_kcat : 13.7</v>
      </c>
      <c r="F295" s="23" t="str">
        <f t="shared" si="44"/>
        <v>E4.1.1.37_km : 1</v>
      </c>
      <c r="G295" s="24" t="str">
        <f t="shared" si="45"/>
        <v>E4.1.1.37_mRNA : E4.1.1.37_mRNA</v>
      </c>
      <c r="H295" s="25" t="str">
        <f t="shared" si="46"/>
        <v>E4.1.1.37 : E4.1.1.37</v>
      </c>
      <c r="I295" s="26" t="str">
        <f t="shared" si="49"/>
        <v>E4.1.1.37_mRNA : 0</v>
      </c>
      <c r="J295" s="27" t="str">
        <f t="shared" si="50"/>
        <v>E4.1.1.37 : 0</v>
      </c>
      <c r="K295" s="28" t="str">
        <f t="shared" si="51"/>
        <v>0.00292 - (0.0093 * E4.1.1.37_mRNA)</v>
      </c>
      <c r="L295" s="24" t="str">
        <f t="shared" si="52"/>
        <v>(0.278 * E4.1.1.37_mRNA) - (0.00000278 * E4.1.1.37)</v>
      </c>
      <c r="M295" s="29" t="str">
        <f t="shared" si="53"/>
        <v>mRNA294: -&gt; E4.1.1.37_mRNA | 0.00292 - (0.0093 * E4.1.1.37_mRNA)</v>
      </c>
      <c r="N295" s="22" t="str">
        <f t="shared" si="54"/>
        <v>Peptide294: E4.1.1.37_mRNA -&gt; E4.1.1.37 | (0.278 * E4.1.1.37_mRNA) - (0.000000278 * E4.1.1.37)</v>
      </c>
    </row>
    <row r="296" spans="1:14">
      <c r="A296">
        <v>295</v>
      </c>
      <c r="B296" s="4" t="s">
        <v>7654</v>
      </c>
      <c r="C296" s="4" t="str">
        <f t="shared" si="47"/>
        <v>E4.1.1.48_mRNA</v>
      </c>
      <c r="D296" s="4" t="s">
        <v>13015</v>
      </c>
      <c r="E296" s="22" t="str">
        <f t="shared" si="48"/>
        <v>E4.1.1.48_kcat : 13.7</v>
      </c>
      <c r="F296" s="23" t="str">
        <f t="shared" si="44"/>
        <v>E4.1.1.48_km : 1</v>
      </c>
      <c r="G296" s="24" t="str">
        <f t="shared" si="45"/>
        <v>E4.1.1.48_mRNA : E4.1.1.48_mRNA</v>
      </c>
      <c r="H296" s="25" t="str">
        <f t="shared" si="46"/>
        <v>E4.1.1.48 : E4.1.1.48</v>
      </c>
      <c r="I296" s="26" t="str">
        <f t="shared" si="49"/>
        <v>E4.1.1.48_mRNA : 0</v>
      </c>
      <c r="J296" s="27" t="str">
        <f t="shared" si="50"/>
        <v>E4.1.1.48 : 0</v>
      </c>
      <c r="K296" s="28" t="str">
        <f t="shared" si="51"/>
        <v>0.00292 - (0.0093 * E4.1.1.48_mRNA)</v>
      </c>
      <c r="L296" s="24" t="str">
        <f t="shared" si="52"/>
        <v>(0.278 * E4.1.1.48_mRNA) - (0.00000278 * E4.1.1.48)</v>
      </c>
      <c r="M296" s="29" t="str">
        <f t="shared" si="53"/>
        <v>mRNA295: -&gt; E4.1.1.48_mRNA | 0.00292 - (0.0093 * E4.1.1.48_mRNA)</v>
      </c>
      <c r="N296" s="22" t="str">
        <f t="shared" si="54"/>
        <v>Peptide295: E4.1.1.48_mRNA -&gt; E4.1.1.48 | (0.278 * E4.1.1.48_mRNA) - (0.000000278 * E4.1.1.48)</v>
      </c>
    </row>
    <row r="297" spans="1:14">
      <c r="A297">
        <v>296</v>
      </c>
      <c r="B297" s="4" t="s">
        <v>7413</v>
      </c>
      <c r="C297" s="4" t="str">
        <f t="shared" si="47"/>
        <v>E4.1.1.5_mRNA</v>
      </c>
      <c r="D297" s="4" t="s">
        <v>12847</v>
      </c>
      <c r="E297" s="22" t="str">
        <f t="shared" si="48"/>
        <v>E4.1.1.5_kcat : 13.7</v>
      </c>
      <c r="F297" s="23" t="str">
        <f t="shared" si="44"/>
        <v>E4.1.1.5_km : 1</v>
      </c>
      <c r="G297" s="24" t="str">
        <f t="shared" si="45"/>
        <v>E4.1.1.5_mRNA : E4.1.1.5_mRNA</v>
      </c>
      <c r="H297" s="25" t="str">
        <f t="shared" si="46"/>
        <v>E4.1.1.5 : E4.1.1.5</v>
      </c>
      <c r="I297" s="26" t="str">
        <f t="shared" si="49"/>
        <v>E4.1.1.5_mRNA : 0</v>
      </c>
      <c r="J297" s="27" t="str">
        <f t="shared" si="50"/>
        <v>E4.1.1.5 : 0</v>
      </c>
      <c r="K297" s="28" t="str">
        <f t="shared" si="51"/>
        <v>0.00292 - (0.0093 * E4.1.1.5_mRNA)</v>
      </c>
      <c r="L297" s="24" t="str">
        <f t="shared" si="52"/>
        <v>(0.278 * E4.1.1.5_mRNA) - (0.00000278 * E4.1.1.5)</v>
      </c>
      <c r="M297" s="29" t="str">
        <f t="shared" si="53"/>
        <v>mRNA296: -&gt; E4.1.1.5_mRNA | 0.00292 - (0.0093 * E4.1.1.5_mRNA)</v>
      </c>
      <c r="N297" s="22" t="str">
        <f t="shared" si="54"/>
        <v>Peptide296: E4.1.1.5_mRNA -&gt; E4.1.1.5 | (0.278 * E4.1.1.5_mRNA) - (0.000000278 * E4.1.1.5)</v>
      </c>
    </row>
    <row r="298" spans="1:14">
      <c r="A298">
        <v>297</v>
      </c>
      <c r="B298" s="4" t="s">
        <v>7825</v>
      </c>
      <c r="C298" s="4" t="str">
        <f t="shared" si="47"/>
        <v>E4.1.2.13_mRNA</v>
      </c>
      <c r="D298" s="4" t="s">
        <v>13125</v>
      </c>
      <c r="E298" s="22" t="str">
        <f t="shared" si="48"/>
        <v>E4.1.2.13_kcat : 13.7</v>
      </c>
      <c r="F298" s="23" t="str">
        <f t="shared" si="44"/>
        <v>E4.1.2.13_km : 1</v>
      </c>
      <c r="G298" s="24" t="str">
        <f t="shared" si="45"/>
        <v>E4.1.2.13_mRNA : E4.1.2.13_mRNA</v>
      </c>
      <c r="H298" s="25" t="str">
        <f t="shared" si="46"/>
        <v>E4.1.2.13 : E4.1.2.13</v>
      </c>
      <c r="I298" s="26" t="str">
        <f t="shared" si="49"/>
        <v>E4.1.2.13_mRNA : 0</v>
      </c>
      <c r="J298" s="27" t="str">
        <f t="shared" si="50"/>
        <v>E4.1.2.13 : 0</v>
      </c>
      <c r="K298" s="28" t="str">
        <f t="shared" si="51"/>
        <v>0.00292 - (0.0093 * E4.1.2.13_mRNA)</v>
      </c>
      <c r="L298" s="24" t="str">
        <f t="shared" si="52"/>
        <v>(0.278 * E4.1.2.13_mRNA) - (0.00000278 * E4.1.2.13)</v>
      </c>
      <c r="M298" s="29" t="str">
        <f t="shared" si="53"/>
        <v>mRNA297: -&gt; E4.1.2.13_mRNA | 0.00292 - (0.0093 * E4.1.2.13_mRNA)</v>
      </c>
      <c r="N298" s="22" t="str">
        <f t="shared" si="54"/>
        <v>Peptide297: E4.1.2.13_mRNA -&gt; E4.1.2.13 | (0.278 * E4.1.2.13_mRNA) - (0.000000278 * E4.1.2.13)</v>
      </c>
    </row>
    <row r="299" spans="1:14">
      <c r="A299">
        <v>298</v>
      </c>
      <c r="B299" s="4" t="s">
        <v>7772</v>
      </c>
      <c r="C299" s="4" t="str">
        <f t="shared" si="47"/>
        <v>E4.1.2.25_mRNA</v>
      </c>
      <c r="D299" s="4" t="s">
        <v>13117</v>
      </c>
      <c r="E299" s="22" t="str">
        <f t="shared" si="48"/>
        <v>E4.1.2.25_kcat : 13.7</v>
      </c>
      <c r="F299" s="23" t="str">
        <f t="shared" si="44"/>
        <v>E4.1.2.25_km : 1</v>
      </c>
      <c r="G299" s="24" t="str">
        <f t="shared" si="45"/>
        <v>E4.1.2.25_mRNA : E4.1.2.25_mRNA</v>
      </c>
      <c r="H299" s="25" t="str">
        <f t="shared" si="46"/>
        <v>E4.1.2.25 : E4.1.2.25</v>
      </c>
      <c r="I299" s="26" t="str">
        <f t="shared" si="49"/>
        <v>E4.1.2.25_mRNA : 0</v>
      </c>
      <c r="J299" s="27" t="str">
        <f t="shared" si="50"/>
        <v>E4.1.2.25 : 0</v>
      </c>
      <c r="K299" s="28" t="str">
        <f t="shared" si="51"/>
        <v>0.00292 - (0.0093 * E4.1.2.25_mRNA)</v>
      </c>
      <c r="L299" s="24" t="str">
        <f t="shared" si="52"/>
        <v>(0.278 * E4.1.2.25_mRNA) - (0.00000278 * E4.1.2.25)</v>
      </c>
      <c r="M299" s="29" t="str">
        <f t="shared" si="53"/>
        <v>mRNA298: -&gt; E4.1.2.25_mRNA | 0.00292 - (0.0093 * E4.1.2.25_mRNA)</v>
      </c>
      <c r="N299" s="22" t="str">
        <f t="shared" si="54"/>
        <v>Peptide298: E4.1.2.25_mRNA -&gt; E4.1.2.25 | (0.278 * E4.1.2.25_mRNA) - (0.000000278 * E4.1.2.25)</v>
      </c>
    </row>
    <row r="300" spans="1:14">
      <c r="A300">
        <v>299</v>
      </c>
      <c r="B300" s="4" t="s">
        <v>7787</v>
      </c>
      <c r="C300" s="4" t="str">
        <f t="shared" si="47"/>
        <v>E4.1.3.27_mRNA</v>
      </c>
      <c r="D300" s="4" t="s">
        <v>13160</v>
      </c>
      <c r="E300" s="22" t="str">
        <f t="shared" si="48"/>
        <v>E4.1.3.27_kcat : 13.7</v>
      </c>
      <c r="F300" s="23" t="str">
        <f t="shared" si="44"/>
        <v>E4.1.3.27_km : 1</v>
      </c>
      <c r="G300" s="24" t="str">
        <f t="shared" si="45"/>
        <v>E4.1.3.27_mRNA : E4.1.3.27_mRNA</v>
      </c>
      <c r="H300" s="25" t="str">
        <f t="shared" si="46"/>
        <v>E4.1.3.27 : E4.1.3.27</v>
      </c>
      <c r="I300" s="26" t="str">
        <f t="shared" si="49"/>
        <v>E4.1.3.27_mRNA : 0</v>
      </c>
      <c r="J300" s="27" t="str">
        <f t="shared" si="50"/>
        <v>E4.1.3.27 : 0</v>
      </c>
      <c r="K300" s="28" t="str">
        <f t="shared" si="51"/>
        <v>0.00292 - (0.0093 * E4.1.3.27_mRNA)</v>
      </c>
      <c r="L300" s="24" t="str">
        <f t="shared" si="52"/>
        <v>(0.278 * E4.1.3.27_mRNA) - (0.00000278 * E4.1.3.27)</v>
      </c>
      <c r="M300" s="29" t="str">
        <f t="shared" si="53"/>
        <v>mRNA299: -&gt; E4.1.3.27_mRNA | 0.00292 - (0.0093 * E4.1.3.27_mRNA)</v>
      </c>
      <c r="N300" s="22" t="str">
        <f t="shared" si="54"/>
        <v>Peptide299: E4.1.3.27_mRNA -&gt; E4.1.3.27 | (0.278 * E4.1.3.27_mRNA) - (0.000000278 * E4.1.3.27)</v>
      </c>
    </row>
    <row r="301" spans="1:14">
      <c r="A301">
        <v>300</v>
      </c>
      <c r="B301" s="4" t="s">
        <v>7364</v>
      </c>
      <c r="C301" s="4" t="str">
        <f t="shared" si="47"/>
        <v>E4.1.3.36_mRNA</v>
      </c>
      <c r="D301" s="4" t="s">
        <v>12816</v>
      </c>
      <c r="E301" s="22" t="str">
        <f t="shared" si="48"/>
        <v>E4.1.3.36_kcat : 13.7</v>
      </c>
      <c r="F301" s="23" t="str">
        <f t="shared" si="44"/>
        <v>E4.1.3.36_km : 1</v>
      </c>
      <c r="G301" s="24" t="str">
        <f t="shared" si="45"/>
        <v>E4.1.3.36_mRNA : E4.1.3.36_mRNA</v>
      </c>
      <c r="H301" s="25" t="str">
        <f t="shared" si="46"/>
        <v>E4.1.3.36 : E4.1.3.36</v>
      </c>
      <c r="I301" s="26" t="str">
        <f t="shared" si="49"/>
        <v>E4.1.3.36_mRNA : 0</v>
      </c>
      <c r="J301" s="27" t="str">
        <f t="shared" si="50"/>
        <v>E4.1.3.36 : 0</v>
      </c>
      <c r="K301" s="28" t="str">
        <f t="shared" si="51"/>
        <v>0.00292 - (0.0093 * E4.1.3.36_mRNA)</v>
      </c>
      <c r="L301" s="24" t="str">
        <f t="shared" si="52"/>
        <v>(0.278 * E4.1.3.36_mRNA) - (0.00000278 * E4.1.3.36)</v>
      </c>
      <c r="M301" s="29" t="str">
        <f t="shared" si="53"/>
        <v>mRNA300: -&gt; E4.1.3.36_mRNA | 0.00292 - (0.0093 * E4.1.3.36_mRNA)</v>
      </c>
      <c r="N301" s="22" t="str">
        <f t="shared" si="54"/>
        <v>Peptide300: E4.1.3.36_mRNA -&gt; E4.1.3.36 | (0.278 * E4.1.3.36_mRNA) - (0.000000278 * E4.1.3.36)</v>
      </c>
    </row>
    <row r="302" spans="1:14">
      <c r="A302">
        <v>301</v>
      </c>
      <c r="B302" s="4" t="s">
        <v>7548</v>
      </c>
      <c r="C302" s="4" t="str">
        <f t="shared" si="47"/>
        <v>E4.1.99.17_mRNA</v>
      </c>
      <c r="D302" s="4" t="s">
        <v>12938</v>
      </c>
      <c r="E302" s="22" t="str">
        <f t="shared" si="48"/>
        <v>E4.1.99.17_kcat : 13.7</v>
      </c>
      <c r="F302" s="23" t="str">
        <f t="shared" si="44"/>
        <v>E4.1.99.17_km : 1</v>
      </c>
      <c r="G302" s="24" t="str">
        <f t="shared" si="45"/>
        <v>E4.1.99.17_mRNA : E4.1.99.17_mRNA</v>
      </c>
      <c r="H302" s="25" t="str">
        <f t="shared" si="46"/>
        <v>E4.1.99.17 : E4.1.99.17</v>
      </c>
      <c r="I302" s="26" t="str">
        <f t="shared" si="49"/>
        <v>E4.1.99.17_mRNA : 0</v>
      </c>
      <c r="J302" s="27" t="str">
        <f t="shared" si="50"/>
        <v>E4.1.99.17 : 0</v>
      </c>
      <c r="K302" s="28" t="str">
        <f t="shared" si="51"/>
        <v>0.00292 - (0.0093 * E4.1.99.17_mRNA)</v>
      </c>
      <c r="L302" s="24" t="str">
        <f t="shared" si="52"/>
        <v>(0.278 * E4.1.99.17_mRNA) - (0.00000278 * E4.1.99.17)</v>
      </c>
      <c r="M302" s="29" t="str">
        <f t="shared" si="53"/>
        <v>mRNA301: -&gt; E4.1.99.17_mRNA | 0.00292 - (0.0093 * E4.1.99.17_mRNA)</v>
      </c>
      <c r="N302" s="22" t="str">
        <f t="shared" si="54"/>
        <v>Peptide301: E4.1.99.17_mRNA -&gt; E4.1.99.17 | (0.278 * E4.1.99.17_mRNA) - (0.000000278 * E4.1.99.17)</v>
      </c>
    </row>
    <row r="303" spans="1:14">
      <c r="A303">
        <v>302</v>
      </c>
      <c r="B303" s="4" t="s">
        <v>7373</v>
      </c>
      <c r="C303" s="4" t="str">
        <f t="shared" si="47"/>
        <v>E4.1.99.3_mRNA</v>
      </c>
      <c r="D303" s="4" t="s">
        <v>12822</v>
      </c>
      <c r="E303" s="22" t="str">
        <f t="shared" si="48"/>
        <v>E4.1.99.3_kcat : 13.7</v>
      </c>
      <c r="F303" s="23" t="str">
        <f t="shared" si="44"/>
        <v>E4.1.99.3_km : 1</v>
      </c>
      <c r="G303" s="24" t="str">
        <f t="shared" si="45"/>
        <v>E4.1.99.3_mRNA : E4.1.99.3_mRNA</v>
      </c>
      <c r="H303" s="25" t="str">
        <f t="shared" si="46"/>
        <v>E4.1.99.3 : E4.1.99.3</v>
      </c>
      <c r="I303" s="26" t="str">
        <f t="shared" si="49"/>
        <v>E4.1.99.3_mRNA : 0</v>
      </c>
      <c r="J303" s="27" t="str">
        <f t="shared" si="50"/>
        <v>E4.1.99.3 : 0</v>
      </c>
      <c r="K303" s="28" t="str">
        <f t="shared" si="51"/>
        <v>0.00292 - (0.0093 * E4.1.99.3_mRNA)</v>
      </c>
      <c r="L303" s="24" t="str">
        <f t="shared" si="52"/>
        <v>(0.278 * E4.1.99.3_mRNA) - (0.00000278 * E4.1.99.3)</v>
      </c>
      <c r="M303" s="29" t="str">
        <f t="shared" si="53"/>
        <v>mRNA302: -&gt; E4.1.99.3_mRNA | 0.00292 - (0.0093 * E4.1.99.3_mRNA)</v>
      </c>
      <c r="N303" s="22" t="str">
        <f t="shared" si="54"/>
        <v>Peptide302: E4.1.99.3_mRNA -&gt; E4.1.99.3 | (0.278 * E4.1.99.3_mRNA) - (0.000000278 * E4.1.99.3)</v>
      </c>
    </row>
    <row r="304" spans="1:14">
      <c r="A304">
        <v>303</v>
      </c>
      <c r="B304" s="4" t="s">
        <v>7766</v>
      </c>
      <c r="C304" s="4" t="str">
        <f t="shared" si="47"/>
        <v>E4.2.1.1_mRNA</v>
      </c>
      <c r="D304" s="4" t="s">
        <v>13112</v>
      </c>
      <c r="E304" s="22" t="str">
        <f t="shared" si="48"/>
        <v>E4.2.1.1_kcat : 13.7</v>
      </c>
      <c r="F304" s="23" t="str">
        <f t="shared" si="44"/>
        <v>E4.2.1.1_km : 1</v>
      </c>
      <c r="G304" s="24" t="str">
        <f t="shared" si="45"/>
        <v>E4.2.1.1_mRNA : E4.2.1.1_mRNA</v>
      </c>
      <c r="H304" s="25" t="str">
        <f t="shared" si="46"/>
        <v>E4.2.1.1 : E4.2.1.1</v>
      </c>
      <c r="I304" s="26" t="str">
        <f t="shared" si="49"/>
        <v>E4.2.1.1_mRNA : 0</v>
      </c>
      <c r="J304" s="27" t="str">
        <f t="shared" si="50"/>
        <v>E4.2.1.1 : 0</v>
      </c>
      <c r="K304" s="28" t="str">
        <f t="shared" si="51"/>
        <v>0.00292 - (0.0093 * E4.2.1.1_mRNA)</v>
      </c>
      <c r="L304" s="24" t="str">
        <f t="shared" si="52"/>
        <v>(0.278 * E4.2.1.1_mRNA) - (0.00000278 * E4.2.1.1)</v>
      </c>
      <c r="M304" s="29" t="str">
        <f t="shared" si="53"/>
        <v>mRNA303: -&gt; E4.2.1.1_mRNA | 0.00292 - (0.0093 * E4.2.1.1_mRNA)</v>
      </c>
      <c r="N304" s="22" t="str">
        <f t="shared" si="54"/>
        <v>Peptide303: E4.2.1.1_mRNA -&gt; E4.2.1.1 | (0.278 * E4.2.1.1_mRNA) - (0.000000278 * E4.2.1.1)</v>
      </c>
    </row>
    <row r="305" spans="1:14">
      <c r="A305">
        <v>304</v>
      </c>
      <c r="B305" s="4" t="s">
        <v>7594</v>
      </c>
      <c r="C305" s="4" t="str">
        <f t="shared" si="47"/>
        <v>E4.2.1.10_mRNA</v>
      </c>
      <c r="D305" s="4" t="s">
        <v>12971</v>
      </c>
      <c r="E305" s="22" t="str">
        <f t="shared" si="48"/>
        <v>E4.2.1.10_kcat : 13.7</v>
      </c>
      <c r="F305" s="23" t="str">
        <f t="shared" si="44"/>
        <v>E4.2.1.10_km : 1</v>
      </c>
      <c r="G305" s="24" t="str">
        <f t="shared" si="45"/>
        <v>E4.2.1.10_mRNA : E4.2.1.10_mRNA</v>
      </c>
      <c r="H305" s="25" t="str">
        <f t="shared" si="46"/>
        <v>E4.2.1.10 : E4.2.1.10</v>
      </c>
      <c r="I305" s="26" t="str">
        <f t="shared" si="49"/>
        <v>E4.2.1.10_mRNA : 0</v>
      </c>
      <c r="J305" s="27" t="str">
        <f t="shared" si="50"/>
        <v>E4.2.1.10 : 0</v>
      </c>
      <c r="K305" s="28" t="str">
        <f t="shared" si="51"/>
        <v>0.00292 - (0.0093 * E4.2.1.10_mRNA)</v>
      </c>
      <c r="L305" s="24" t="str">
        <f t="shared" si="52"/>
        <v>(0.278 * E4.2.1.10_mRNA) - (0.00000278 * E4.2.1.10)</v>
      </c>
      <c r="M305" s="29" t="str">
        <f t="shared" si="53"/>
        <v>mRNA304: -&gt; E4.2.1.10_mRNA | 0.00292 - (0.0093 * E4.2.1.10_mRNA)</v>
      </c>
      <c r="N305" s="22" t="str">
        <f t="shared" si="54"/>
        <v>Peptide304: E4.2.1.10_mRNA -&gt; E4.2.1.10 | (0.278 * E4.2.1.10_mRNA) - (0.000000278 * E4.2.1.10)</v>
      </c>
    </row>
    <row r="306" spans="1:14">
      <c r="A306">
        <v>305</v>
      </c>
      <c r="B306" s="4" t="s">
        <v>7474</v>
      </c>
      <c r="C306" s="4" t="str">
        <f t="shared" si="47"/>
        <v>E4.2.1.11_mRNA</v>
      </c>
      <c r="D306" s="4" t="s">
        <v>12882</v>
      </c>
      <c r="E306" s="22" t="str">
        <f t="shared" si="48"/>
        <v>E4.2.1.11_kcat : 13.7</v>
      </c>
      <c r="F306" s="23" t="str">
        <f t="shared" si="44"/>
        <v>E4.2.1.11_km : 1</v>
      </c>
      <c r="G306" s="24" t="str">
        <f t="shared" si="45"/>
        <v>E4.2.1.11_mRNA : E4.2.1.11_mRNA</v>
      </c>
      <c r="H306" s="25" t="str">
        <f t="shared" si="46"/>
        <v>E4.2.1.11 : E4.2.1.11</v>
      </c>
      <c r="I306" s="26" t="str">
        <f t="shared" si="49"/>
        <v>E4.2.1.11_mRNA : 0</v>
      </c>
      <c r="J306" s="27" t="str">
        <f t="shared" si="50"/>
        <v>E4.2.1.11 : 0</v>
      </c>
      <c r="K306" s="28" t="str">
        <f t="shared" si="51"/>
        <v>0.00292 - (0.0093 * E4.2.1.11_mRNA)</v>
      </c>
      <c r="L306" s="24" t="str">
        <f t="shared" si="52"/>
        <v>(0.278 * E4.2.1.11_mRNA) - (0.00000278 * E4.2.1.11)</v>
      </c>
      <c r="M306" s="29" t="str">
        <f t="shared" si="53"/>
        <v>mRNA305: -&gt; E4.2.1.11_mRNA | 0.00292 - (0.0093 * E4.2.1.11_mRNA)</v>
      </c>
      <c r="N306" s="22" t="str">
        <f t="shared" si="54"/>
        <v>Peptide305: E4.2.1.11_mRNA -&gt; E4.2.1.11 | (0.278 * E4.2.1.11_mRNA) - (0.000000278 * E4.2.1.11)</v>
      </c>
    </row>
    <row r="307" spans="1:14">
      <c r="A307">
        <v>306</v>
      </c>
      <c r="B307" s="4" t="s">
        <v>7397</v>
      </c>
      <c r="C307" s="4" t="str">
        <f t="shared" si="47"/>
        <v>E4.2.1.130_mRNA</v>
      </c>
      <c r="D307" s="4" t="s">
        <v>12834</v>
      </c>
      <c r="E307" s="22" t="str">
        <f t="shared" si="48"/>
        <v>E4.2.1.130_kcat : 13.7</v>
      </c>
      <c r="F307" s="23" t="str">
        <f t="shared" si="44"/>
        <v>E4.2.1.130_km : 1</v>
      </c>
      <c r="G307" s="24" t="str">
        <f t="shared" si="45"/>
        <v>E4.2.1.130_mRNA : E4.2.1.130_mRNA</v>
      </c>
      <c r="H307" s="25" t="str">
        <f t="shared" si="46"/>
        <v>E4.2.1.130 : E4.2.1.130</v>
      </c>
      <c r="I307" s="26" t="str">
        <f t="shared" si="49"/>
        <v>E4.2.1.130_mRNA : 0</v>
      </c>
      <c r="J307" s="27" t="str">
        <f t="shared" si="50"/>
        <v>E4.2.1.130 : 0</v>
      </c>
      <c r="K307" s="28" t="str">
        <f t="shared" si="51"/>
        <v>0.00292 - (0.0093 * E4.2.1.130_mRNA)</v>
      </c>
      <c r="L307" s="24" t="str">
        <f t="shared" si="52"/>
        <v>(0.278 * E4.2.1.130_mRNA) - (0.00000278 * E4.2.1.130)</v>
      </c>
      <c r="M307" s="29" t="str">
        <f t="shared" si="53"/>
        <v>mRNA306: -&gt; E4.2.1.130_mRNA | 0.00292 - (0.0093 * E4.2.1.130_mRNA)</v>
      </c>
      <c r="N307" s="22" t="str">
        <f t="shared" si="54"/>
        <v>Peptide306: E4.2.1.130_mRNA -&gt; E4.2.1.130 | (0.278 * E4.2.1.130_mRNA) - (0.000000278 * E4.2.1.130)</v>
      </c>
    </row>
    <row r="308" spans="1:14">
      <c r="A308">
        <v>307</v>
      </c>
      <c r="B308" s="4" t="s">
        <v>7463</v>
      </c>
      <c r="C308" s="4" t="str">
        <f t="shared" si="47"/>
        <v>E4.2.1.17_mRNA</v>
      </c>
      <c r="D308" s="4" t="s">
        <v>12873</v>
      </c>
      <c r="E308" s="22" t="str">
        <f t="shared" si="48"/>
        <v>E4.2.1.17_kcat : 13.7</v>
      </c>
      <c r="F308" s="23" t="str">
        <f t="shared" si="44"/>
        <v>E4.2.1.17_km : 1</v>
      </c>
      <c r="G308" s="24" t="str">
        <f t="shared" si="45"/>
        <v>E4.2.1.17_mRNA : E4.2.1.17_mRNA</v>
      </c>
      <c r="H308" s="25" t="str">
        <f t="shared" si="46"/>
        <v>E4.2.1.17 : E4.2.1.17</v>
      </c>
      <c r="I308" s="26" t="str">
        <f t="shared" si="49"/>
        <v>E4.2.1.17_mRNA : 0</v>
      </c>
      <c r="J308" s="27" t="str">
        <f t="shared" si="50"/>
        <v>E4.2.1.17 : 0</v>
      </c>
      <c r="K308" s="28" t="str">
        <f t="shared" si="51"/>
        <v>0.00292 - (0.0093 * E4.2.1.17_mRNA)</v>
      </c>
      <c r="L308" s="24" t="str">
        <f t="shared" si="52"/>
        <v>(0.278 * E4.2.1.17_mRNA) - (0.00000278 * E4.2.1.17)</v>
      </c>
      <c r="M308" s="29" t="str">
        <f t="shared" si="53"/>
        <v>mRNA307: -&gt; E4.2.1.17_mRNA | 0.00292 - (0.0093 * E4.2.1.17_mRNA)</v>
      </c>
      <c r="N308" s="22" t="str">
        <f t="shared" si="54"/>
        <v>Peptide307: E4.2.1.17_mRNA -&gt; E4.2.1.17 | (0.278 * E4.2.1.17_mRNA) - (0.000000278 * E4.2.1.17)</v>
      </c>
    </row>
    <row r="309" spans="1:14">
      <c r="A309">
        <v>308</v>
      </c>
      <c r="B309" s="4" t="s">
        <v>7657</v>
      </c>
      <c r="C309" s="4" t="str">
        <f t="shared" si="47"/>
        <v>E4.2.1.19_mRNA</v>
      </c>
      <c r="D309" s="4" t="s">
        <v>13017</v>
      </c>
      <c r="E309" s="22" t="str">
        <f t="shared" si="48"/>
        <v>E4.2.1.19_kcat : 13.7</v>
      </c>
      <c r="F309" s="23" t="str">
        <f t="shared" si="44"/>
        <v>E4.2.1.19_km : 1</v>
      </c>
      <c r="G309" s="24" t="str">
        <f t="shared" si="45"/>
        <v>E4.2.1.19_mRNA : E4.2.1.19_mRNA</v>
      </c>
      <c r="H309" s="25" t="str">
        <f t="shared" si="46"/>
        <v>E4.2.1.19 : E4.2.1.19</v>
      </c>
      <c r="I309" s="26" t="str">
        <f t="shared" si="49"/>
        <v>E4.2.1.19_mRNA : 0</v>
      </c>
      <c r="J309" s="27" t="str">
        <f t="shared" si="50"/>
        <v>E4.2.1.19 : 0</v>
      </c>
      <c r="K309" s="28" t="str">
        <f t="shared" si="51"/>
        <v>0.00292 - (0.0093 * E4.2.1.19_mRNA)</v>
      </c>
      <c r="L309" s="24" t="str">
        <f t="shared" si="52"/>
        <v>(0.278 * E4.2.1.19_mRNA) - (0.00000278 * E4.2.1.19)</v>
      </c>
      <c r="M309" s="29" t="str">
        <f t="shared" si="53"/>
        <v>mRNA308: -&gt; E4.2.1.19_mRNA | 0.00292 - (0.0093 * E4.2.1.19_mRNA)</v>
      </c>
      <c r="N309" s="22" t="str">
        <f t="shared" si="54"/>
        <v>Peptide308: E4.2.1.19_mRNA -&gt; E4.2.1.19 | (0.278 * E4.2.1.19_mRNA) - (0.000000278 * E4.2.1.19)</v>
      </c>
    </row>
    <row r="310" spans="1:14">
      <c r="A310">
        <v>309</v>
      </c>
      <c r="B310" s="4" t="s">
        <v>7483</v>
      </c>
      <c r="C310" s="4" t="str">
        <f t="shared" si="47"/>
        <v>E4.2.1.2_mRNA</v>
      </c>
      <c r="D310" s="4" t="s">
        <v>12888</v>
      </c>
      <c r="E310" s="22" t="str">
        <f t="shared" si="48"/>
        <v>E4.2.1.2_kcat : 13.7</v>
      </c>
      <c r="F310" s="23" t="str">
        <f t="shared" si="44"/>
        <v>E4.2.1.2_km : 1</v>
      </c>
      <c r="G310" s="24" t="str">
        <f t="shared" si="45"/>
        <v>E4.2.1.2_mRNA : E4.2.1.2_mRNA</v>
      </c>
      <c r="H310" s="25" t="str">
        <f t="shared" si="46"/>
        <v>E4.2.1.2 : E4.2.1.2</v>
      </c>
      <c r="I310" s="26" t="str">
        <f t="shared" si="49"/>
        <v>E4.2.1.2_mRNA : 0</v>
      </c>
      <c r="J310" s="27" t="str">
        <f t="shared" si="50"/>
        <v>E4.2.1.2 : 0</v>
      </c>
      <c r="K310" s="28" t="str">
        <f t="shared" si="51"/>
        <v>0.00292 - (0.0093 * E4.2.1.2_mRNA)</v>
      </c>
      <c r="L310" s="24" t="str">
        <f t="shared" si="52"/>
        <v>(0.278 * E4.2.1.2_mRNA) - (0.00000278 * E4.2.1.2)</v>
      </c>
      <c r="M310" s="29" t="str">
        <f t="shared" si="53"/>
        <v>mRNA309: -&gt; E4.2.1.2_mRNA | 0.00292 - (0.0093 * E4.2.1.2_mRNA)</v>
      </c>
      <c r="N310" s="22" t="str">
        <f t="shared" si="54"/>
        <v>Peptide309: E4.2.1.2_mRNA -&gt; E4.2.1.2 | (0.278 * E4.2.1.2_mRNA) - (0.000000278 * E4.2.1.2)</v>
      </c>
    </row>
    <row r="311" spans="1:14">
      <c r="A311">
        <v>310</v>
      </c>
      <c r="B311" s="4" t="s">
        <v>7786</v>
      </c>
      <c r="C311" s="4" t="str">
        <f t="shared" si="47"/>
        <v>E4.2.1.20_mRNA</v>
      </c>
      <c r="D311" s="4" t="s">
        <v>13161</v>
      </c>
      <c r="E311" s="22" t="str">
        <f t="shared" si="48"/>
        <v>E4.2.1.20_kcat : 13.7</v>
      </c>
      <c r="F311" s="23" t="str">
        <f t="shared" si="44"/>
        <v>E4.2.1.20_km : 1</v>
      </c>
      <c r="G311" s="24" t="str">
        <f t="shared" si="45"/>
        <v>E4.2.1.20_mRNA : E4.2.1.20_mRNA</v>
      </c>
      <c r="H311" s="25" t="str">
        <f t="shared" si="46"/>
        <v>E4.2.1.20 : E4.2.1.20</v>
      </c>
      <c r="I311" s="26" t="str">
        <f t="shared" si="49"/>
        <v>E4.2.1.20_mRNA : 0</v>
      </c>
      <c r="J311" s="27" t="str">
        <f t="shared" si="50"/>
        <v>E4.2.1.20 : 0</v>
      </c>
      <c r="K311" s="28" t="str">
        <f t="shared" si="51"/>
        <v>0.00292 - (0.0093 * E4.2.1.20_mRNA)</v>
      </c>
      <c r="L311" s="24" t="str">
        <f t="shared" si="52"/>
        <v>(0.278 * E4.2.1.20_mRNA) - (0.00000278 * E4.2.1.20)</v>
      </c>
      <c r="M311" s="29" t="str">
        <f t="shared" si="53"/>
        <v>mRNA310: -&gt; E4.2.1.20_mRNA | 0.00292 - (0.0093 * E4.2.1.20_mRNA)</v>
      </c>
      <c r="N311" s="22" t="str">
        <f t="shared" si="54"/>
        <v>Peptide310: E4.2.1.20_mRNA -&gt; E4.2.1.20 | (0.278 * E4.2.1.20_mRNA) - (0.000000278 * E4.2.1.20)</v>
      </c>
    </row>
    <row r="312" spans="1:14">
      <c r="A312">
        <v>311</v>
      </c>
      <c r="B312" s="4" t="s">
        <v>7357</v>
      </c>
      <c r="C312" s="4" t="str">
        <f t="shared" si="47"/>
        <v>E4.2.1.24_mRNA</v>
      </c>
      <c r="D312" s="4" t="s">
        <v>12809</v>
      </c>
      <c r="E312" s="22" t="str">
        <f t="shared" si="48"/>
        <v>E4.2.1.24_kcat : 13.7</v>
      </c>
      <c r="F312" s="23" t="str">
        <f t="shared" si="44"/>
        <v>E4.2.1.24_km : 1</v>
      </c>
      <c r="G312" s="24" t="str">
        <f t="shared" si="45"/>
        <v>E4.2.1.24_mRNA : E4.2.1.24_mRNA</v>
      </c>
      <c r="H312" s="25" t="str">
        <f t="shared" si="46"/>
        <v>E4.2.1.24 : E4.2.1.24</v>
      </c>
      <c r="I312" s="26" t="str">
        <f t="shared" si="49"/>
        <v>E4.2.1.24_mRNA : 0</v>
      </c>
      <c r="J312" s="27" t="str">
        <f t="shared" si="50"/>
        <v>E4.2.1.24 : 0</v>
      </c>
      <c r="K312" s="28" t="str">
        <f t="shared" si="51"/>
        <v>0.00292 - (0.0093 * E4.2.1.24_mRNA)</v>
      </c>
      <c r="L312" s="24" t="str">
        <f t="shared" si="52"/>
        <v>(0.278 * E4.2.1.24_mRNA) - (0.00000278 * E4.2.1.24)</v>
      </c>
      <c r="M312" s="29" t="str">
        <f t="shared" si="53"/>
        <v>mRNA311: -&gt; E4.2.1.24_mRNA | 0.00292 - (0.0093 * E4.2.1.24_mRNA)</v>
      </c>
      <c r="N312" s="22" t="str">
        <f t="shared" si="54"/>
        <v>Peptide311: E4.2.1.24_mRNA -&gt; E4.2.1.24 | (0.278 * E4.2.1.24_mRNA) - (0.000000278 * E4.2.1.24)</v>
      </c>
    </row>
    <row r="313" spans="1:14">
      <c r="A313">
        <v>312</v>
      </c>
      <c r="B313" s="4" t="s">
        <v>7577</v>
      </c>
      <c r="C313" s="4" t="str">
        <f t="shared" si="47"/>
        <v>E4.2.1.3_mRNA</v>
      </c>
      <c r="D313" s="4" t="s">
        <v>12954</v>
      </c>
      <c r="E313" s="22" t="str">
        <f t="shared" si="48"/>
        <v>E4.2.1.3_kcat : 13.7</v>
      </c>
      <c r="F313" s="23" t="str">
        <f t="shared" si="44"/>
        <v>E4.2.1.3_km : 1</v>
      </c>
      <c r="G313" s="24" t="str">
        <f t="shared" si="45"/>
        <v>E4.2.1.3_mRNA : E4.2.1.3_mRNA</v>
      </c>
      <c r="H313" s="25" t="str">
        <f t="shared" si="46"/>
        <v>E4.2.1.3 : E4.2.1.3</v>
      </c>
      <c r="I313" s="26" t="str">
        <f t="shared" si="49"/>
        <v>E4.2.1.3_mRNA : 0</v>
      </c>
      <c r="J313" s="27" t="str">
        <f t="shared" si="50"/>
        <v>E4.2.1.3 : 0</v>
      </c>
      <c r="K313" s="28" t="str">
        <f t="shared" si="51"/>
        <v>0.00292 - (0.0093 * E4.2.1.3_mRNA)</v>
      </c>
      <c r="L313" s="24" t="str">
        <f t="shared" si="52"/>
        <v>(0.278 * E4.2.1.3_mRNA) - (0.00000278 * E4.2.1.3)</v>
      </c>
      <c r="M313" s="29" t="str">
        <f t="shared" si="53"/>
        <v>mRNA312: -&gt; E4.2.1.3_mRNA | 0.00292 - (0.0093 * E4.2.1.3_mRNA)</v>
      </c>
      <c r="N313" s="22" t="str">
        <f t="shared" si="54"/>
        <v>Peptide312: E4.2.1.3_mRNA -&gt; E4.2.1.3 | (0.278 * E4.2.1.3_mRNA) - (0.000000278 * E4.2.1.3)</v>
      </c>
    </row>
    <row r="314" spans="1:14">
      <c r="A314">
        <v>313</v>
      </c>
      <c r="B314" s="4" t="s">
        <v>7529</v>
      </c>
      <c r="C314" s="4" t="str">
        <f t="shared" si="47"/>
        <v>E4.2.1.33_mRNA</v>
      </c>
      <c r="D314" s="4" t="s">
        <v>12921</v>
      </c>
      <c r="E314" s="22" t="str">
        <f t="shared" si="48"/>
        <v>E4.2.1.33_kcat : 13.7</v>
      </c>
      <c r="F314" s="23" t="str">
        <f t="shared" si="44"/>
        <v>E4.2.1.33_km : 1</v>
      </c>
      <c r="G314" s="24" t="str">
        <f t="shared" si="45"/>
        <v>E4.2.1.33_mRNA : E4.2.1.33_mRNA</v>
      </c>
      <c r="H314" s="25" t="str">
        <f t="shared" si="46"/>
        <v>E4.2.1.33 : E4.2.1.33</v>
      </c>
      <c r="I314" s="26" t="str">
        <f t="shared" si="49"/>
        <v>E4.2.1.33_mRNA : 0</v>
      </c>
      <c r="J314" s="27" t="str">
        <f t="shared" si="50"/>
        <v>E4.2.1.33 : 0</v>
      </c>
      <c r="K314" s="28" t="str">
        <f t="shared" si="51"/>
        <v>0.00292 - (0.0093 * E4.2.1.33_mRNA)</v>
      </c>
      <c r="L314" s="24" t="str">
        <f t="shared" si="52"/>
        <v>(0.278 * E4.2.1.33_mRNA) - (0.00000278 * E4.2.1.33)</v>
      </c>
      <c r="M314" s="29" t="str">
        <f t="shared" si="53"/>
        <v>mRNA313: -&gt; E4.2.1.33_mRNA | 0.00292 - (0.0093 * E4.2.1.33_mRNA)</v>
      </c>
      <c r="N314" s="22" t="str">
        <f t="shared" si="54"/>
        <v>Peptide313: E4.2.1.33_mRNA -&gt; E4.2.1.33 | (0.278 * E4.2.1.33_mRNA) - (0.000000278 * E4.2.1.33)</v>
      </c>
    </row>
    <row r="315" spans="1:14">
      <c r="A315">
        <v>314</v>
      </c>
      <c r="B315" s="4" t="s">
        <v>7340</v>
      </c>
      <c r="C315" s="4" t="str">
        <f t="shared" si="47"/>
        <v>E4.2.1.46_mRNA</v>
      </c>
      <c r="D315" s="4" t="s">
        <v>12795</v>
      </c>
      <c r="E315" s="22" t="str">
        <f t="shared" si="48"/>
        <v>E4.2.1.46_kcat : 13.7</v>
      </c>
      <c r="F315" s="23" t="str">
        <f t="shared" si="44"/>
        <v>E4.2.1.46_km : 1</v>
      </c>
      <c r="G315" s="24" t="str">
        <f t="shared" si="45"/>
        <v>E4.2.1.46_mRNA : E4.2.1.46_mRNA</v>
      </c>
      <c r="H315" s="25" t="str">
        <f t="shared" si="46"/>
        <v>E4.2.1.46 : E4.2.1.46</v>
      </c>
      <c r="I315" s="26" t="str">
        <f t="shared" si="49"/>
        <v>E4.2.1.46_mRNA : 0</v>
      </c>
      <c r="J315" s="27" t="str">
        <f t="shared" si="50"/>
        <v>E4.2.1.46 : 0</v>
      </c>
      <c r="K315" s="28" t="str">
        <f t="shared" si="51"/>
        <v>0.00292 - (0.0093 * E4.2.1.46_mRNA)</v>
      </c>
      <c r="L315" s="24" t="str">
        <f t="shared" si="52"/>
        <v>(0.278 * E4.2.1.46_mRNA) - (0.00000278 * E4.2.1.46)</v>
      </c>
      <c r="M315" s="29" t="str">
        <f t="shared" si="53"/>
        <v>mRNA314: -&gt; E4.2.1.46_mRNA | 0.00292 - (0.0093 * E4.2.1.46_mRNA)</v>
      </c>
      <c r="N315" s="22" t="str">
        <f t="shared" si="54"/>
        <v>Peptide314: E4.2.1.46_mRNA -&gt; E4.2.1.46 | (0.278 * E4.2.1.46_mRNA) - (0.000000278 * E4.2.1.46)</v>
      </c>
    </row>
    <row r="316" spans="1:14">
      <c r="A316">
        <v>315</v>
      </c>
      <c r="B316" s="4" t="s">
        <v>7506</v>
      </c>
      <c r="C316" s="4" t="str">
        <f t="shared" si="47"/>
        <v>E4.2.1.49_mRNA</v>
      </c>
      <c r="D316" s="4" t="s">
        <v>12903</v>
      </c>
      <c r="E316" s="22" t="str">
        <f t="shared" si="48"/>
        <v>E4.2.1.49_kcat : 13.7</v>
      </c>
      <c r="F316" s="23" t="str">
        <f t="shared" si="44"/>
        <v>E4.2.1.49_km : 1</v>
      </c>
      <c r="G316" s="24" t="str">
        <f t="shared" si="45"/>
        <v>E4.2.1.49_mRNA : E4.2.1.49_mRNA</v>
      </c>
      <c r="H316" s="25" t="str">
        <f t="shared" si="46"/>
        <v>E4.2.1.49 : E4.2.1.49</v>
      </c>
      <c r="I316" s="26" t="str">
        <f t="shared" si="49"/>
        <v>E4.2.1.49_mRNA : 0</v>
      </c>
      <c r="J316" s="27" t="str">
        <f t="shared" si="50"/>
        <v>E4.2.1.49 : 0</v>
      </c>
      <c r="K316" s="28" t="str">
        <f t="shared" si="51"/>
        <v>0.00292 - (0.0093 * E4.2.1.49_mRNA)</v>
      </c>
      <c r="L316" s="24" t="str">
        <f t="shared" si="52"/>
        <v>(0.278 * E4.2.1.49_mRNA) - (0.00000278 * E4.2.1.49)</v>
      </c>
      <c r="M316" s="29" t="str">
        <f t="shared" si="53"/>
        <v>mRNA315: -&gt; E4.2.1.49_mRNA | 0.00292 - (0.0093 * E4.2.1.49_mRNA)</v>
      </c>
      <c r="N316" s="22" t="str">
        <f t="shared" si="54"/>
        <v>Peptide315: E4.2.1.49_mRNA -&gt; E4.2.1.49 | (0.278 * E4.2.1.49_mRNA) - (0.000000278 * E4.2.1.49)</v>
      </c>
    </row>
    <row r="317" spans="1:14">
      <c r="A317">
        <v>316</v>
      </c>
      <c r="B317" s="4" t="s">
        <v>7796</v>
      </c>
      <c r="C317" s="4" t="str">
        <f t="shared" si="47"/>
        <v>E4.2.1.51_mRNA</v>
      </c>
      <c r="D317" s="4" t="s">
        <v>13152</v>
      </c>
      <c r="E317" s="22" t="str">
        <f t="shared" si="48"/>
        <v>E4.2.1.51_kcat : 13.7</v>
      </c>
      <c r="F317" s="23" t="str">
        <f t="shared" si="44"/>
        <v>E4.2.1.51_km : 1</v>
      </c>
      <c r="G317" s="24" t="str">
        <f t="shared" si="45"/>
        <v>E4.2.1.51_mRNA : E4.2.1.51_mRNA</v>
      </c>
      <c r="H317" s="25" t="str">
        <f t="shared" si="46"/>
        <v>E4.2.1.51 : E4.2.1.51</v>
      </c>
      <c r="I317" s="26" t="str">
        <f t="shared" si="49"/>
        <v>E4.2.1.51_mRNA : 0</v>
      </c>
      <c r="J317" s="27" t="str">
        <f t="shared" si="50"/>
        <v>E4.2.1.51 : 0</v>
      </c>
      <c r="K317" s="28" t="str">
        <f t="shared" si="51"/>
        <v>0.00292 - (0.0093 * E4.2.1.51_mRNA)</v>
      </c>
      <c r="L317" s="24" t="str">
        <f t="shared" si="52"/>
        <v>(0.278 * E4.2.1.51_mRNA) - (0.00000278 * E4.2.1.51)</v>
      </c>
      <c r="M317" s="29" t="str">
        <f t="shared" si="53"/>
        <v>mRNA316: -&gt; E4.2.1.51_mRNA | 0.00292 - (0.0093 * E4.2.1.51_mRNA)</v>
      </c>
      <c r="N317" s="22" t="str">
        <f t="shared" si="54"/>
        <v>Peptide316: E4.2.1.51_mRNA -&gt; E4.2.1.51 | (0.278 * E4.2.1.51_mRNA) - (0.000000278 * E4.2.1.51)</v>
      </c>
    </row>
    <row r="318" spans="1:14">
      <c r="A318">
        <v>317</v>
      </c>
      <c r="B318" s="4" t="s">
        <v>7402</v>
      </c>
      <c r="C318" s="4" t="str">
        <f t="shared" si="47"/>
        <v>E4.2.1.79_mRNA</v>
      </c>
      <c r="D318" s="4" t="s">
        <v>12838</v>
      </c>
      <c r="E318" s="22" t="str">
        <f t="shared" si="48"/>
        <v>E4.2.1.79_kcat : 13.7</v>
      </c>
      <c r="F318" s="23" t="str">
        <f t="shared" si="44"/>
        <v>E4.2.1.79_km : 1</v>
      </c>
      <c r="G318" s="24" t="str">
        <f t="shared" si="45"/>
        <v>E4.2.1.79_mRNA : E4.2.1.79_mRNA</v>
      </c>
      <c r="H318" s="25" t="str">
        <f t="shared" si="46"/>
        <v>E4.2.1.79 : E4.2.1.79</v>
      </c>
      <c r="I318" s="26" t="str">
        <f t="shared" si="49"/>
        <v>E4.2.1.79_mRNA : 0</v>
      </c>
      <c r="J318" s="27" t="str">
        <f t="shared" si="50"/>
        <v>E4.2.1.79 : 0</v>
      </c>
      <c r="K318" s="28" t="str">
        <f t="shared" si="51"/>
        <v>0.00292 - (0.0093 * E4.2.1.79_mRNA)</v>
      </c>
      <c r="L318" s="24" t="str">
        <f t="shared" si="52"/>
        <v>(0.278 * E4.2.1.79_mRNA) - (0.00000278 * E4.2.1.79)</v>
      </c>
      <c r="M318" s="29" t="str">
        <f t="shared" si="53"/>
        <v>mRNA317: -&gt; E4.2.1.79_mRNA | 0.00292 - (0.0093 * E4.2.1.79_mRNA)</v>
      </c>
      <c r="N318" s="22" t="str">
        <f t="shared" si="54"/>
        <v>Peptide317: E4.2.1.79_mRNA -&gt; E4.2.1.79 | (0.278 * E4.2.1.79_mRNA) - (0.000000278 * E4.2.1.79)</v>
      </c>
    </row>
    <row r="319" spans="1:14">
      <c r="A319">
        <v>318</v>
      </c>
      <c r="B319" s="4" t="s">
        <v>7523</v>
      </c>
      <c r="C319" s="4" t="str">
        <f t="shared" si="47"/>
        <v>E4.2.1.9_mRNA</v>
      </c>
      <c r="D319" s="4" t="s">
        <v>12915</v>
      </c>
      <c r="E319" s="22" t="str">
        <f t="shared" si="48"/>
        <v>E4.2.1.9_kcat : 13.7</v>
      </c>
      <c r="F319" s="23" t="str">
        <f t="shared" si="44"/>
        <v>E4.2.1.9_km : 1</v>
      </c>
      <c r="G319" s="24" t="str">
        <f t="shared" si="45"/>
        <v>E4.2.1.9_mRNA : E4.2.1.9_mRNA</v>
      </c>
      <c r="H319" s="25" t="str">
        <f t="shared" si="46"/>
        <v>E4.2.1.9 : E4.2.1.9</v>
      </c>
      <c r="I319" s="26" t="str">
        <f t="shared" si="49"/>
        <v>E4.2.1.9_mRNA : 0</v>
      </c>
      <c r="J319" s="27" t="str">
        <f t="shared" si="50"/>
        <v>E4.2.1.9 : 0</v>
      </c>
      <c r="K319" s="28" t="str">
        <f t="shared" si="51"/>
        <v>0.00292 - (0.0093 * E4.2.1.9_mRNA)</v>
      </c>
      <c r="L319" s="24" t="str">
        <f t="shared" si="52"/>
        <v>(0.278 * E4.2.1.9_mRNA) - (0.00000278 * E4.2.1.9)</v>
      </c>
      <c r="M319" s="29" t="str">
        <f t="shared" si="53"/>
        <v>mRNA318: -&gt; E4.2.1.9_mRNA | 0.00292 - (0.0093 * E4.2.1.9_mRNA)</v>
      </c>
      <c r="N319" s="22" t="str">
        <f t="shared" si="54"/>
        <v>Peptide318: E4.2.1.9_mRNA -&gt; E4.2.1.9 | (0.278 * E4.2.1.9_mRNA) - (0.000000278 * E4.2.1.9)</v>
      </c>
    </row>
    <row r="320" spans="1:14">
      <c r="A320">
        <v>319</v>
      </c>
      <c r="B320" s="4" t="s">
        <v>7690</v>
      </c>
      <c r="C320" s="4" t="str">
        <f t="shared" si="47"/>
        <v>E4.2.3.1_mRNA</v>
      </c>
      <c r="D320" s="4" t="s">
        <v>13046</v>
      </c>
      <c r="E320" s="22" t="str">
        <f t="shared" si="48"/>
        <v>E4.2.3.1_kcat : 13.7</v>
      </c>
      <c r="F320" s="23" t="str">
        <f t="shared" si="44"/>
        <v>E4.2.3.1_km : 1</v>
      </c>
      <c r="G320" s="24" t="str">
        <f t="shared" si="45"/>
        <v>E4.2.3.1_mRNA : E4.2.3.1_mRNA</v>
      </c>
      <c r="H320" s="25" t="str">
        <f t="shared" si="46"/>
        <v>E4.2.3.1 : E4.2.3.1</v>
      </c>
      <c r="I320" s="26" t="str">
        <f t="shared" si="49"/>
        <v>E4.2.3.1_mRNA : 0</v>
      </c>
      <c r="J320" s="27" t="str">
        <f t="shared" si="50"/>
        <v>E4.2.3.1 : 0</v>
      </c>
      <c r="K320" s="28" t="str">
        <f t="shared" si="51"/>
        <v>0.00292 - (0.0093 * E4.2.3.1_mRNA)</v>
      </c>
      <c r="L320" s="24" t="str">
        <f t="shared" si="52"/>
        <v>(0.278 * E4.2.3.1_mRNA) - (0.00000278 * E4.2.3.1)</v>
      </c>
      <c r="M320" s="29" t="str">
        <f t="shared" si="53"/>
        <v>mRNA319: -&gt; E4.2.3.1_mRNA | 0.00292 - (0.0093 * E4.2.3.1_mRNA)</v>
      </c>
      <c r="N320" s="22" t="str">
        <f t="shared" si="54"/>
        <v>Peptide319: E4.2.3.1_mRNA -&gt; E4.2.3.1 | (0.278 * E4.2.3.1_mRNA) - (0.000000278 * E4.2.3.1)</v>
      </c>
    </row>
    <row r="321" spans="1:14">
      <c r="A321">
        <v>320</v>
      </c>
      <c r="B321" s="4" t="s">
        <v>7595</v>
      </c>
      <c r="C321" s="4" t="str">
        <f t="shared" si="47"/>
        <v>E4.2.3.4_mRNA</v>
      </c>
      <c r="D321" s="4" t="s">
        <v>12972</v>
      </c>
      <c r="E321" s="22" t="str">
        <f t="shared" si="48"/>
        <v>E4.2.3.4_kcat : 13.7</v>
      </c>
      <c r="F321" s="23" t="str">
        <f t="shared" si="44"/>
        <v>E4.2.3.4_km : 1</v>
      </c>
      <c r="G321" s="24" t="str">
        <f t="shared" si="45"/>
        <v>E4.2.3.4_mRNA : E4.2.3.4_mRNA</v>
      </c>
      <c r="H321" s="25" t="str">
        <f t="shared" si="46"/>
        <v>E4.2.3.4 : E4.2.3.4</v>
      </c>
      <c r="I321" s="26" t="str">
        <f t="shared" si="49"/>
        <v>E4.2.3.4_mRNA : 0</v>
      </c>
      <c r="J321" s="27" t="str">
        <f t="shared" si="50"/>
        <v>E4.2.3.4 : 0</v>
      </c>
      <c r="K321" s="28" t="str">
        <f t="shared" si="51"/>
        <v>0.00292 - (0.0093 * E4.2.3.4_mRNA)</v>
      </c>
      <c r="L321" s="24" t="str">
        <f t="shared" si="52"/>
        <v>(0.278 * E4.2.3.4_mRNA) - (0.00000278 * E4.2.3.4)</v>
      </c>
      <c r="M321" s="29" t="str">
        <f t="shared" si="53"/>
        <v>mRNA320: -&gt; E4.2.3.4_mRNA | 0.00292 - (0.0093 * E4.2.3.4_mRNA)</v>
      </c>
      <c r="N321" s="22" t="str">
        <f t="shared" si="54"/>
        <v>Peptide320: E4.2.3.4_mRNA -&gt; E4.2.3.4 | (0.278 * E4.2.3.4_mRNA) - (0.000000278 * E4.2.3.4)</v>
      </c>
    </row>
    <row r="322" spans="1:14">
      <c r="A322">
        <v>321</v>
      </c>
      <c r="B322" s="4" t="s">
        <v>7597</v>
      </c>
      <c r="C322" s="4" t="str">
        <f t="shared" si="47"/>
        <v>E4.2.3.5_mRNA</v>
      </c>
      <c r="D322" s="4" t="s">
        <v>12974</v>
      </c>
      <c r="E322" s="22" t="str">
        <f t="shared" si="48"/>
        <v>E4.2.3.5_kcat : 13.7</v>
      </c>
      <c r="F322" s="23" t="str">
        <f t="shared" ref="F322:F385" si="55">CONCATENATE("E",B322,"_km : 1")</f>
        <v>E4.2.3.5_km : 1</v>
      </c>
      <c r="G322" s="24" t="str">
        <f t="shared" ref="G322:G385" si="56">CONCATENATE(C322," : ",C322)</f>
        <v>E4.2.3.5_mRNA : E4.2.3.5_mRNA</v>
      </c>
      <c r="H322" s="25" t="str">
        <f t="shared" ref="H322:H385" si="57">CONCATENATE(D322," : ",D322)</f>
        <v>E4.2.3.5 : E4.2.3.5</v>
      </c>
      <c r="I322" s="26" t="str">
        <f t="shared" si="49"/>
        <v>E4.2.3.5_mRNA : 0</v>
      </c>
      <c r="J322" s="27" t="str">
        <f t="shared" si="50"/>
        <v>E4.2.3.5 : 0</v>
      </c>
      <c r="K322" s="28" t="str">
        <f t="shared" si="51"/>
        <v>0.00292 - (0.0093 * E4.2.3.5_mRNA)</v>
      </c>
      <c r="L322" s="24" t="str">
        <f t="shared" si="52"/>
        <v>(0.278 * E4.2.3.5_mRNA) - (0.00000278 * E4.2.3.5)</v>
      </c>
      <c r="M322" s="29" t="str">
        <f t="shared" si="53"/>
        <v>mRNA321: -&gt; E4.2.3.5_mRNA | 0.00292 - (0.0093 * E4.2.3.5_mRNA)</v>
      </c>
      <c r="N322" s="22" t="str">
        <f t="shared" si="54"/>
        <v>Peptide321: E4.2.3.5_mRNA -&gt; E4.2.3.5 | (0.278 * E4.2.3.5_mRNA) - (0.000000278 * E4.2.3.5)</v>
      </c>
    </row>
    <row r="323" spans="1:14">
      <c r="A323">
        <v>322</v>
      </c>
      <c r="B323" s="4" t="s">
        <v>7570</v>
      </c>
      <c r="C323" s="4" t="str">
        <f t="shared" ref="C323:C386" si="58">CONCATENATE(D323,"_mRNA")</f>
        <v>E4.3.1.1_mRNA</v>
      </c>
      <c r="D323" s="4" t="s">
        <v>12949</v>
      </c>
      <c r="E323" s="22" t="str">
        <f t="shared" ref="E323:E386" si="59">CONCATENATE("E",B323,"_kcat : 13.7")</f>
        <v>E4.3.1.1_kcat : 13.7</v>
      </c>
      <c r="F323" s="23" t="str">
        <f t="shared" si="55"/>
        <v>E4.3.1.1_km : 1</v>
      </c>
      <c r="G323" s="24" t="str">
        <f t="shared" si="56"/>
        <v>E4.3.1.1_mRNA : E4.3.1.1_mRNA</v>
      </c>
      <c r="H323" s="25" t="str">
        <f t="shared" si="57"/>
        <v>E4.3.1.1 : E4.3.1.1</v>
      </c>
      <c r="I323" s="26" t="str">
        <f t="shared" ref="I323:I386" si="60">CONCATENATE(C323," : ","0")</f>
        <v>E4.3.1.1_mRNA : 0</v>
      </c>
      <c r="J323" s="27" t="str">
        <f t="shared" ref="J323:J386" si="61">CONCATENATE(D323," : ","0")</f>
        <v>E4.3.1.1 : 0</v>
      </c>
      <c r="K323" s="28" t="str">
        <f t="shared" ref="K323:K386" si="62">CONCATENATE("0.00292 - (0.0093 * ",C323,")")</f>
        <v>0.00292 - (0.0093 * E4.3.1.1_mRNA)</v>
      </c>
      <c r="L323" s="24" t="str">
        <f t="shared" ref="L323:L386" si="63">CONCATENATE("(0.278 * ",C323,")"," - (0.00000278 * ",D323,")")</f>
        <v>(0.278 * E4.3.1.1_mRNA) - (0.00000278 * E4.3.1.1)</v>
      </c>
      <c r="M323" s="29" t="str">
        <f t="shared" ref="M323:M386" si="64">CONCATENATE("mRNA",A323,": -&gt; ",C323," | ","0.00292"," - ","(","0.0093"," * ",C323,")")</f>
        <v>mRNA322: -&gt; E4.3.1.1_mRNA | 0.00292 - (0.0093 * E4.3.1.1_mRNA)</v>
      </c>
      <c r="N323" s="22" t="str">
        <f t="shared" ref="N323:N386" si="65">CONCATENATE("Peptide",A323,": ",C323," -&gt; ",D323," | ","(","0.278"," * ",C323,")"," - ","(","0.000000278"," * ",D323,")")</f>
        <v>Peptide322: E4.3.1.1_mRNA -&gt; E4.3.1.1 | (0.278 * E4.3.1.1_mRNA) - (0.000000278 * E4.3.1.1)</v>
      </c>
    </row>
    <row r="324" spans="1:14">
      <c r="A324">
        <v>323</v>
      </c>
      <c r="B324" s="4" t="s">
        <v>7603</v>
      </c>
      <c r="C324" s="4" t="str">
        <f t="shared" si="58"/>
        <v>E4.3.1.17_mRNA</v>
      </c>
      <c r="D324" s="4" t="s">
        <v>12980</v>
      </c>
      <c r="E324" s="22" t="str">
        <f t="shared" si="59"/>
        <v>E4.3.1.17_kcat : 13.7</v>
      </c>
      <c r="F324" s="23" t="str">
        <f t="shared" si="55"/>
        <v>E4.3.1.17_km : 1</v>
      </c>
      <c r="G324" s="24" t="str">
        <f t="shared" si="56"/>
        <v>E4.3.1.17_mRNA : E4.3.1.17_mRNA</v>
      </c>
      <c r="H324" s="25" t="str">
        <f t="shared" si="57"/>
        <v>E4.3.1.17 : E4.3.1.17</v>
      </c>
      <c r="I324" s="26" t="str">
        <f t="shared" si="60"/>
        <v>E4.3.1.17_mRNA : 0</v>
      </c>
      <c r="J324" s="27" t="str">
        <f t="shared" si="61"/>
        <v>E4.3.1.17 : 0</v>
      </c>
      <c r="K324" s="28" t="str">
        <f t="shared" si="62"/>
        <v>0.00292 - (0.0093 * E4.3.1.17_mRNA)</v>
      </c>
      <c r="L324" s="24" t="str">
        <f t="shared" si="63"/>
        <v>(0.278 * E4.3.1.17_mRNA) - (0.00000278 * E4.3.1.17)</v>
      </c>
      <c r="M324" s="29" t="str">
        <f t="shared" si="64"/>
        <v>mRNA323: -&gt; E4.3.1.17_mRNA | 0.00292 - (0.0093 * E4.3.1.17_mRNA)</v>
      </c>
      <c r="N324" s="22" t="str">
        <f t="shared" si="65"/>
        <v>Peptide323: E4.3.1.17_mRNA -&gt; E4.3.1.17 | (0.278 * E4.3.1.17_mRNA) - (0.000000278 * E4.3.1.17)</v>
      </c>
    </row>
    <row r="325" spans="1:14">
      <c r="A325">
        <v>324</v>
      </c>
      <c r="B325" s="4" t="s">
        <v>7661</v>
      </c>
      <c r="C325" s="4" t="str">
        <f t="shared" si="58"/>
        <v>E4.3.1.19_mRNA</v>
      </c>
      <c r="D325" s="4" t="s">
        <v>13021</v>
      </c>
      <c r="E325" s="22" t="str">
        <f t="shared" si="59"/>
        <v>E4.3.1.19_kcat : 13.7</v>
      </c>
      <c r="F325" s="23" t="str">
        <f t="shared" si="55"/>
        <v>E4.3.1.19_km : 1</v>
      </c>
      <c r="G325" s="24" t="str">
        <f t="shared" si="56"/>
        <v>E4.3.1.19_mRNA : E4.3.1.19_mRNA</v>
      </c>
      <c r="H325" s="25" t="str">
        <f t="shared" si="57"/>
        <v>E4.3.1.19 : E4.3.1.19</v>
      </c>
      <c r="I325" s="26" t="str">
        <f t="shared" si="60"/>
        <v>E4.3.1.19_mRNA : 0</v>
      </c>
      <c r="J325" s="27" t="str">
        <f t="shared" si="61"/>
        <v>E4.3.1.19 : 0</v>
      </c>
      <c r="K325" s="28" t="str">
        <f t="shared" si="62"/>
        <v>0.00292 - (0.0093 * E4.3.1.19_mRNA)</v>
      </c>
      <c r="L325" s="24" t="str">
        <f t="shared" si="63"/>
        <v>(0.278 * E4.3.1.19_mRNA) - (0.00000278 * E4.3.1.19)</v>
      </c>
      <c r="M325" s="29" t="str">
        <f t="shared" si="64"/>
        <v>mRNA324: -&gt; E4.3.1.19_mRNA | 0.00292 - (0.0093 * E4.3.1.19_mRNA)</v>
      </c>
      <c r="N325" s="22" t="str">
        <f t="shared" si="65"/>
        <v>Peptide324: E4.3.1.19_mRNA -&gt; E4.3.1.19 | (0.278 * E4.3.1.19_mRNA) - (0.000000278 * E4.3.1.19)</v>
      </c>
    </row>
    <row r="326" spans="1:14">
      <c r="A326">
        <v>325</v>
      </c>
      <c r="B326" s="4" t="s">
        <v>7544</v>
      </c>
      <c r="C326" s="4" t="str">
        <f t="shared" si="58"/>
        <v>E4.3.1.28_mRNA</v>
      </c>
      <c r="D326" s="4" t="s">
        <v>12935</v>
      </c>
      <c r="E326" s="22" t="str">
        <f t="shared" si="59"/>
        <v>E4.3.1.28_kcat : 13.7</v>
      </c>
      <c r="F326" s="23" t="str">
        <f t="shared" si="55"/>
        <v>E4.3.1.28_km : 1</v>
      </c>
      <c r="G326" s="24" t="str">
        <f t="shared" si="56"/>
        <v>E4.3.1.28_mRNA : E4.3.1.28_mRNA</v>
      </c>
      <c r="H326" s="25" t="str">
        <f t="shared" si="57"/>
        <v>E4.3.1.28 : E4.3.1.28</v>
      </c>
      <c r="I326" s="26" t="str">
        <f t="shared" si="60"/>
        <v>E4.3.1.28_mRNA : 0</v>
      </c>
      <c r="J326" s="27" t="str">
        <f t="shared" si="61"/>
        <v>E4.3.1.28 : 0</v>
      </c>
      <c r="K326" s="28" t="str">
        <f t="shared" si="62"/>
        <v>0.00292 - (0.0093 * E4.3.1.28_mRNA)</v>
      </c>
      <c r="L326" s="24" t="str">
        <f t="shared" si="63"/>
        <v>(0.278 * E4.3.1.28_mRNA) - (0.00000278 * E4.3.1.28)</v>
      </c>
      <c r="M326" s="29" t="str">
        <f t="shared" si="64"/>
        <v>mRNA325: -&gt; E4.3.1.28_mRNA | 0.00292 - (0.0093 * E4.3.1.28_mRNA)</v>
      </c>
      <c r="N326" s="22" t="str">
        <f t="shared" si="65"/>
        <v>Peptide325: E4.3.1.28_mRNA -&gt; E4.3.1.28 | (0.278 * E4.3.1.28_mRNA) - (0.000000278 * E4.3.1.28)</v>
      </c>
    </row>
    <row r="327" spans="1:14">
      <c r="A327">
        <v>326</v>
      </c>
      <c r="B327" s="4" t="s">
        <v>7505</v>
      </c>
      <c r="C327" s="4" t="str">
        <f t="shared" si="58"/>
        <v>E4.3.1.3_mRNA</v>
      </c>
      <c r="D327" s="4" t="s">
        <v>12902</v>
      </c>
      <c r="E327" s="22" t="str">
        <f t="shared" si="59"/>
        <v>E4.3.1.3_kcat : 13.7</v>
      </c>
      <c r="F327" s="23" t="str">
        <f t="shared" si="55"/>
        <v>E4.3.1.3_km : 1</v>
      </c>
      <c r="G327" s="24" t="str">
        <f t="shared" si="56"/>
        <v>E4.3.1.3_mRNA : E4.3.1.3_mRNA</v>
      </c>
      <c r="H327" s="25" t="str">
        <f t="shared" si="57"/>
        <v>E4.3.1.3 : E4.3.1.3</v>
      </c>
      <c r="I327" s="26" t="str">
        <f t="shared" si="60"/>
        <v>E4.3.1.3_mRNA : 0</v>
      </c>
      <c r="J327" s="27" t="str">
        <f t="shared" si="61"/>
        <v>E4.3.1.3 : 0</v>
      </c>
      <c r="K327" s="28" t="str">
        <f t="shared" si="62"/>
        <v>0.00292 - (0.0093 * E4.3.1.3_mRNA)</v>
      </c>
      <c r="L327" s="24" t="str">
        <f t="shared" si="63"/>
        <v>(0.278 * E4.3.1.3_mRNA) - (0.00000278 * E4.3.1.3)</v>
      </c>
      <c r="M327" s="29" t="str">
        <f t="shared" si="64"/>
        <v>mRNA326: -&gt; E4.3.1.3_mRNA | 0.00292 - (0.0093 * E4.3.1.3_mRNA)</v>
      </c>
      <c r="N327" s="22" t="str">
        <f t="shared" si="65"/>
        <v>Peptide326: E4.3.1.3_mRNA -&gt; E4.3.1.3 | (0.278 * E4.3.1.3_mRNA) - (0.000000278 * E4.3.1.3)</v>
      </c>
    </row>
    <row r="328" spans="1:14">
      <c r="A328">
        <v>327</v>
      </c>
      <c r="B328" s="4" t="s">
        <v>7543</v>
      </c>
      <c r="C328" s="4" t="str">
        <f t="shared" si="58"/>
        <v>E4.3.2.1_mRNA</v>
      </c>
      <c r="D328" s="4" t="s">
        <v>12934</v>
      </c>
      <c r="E328" s="22" t="str">
        <f t="shared" si="59"/>
        <v>E4.3.2.1_kcat : 13.7</v>
      </c>
      <c r="F328" s="23" t="str">
        <f t="shared" si="55"/>
        <v>E4.3.2.1_km : 1</v>
      </c>
      <c r="G328" s="24" t="str">
        <f t="shared" si="56"/>
        <v>E4.3.2.1_mRNA : E4.3.2.1_mRNA</v>
      </c>
      <c r="H328" s="25" t="str">
        <f t="shared" si="57"/>
        <v>E4.3.2.1 : E4.3.2.1</v>
      </c>
      <c r="I328" s="26" t="str">
        <f t="shared" si="60"/>
        <v>E4.3.2.1_mRNA : 0</v>
      </c>
      <c r="J328" s="27" t="str">
        <f t="shared" si="61"/>
        <v>E4.3.2.1 : 0</v>
      </c>
      <c r="K328" s="28" t="str">
        <f t="shared" si="62"/>
        <v>0.00292 - (0.0093 * E4.3.2.1_mRNA)</v>
      </c>
      <c r="L328" s="24" t="str">
        <f t="shared" si="63"/>
        <v>(0.278 * E4.3.2.1_mRNA) - (0.00000278 * E4.3.2.1)</v>
      </c>
      <c r="M328" s="29" t="str">
        <f t="shared" si="64"/>
        <v>mRNA327: -&gt; E4.3.2.1_mRNA | 0.00292 - (0.0093 * E4.3.2.1_mRNA)</v>
      </c>
      <c r="N328" s="22" t="str">
        <f t="shared" si="65"/>
        <v>Peptide327: E4.3.2.1_mRNA -&gt; E4.3.2.1 | (0.278 * E4.3.2.1_mRNA) - (0.000000278 * E4.3.2.1)</v>
      </c>
    </row>
    <row r="329" spans="1:14">
      <c r="A329">
        <v>328</v>
      </c>
      <c r="B329" s="4" t="s">
        <v>7759</v>
      </c>
      <c r="C329" s="4" t="str">
        <f t="shared" si="58"/>
        <v>E4.3.2.2_mRNA</v>
      </c>
      <c r="D329" s="4" t="s">
        <v>13105</v>
      </c>
      <c r="E329" s="22" t="str">
        <f t="shared" si="59"/>
        <v>E4.3.2.2_kcat : 13.7</v>
      </c>
      <c r="F329" s="23" t="str">
        <f t="shared" si="55"/>
        <v>E4.3.2.2_km : 1</v>
      </c>
      <c r="G329" s="24" t="str">
        <f t="shared" si="56"/>
        <v>E4.3.2.2_mRNA : E4.3.2.2_mRNA</v>
      </c>
      <c r="H329" s="25" t="str">
        <f t="shared" si="57"/>
        <v>E4.3.2.2 : E4.3.2.2</v>
      </c>
      <c r="I329" s="26" t="str">
        <f t="shared" si="60"/>
        <v>E4.3.2.2_mRNA : 0</v>
      </c>
      <c r="J329" s="27" t="str">
        <f t="shared" si="61"/>
        <v>E4.3.2.2 : 0</v>
      </c>
      <c r="K329" s="28" t="str">
        <f t="shared" si="62"/>
        <v>0.00292 - (0.0093 * E4.3.2.2_mRNA)</v>
      </c>
      <c r="L329" s="24" t="str">
        <f t="shared" si="63"/>
        <v>(0.278 * E4.3.2.2_mRNA) - (0.00000278 * E4.3.2.2)</v>
      </c>
      <c r="M329" s="29" t="str">
        <f t="shared" si="64"/>
        <v>mRNA328: -&gt; E4.3.2.2_mRNA | 0.00292 - (0.0093 * E4.3.2.2_mRNA)</v>
      </c>
      <c r="N329" s="22" t="str">
        <f t="shared" si="65"/>
        <v>Peptide328: E4.3.2.2_mRNA -&gt; E4.3.2.2 | (0.278 * E4.3.2.2_mRNA) - (0.000000278 * E4.3.2.2)</v>
      </c>
    </row>
    <row r="330" spans="1:14">
      <c r="A330">
        <v>329</v>
      </c>
      <c r="B330" s="4" t="s">
        <v>7467</v>
      </c>
      <c r="C330" s="4" t="str">
        <f t="shared" si="58"/>
        <v>E4.3.2.3_mRNA</v>
      </c>
      <c r="D330" s="4" t="s">
        <v>12877</v>
      </c>
      <c r="E330" s="22" t="str">
        <f t="shared" si="59"/>
        <v>E4.3.2.3_kcat : 13.7</v>
      </c>
      <c r="F330" s="23" t="str">
        <f t="shared" si="55"/>
        <v>E4.3.2.3_km : 1</v>
      </c>
      <c r="G330" s="24" t="str">
        <f t="shared" si="56"/>
        <v>E4.3.2.3_mRNA : E4.3.2.3_mRNA</v>
      </c>
      <c r="H330" s="25" t="str">
        <f t="shared" si="57"/>
        <v>E4.3.2.3 : E4.3.2.3</v>
      </c>
      <c r="I330" s="26" t="str">
        <f t="shared" si="60"/>
        <v>E4.3.2.3_mRNA : 0</v>
      </c>
      <c r="J330" s="27" t="str">
        <f t="shared" si="61"/>
        <v>E4.3.2.3 : 0</v>
      </c>
      <c r="K330" s="28" t="str">
        <f t="shared" si="62"/>
        <v>0.00292 - (0.0093 * E4.3.2.3_mRNA)</v>
      </c>
      <c r="L330" s="24" t="str">
        <f t="shared" si="63"/>
        <v>(0.278 * E4.3.2.3_mRNA) - (0.00000278 * E4.3.2.3)</v>
      </c>
      <c r="M330" s="29" t="str">
        <f t="shared" si="64"/>
        <v>mRNA329: -&gt; E4.3.2.3_mRNA | 0.00292 - (0.0093 * E4.3.2.3_mRNA)</v>
      </c>
      <c r="N330" s="22" t="str">
        <f t="shared" si="65"/>
        <v>Peptide329: E4.3.2.3_mRNA -&gt; E4.3.2.3 | (0.278 * E4.3.2.3_mRNA) - (0.000000278 * E4.3.2.3)</v>
      </c>
    </row>
    <row r="331" spans="1:14">
      <c r="A331">
        <v>330</v>
      </c>
      <c r="B331" s="4" t="s">
        <v>7630</v>
      </c>
      <c r="C331" s="4" t="str">
        <f t="shared" si="58"/>
        <v>E4.3.3.7_mRNA</v>
      </c>
      <c r="D331" s="4" t="s">
        <v>13000</v>
      </c>
      <c r="E331" s="22" t="str">
        <f t="shared" si="59"/>
        <v>E4.3.3.7_kcat : 13.7</v>
      </c>
      <c r="F331" s="23" t="str">
        <f t="shared" si="55"/>
        <v>E4.3.3.7_km : 1</v>
      </c>
      <c r="G331" s="24" t="str">
        <f t="shared" si="56"/>
        <v>E4.3.3.7_mRNA : E4.3.3.7_mRNA</v>
      </c>
      <c r="H331" s="25" t="str">
        <f t="shared" si="57"/>
        <v>E4.3.3.7 : E4.3.3.7</v>
      </c>
      <c r="I331" s="26" t="str">
        <f t="shared" si="60"/>
        <v>E4.3.3.7_mRNA : 0</v>
      </c>
      <c r="J331" s="27" t="str">
        <f t="shared" si="61"/>
        <v>E4.3.3.7 : 0</v>
      </c>
      <c r="K331" s="28" t="str">
        <f t="shared" si="62"/>
        <v>0.00292 - (0.0093 * E4.3.3.7_mRNA)</v>
      </c>
      <c r="L331" s="24" t="str">
        <f t="shared" si="63"/>
        <v>(0.278 * E4.3.3.7_mRNA) - (0.00000278 * E4.3.3.7)</v>
      </c>
      <c r="M331" s="29" t="str">
        <f t="shared" si="64"/>
        <v>mRNA330: -&gt; E4.3.3.7_mRNA | 0.00292 - (0.0093 * E4.3.3.7_mRNA)</v>
      </c>
      <c r="N331" s="22" t="str">
        <f t="shared" si="65"/>
        <v>Peptide330: E4.3.3.7_mRNA -&gt; E4.3.3.7 | (0.278 * E4.3.3.7_mRNA) - (0.000000278 * E4.3.3.7)</v>
      </c>
    </row>
    <row r="332" spans="1:14">
      <c r="A332">
        <v>331</v>
      </c>
      <c r="B332" s="4" t="s">
        <v>7348</v>
      </c>
      <c r="C332" s="4" t="str">
        <f t="shared" si="58"/>
        <v>E4.4.1.21_mRNA</v>
      </c>
      <c r="D332" s="4" t="s">
        <v>12801</v>
      </c>
      <c r="E332" s="22" t="str">
        <f t="shared" si="59"/>
        <v>E4.4.1.21_kcat : 13.7</v>
      </c>
      <c r="F332" s="23" t="str">
        <f t="shared" si="55"/>
        <v>E4.4.1.21_km : 1</v>
      </c>
      <c r="G332" s="24" t="str">
        <f t="shared" si="56"/>
        <v>E4.4.1.21_mRNA : E4.4.1.21_mRNA</v>
      </c>
      <c r="H332" s="25" t="str">
        <f t="shared" si="57"/>
        <v>E4.4.1.21 : E4.4.1.21</v>
      </c>
      <c r="I332" s="26" t="str">
        <f t="shared" si="60"/>
        <v>E4.4.1.21_mRNA : 0</v>
      </c>
      <c r="J332" s="27" t="str">
        <f t="shared" si="61"/>
        <v>E4.4.1.21 : 0</v>
      </c>
      <c r="K332" s="28" t="str">
        <f t="shared" si="62"/>
        <v>0.00292 - (0.0093 * E4.4.1.21_mRNA)</v>
      </c>
      <c r="L332" s="24" t="str">
        <f t="shared" si="63"/>
        <v>(0.278 * E4.4.1.21_mRNA) - (0.00000278 * E4.4.1.21)</v>
      </c>
      <c r="M332" s="29" t="str">
        <f t="shared" si="64"/>
        <v>mRNA331: -&gt; E4.4.1.21_mRNA | 0.00292 - (0.0093 * E4.4.1.21_mRNA)</v>
      </c>
      <c r="N332" s="22" t="str">
        <f t="shared" si="65"/>
        <v>Peptide331: E4.4.1.21_mRNA -&gt; E4.4.1.21 | (0.278 * E4.4.1.21_mRNA) - (0.000000278 * E4.4.1.21)</v>
      </c>
    </row>
    <row r="333" spans="1:14">
      <c r="A333">
        <v>332</v>
      </c>
      <c r="B333" s="4" t="s">
        <v>7713</v>
      </c>
      <c r="C333" s="4" t="str">
        <f t="shared" si="58"/>
        <v>E4.4.1.8_mRNA</v>
      </c>
      <c r="D333" s="4" t="s">
        <v>13064</v>
      </c>
      <c r="E333" s="22" t="str">
        <f t="shared" si="59"/>
        <v>E4.4.1.8_kcat : 13.7</v>
      </c>
      <c r="F333" s="23" t="str">
        <f t="shared" si="55"/>
        <v>E4.4.1.8_km : 1</v>
      </c>
      <c r="G333" s="24" t="str">
        <f t="shared" si="56"/>
        <v>E4.4.1.8_mRNA : E4.4.1.8_mRNA</v>
      </c>
      <c r="H333" s="25" t="str">
        <f t="shared" si="57"/>
        <v>E4.4.1.8 : E4.4.1.8</v>
      </c>
      <c r="I333" s="26" t="str">
        <f t="shared" si="60"/>
        <v>E4.4.1.8_mRNA : 0</v>
      </c>
      <c r="J333" s="27" t="str">
        <f t="shared" si="61"/>
        <v>E4.4.1.8 : 0</v>
      </c>
      <c r="K333" s="28" t="str">
        <f t="shared" si="62"/>
        <v>0.00292 - (0.0093 * E4.4.1.8_mRNA)</v>
      </c>
      <c r="L333" s="24" t="str">
        <f t="shared" si="63"/>
        <v>(0.278 * E4.4.1.8_mRNA) - (0.00000278 * E4.4.1.8)</v>
      </c>
      <c r="M333" s="29" t="str">
        <f t="shared" si="64"/>
        <v>mRNA332: -&gt; E4.4.1.8_mRNA | 0.00292 - (0.0093 * E4.4.1.8_mRNA)</v>
      </c>
      <c r="N333" s="22" t="str">
        <f t="shared" si="65"/>
        <v>Peptide332: E4.4.1.8_mRNA -&gt; E4.4.1.8 | (0.278 * E4.4.1.8_mRNA) - (0.000000278 * E4.4.1.8)</v>
      </c>
    </row>
    <row r="334" spans="1:14">
      <c r="A334">
        <v>333</v>
      </c>
      <c r="B334" s="4" t="s">
        <v>7335</v>
      </c>
      <c r="C334" s="4" t="str">
        <f t="shared" si="58"/>
        <v>E4.6.1.1_mRNA</v>
      </c>
      <c r="D334" s="4" t="s">
        <v>12790</v>
      </c>
      <c r="E334" s="22" t="str">
        <f t="shared" si="59"/>
        <v>E4.6.1.1_kcat : 13.7</v>
      </c>
      <c r="F334" s="23" t="str">
        <f t="shared" si="55"/>
        <v>E4.6.1.1_km : 1</v>
      </c>
      <c r="G334" s="24" t="str">
        <f t="shared" si="56"/>
        <v>E4.6.1.1_mRNA : E4.6.1.1_mRNA</v>
      </c>
      <c r="H334" s="25" t="str">
        <f t="shared" si="57"/>
        <v>E4.6.1.1 : E4.6.1.1</v>
      </c>
      <c r="I334" s="26" t="str">
        <f t="shared" si="60"/>
        <v>E4.6.1.1_mRNA : 0</v>
      </c>
      <c r="J334" s="27" t="str">
        <f t="shared" si="61"/>
        <v>E4.6.1.1 : 0</v>
      </c>
      <c r="K334" s="28" t="str">
        <f t="shared" si="62"/>
        <v>0.00292 - (0.0093 * E4.6.1.1_mRNA)</v>
      </c>
      <c r="L334" s="24" t="str">
        <f t="shared" si="63"/>
        <v>(0.278 * E4.6.1.1_mRNA) - (0.00000278 * E4.6.1.1)</v>
      </c>
      <c r="M334" s="29" t="str">
        <f t="shared" si="64"/>
        <v>mRNA333: -&gt; E4.6.1.1_mRNA | 0.00292 - (0.0093 * E4.6.1.1_mRNA)</v>
      </c>
      <c r="N334" s="22" t="str">
        <f t="shared" si="65"/>
        <v>Peptide333: E4.6.1.1_mRNA -&gt; E4.6.1.1 | (0.278 * E4.6.1.1_mRNA) - (0.000000278 * E4.6.1.1)</v>
      </c>
    </row>
    <row r="335" spans="1:14">
      <c r="A335">
        <v>334</v>
      </c>
      <c r="B335" s="4" t="s">
        <v>7764</v>
      </c>
      <c r="C335" s="4" t="str">
        <f t="shared" si="58"/>
        <v>E4.6.1.12_mRNA</v>
      </c>
      <c r="D335" s="4" t="s">
        <v>13110</v>
      </c>
      <c r="E335" s="22" t="str">
        <f t="shared" si="59"/>
        <v>E4.6.1.12_kcat : 13.7</v>
      </c>
      <c r="F335" s="23" t="str">
        <f t="shared" si="55"/>
        <v>E4.6.1.12_km : 1</v>
      </c>
      <c r="G335" s="24" t="str">
        <f t="shared" si="56"/>
        <v>E4.6.1.12_mRNA : E4.6.1.12_mRNA</v>
      </c>
      <c r="H335" s="25" t="str">
        <f t="shared" si="57"/>
        <v>E4.6.1.12 : E4.6.1.12</v>
      </c>
      <c r="I335" s="26" t="str">
        <f t="shared" si="60"/>
        <v>E4.6.1.12_mRNA : 0</v>
      </c>
      <c r="J335" s="27" t="str">
        <f t="shared" si="61"/>
        <v>E4.6.1.12 : 0</v>
      </c>
      <c r="K335" s="28" t="str">
        <f t="shared" si="62"/>
        <v>0.00292 - (0.0093 * E4.6.1.12_mRNA)</v>
      </c>
      <c r="L335" s="24" t="str">
        <f t="shared" si="63"/>
        <v>(0.278 * E4.6.1.12_mRNA) - (0.00000278 * E4.6.1.12)</v>
      </c>
      <c r="M335" s="29" t="str">
        <f t="shared" si="64"/>
        <v>mRNA334: -&gt; E4.6.1.12_mRNA | 0.00292 - (0.0093 * E4.6.1.12_mRNA)</v>
      </c>
      <c r="N335" s="22" t="str">
        <f t="shared" si="65"/>
        <v>Peptide334: E4.6.1.12_mRNA -&gt; E4.6.1.12 | (0.278 * E4.6.1.12_mRNA) - (0.000000278 * E4.6.1.12)</v>
      </c>
    </row>
    <row r="336" spans="1:14">
      <c r="A336">
        <v>335</v>
      </c>
      <c r="B336" s="4" t="s">
        <v>7383</v>
      </c>
      <c r="C336" s="4" t="str">
        <f t="shared" si="58"/>
        <v>E5.1.1.1_mRNA</v>
      </c>
      <c r="D336" s="4" t="s">
        <v>12829</v>
      </c>
      <c r="E336" s="22" t="str">
        <f t="shared" si="59"/>
        <v>E5.1.1.1_kcat : 13.7</v>
      </c>
      <c r="F336" s="23" t="str">
        <f t="shared" si="55"/>
        <v>E5.1.1.1_km : 1</v>
      </c>
      <c r="G336" s="24" t="str">
        <f t="shared" si="56"/>
        <v>E5.1.1.1_mRNA : E5.1.1.1_mRNA</v>
      </c>
      <c r="H336" s="25" t="str">
        <f t="shared" si="57"/>
        <v>E5.1.1.1 : E5.1.1.1</v>
      </c>
      <c r="I336" s="26" t="str">
        <f t="shared" si="60"/>
        <v>E5.1.1.1_mRNA : 0</v>
      </c>
      <c r="J336" s="27" t="str">
        <f t="shared" si="61"/>
        <v>E5.1.1.1 : 0</v>
      </c>
      <c r="K336" s="28" t="str">
        <f t="shared" si="62"/>
        <v>0.00292 - (0.0093 * E5.1.1.1_mRNA)</v>
      </c>
      <c r="L336" s="24" t="str">
        <f t="shared" si="63"/>
        <v>(0.278 * E5.1.1.1_mRNA) - (0.00000278 * E5.1.1.1)</v>
      </c>
      <c r="M336" s="29" t="str">
        <f t="shared" si="64"/>
        <v>mRNA335: -&gt; E5.1.1.1_mRNA | 0.00292 - (0.0093 * E5.1.1.1_mRNA)</v>
      </c>
      <c r="N336" s="22" t="str">
        <f t="shared" si="65"/>
        <v>Peptide335: E5.1.1.1_mRNA -&gt; E5.1.1.1 | (0.278 * E5.1.1.1_mRNA) - (0.000000278 * E5.1.1.1)</v>
      </c>
    </row>
    <row r="337" spans="1:14">
      <c r="A337">
        <v>336</v>
      </c>
      <c r="B337" s="4" t="s">
        <v>7743</v>
      </c>
      <c r="C337" s="4" t="str">
        <f t="shared" si="58"/>
        <v>E5.1.1.3_mRNA</v>
      </c>
      <c r="D337" s="4" t="s">
        <v>13091</v>
      </c>
      <c r="E337" s="22" t="str">
        <f t="shared" si="59"/>
        <v>E5.1.1.3_kcat : 13.7</v>
      </c>
      <c r="F337" s="23" t="str">
        <f t="shared" si="55"/>
        <v>E5.1.1.3_km : 1</v>
      </c>
      <c r="G337" s="24" t="str">
        <f t="shared" si="56"/>
        <v>E5.1.1.3_mRNA : E5.1.1.3_mRNA</v>
      </c>
      <c r="H337" s="25" t="str">
        <f t="shared" si="57"/>
        <v>E5.1.1.3 : E5.1.1.3</v>
      </c>
      <c r="I337" s="26" t="str">
        <f t="shared" si="60"/>
        <v>E5.1.1.3_mRNA : 0</v>
      </c>
      <c r="J337" s="27" t="str">
        <f t="shared" si="61"/>
        <v>E5.1.1.3 : 0</v>
      </c>
      <c r="K337" s="28" t="str">
        <f t="shared" si="62"/>
        <v>0.00292 - (0.0093 * E5.1.1.3_mRNA)</v>
      </c>
      <c r="L337" s="24" t="str">
        <f t="shared" si="63"/>
        <v>(0.278 * E5.1.1.3_mRNA) - (0.00000278 * E5.1.1.3)</v>
      </c>
      <c r="M337" s="29" t="str">
        <f t="shared" si="64"/>
        <v>mRNA336: -&gt; E5.1.1.3_mRNA | 0.00292 - (0.0093 * E5.1.1.3_mRNA)</v>
      </c>
      <c r="N337" s="22" t="str">
        <f t="shared" si="65"/>
        <v>Peptide336: E5.1.1.3_mRNA -&gt; E5.1.1.3 | (0.278 * E5.1.1.3_mRNA) - (0.000000278 * E5.1.1.3)</v>
      </c>
    </row>
    <row r="338" spans="1:14">
      <c r="A338">
        <v>337</v>
      </c>
      <c r="B338" s="4" t="s">
        <v>7626</v>
      </c>
      <c r="C338" s="4" t="str">
        <f t="shared" si="58"/>
        <v>E5.1.1.7_mRNA</v>
      </c>
      <c r="D338" s="4" t="s">
        <v>12997</v>
      </c>
      <c r="E338" s="22" t="str">
        <f t="shared" si="59"/>
        <v>E5.1.1.7_kcat : 13.7</v>
      </c>
      <c r="F338" s="23" t="str">
        <f t="shared" si="55"/>
        <v>E5.1.1.7_km : 1</v>
      </c>
      <c r="G338" s="24" t="str">
        <f t="shared" si="56"/>
        <v>E5.1.1.7_mRNA : E5.1.1.7_mRNA</v>
      </c>
      <c r="H338" s="25" t="str">
        <f t="shared" si="57"/>
        <v>E5.1.1.7 : E5.1.1.7</v>
      </c>
      <c r="I338" s="26" t="str">
        <f t="shared" si="60"/>
        <v>E5.1.1.7_mRNA : 0</v>
      </c>
      <c r="J338" s="27" t="str">
        <f t="shared" si="61"/>
        <v>E5.1.1.7 : 0</v>
      </c>
      <c r="K338" s="28" t="str">
        <f t="shared" si="62"/>
        <v>0.00292 - (0.0093 * E5.1.1.7_mRNA)</v>
      </c>
      <c r="L338" s="24" t="str">
        <f t="shared" si="63"/>
        <v>(0.278 * E5.1.1.7_mRNA) - (0.00000278 * E5.1.1.7)</v>
      </c>
      <c r="M338" s="29" t="str">
        <f t="shared" si="64"/>
        <v>mRNA337: -&gt; E5.1.1.7_mRNA | 0.00292 - (0.0093 * E5.1.1.7_mRNA)</v>
      </c>
      <c r="N338" s="22" t="str">
        <f t="shared" si="65"/>
        <v>Peptide337: E5.1.1.7_mRNA -&gt; E5.1.1.7 | (0.278 * E5.1.1.7_mRNA) - (0.000000278 * E5.1.1.7)</v>
      </c>
    </row>
    <row r="339" spans="1:14">
      <c r="A339">
        <v>338</v>
      </c>
      <c r="B339" s="4" t="s">
        <v>7586</v>
      </c>
      <c r="C339" s="4" t="str">
        <f t="shared" si="58"/>
        <v>E5.1.3.1_mRNA</v>
      </c>
      <c r="D339" s="4" t="s">
        <v>12963</v>
      </c>
      <c r="E339" s="22" t="str">
        <f t="shared" si="59"/>
        <v>E5.1.3.1_kcat : 13.7</v>
      </c>
      <c r="F339" s="23" t="str">
        <f t="shared" si="55"/>
        <v>E5.1.3.1_km : 1</v>
      </c>
      <c r="G339" s="24" t="str">
        <f t="shared" si="56"/>
        <v>E5.1.3.1_mRNA : E5.1.3.1_mRNA</v>
      </c>
      <c r="H339" s="25" t="str">
        <f t="shared" si="57"/>
        <v>E5.1.3.1 : E5.1.3.1</v>
      </c>
      <c r="I339" s="26" t="str">
        <f t="shared" si="60"/>
        <v>E5.1.3.1_mRNA : 0</v>
      </c>
      <c r="J339" s="27" t="str">
        <f t="shared" si="61"/>
        <v>E5.1.3.1 : 0</v>
      </c>
      <c r="K339" s="28" t="str">
        <f t="shared" si="62"/>
        <v>0.00292 - (0.0093 * E5.1.3.1_mRNA)</v>
      </c>
      <c r="L339" s="24" t="str">
        <f t="shared" si="63"/>
        <v>(0.278 * E5.1.3.1_mRNA) - (0.00000278 * E5.1.3.1)</v>
      </c>
      <c r="M339" s="29" t="str">
        <f t="shared" si="64"/>
        <v>mRNA338: -&gt; E5.1.3.1_mRNA | 0.00292 - (0.0093 * E5.1.3.1_mRNA)</v>
      </c>
      <c r="N339" s="22" t="str">
        <f t="shared" si="65"/>
        <v>Peptide338: E5.1.3.1_mRNA -&gt; E5.1.3.1 | (0.278 * E5.1.3.1_mRNA) - (0.000000278 * E5.1.3.1)</v>
      </c>
    </row>
    <row r="340" spans="1:14">
      <c r="A340">
        <v>339</v>
      </c>
      <c r="B340" s="4" t="s">
        <v>7339</v>
      </c>
      <c r="C340" s="4" t="str">
        <f t="shared" si="58"/>
        <v>E5.1.3.13_mRNA</v>
      </c>
      <c r="D340" s="4" t="s">
        <v>12794</v>
      </c>
      <c r="E340" s="22" t="str">
        <f t="shared" si="59"/>
        <v>E5.1.3.13_kcat : 13.7</v>
      </c>
      <c r="F340" s="23" t="str">
        <f t="shared" si="55"/>
        <v>E5.1.3.13_km : 1</v>
      </c>
      <c r="G340" s="24" t="str">
        <f t="shared" si="56"/>
        <v>E5.1.3.13_mRNA : E5.1.3.13_mRNA</v>
      </c>
      <c r="H340" s="25" t="str">
        <f t="shared" si="57"/>
        <v>E5.1.3.13 : E5.1.3.13</v>
      </c>
      <c r="I340" s="26" t="str">
        <f t="shared" si="60"/>
        <v>E5.1.3.13_mRNA : 0</v>
      </c>
      <c r="J340" s="27" t="str">
        <f t="shared" si="61"/>
        <v>E5.1.3.13 : 0</v>
      </c>
      <c r="K340" s="28" t="str">
        <f t="shared" si="62"/>
        <v>0.00292 - (0.0093 * E5.1.3.13_mRNA)</v>
      </c>
      <c r="L340" s="24" t="str">
        <f t="shared" si="63"/>
        <v>(0.278 * E5.1.3.13_mRNA) - (0.00000278 * E5.1.3.13)</v>
      </c>
      <c r="M340" s="29" t="str">
        <f t="shared" si="64"/>
        <v>mRNA339: -&gt; E5.1.3.13_mRNA | 0.00292 - (0.0093 * E5.1.3.13_mRNA)</v>
      </c>
      <c r="N340" s="22" t="str">
        <f t="shared" si="65"/>
        <v>Peptide339: E5.1.3.13_mRNA -&gt; E5.1.3.13 | (0.278 * E5.1.3.13_mRNA) - (0.000000278 * E5.1.3.13)</v>
      </c>
    </row>
    <row r="341" spans="1:14">
      <c r="A341">
        <v>340</v>
      </c>
      <c r="B341" s="4" t="s">
        <v>7620</v>
      </c>
      <c r="C341" s="4" t="str">
        <f t="shared" si="58"/>
        <v>E5.1.3.2_mRNA</v>
      </c>
      <c r="D341" s="4" t="s">
        <v>12993</v>
      </c>
      <c r="E341" s="22" t="str">
        <f t="shared" si="59"/>
        <v>E5.1.3.2_kcat : 13.7</v>
      </c>
      <c r="F341" s="23" t="str">
        <f t="shared" si="55"/>
        <v>E5.1.3.2_km : 1</v>
      </c>
      <c r="G341" s="24" t="str">
        <f t="shared" si="56"/>
        <v>E5.1.3.2_mRNA : E5.1.3.2_mRNA</v>
      </c>
      <c r="H341" s="25" t="str">
        <f t="shared" si="57"/>
        <v>E5.1.3.2 : E5.1.3.2</v>
      </c>
      <c r="I341" s="26" t="str">
        <f t="shared" si="60"/>
        <v>E5.1.3.2_mRNA : 0</v>
      </c>
      <c r="J341" s="27" t="str">
        <f t="shared" si="61"/>
        <v>E5.1.3.2 : 0</v>
      </c>
      <c r="K341" s="28" t="str">
        <f t="shared" si="62"/>
        <v>0.00292 - (0.0093 * E5.1.3.2_mRNA)</v>
      </c>
      <c r="L341" s="24" t="str">
        <f t="shared" si="63"/>
        <v>(0.278 * E5.1.3.2_mRNA) - (0.00000278 * E5.1.3.2)</v>
      </c>
      <c r="M341" s="29" t="str">
        <f t="shared" si="64"/>
        <v>mRNA340: -&gt; E5.1.3.2_mRNA | 0.00292 - (0.0093 * E5.1.3.2_mRNA)</v>
      </c>
      <c r="N341" s="22" t="str">
        <f t="shared" si="65"/>
        <v>Peptide340: E5.1.3.2_mRNA -&gt; E5.1.3.2 | (0.278 * E5.1.3.2_mRNA) - (0.000000278 * E5.1.3.2)</v>
      </c>
    </row>
    <row r="342" spans="1:14">
      <c r="A342">
        <v>341</v>
      </c>
      <c r="B342" s="4" t="s">
        <v>7417</v>
      </c>
      <c r="C342" s="4" t="str">
        <f t="shared" si="58"/>
        <v>E5.1.3.3_mRNA</v>
      </c>
      <c r="D342" s="4" t="s">
        <v>12850</v>
      </c>
      <c r="E342" s="22" t="str">
        <f t="shared" si="59"/>
        <v>E5.1.3.3_kcat : 13.7</v>
      </c>
      <c r="F342" s="23" t="str">
        <f t="shared" si="55"/>
        <v>E5.1.3.3_km : 1</v>
      </c>
      <c r="G342" s="24" t="str">
        <f t="shared" si="56"/>
        <v>E5.1.3.3_mRNA : E5.1.3.3_mRNA</v>
      </c>
      <c r="H342" s="25" t="str">
        <f t="shared" si="57"/>
        <v>E5.1.3.3 : E5.1.3.3</v>
      </c>
      <c r="I342" s="26" t="str">
        <f t="shared" si="60"/>
        <v>E5.1.3.3_mRNA : 0</v>
      </c>
      <c r="J342" s="27" t="str">
        <f t="shared" si="61"/>
        <v>E5.1.3.3 : 0</v>
      </c>
      <c r="K342" s="28" t="str">
        <f t="shared" si="62"/>
        <v>0.00292 - (0.0093 * E5.1.3.3_mRNA)</v>
      </c>
      <c r="L342" s="24" t="str">
        <f t="shared" si="63"/>
        <v>(0.278 * E5.1.3.3_mRNA) - (0.00000278 * E5.1.3.3)</v>
      </c>
      <c r="M342" s="29" t="str">
        <f t="shared" si="64"/>
        <v>mRNA341: -&gt; E5.1.3.3_mRNA | 0.00292 - (0.0093 * E5.1.3.3_mRNA)</v>
      </c>
      <c r="N342" s="22" t="str">
        <f t="shared" si="65"/>
        <v>Peptide341: E5.1.3.3_mRNA -&gt; E5.1.3.3 | (0.278 * E5.1.3.3_mRNA) - (0.000000278 * E5.1.3.3)</v>
      </c>
    </row>
    <row r="343" spans="1:14">
      <c r="A343">
        <v>342</v>
      </c>
      <c r="B343" s="4" t="s">
        <v>7810</v>
      </c>
      <c r="C343" s="4" t="str">
        <f t="shared" si="58"/>
        <v>E5.1.3.9_mRNA</v>
      </c>
      <c r="D343" s="4" t="s">
        <v>13139</v>
      </c>
      <c r="E343" s="22" t="str">
        <f t="shared" si="59"/>
        <v>E5.1.3.9_kcat : 13.7</v>
      </c>
      <c r="F343" s="23" t="str">
        <f t="shared" si="55"/>
        <v>E5.1.3.9_km : 1</v>
      </c>
      <c r="G343" s="24" t="str">
        <f t="shared" si="56"/>
        <v>E5.1.3.9_mRNA : E5.1.3.9_mRNA</v>
      </c>
      <c r="H343" s="25" t="str">
        <f t="shared" si="57"/>
        <v>E5.1.3.9 : E5.1.3.9</v>
      </c>
      <c r="I343" s="26" t="str">
        <f t="shared" si="60"/>
        <v>E5.1.3.9_mRNA : 0</v>
      </c>
      <c r="J343" s="27" t="str">
        <f t="shared" si="61"/>
        <v>E5.1.3.9 : 0</v>
      </c>
      <c r="K343" s="28" t="str">
        <f t="shared" si="62"/>
        <v>0.00292 - (0.0093 * E5.1.3.9_mRNA)</v>
      </c>
      <c r="L343" s="24" t="str">
        <f t="shared" si="63"/>
        <v>(0.278 * E5.1.3.9_mRNA) - (0.00000278 * E5.1.3.9)</v>
      </c>
      <c r="M343" s="29" t="str">
        <f t="shared" si="64"/>
        <v>mRNA342: -&gt; E5.1.3.9_mRNA | 0.00292 - (0.0093 * E5.1.3.9_mRNA)</v>
      </c>
      <c r="N343" s="22" t="str">
        <f t="shared" si="65"/>
        <v>Peptide342: E5.1.3.9_mRNA -&gt; E5.1.3.9 | (0.278 * E5.1.3.9_mRNA) - (0.000000278 * E5.1.3.9)</v>
      </c>
    </row>
    <row r="344" spans="1:14">
      <c r="A344">
        <v>343</v>
      </c>
      <c r="B344" s="4" t="s">
        <v>7287</v>
      </c>
      <c r="C344" s="4" t="str">
        <f t="shared" si="58"/>
        <v>E5.2.1.8_mRNA</v>
      </c>
      <c r="D344" s="4" t="s">
        <v>12747</v>
      </c>
      <c r="E344" s="22" t="str">
        <f t="shared" si="59"/>
        <v>E5.2.1.8_kcat : 13.7</v>
      </c>
      <c r="F344" s="23" t="str">
        <f t="shared" si="55"/>
        <v>E5.2.1.8_km : 1</v>
      </c>
      <c r="G344" s="24" t="str">
        <f t="shared" si="56"/>
        <v>E5.2.1.8_mRNA : E5.2.1.8_mRNA</v>
      </c>
      <c r="H344" s="25" t="str">
        <f t="shared" si="57"/>
        <v>E5.2.1.8 : E5.2.1.8</v>
      </c>
      <c r="I344" s="26" t="str">
        <f t="shared" si="60"/>
        <v>E5.2.1.8_mRNA : 0</v>
      </c>
      <c r="J344" s="27" t="str">
        <f t="shared" si="61"/>
        <v>E5.2.1.8 : 0</v>
      </c>
      <c r="K344" s="28" t="str">
        <f t="shared" si="62"/>
        <v>0.00292 - (0.0093 * E5.2.1.8_mRNA)</v>
      </c>
      <c r="L344" s="24" t="str">
        <f t="shared" si="63"/>
        <v>(0.278 * E5.2.1.8_mRNA) - (0.00000278 * E5.2.1.8)</v>
      </c>
      <c r="M344" s="29" t="str">
        <f t="shared" si="64"/>
        <v>mRNA343: -&gt; E5.2.1.8_mRNA | 0.00292 - (0.0093 * E5.2.1.8_mRNA)</v>
      </c>
      <c r="N344" s="22" t="str">
        <f t="shared" si="65"/>
        <v>Peptide343: E5.2.1.8_mRNA -&gt; E5.2.1.8 | (0.278 * E5.2.1.8_mRNA) - (0.000000278 * E5.2.1.8)</v>
      </c>
    </row>
    <row r="345" spans="1:14">
      <c r="A345">
        <v>344</v>
      </c>
      <c r="B345" s="4" t="s">
        <v>7582</v>
      </c>
      <c r="C345" s="4" t="str">
        <f t="shared" si="58"/>
        <v>E5.3.1.1_mRNA</v>
      </c>
      <c r="D345" s="4" t="s">
        <v>12959</v>
      </c>
      <c r="E345" s="22" t="str">
        <f t="shared" si="59"/>
        <v>E5.3.1.1_kcat : 13.7</v>
      </c>
      <c r="F345" s="23" t="str">
        <f t="shared" si="55"/>
        <v>E5.3.1.1_km : 1</v>
      </c>
      <c r="G345" s="24" t="str">
        <f t="shared" si="56"/>
        <v>E5.3.1.1_mRNA : E5.3.1.1_mRNA</v>
      </c>
      <c r="H345" s="25" t="str">
        <f t="shared" si="57"/>
        <v>E5.3.1.1 : E5.3.1.1</v>
      </c>
      <c r="I345" s="26" t="str">
        <f t="shared" si="60"/>
        <v>E5.3.1.1_mRNA : 0</v>
      </c>
      <c r="J345" s="27" t="str">
        <f t="shared" si="61"/>
        <v>E5.3.1.1 : 0</v>
      </c>
      <c r="K345" s="28" t="str">
        <f t="shared" si="62"/>
        <v>0.00292 - (0.0093 * E5.3.1.1_mRNA)</v>
      </c>
      <c r="L345" s="24" t="str">
        <f t="shared" si="63"/>
        <v>(0.278 * E5.3.1.1_mRNA) - (0.00000278 * E5.3.1.1)</v>
      </c>
      <c r="M345" s="29" t="str">
        <f t="shared" si="64"/>
        <v>mRNA344: -&gt; E5.3.1.1_mRNA | 0.00292 - (0.0093 * E5.3.1.1_mRNA)</v>
      </c>
      <c r="N345" s="22" t="str">
        <f t="shared" si="65"/>
        <v>Peptide344: E5.3.1.1_mRNA -&gt; E5.3.1.1 | (0.278 * E5.3.1.1_mRNA) - (0.000000278 * E5.3.1.1)</v>
      </c>
    </row>
    <row r="346" spans="1:14">
      <c r="A346">
        <v>345</v>
      </c>
      <c r="B346" s="4" t="s">
        <v>7656</v>
      </c>
      <c r="C346" s="4" t="str">
        <f t="shared" si="58"/>
        <v>E5.3.1.16_mRNA</v>
      </c>
      <c r="D346" s="4" t="s">
        <v>13016</v>
      </c>
      <c r="E346" s="22" t="str">
        <f t="shared" si="59"/>
        <v>E5.3.1.16_kcat : 13.7</v>
      </c>
      <c r="F346" s="23" t="str">
        <f t="shared" si="55"/>
        <v>E5.3.1.16_km : 1</v>
      </c>
      <c r="G346" s="24" t="str">
        <f t="shared" si="56"/>
        <v>E5.3.1.16_mRNA : E5.3.1.16_mRNA</v>
      </c>
      <c r="H346" s="25" t="str">
        <f t="shared" si="57"/>
        <v>E5.3.1.16 : E5.3.1.16</v>
      </c>
      <c r="I346" s="26" t="str">
        <f t="shared" si="60"/>
        <v>E5.3.1.16_mRNA : 0</v>
      </c>
      <c r="J346" s="27" t="str">
        <f t="shared" si="61"/>
        <v>E5.3.1.16 : 0</v>
      </c>
      <c r="K346" s="28" t="str">
        <f t="shared" si="62"/>
        <v>0.00292 - (0.0093 * E5.3.1.16_mRNA)</v>
      </c>
      <c r="L346" s="24" t="str">
        <f t="shared" si="63"/>
        <v>(0.278 * E5.3.1.16_mRNA) - (0.00000278 * E5.3.1.16)</v>
      </c>
      <c r="M346" s="29" t="str">
        <f t="shared" si="64"/>
        <v>mRNA345: -&gt; E5.3.1.16_mRNA | 0.00292 - (0.0093 * E5.3.1.16_mRNA)</v>
      </c>
      <c r="N346" s="22" t="str">
        <f t="shared" si="65"/>
        <v>Peptide345: E5.3.1.16_mRNA -&gt; E5.3.1.16 | (0.278 * E5.3.1.16_mRNA) - (0.000000278 * E5.3.1.16)</v>
      </c>
    </row>
    <row r="347" spans="1:14">
      <c r="A347">
        <v>346</v>
      </c>
      <c r="B347" s="4" t="s">
        <v>7732</v>
      </c>
      <c r="C347" s="4" t="str">
        <f t="shared" si="58"/>
        <v>E5.3.1.6_mRNA</v>
      </c>
      <c r="D347" s="4" t="s">
        <v>13080</v>
      </c>
      <c r="E347" s="22" t="str">
        <f t="shared" si="59"/>
        <v>E5.3.1.6_kcat : 13.7</v>
      </c>
      <c r="F347" s="23" t="str">
        <f t="shared" si="55"/>
        <v>E5.3.1.6_km : 1</v>
      </c>
      <c r="G347" s="24" t="str">
        <f t="shared" si="56"/>
        <v>E5.3.1.6_mRNA : E5.3.1.6_mRNA</v>
      </c>
      <c r="H347" s="25" t="str">
        <f t="shared" si="57"/>
        <v>E5.3.1.6 : E5.3.1.6</v>
      </c>
      <c r="I347" s="26" t="str">
        <f t="shared" si="60"/>
        <v>E5.3.1.6_mRNA : 0</v>
      </c>
      <c r="J347" s="27" t="str">
        <f t="shared" si="61"/>
        <v>E5.3.1.6 : 0</v>
      </c>
      <c r="K347" s="28" t="str">
        <f t="shared" si="62"/>
        <v>0.00292 - (0.0093 * E5.3.1.6_mRNA)</v>
      </c>
      <c r="L347" s="24" t="str">
        <f t="shared" si="63"/>
        <v>(0.278 * E5.3.1.6_mRNA) - (0.00000278 * E5.3.1.6)</v>
      </c>
      <c r="M347" s="29" t="str">
        <f t="shared" si="64"/>
        <v>mRNA346: -&gt; E5.3.1.6_mRNA | 0.00292 - (0.0093 * E5.3.1.6_mRNA)</v>
      </c>
      <c r="N347" s="22" t="str">
        <f t="shared" si="65"/>
        <v>Peptide346: E5.3.1.6_mRNA -&gt; E5.3.1.6 | (0.278 * E5.3.1.6_mRNA) - (0.000000278 * E5.3.1.6)</v>
      </c>
    </row>
    <row r="348" spans="1:14">
      <c r="A348">
        <v>347</v>
      </c>
      <c r="B348" s="4" t="s">
        <v>7449</v>
      </c>
      <c r="C348" s="4" t="str">
        <f t="shared" si="58"/>
        <v>E5.3.1.9_mRNA</v>
      </c>
      <c r="D348" s="4" t="s">
        <v>12864</v>
      </c>
      <c r="E348" s="22" t="str">
        <f t="shared" si="59"/>
        <v>E5.3.1.9_kcat : 13.7</v>
      </c>
      <c r="F348" s="23" t="str">
        <f t="shared" si="55"/>
        <v>E5.3.1.9_km : 1</v>
      </c>
      <c r="G348" s="24" t="str">
        <f t="shared" si="56"/>
        <v>E5.3.1.9_mRNA : E5.3.1.9_mRNA</v>
      </c>
      <c r="H348" s="25" t="str">
        <f t="shared" si="57"/>
        <v>E5.3.1.9 : E5.3.1.9</v>
      </c>
      <c r="I348" s="26" t="str">
        <f t="shared" si="60"/>
        <v>E5.3.1.9_mRNA : 0</v>
      </c>
      <c r="J348" s="27" t="str">
        <f t="shared" si="61"/>
        <v>E5.3.1.9 : 0</v>
      </c>
      <c r="K348" s="28" t="str">
        <f t="shared" si="62"/>
        <v>0.00292 - (0.0093 * E5.3.1.9_mRNA)</v>
      </c>
      <c r="L348" s="24" t="str">
        <f t="shared" si="63"/>
        <v>(0.278 * E5.3.1.9_mRNA) - (0.00000278 * E5.3.1.9)</v>
      </c>
      <c r="M348" s="29" t="str">
        <f t="shared" si="64"/>
        <v>mRNA347: -&gt; E5.3.1.9_mRNA | 0.00292 - (0.0093 * E5.3.1.9_mRNA)</v>
      </c>
      <c r="N348" s="22" t="str">
        <f t="shared" si="65"/>
        <v>Peptide347: E5.3.1.9_mRNA -&gt; E5.3.1.9 | (0.278 * E5.3.1.9_mRNA) - (0.000000278 * E5.3.1.9)</v>
      </c>
    </row>
    <row r="349" spans="1:14">
      <c r="A349">
        <v>348</v>
      </c>
      <c r="B349" s="4" t="s">
        <v>7712</v>
      </c>
      <c r="C349" s="4" t="str">
        <f t="shared" si="58"/>
        <v>E5.3.3.2_mRNA</v>
      </c>
      <c r="D349" s="4" t="s">
        <v>13063</v>
      </c>
      <c r="E349" s="22" t="str">
        <f t="shared" si="59"/>
        <v>E5.3.3.2_kcat : 13.7</v>
      </c>
      <c r="F349" s="23" t="str">
        <f t="shared" si="55"/>
        <v>E5.3.3.2_km : 1</v>
      </c>
      <c r="G349" s="24" t="str">
        <f t="shared" si="56"/>
        <v>E5.3.3.2_mRNA : E5.3.3.2_mRNA</v>
      </c>
      <c r="H349" s="25" t="str">
        <f t="shared" si="57"/>
        <v>E5.3.3.2 : E5.3.3.2</v>
      </c>
      <c r="I349" s="26" t="str">
        <f t="shared" si="60"/>
        <v>E5.3.3.2_mRNA : 0</v>
      </c>
      <c r="J349" s="27" t="str">
        <f t="shared" si="61"/>
        <v>E5.3.3.2 : 0</v>
      </c>
      <c r="K349" s="28" t="str">
        <f t="shared" si="62"/>
        <v>0.00292 - (0.0093 * E5.3.3.2_mRNA)</v>
      </c>
      <c r="L349" s="24" t="str">
        <f t="shared" si="63"/>
        <v>(0.278 * E5.3.3.2_mRNA) - (0.00000278 * E5.3.3.2)</v>
      </c>
      <c r="M349" s="29" t="str">
        <f t="shared" si="64"/>
        <v>mRNA348: -&gt; E5.3.3.2_mRNA | 0.00292 - (0.0093 * E5.3.3.2_mRNA)</v>
      </c>
      <c r="N349" s="22" t="str">
        <f t="shared" si="65"/>
        <v>Peptide348: E5.3.3.2_mRNA -&gt; E5.3.3.2 | (0.278 * E5.3.3.2_mRNA) - (0.000000278 * E5.3.3.2)</v>
      </c>
    </row>
    <row r="350" spans="1:14">
      <c r="A350">
        <v>349</v>
      </c>
      <c r="B350" s="4" t="s">
        <v>7381</v>
      </c>
      <c r="C350" s="4" t="str">
        <f t="shared" si="58"/>
        <v>E5.4.2.10_mRNA</v>
      </c>
      <c r="D350" s="4" t="s">
        <v>12827</v>
      </c>
      <c r="E350" s="22" t="str">
        <f t="shared" si="59"/>
        <v>E5.4.2.10_kcat : 13.7</v>
      </c>
      <c r="F350" s="23" t="str">
        <f t="shared" si="55"/>
        <v>E5.4.2.10_km : 1</v>
      </c>
      <c r="G350" s="24" t="str">
        <f t="shared" si="56"/>
        <v>E5.4.2.10_mRNA : E5.4.2.10_mRNA</v>
      </c>
      <c r="H350" s="25" t="str">
        <f t="shared" si="57"/>
        <v>E5.4.2.10 : E5.4.2.10</v>
      </c>
      <c r="I350" s="26" t="str">
        <f t="shared" si="60"/>
        <v>E5.4.2.10_mRNA : 0</v>
      </c>
      <c r="J350" s="27" t="str">
        <f t="shared" si="61"/>
        <v>E5.4.2.10 : 0</v>
      </c>
      <c r="K350" s="28" t="str">
        <f t="shared" si="62"/>
        <v>0.00292 - (0.0093 * E5.4.2.10_mRNA)</v>
      </c>
      <c r="L350" s="24" t="str">
        <f t="shared" si="63"/>
        <v>(0.278 * E5.4.2.10_mRNA) - (0.00000278 * E5.4.2.10)</v>
      </c>
      <c r="M350" s="29" t="str">
        <f t="shared" si="64"/>
        <v>mRNA349: -&gt; E5.4.2.10_mRNA | 0.00292 - (0.0093 * E5.4.2.10_mRNA)</v>
      </c>
      <c r="N350" s="22" t="str">
        <f t="shared" si="65"/>
        <v>Peptide349: E5.4.2.10_mRNA -&gt; E5.4.2.10 | (0.278 * E5.4.2.10_mRNA) - (0.000000278 * E5.4.2.10)</v>
      </c>
    </row>
    <row r="351" spans="1:14">
      <c r="A351">
        <v>350</v>
      </c>
      <c r="B351" s="4" t="s">
        <v>7370</v>
      </c>
      <c r="C351" s="4" t="str">
        <f t="shared" si="58"/>
        <v>E5.4.2.8_mRNA</v>
      </c>
      <c r="D351" s="4" t="s">
        <v>12820</v>
      </c>
      <c r="E351" s="22" t="str">
        <f t="shared" si="59"/>
        <v>E5.4.2.8_kcat : 13.7</v>
      </c>
      <c r="F351" s="23" t="str">
        <f t="shared" si="55"/>
        <v>E5.4.2.8_km : 1</v>
      </c>
      <c r="G351" s="24" t="str">
        <f t="shared" si="56"/>
        <v>E5.4.2.8_mRNA : E5.4.2.8_mRNA</v>
      </c>
      <c r="H351" s="25" t="str">
        <f t="shared" si="57"/>
        <v>E5.4.2.8 : E5.4.2.8</v>
      </c>
      <c r="I351" s="26" t="str">
        <f t="shared" si="60"/>
        <v>E5.4.2.8_mRNA : 0</v>
      </c>
      <c r="J351" s="27" t="str">
        <f t="shared" si="61"/>
        <v>E5.4.2.8 : 0</v>
      </c>
      <c r="K351" s="28" t="str">
        <f t="shared" si="62"/>
        <v>0.00292 - (0.0093 * E5.4.2.8_mRNA)</v>
      </c>
      <c r="L351" s="24" t="str">
        <f t="shared" si="63"/>
        <v>(0.278 * E5.4.2.8_mRNA) - (0.00000278 * E5.4.2.8)</v>
      </c>
      <c r="M351" s="29" t="str">
        <f t="shared" si="64"/>
        <v>mRNA350: -&gt; E5.4.2.8_mRNA | 0.00292 - (0.0093 * E5.4.2.8_mRNA)</v>
      </c>
      <c r="N351" s="22" t="str">
        <f t="shared" si="65"/>
        <v>Peptide350: E5.4.2.8_mRNA -&gt; E5.4.2.8 | (0.278 * E5.4.2.8_mRNA) - (0.000000278 * E5.4.2.8)</v>
      </c>
    </row>
    <row r="352" spans="1:14">
      <c r="A352">
        <v>351</v>
      </c>
      <c r="B352" s="4" t="s">
        <v>7361</v>
      </c>
      <c r="C352" s="4" t="str">
        <f t="shared" si="58"/>
        <v>E5.4.3.8_mRNA</v>
      </c>
      <c r="D352" s="4" t="s">
        <v>12813</v>
      </c>
      <c r="E352" s="22" t="str">
        <f t="shared" si="59"/>
        <v>E5.4.3.8_kcat : 13.7</v>
      </c>
      <c r="F352" s="23" t="str">
        <f t="shared" si="55"/>
        <v>E5.4.3.8_km : 1</v>
      </c>
      <c r="G352" s="24" t="str">
        <f t="shared" si="56"/>
        <v>E5.4.3.8_mRNA : E5.4.3.8_mRNA</v>
      </c>
      <c r="H352" s="25" t="str">
        <f t="shared" si="57"/>
        <v>E5.4.3.8 : E5.4.3.8</v>
      </c>
      <c r="I352" s="26" t="str">
        <f t="shared" si="60"/>
        <v>E5.4.3.8_mRNA : 0</v>
      </c>
      <c r="J352" s="27" t="str">
        <f t="shared" si="61"/>
        <v>E5.4.3.8 : 0</v>
      </c>
      <c r="K352" s="28" t="str">
        <f t="shared" si="62"/>
        <v>0.00292 - (0.0093 * E5.4.3.8_mRNA)</v>
      </c>
      <c r="L352" s="24" t="str">
        <f t="shared" si="63"/>
        <v>(0.278 * E5.4.3.8_mRNA) - (0.00000278 * E5.4.3.8)</v>
      </c>
      <c r="M352" s="29" t="str">
        <f t="shared" si="64"/>
        <v>mRNA351: -&gt; E5.4.3.8_mRNA | 0.00292 - (0.0093 * E5.4.3.8_mRNA)</v>
      </c>
      <c r="N352" s="22" t="str">
        <f t="shared" si="65"/>
        <v>Peptide351: E5.4.3.8_mRNA -&gt; E5.4.3.8 | (0.278 * E5.4.3.8_mRNA) - (0.000000278 * E5.4.3.8)</v>
      </c>
    </row>
    <row r="353" spans="1:14">
      <c r="A353">
        <v>352</v>
      </c>
      <c r="B353" s="4" t="s">
        <v>7527</v>
      </c>
      <c r="C353" s="4" t="str">
        <f t="shared" si="58"/>
        <v>E5.4.4.2_mRNA</v>
      </c>
      <c r="D353" s="4" t="s">
        <v>12919</v>
      </c>
      <c r="E353" s="22" t="str">
        <f t="shared" si="59"/>
        <v>E5.4.4.2_kcat : 13.7</v>
      </c>
      <c r="F353" s="23" t="str">
        <f t="shared" si="55"/>
        <v>E5.4.4.2_km : 1</v>
      </c>
      <c r="G353" s="24" t="str">
        <f t="shared" si="56"/>
        <v>E5.4.4.2_mRNA : E5.4.4.2_mRNA</v>
      </c>
      <c r="H353" s="25" t="str">
        <f t="shared" si="57"/>
        <v>E5.4.4.2 : E5.4.4.2</v>
      </c>
      <c r="I353" s="26" t="str">
        <f t="shared" si="60"/>
        <v>E5.4.4.2_mRNA : 0</v>
      </c>
      <c r="J353" s="27" t="str">
        <f t="shared" si="61"/>
        <v>E5.4.4.2 : 0</v>
      </c>
      <c r="K353" s="28" t="str">
        <f t="shared" si="62"/>
        <v>0.00292 - (0.0093 * E5.4.4.2_mRNA)</v>
      </c>
      <c r="L353" s="24" t="str">
        <f t="shared" si="63"/>
        <v>(0.278 * E5.4.4.2_mRNA) - (0.00000278 * E5.4.4.2)</v>
      </c>
      <c r="M353" s="29" t="str">
        <f t="shared" si="64"/>
        <v>mRNA352: -&gt; E5.4.4.2_mRNA | 0.00292 - (0.0093 * E5.4.4.2_mRNA)</v>
      </c>
      <c r="N353" s="22" t="str">
        <f t="shared" si="65"/>
        <v>Peptide352: E5.4.4.2_mRNA -&gt; E5.4.4.2 | (0.278 * E5.4.4.2_mRNA) - (0.000000278 * E5.4.4.2)</v>
      </c>
    </row>
    <row r="354" spans="1:14">
      <c r="A354">
        <v>353</v>
      </c>
      <c r="B354" s="4" t="s">
        <v>7379</v>
      </c>
      <c r="C354" s="4" t="str">
        <f t="shared" si="58"/>
        <v>E5.4.99.12_mRNA</v>
      </c>
      <c r="D354" s="4" t="s">
        <v>12826</v>
      </c>
      <c r="E354" s="22" t="str">
        <f t="shared" si="59"/>
        <v>E5.4.99.12_kcat : 13.7</v>
      </c>
      <c r="F354" s="23" t="str">
        <f t="shared" si="55"/>
        <v>E5.4.99.12_km : 1</v>
      </c>
      <c r="G354" s="24" t="str">
        <f t="shared" si="56"/>
        <v>E5.4.99.12_mRNA : E5.4.99.12_mRNA</v>
      </c>
      <c r="H354" s="25" t="str">
        <f t="shared" si="57"/>
        <v>E5.4.99.12 : E5.4.99.12</v>
      </c>
      <c r="I354" s="26" t="str">
        <f t="shared" si="60"/>
        <v>E5.4.99.12_mRNA : 0</v>
      </c>
      <c r="J354" s="27" t="str">
        <f t="shared" si="61"/>
        <v>E5.4.99.12 : 0</v>
      </c>
      <c r="K354" s="28" t="str">
        <f t="shared" si="62"/>
        <v>0.00292 - (0.0093 * E5.4.99.12_mRNA)</v>
      </c>
      <c r="L354" s="24" t="str">
        <f t="shared" si="63"/>
        <v>(0.278 * E5.4.99.12_mRNA) - (0.00000278 * E5.4.99.12)</v>
      </c>
      <c r="M354" s="29" t="str">
        <f t="shared" si="64"/>
        <v>mRNA353: -&gt; E5.4.99.12_mRNA | 0.00292 - (0.0093 * E5.4.99.12_mRNA)</v>
      </c>
      <c r="N354" s="22" t="str">
        <f t="shared" si="65"/>
        <v>Peptide353: E5.4.99.12_mRNA -&gt; E5.4.99.12 | (0.278 * E5.4.99.12_mRNA) - (0.000000278 * E5.4.99.12)</v>
      </c>
    </row>
    <row r="355" spans="1:14">
      <c r="A355">
        <v>354</v>
      </c>
      <c r="B355" s="4" t="s">
        <v>7450</v>
      </c>
      <c r="C355" s="4" t="str">
        <f t="shared" si="58"/>
        <v>E5.4.99.5_mRNA</v>
      </c>
      <c r="D355" s="4" t="s">
        <v>12865</v>
      </c>
      <c r="E355" s="22" t="str">
        <f t="shared" si="59"/>
        <v>E5.4.99.5_kcat : 13.7</v>
      </c>
      <c r="F355" s="23" t="str">
        <f t="shared" si="55"/>
        <v>E5.4.99.5_km : 1</v>
      </c>
      <c r="G355" s="24" t="str">
        <f t="shared" si="56"/>
        <v>E5.4.99.5_mRNA : E5.4.99.5_mRNA</v>
      </c>
      <c r="H355" s="25" t="str">
        <f t="shared" si="57"/>
        <v>E5.4.99.5 : E5.4.99.5</v>
      </c>
      <c r="I355" s="26" t="str">
        <f t="shared" si="60"/>
        <v>E5.4.99.5_mRNA : 0</v>
      </c>
      <c r="J355" s="27" t="str">
        <f t="shared" si="61"/>
        <v>E5.4.99.5 : 0</v>
      </c>
      <c r="K355" s="28" t="str">
        <f t="shared" si="62"/>
        <v>0.00292 - (0.0093 * E5.4.99.5_mRNA)</v>
      </c>
      <c r="L355" s="24" t="str">
        <f t="shared" si="63"/>
        <v>(0.278 * E5.4.99.5_mRNA) - (0.00000278 * E5.4.99.5)</v>
      </c>
      <c r="M355" s="29" t="str">
        <f t="shared" si="64"/>
        <v>mRNA354: -&gt; E5.4.99.5_mRNA | 0.00292 - (0.0093 * E5.4.99.5_mRNA)</v>
      </c>
      <c r="N355" s="22" t="str">
        <f t="shared" si="65"/>
        <v>Peptide354: E5.4.99.5_mRNA -&gt; E5.4.99.5 | (0.278 * E5.4.99.5_mRNA) - (0.000000278 * E5.4.99.5)</v>
      </c>
    </row>
    <row r="356" spans="1:14">
      <c r="A356">
        <v>355</v>
      </c>
      <c r="B356" s="4" t="s">
        <v>7802</v>
      </c>
      <c r="C356" s="4" t="str">
        <f t="shared" si="58"/>
        <v>E5.4.99.9_mRNA</v>
      </c>
      <c r="D356" s="4" t="s">
        <v>13146</v>
      </c>
      <c r="E356" s="22" t="str">
        <f t="shared" si="59"/>
        <v>E5.4.99.9_kcat : 13.7</v>
      </c>
      <c r="F356" s="23" t="str">
        <f t="shared" si="55"/>
        <v>E5.4.99.9_km : 1</v>
      </c>
      <c r="G356" s="24" t="str">
        <f t="shared" si="56"/>
        <v>E5.4.99.9_mRNA : E5.4.99.9_mRNA</v>
      </c>
      <c r="H356" s="25" t="str">
        <f t="shared" si="57"/>
        <v>E5.4.99.9 : E5.4.99.9</v>
      </c>
      <c r="I356" s="26" t="str">
        <f t="shared" si="60"/>
        <v>E5.4.99.9_mRNA : 0</v>
      </c>
      <c r="J356" s="27" t="str">
        <f t="shared" si="61"/>
        <v>E5.4.99.9 : 0</v>
      </c>
      <c r="K356" s="28" t="str">
        <f t="shared" si="62"/>
        <v>0.00292 - (0.0093 * E5.4.99.9_mRNA)</v>
      </c>
      <c r="L356" s="24" t="str">
        <f t="shared" si="63"/>
        <v>(0.278 * E5.4.99.9_mRNA) - (0.00000278 * E5.4.99.9)</v>
      </c>
      <c r="M356" s="29" t="str">
        <f t="shared" si="64"/>
        <v>mRNA355: -&gt; E5.4.99.9_mRNA | 0.00292 - (0.0093 * E5.4.99.9_mRNA)</v>
      </c>
      <c r="N356" s="22" t="str">
        <f t="shared" si="65"/>
        <v>Peptide355: E5.4.99.9_mRNA -&gt; E5.4.99.9 | (0.278 * E5.4.99.9_mRNA) - (0.000000278 * E5.4.99.9)</v>
      </c>
    </row>
    <row r="357" spans="1:14">
      <c r="A357">
        <v>356</v>
      </c>
      <c r="B357" s="4" t="s">
        <v>7454</v>
      </c>
      <c r="C357" s="4" t="str">
        <f t="shared" si="58"/>
        <v>E5.5.1.2_mRNA</v>
      </c>
      <c r="D357" s="4" t="s">
        <v>12867</v>
      </c>
      <c r="E357" s="22" t="str">
        <f t="shared" si="59"/>
        <v>E5.5.1.2_kcat : 13.7</v>
      </c>
      <c r="F357" s="23" t="str">
        <f t="shared" si="55"/>
        <v>E5.5.1.2_km : 1</v>
      </c>
      <c r="G357" s="24" t="str">
        <f t="shared" si="56"/>
        <v>E5.5.1.2_mRNA : E5.5.1.2_mRNA</v>
      </c>
      <c r="H357" s="25" t="str">
        <f t="shared" si="57"/>
        <v>E5.5.1.2 : E5.5.1.2</v>
      </c>
      <c r="I357" s="26" t="str">
        <f t="shared" si="60"/>
        <v>E5.5.1.2_mRNA : 0</v>
      </c>
      <c r="J357" s="27" t="str">
        <f t="shared" si="61"/>
        <v>E5.5.1.2 : 0</v>
      </c>
      <c r="K357" s="28" t="str">
        <f t="shared" si="62"/>
        <v>0.00292 - (0.0093 * E5.5.1.2_mRNA)</v>
      </c>
      <c r="L357" s="24" t="str">
        <f t="shared" si="63"/>
        <v>(0.278 * E5.5.1.2_mRNA) - (0.00000278 * E5.5.1.2)</v>
      </c>
      <c r="M357" s="29" t="str">
        <f t="shared" si="64"/>
        <v>mRNA356: -&gt; E5.5.1.2_mRNA | 0.00292 - (0.0093 * E5.5.1.2_mRNA)</v>
      </c>
      <c r="N357" s="22" t="str">
        <f t="shared" si="65"/>
        <v>Peptide356: E5.5.1.2_mRNA -&gt; E5.5.1.2 | (0.278 * E5.5.1.2_mRNA) - (0.000000278 * E5.5.1.2)</v>
      </c>
    </row>
    <row r="358" spans="1:14">
      <c r="A358">
        <v>357</v>
      </c>
      <c r="B358" s="4" t="s">
        <v>7791</v>
      </c>
      <c r="C358" s="4" t="str">
        <f t="shared" si="58"/>
        <v>E5.5.1.4_mRNA</v>
      </c>
      <c r="D358" s="4" t="s">
        <v>13157</v>
      </c>
      <c r="E358" s="22" t="str">
        <f t="shared" si="59"/>
        <v>E5.5.1.4_kcat : 13.7</v>
      </c>
      <c r="F358" s="23" t="str">
        <f t="shared" si="55"/>
        <v>E5.5.1.4_km : 1</v>
      </c>
      <c r="G358" s="24" t="str">
        <f t="shared" si="56"/>
        <v>E5.5.1.4_mRNA : E5.5.1.4_mRNA</v>
      </c>
      <c r="H358" s="25" t="str">
        <f t="shared" si="57"/>
        <v>E5.5.1.4 : E5.5.1.4</v>
      </c>
      <c r="I358" s="26" t="str">
        <f t="shared" si="60"/>
        <v>E5.5.1.4_mRNA : 0</v>
      </c>
      <c r="J358" s="27" t="str">
        <f t="shared" si="61"/>
        <v>E5.5.1.4 : 0</v>
      </c>
      <c r="K358" s="28" t="str">
        <f t="shared" si="62"/>
        <v>0.00292 - (0.0093 * E5.5.1.4_mRNA)</v>
      </c>
      <c r="L358" s="24" t="str">
        <f t="shared" si="63"/>
        <v>(0.278 * E5.5.1.4_mRNA) - (0.00000278 * E5.5.1.4)</v>
      </c>
      <c r="M358" s="29" t="str">
        <f t="shared" si="64"/>
        <v>mRNA357: -&gt; E5.5.1.4_mRNA | 0.00292 - (0.0093 * E5.5.1.4_mRNA)</v>
      </c>
      <c r="N358" s="22" t="str">
        <f t="shared" si="65"/>
        <v>Peptide357: E5.5.1.4_mRNA -&gt; E5.5.1.4 | (0.278 * E5.5.1.4_mRNA) - (0.000000278 * E5.5.1.4)</v>
      </c>
    </row>
    <row r="359" spans="1:14">
      <c r="A359">
        <v>358</v>
      </c>
      <c r="B359" s="4" t="s">
        <v>7549</v>
      </c>
      <c r="C359" s="4" t="str">
        <f t="shared" si="58"/>
        <v>E6.1.1.1_mRNA</v>
      </c>
      <c r="D359" s="4" t="s">
        <v>12939</v>
      </c>
      <c r="E359" s="22" t="str">
        <f t="shared" si="59"/>
        <v>E6.1.1.1_kcat : 13.7</v>
      </c>
      <c r="F359" s="23" t="str">
        <f t="shared" si="55"/>
        <v>E6.1.1.1_km : 1</v>
      </c>
      <c r="G359" s="24" t="str">
        <f t="shared" si="56"/>
        <v>E6.1.1.1_mRNA : E6.1.1.1_mRNA</v>
      </c>
      <c r="H359" s="25" t="str">
        <f t="shared" si="57"/>
        <v>E6.1.1.1 : E6.1.1.1</v>
      </c>
      <c r="I359" s="26" t="str">
        <f t="shared" si="60"/>
        <v>E6.1.1.1_mRNA : 0</v>
      </c>
      <c r="J359" s="27" t="str">
        <f t="shared" si="61"/>
        <v>E6.1.1.1 : 0</v>
      </c>
      <c r="K359" s="28" t="str">
        <f t="shared" si="62"/>
        <v>0.00292 - (0.0093 * E6.1.1.1_mRNA)</v>
      </c>
      <c r="L359" s="24" t="str">
        <f t="shared" si="63"/>
        <v>(0.278 * E6.1.1.1_mRNA) - (0.00000278 * E6.1.1.1)</v>
      </c>
      <c r="M359" s="29" t="str">
        <f t="shared" si="64"/>
        <v>mRNA358: -&gt; E6.1.1.1_mRNA | 0.00292 - (0.0093 * E6.1.1.1_mRNA)</v>
      </c>
      <c r="N359" s="22" t="str">
        <f t="shared" si="65"/>
        <v>Peptide358: E6.1.1.1_mRNA -&gt; E6.1.1.1 | (0.278 * E6.1.1.1_mRNA) - (0.000000278 * E6.1.1.1)</v>
      </c>
    </row>
    <row r="360" spans="1:14">
      <c r="A360">
        <v>359</v>
      </c>
      <c r="B360" s="4" t="s">
        <v>7459</v>
      </c>
      <c r="C360" s="4" t="str">
        <f t="shared" si="58"/>
        <v>E6.1.1.10_mRNA</v>
      </c>
      <c r="D360" s="4" t="s">
        <v>12870</v>
      </c>
      <c r="E360" s="22" t="str">
        <f t="shared" si="59"/>
        <v>E6.1.1.10_kcat : 13.7</v>
      </c>
      <c r="F360" s="23" t="str">
        <f t="shared" si="55"/>
        <v>E6.1.1.10_km : 1</v>
      </c>
      <c r="G360" s="24" t="str">
        <f t="shared" si="56"/>
        <v>E6.1.1.10_mRNA : E6.1.1.10_mRNA</v>
      </c>
      <c r="H360" s="25" t="str">
        <f t="shared" si="57"/>
        <v>E6.1.1.10 : E6.1.1.10</v>
      </c>
      <c r="I360" s="26" t="str">
        <f t="shared" si="60"/>
        <v>E6.1.1.10_mRNA : 0</v>
      </c>
      <c r="J360" s="27" t="str">
        <f t="shared" si="61"/>
        <v>E6.1.1.10 : 0</v>
      </c>
      <c r="K360" s="28" t="str">
        <f t="shared" si="62"/>
        <v>0.00292 - (0.0093 * E6.1.1.10_mRNA)</v>
      </c>
      <c r="L360" s="24" t="str">
        <f t="shared" si="63"/>
        <v>(0.278 * E6.1.1.10_mRNA) - (0.00000278 * E6.1.1.10)</v>
      </c>
      <c r="M360" s="29" t="str">
        <f t="shared" si="64"/>
        <v>mRNA359: -&gt; E6.1.1.10_mRNA | 0.00292 - (0.0093 * E6.1.1.10_mRNA)</v>
      </c>
      <c r="N360" s="22" t="str">
        <f t="shared" si="65"/>
        <v>Peptide359: E6.1.1.10_mRNA -&gt; E6.1.1.10 | (0.278 * E6.1.1.10_mRNA) - (0.000000278 * E6.1.1.10)</v>
      </c>
    </row>
    <row r="361" spans="1:14">
      <c r="A361">
        <v>360</v>
      </c>
      <c r="B361" s="4" t="s">
        <v>7798</v>
      </c>
      <c r="C361" s="4" t="str">
        <f t="shared" si="58"/>
        <v>E6.1.1.11_mRNA</v>
      </c>
      <c r="D361" s="4" t="s">
        <v>13150</v>
      </c>
      <c r="E361" s="22" t="str">
        <f t="shared" si="59"/>
        <v>E6.1.1.11_kcat : 13.7</v>
      </c>
      <c r="F361" s="23" t="str">
        <f t="shared" si="55"/>
        <v>E6.1.1.11_km : 1</v>
      </c>
      <c r="G361" s="24" t="str">
        <f t="shared" si="56"/>
        <v>E6.1.1.11_mRNA : E6.1.1.11_mRNA</v>
      </c>
      <c r="H361" s="25" t="str">
        <f t="shared" si="57"/>
        <v>E6.1.1.11 : E6.1.1.11</v>
      </c>
      <c r="I361" s="26" t="str">
        <f t="shared" si="60"/>
        <v>E6.1.1.11_mRNA : 0</v>
      </c>
      <c r="J361" s="27" t="str">
        <f t="shared" si="61"/>
        <v>E6.1.1.11 : 0</v>
      </c>
      <c r="K361" s="28" t="str">
        <f t="shared" si="62"/>
        <v>0.00292 - (0.0093 * E6.1.1.11_mRNA)</v>
      </c>
      <c r="L361" s="24" t="str">
        <f t="shared" si="63"/>
        <v>(0.278 * E6.1.1.11_mRNA) - (0.00000278 * E6.1.1.11)</v>
      </c>
      <c r="M361" s="29" t="str">
        <f t="shared" si="64"/>
        <v>mRNA360: -&gt; E6.1.1.11_mRNA | 0.00292 - (0.0093 * E6.1.1.11_mRNA)</v>
      </c>
      <c r="N361" s="22" t="str">
        <f t="shared" si="65"/>
        <v>Peptide360: E6.1.1.11_mRNA -&gt; E6.1.1.11 | (0.278 * E6.1.1.11_mRNA) - (0.000000278 * E6.1.1.11)</v>
      </c>
    </row>
    <row r="362" spans="1:14">
      <c r="A362">
        <v>361</v>
      </c>
      <c r="B362" s="4" t="s">
        <v>7600</v>
      </c>
      <c r="C362" s="4" t="str">
        <f t="shared" si="58"/>
        <v>E6.1.1.12_mRNA</v>
      </c>
      <c r="D362" s="4" t="s">
        <v>12977</v>
      </c>
      <c r="E362" s="22" t="str">
        <f t="shared" si="59"/>
        <v>E6.1.1.12_kcat : 13.7</v>
      </c>
      <c r="F362" s="23" t="str">
        <f t="shared" si="55"/>
        <v>E6.1.1.12_km : 1</v>
      </c>
      <c r="G362" s="24" t="str">
        <f t="shared" si="56"/>
        <v>E6.1.1.12_mRNA : E6.1.1.12_mRNA</v>
      </c>
      <c r="H362" s="25" t="str">
        <f t="shared" si="57"/>
        <v>E6.1.1.12 : E6.1.1.12</v>
      </c>
      <c r="I362" s="26" t="str">
        <f t="shared" si="60"/>
        <v>E6.1.1.12_mRNA : 0</v>
      </c>
      <c r="J362" s="27" t="str">
        <f t="shared" si="61"/>
        <v>E6.1.1.12 : 0</v>
      </c>
      <c r="K362" s="28" t="str">
        <f t="shared" si="62"/>
        <v>0.00292 - (0.0093 * E6.1.1.12_mRNA)</v>
      </c>
      <c r="L362" s="24" t="str">
        <f t="shared" si="63"/>
        <v>(0.278 * E6.1.1.12_mRNA) - (0.00000278 * E6.1.1.12)</v>
      </c>
      <c r="M362" s="29" t="str">
        <f t="shared" si="64"/>
        <v>mRNA361: -&gt; E6.1.1.12_mRNA | 0.00292 - (0.0093 * E6.1.1.12_mRNA)</v>
      </c>
      <c r="N362" s="22" t="str">
        <f t="shared" si="65"/>
        <v>Peptide361: E6.1.1.12_mRNA -&gt; E6.1.1.12 | (0.278 * E6.1.1.12_mRNA) - (0.000000278 * E6.1.1.12)</v>
      </c>
    </row>
    <row r="363" spans="1:14">
      <c r="A363">
        <v>362</v>
      </c>
      <c r="B363" s="4" t="s">
        <v>7706</v>
      </c>
      <c r="C363" s="4" t="str">
        <f t="shared" si="58"/>
        <v>E6.1.1.14_mRNA</v>
      </c>
      <c r="D363" s="4" t="s">
        <v>13058</v>
      </c>
      <c r="E363" s="22" t="str">
        <f t="shared" si="59"/>
        <v>E6.1.1.14_kcat : 13.7</v>
      </c>
      <c r="F363" s="23" t="str">
        <f t="shared" si="55"/>
        <v>E6.1.1.14_km : 1</v>
      </c>
      <c r="G363" s="24" t="str">
        <f t="shared" si="56"/>
        <v>E6.1.1.14_mRNA : E6.1.1.14_mRNA</v>
      </c>
      <c r="H363" s="25" t="str">
        <f t="shared" si="57"/>
        <v>E6.1.1.14 : E6.1.1.14</v>
      </c>
      <c r="I363" s="26" t="str">
        <f t="shared" si="60"/>
        <v>E6.1.1.14_mRNA : 0</v>
      </c>
      <c r="J363" s="27" t="str">
        <f t="shared" si="61"/>
        <v>E6.1.1.14 : 0</v>
      </c>
      <c r="K363" s="28" t="str">
        <f t="shared" si="62"/>
        <v>0.00292 - (0.0093 * E6.1.1.14_mRNA)</v>
      </c>
      <c r="L363" s="24" t="str">
        <f t="shared" si="63"/>
        <v>(0.278 * E6.1.1.14_mRNA) - (0.00000278 * E6.1.1.14)</v>
      </c>
      <c r="M363" s="29" t="str">
        <f t="shared" si="64"/>
        <v>mRNA362: -&gt; E6.1.1.14_mRNA | 0.00292 - (0.0093 * E6.1.1.14_mRNA)</v>
      </c>
      <c r="N363" s="22" t="str">
        <f t="shared" si="65"/>
        <v>Peptide362: E6.1.1.14_mRNA -&gt; E6.1.1.14 | (0.278 * E6.1.1.14_mRNA) - (0.000000278 * E6.1.1.14)</v>
      </c>
    </row>
    <row r="364" spans="1:14">
      <c r="A364">
        <v>363</v>
      </c>
      <c r="B364" s="4" t="s">
        <v>7636</v>
      </c>
      <c r="C364" s="4" t="str">
        <f t="shared" si="58"/>
        <v>E6.1.1.15_mRNA</v>
      </c>
      <c r="D364" s="4" t="s">
        <v>13003</v>
      </c>
      <c r="E364" s="22" t="str">
        <f t="shared" si="59"/>
        <v>E6.1.1.15_kcat : 13.7</v>
      </c>
      <c r="F364" s="23" t="str">
        <f t="shared" si="55"/>
        <v>E6.1.1.15_km : 1</v>
      </c>
      <c r="G364" s="24" t="str">
        <f t="shared" si="56"/>
        <v>E6.1.1.15_mRNA : E6.1.1.15_mRNA</v>
      </c>
      <c r="H364" s="25" t="str">
        <f t="shared" si="57"/>
        <v>E6.1.1.15 : E6.1.1.15</v>
      </c>
      <c r="I364" s="26" t="str">
        <f t="shared" si="60"/>
        <v>E6.1.1.15_mRNA : 0</v>
      </c>
      <c r="J364" s="27" t="str">
        <f t="shared" si="61"/>
        <v>E6.1.1.15 : 0</v>
      </c>
      <c r="K364" s="28" t="str">
        <f t="shared" si="62"/>
        <v>0.00292 - (0.0093 * E6.1.1.15_mRNA)</v>
      </c>
      <c r="L364" s="24" t="str">
        <f t="shared" si="63"/>
        <v>(0.278 * E6.1.1.15_mRNA) - (0.00000278 * E6.1.1.15)</v>
      </c>
      <c r="M364" s="29" t="str">
        <f t="shared" si="64"/>
        <v>mRNA363: -&gt; E6.1.1.15_mRNA | 0.00292 - (0.0093 * E6.1.1.15_mRNA)</v>
      </c>
      <c r="N364" s="22" t="str">
        <f t="shared" si="65"/>
        <v>Peptide363: E6.1.1.15_mRNA -&gt; E6.1.1.15 | (0.278 * E6.1.1.15_mRNA) - (0.000000278 * E6.1.1.15)</v>
      </c>
    </row>
    <row r="365" spans="1:14">
      <c r="A365">
        <v>364</v>
      </c>
      <c r="B365" s="4" t="s">
        <v>7763</v>
      </c>
      <c r="C365" s="4" t="str">
        <f t="shared" si="58"/>
        <v>E6.1.1.16_mRNA</v>
      </c>
      <c r="D365" s="4" t="s">
        <v>13109</v>
      </c>
      <c r="E365" s="22" t="str">
        <f t="shared" si="59"/>
        <v>E6.1.1.16_kcat : 13.7</v>
      </c>
      <c r="F365" s="23" t="str">
        <f t="shared" si="55"/>
        <v>E6.1.1.16_km : 1</v>
      </c>
      <c r="G365" s="24" t="str">
        <f t="shared" si="56"/>
        <v>E6.1.1.16_mRNA : E6.1.1.16_mRNA</v>
      </c>
      <c r="H365" s="25" t="str">
        <f t="shared" si="57"/>
        <v>E6.1.1.16 : E6.1.1.16</v>
      </c>
      <c r="I365" s="26" t="str">
        <f t="shared" si="60"/>
        <v>E6.1.1.16_mRNA : 0</v>
      </c>
      <c r="J365" s="27" t="str">
        <f t="shared" si="61"/>
        <v>E6.1.1.16 : 0</v>
      </c>
      <c r="K365" s="28" t="str">
        <f t="shared" si="62"/>
        <v>0.00292 - (0.0093 * E6.1.1.16_mRNA)</v>
      </c>
      <c r="L365" s="24" t="str">
        <f t="shared" si="63"/>
        <v>(0.278 * E6.1.1.16_mRNA) - (0.00000278 * E6.1.1.16)</v>
      </c>
      <c r="M365" s="29" t="str">
        <f t="shared" si="64"/>
        <v>mRNA364: -&gt; E6.1.1.16_mRNA | 0.00292 - (0.0093 * E6.1.1.16_mRNA)</v>
      </c>
      <c r="N365" s="22" t="str">
        <f t="shared" si="65"/>
        <v>Peptide364: E6.1.1.16_mRNA -&gt; E6.1.1.16 | (0.278 * E6.1.1.16_mRNA) - (0.000000278 * E6.1.1.16)</v>
      </c>
    </row>
    <row r="366" spans="1:14">
      <c r="A366">
        <v>365</v>
      </c>
      <c r="B366" s="4" t="s">
        <v>7528</v>
      </c>
      <c r="C366" s="4" t="str">
        <f t="shared" si="58"/>
        <v>E6.1.1.17_mRNA</v>
      </c>
      <c r="D366" s="4" t="s">
        <v>12920</v>
      </c>
      <c r="E366" s="22" t="str">
        <f t="shared" si="59"/>
        <v>E6.1.1.17_kcat : 13.7</v>
      </c>
      <c r="F366" s="23" t="str">
        <f t="shared" si="55"/>
        <v>E6.1.1.17_km : 1</v>
      </c>
      <c r="G366" s="24" t="str">
        <f t="shared" si="56"/>
        <v>E6.1.1.17_mRNA : E6.1.1.17_mRNA</v>
      </c>
      <c r="H366" s="25" t="str">
        <f t="shared" si="57"/>
        <v>E6.1.1.17 : E6.1.1.17</v>
      </c>
      <c r="I366" s="26" t="str">
        <f t="shared" si="60"/>
        <v>E6.1.1.17_mRNA : 0</v>
      </c>
      <c r="J366" s="27" t="str">
        <f t="shared" si="61"/>
        <v>E6.1.1.17 : 0</v>
      </c>
      <c r="K366" s="28" t="str">
        <f t="shared" si="62"/>
        <v>0.00292 - (0.0093 * E6.1.1.17_mRNA)</v>
      </c>
      <c r="L366" s="24" t="str">
        <f t="shared" si="63"/>
        <v>(0.278 * E6.1.1.17_mRNA) - (0.00000278 * E6.1.1.17)</v>
      </c>
      <c r="M366" s="29" t="str">
        <f t="shared" si="64"/>
        <v>mRNA365: -&gt; E6.1.1.17_mRNA | 0.00292 - (0.0093 * E6.1.1.17_mRNA)</v>
      </c>
      <c r="N366" s="22" t="str">
        <f t="shared" si="65"/>
        <v>Peptide365: E6.1.1.17_mRNA -&gt; E6.1.1.17 | (0.278 * E6.1.1.17_mRNA) - (0.000000278 * E6.1.1.17)</v>
      </c>
    </row>
    <row r="367" spans="1:14">
      <c r="A367">
        <v>366</v>
      </c>
      <c r="B367" s="4" t="s">
        <v>7509</v>
      </c>
      <c r="C367" s="4" t="str">
        <f t="shared" si="58"/>
        <v>E6.1.1.19_mRNA</v>
      </c>
      <c r="D367" s="4" t="s">
        <v>12905</v>
      </c>
      <c r="E367" s="22" t="str">
        <f t="shared" si="59"/>
        <v>E6.1.1.19_kcat : 13.7</v>
      </c>
      <c r="F367" s="23" t="str">
        <f t="shared" si="55"/>
        <v>E6.1.1.19_km : 1</v>
      </c>
      <c r="G367" s="24" t="str">
        <f t="shared" si="56"/>
        <v>E6.1.1.19_mRNA : E6.1.1.19_mRNA</v>
      </c>
      <c r="H367" s="25" t="str">
        <f t="shared" si="57"/>
        <v>E6.1.1.19 : E6.1.1.19</v>
      </c>
      <c r="I367" s="26" t="str">
        <f t="shared" si="60"/>
        <v>E6.1.1.19_mRNA : 0</v>
      </c>
      <c r="J367" s="27" t="str">
        <f t="shared" si="61"/>
        <v>E6.1.1.19 : 0</v>
      </c>
      <c r="K367" s="28" t="str">
        <f t="shared" si="62"/>
        <v>0.00292 - (0.0093 * E6.1.1.19_mRNA)</v>
      </c>
      <c r="L367" s="24" t="str">
        <f t="shared" si="63"/>
        <v>(0.278 * E6.1.1.19_mRNA) - (0.00000278 * E6.1.1.19)</v>
      </c>
      <c r="M367" s="29" t="str">
        <f t="shared" si="64"/>
        <v>mRNA366: -&gt; E6.1.1.19_mRNA | 0.00292 - (0.0093 * E6.1.1.19_mRNA)</v>
      </c>
      <c r="N367" s="22" t="str">
        <f t="shared" si="65"/>
        <v>Peptide366: E6.1.1.19_mRNA -&gt; E6.1.1.19 | (0.278 * E6.1.1.19_mRNA) - (0.000000278 * E6.1.1.19)</v>
      </c>
    </row>
    <row r="368" spans="1:14">
      <c r="A368">
        <v>367</v>
      </c>
      <c r="B368" s="4" t="s">
        <v>7396</v>
      </c>
      <c r="C368" s="4" t="str">
        <f t="shared" si="58"/>
        <v>E6.1.1.2_mRNA</v>
      </c>
      <c r="D368" s="4" t="s">
        <v>12833</v>
      </c>
      <c r="E368" s="22" t="str">
        <f t="shared" si="59"/>
        <v>E6.1.1.2_kcat : 13.7</v>
      </c>
      <c r="F368" s="23" t="str">
        <f t="shared" si="55"/>
        <v>E6.1.1.2_km : 1</v>
      </c>
      <c r="G368" s="24" t="str">
        <f t="shared" si="56"/>
        <v>E6.1.1.2_mRNA : E6.1.1.2_mRNA</v>
      </c>
      <c r="H368" s="25" t="str">
        <f t="shared" si="57"/>
        <v>E6.1.1.2 : E6.1.1.2</v>
      </c>
      <c r="I368" s="26" t="str">
        <f t="shared" si="60"/>
        <v>E6.1.1.2_mRNA : 0</v>
      </c>
      <c r="J368" s="27" t="str">
        <f t="shared" si="61"/>
        <v>E6.1.1.2 : 0</v>
      </c>
      <c r="K368" s="28" t="str">
        <f t="shared" si="62"/>
        <v>0.00292 - (0.0093 * E6.1.1.2_mRNA)</v>
      </c>
      <c r="L368" s="24" t="str">
        <f t="shared" si="63"/>
        <v>(0.278 * E6.1.1.2_mRNA) - (0.00000278 * E6.1.1.2)</v>
      </c>
      <c r="M368" s="29" t="str">
        <f t="shared" si="64"/>
        <v>mRNA367: -&gt; E6.1.1.2_mRNA | 0.00292 - (0.0093 * E6.1.1.2_mRNA)</v>
      </c>
      <c r="N368" s="22" t="str">
        <f t="shared" si="65"/>
        <v>Peptide367: E6.1.1.2_mRNA -&gt; E6.1.1.2 | (0.278 * E6.1.1.2_mRNA) - (0.000000278 * E6.1.1.2)</v>
      </c>
    </row>
    <row r="369" spans="1:14">
      <c r="A369">
        <v>368</v>
      </c>
      <c r="B369" s="4" t="s">
        <v>7537</v>
      </c>
      <c r="C369" s="4" t="str">
        <f t="shared" si="58"/>
        <v>E6.1.1.20_mRNA</v>
      </c>
      <c r="D369" s="4" t="s">
        <v>12928</v>
      </c>
      <c r="E369" s="22" t="str">
        <f t="shared" si="59"/>
        <v>E6.1.1.20_kcat : 13.7</v>
      </c>
      <c r="F369" s="23" t="str">
        <f t="shared" si="55"/>
        <v>E6.1.1.20_km : 1</v>
      </c>
      <c r="G369" s="24" t="str">
        <f t="shared" si="56"/>
        <v>E6.1.1.20_mRNA : E6.1.1.20_mRNA</v>
      </c>
      <c r="H369" s="25" t="str">
        <f t="shared" si="57"/>
        <v>E6.1.1.20 : E6.1.1.20</v>
      </c>
      <c r="I369" s="26" t="str">
        <f t="shared" si="60"/>
        <v>E6.1.1.20_mRNA : 0</v>
      </c>
      <c r="J369" s="27" t="str">
        <f t="shared" si="61"/>
        <v>E6.1.1.20 : 0</v>
      </c>
      <c r="K369" s="28" t="str">
        <f t="shared" si="62"/>
        <v>0.00292 - (0.0093 * E6.1.1.20_mRNA)</v>
      </c>
      <c r="L369" s="24" t="str">
        <f t="shared" si="63"/>
        <v>(0.278 * E6.1.1.20_mRNA) - (0.00000278 * E6.1.1.20)</v>
      </c>
      <c r="M369" s="29" t="str">
        <f t="shared" si="64"/>
        <v>mRNA368: -&gt; E6.1.1.20_mRNA | 0.00292 - (0.0093 * E6.1.1.20_mRNA)</v>
      </c>
      <c r="N369" s="22" t="str">
        <f t="shared" si="65"/>
        <v>Peptide368: E6.1.1.20_mRNA -&gt; E6.1.1.20 | (0.278 * E6.1.1.20_mRNA) - (0.000000278 * E6.1.1.20)</v>
      </c>
    </row>
    <row r="370" spans="1:14">
      <c r="A370">
        <v>369</v>
      </c>
      <c r="B370" s="4" t="s">
        <v>7604</v>
      </c>
      <c r="C370" s="4" t="str">
        <f t="shared" si="58"/>
        <v>E6.1.1.21_mRNA</v>
      </c>
      <c r="D370" s="4" t="s">
        <v>12981</v>
      </c>
      <c r="E370" s="22" t="str">
        <f t="shared" si="59"/>
        <v>E6.1.1.21_kcat : 13.7</v>
      </c>
      <c r="F370" s="23" t="str">
        <f t="shared" si="55"/>
        <v>E6.1.1.21_km : 1</v>
      </c>
      <c r="G370" s="24" t="str">
        <f t="shared" si="56"/>
        <v>E6.1.1.21_mRNA : E6.1.1.21_mRNA</v>
      </c>
      <c r="H370" s="25" t="str">
        <f t="shared" si="57"/>
        <v>E6.1.1.21 : E6.1.1.21</v>
      </c>
      <c r="I370" s="26" t="str">
        <f t="shared" si="60"/>
        <v>E6.1.1.21_mRNA : 0</v>
      </c>
      <c r="J370" s="27" t="str">
        <f t="shared" si="61"/>
        <v>E6.1.1.21 : 0</v>
      </c>
      <c r="K370" s="28" t="str">
        <f t="shared" si="62"/>
        <v>0.00292 - (0.0093 * E6.1.1.21_mRNA)</v>
      </c>
      <c r="L370" s="24" t="str">
        <f t="shared" si="63"/>
        <v>(0.278 * E6.1.1.21_mRNA) - (0.00000278 * E6.1.1.21)</v>
      </c>
      <c r="M370" s="29" t="str">
        <f t="shared" si="64"/>
        <v>mRNA369: -&gt; E6.1.1.21_mRNA | 0.00292 - (0.0093 * E6.1.1.21_mRNA)</v>
      </c>
      <c r="N370" s="22" t="str">
        <f t="shared" si="65"/>
        <v>Peptide369: E6.1.1.21_mRNA -&gt; E6.1.1.21 | (0.278 * E6.1.1.21_mRNA) - (0.000000278 * E6.1.1.21)</v>
      </c>
    </row>
    <row r="371" spans="1:14">
      <c r="A371">
        <v>370</v>
      </c>
      <c r="B371" s="4" t="s">
        <v>7612</v>
      </c>
      <c r="C371" s="4" t="str">
        <f t="shared" si="58"/>
        <v>E6.1.1.3_mRNA</v>
      </c>
      <c r="D371" s="4" t="s">
        <v>12987</v>
      </c>
      <c r="E371" s="22" t="str">
        <f t="shared" si="59"/>
        <v>E6.1.1.3_kcat : 13.7</v>
      </c>
      <c r="F371" s="23" t="str">
        <f t="shared" si="55"/>
        <v>E6.1.1.3_km : 1</v>
      </c>
      <c r="G371" s="24" t="str">
        <f t="shared" si="56"/>
        <v>E6.1.1.3_mRNA : E6.1.1.3_mRNA</v>
      </c>
      <c r="H371" s="25" t="str">
        <f t="shared" si="57"/>
        <v>E6.1.1.3 : E6.1.1.3</v>
      </c>
      <c r="I371" s="26" t="str">
        <f t="shared" si="60"/>
        <v>E6.1.1.3_mRNA : 0</v>
      </c>
      <c r="J371" s="27" t="str">
        <f t="shared" si="61"/>
        <v>E6.1.1.3 : 0</v>
      </c>
      <c r="K371" s="28" t="str">
        <f t="shared" si="62"/>
        <v>0.00292 - (0.0093 * E6.1.1.3_mRNA)</v>
      </c>
      <c r="L371" s="24" t="str">
        <f t="shared" si="63"/>
        <v>(0.278 * E6.1.1.3_mRNA) - (0.00000278 * E6.1.1.3)</v>
      </c>
      <c r="M371" s="29" t="str">
        <f t="shared" si="64"/>
        <v>mRNA370: -&gt; E6.1.1.3_mRNA | 0.00292 - (0.0093 * E6.1.1.3_mRNA)</v>
      </c>
      <c r="N371" s="22" t="str">
        <f t="shared" si="65"/>
        <v>Peptide370: E6.1.1.3_mRNA -&gt; E6.1.1.3 | (0.278 * E6.1.1.3_mRNA) - (0.000000278 * E6.1.1.3)</v>
      </c>
    </row>
    <row r="372" spans="1:14">
      <c r="A372">
        <v>371</v>
      </c>
      <c r="B372" s="4" t="s">
        <v>7789</v>
      </c>
      <c r="C372" s="4" t="str">
        <f t="shared" si="58"/>
        <v>E6.1.1.4_mRNA</v>
      </c>
      <c r="D372" s="4" t="s">
        <v>13158</v>
      </c>
      <c r="E372" s="22" t="str">
        <f t="shared" si="59"/>
        <v>E6.1.1.4_kcat : 13.7</v>
      </c>
      <c r="F372" s="23" t="str">
        <f t="shared" si="55"/>
        <v>E6.1.1.4_km : 1</v>
      </c>
      <c r="G372" s="24" t="str">
        <f t="shared" si="56"/>
        <v>E6.1.1.4_mRNA : E6.1.1.4_mRNA</v>
      </c>
      <c r="H372" s="25" t="str">
        <f t="shared" si="57"/>
        <v>E6.1.1.4 : E6.1.1.4</v>
      </c>
      <c r="I372" s="26" t="str">
        <f t="shared" si="60"/>
        <v>E6.1.1.4_mRNA : 0</v>
      </c>
      <c r="J372" s="27" t="str">
        <f t="shared" si="61"/>
        <v>E6.1.1.4 : 0</v>
      </c>
      <c r="K372" s="28" t="str">
        <f t="shared" si="62"/>
        <v>0.00292 - (0.0093 * E6.1.1.4_mRNA)</v>
      </c>
      <c r="L372" s="24" t="str">
        <f t="shared" si="63"/>
        <v>(0.278 * E6.1.1.4_mRNA) - (0.00000278 * E6.1.1.4)</v>
      </c>
      <c r="M372" s="29" t="str">
        <f t="shared" si="64"/>
        <v>mRNA371: -&gt; E6.1.1.4_mRNA | 0.00292 - (0.0093 * E6.1.1.4_mRNA)</v>
      </c>
      <c r="N372" s="22" t="str">
        <f t="shared" si="65"/>
        <v>Peptide371: E6.1.1.4_mRNA -&gt; E6.1.1.4 | (0.278 * E6.1.1.4_mRNA) - (0.000000278 * E6.1.1.4)</v>
      </c>
    </row>
    <row r="373" spans="1:14">
      <c r="A373">
        <v>372</v>
      </c>
      <c r="B373" s="4" t="s">
        <v>7665</v>
      </c>
      <c r="C373" s="4" t="str">
        <f t="shared" si="58"/>
        <v>E6.1.1.5_mRNA</v>
      </c>
      <c r="D373" s="4" t="s">
        <v>13023</v>
      </c>
      <c r="E373" s="22" t="str">
        <f t="shared" si="59"/>
        <v>E6.1.1.5_kcat : 13.7</v>
      </c>
      <c r="F373" s="23" t="str">
        <f t="shared" si="55"/>
        <v>E6.1.1.5_km : 1</v>
      </c>
      <c r="G373" s="24" t="str">
        <f t="shared" si="56"/>
        <v>E6.1.1.5_mRNA : E6.1.1.5_mRNA</v>
      </c>
      <c r="H373" s="25" t="str">
        <f t="shared" si="57"/>
        <v>E6.1.1.5 : E6.1.1.5</v>
      </c>
      <c r="I373" s="26" t="str">
        <f t="shared" si="60"/>
        <v>E6.1.1.5_mRNA : 0</v>
      </c>
      <c r="J373" s="27" t="str">
        <f t="shared" si="61"/>
        <v>E6.1.1.5 : 0</v>
      </c>
      <c r="K373" s="28" t="str">
        <f t="shared" si="62"/>
        <v>0.00292 - (0.0093 * E6.1.1.5_mRNA)</v>
      </c>
      <c r="L373" s="24" t="str">
        <f t="shared" si="63"/>
        <v>(0.278 * E6.1.1.5_mRNA) - (0.00000278 * E6.1.1.5)</v>
      </c>
      <c r="M373" s="29" t="str">
        <f t="shared" si="64"/>
        <v>mRNA372: -&gt; E6.1.1.5_mRNA | 0.00292 - (0.0093 * E6.1.1.5_mRNA)</v>
      </c>
      <c r="N373" s="22" t="str">
        <f t="shared" si="65"/>
        <v>Peptide372: E6.1.1.5_mRNA -&gt; E6.1.1.5 | (0.278 * E6.1.1.5_mRNA) - (0.000000278 * E6.1.1.5)</v>
      </c>
    </row>
    <row r="374" spans="1:14">
      <c r="A374">
        <v>373</v>
      </c>
      <c r="B374" s="4" t="s">
        <v>7769</v>
      </c>
      <c r="C374" s="4" t="str">
        <f t="shared" si="58"/>
        <v>E6.1.1.6_mRNA</v>
      </c>
      <c r="D374" s="4" t="s">
        <v>13115</v>
      </c>
      <c r="E374" s="22" t="str">
        <f t="shared" si="59"/>
        <v>E6.1.1.6_kcat : 13.7</v>
      </c>
      <c r="F374" s="23" t="str">
        <f t="shared" si="55"/>
        <v>E6.1.1.6_km : 1</v>
      </c>
      <c r="G374" s="24" t="str">
        <f t="shared" si="56"/>
        <v>E6.1.1.6_mRNA : E6.1.1.6_mRNA</v>
      </c>
      <c r="H374" s="25" t="str">
        <f t="shared" si="57"/>
        <v>E6.1.1.6 : E6.1.1.6</v>
      </c>
      <c r="I374" s="26" t="str">
        <f t="shared" si="60"/>
        <v>E6.1.1.6_mRNA : 0</v>
      </c>
      <c r="J374" s="27" t="str">
        <f t="shared" si="61"/>
        <v>E6.1.1.6 : 0</v>
      </c>
      <c r="K374" s="28" t="str">
        <f t="shared" si="62"/>
        <v>0.00292 - (0.0093 * E6.1.1.6_mRNA)</v>
      </c>
      <c r="L374" s="24" t="str">
        <f t="shared" si="63"/>
        <v>(0.278 * E6.1.1.6_mRNA) - (0.00000278 * E6.1.1.6)</v>
      </c>
      <c r="M374" s="29" t="str">
        <f t="shared" si="64"/>
        <v>mRNA373: -&gt; E6.1.1.6_mRNA | 0.00292 - (0.0093 * E6.1.1.6_mRNA)</v>
      </c>
      <c r="N374" s="22" t="str">
        <f t="shared" si="65"/>
        <v>Peptide373: E6.1.1.6_mRNA -&gt; E6.1.1.6 | (0.278 * E6.1.1.6_mRNA) - (0.000000278 * E6.1.1.6)</v>
      </c>
    </row>
    <row r="375" spans="1:14">
      <c r="A375">
        <v>374</v>
      </c>
      <c r="B375" s="4" t="s">
        <v>7599</v>
      </c>
      <c r="C375" s="4" t="str">
        <f t="shared" si="58"/>
        <v>E6.1.1.7_mRNA</v>
      </c>
      <c r="D375" s="4" t="s">
        <v>12976</v>
      </c>
      <c r="E375" s="22" t="str">
        <f t="shared" si="59"/>
        <v>E6.1.1.7_kcat : 13.7</v>
      </c>
      <c r="F375" s="23" t="str">
        <f t="shared" si="55"/>
        <v>E6.1.1.7_km : 1</v>
      </c>
      <c r="G375" s="24" t="str">
        <f t="shared" si="56"/>
        <v>E6.1.1.7_mRNA : E6.1.1.7_mRNA</v>
      </c>
      <c r="H375" s="25" t="str">
        <f t="shared" si="57"/>
        <v>E6.1.1.7 : E6.1.1.7</v>
      </c>
      <c r="I375" s="26" t="str">
        <f t="shared" si="60"/>
        <v>E6.1.1.7_mRNA : 0</v>
      </c>
      <c r="J375" s="27" t="str">
        <f t="shared" si="61"/>
        <v>E6.1.1.7 : 0</v>
      </c>
      <c r="K375" s="28" t="str">
        <f t="shared" si="62"/>
        <v>0.00292 - (0.0093 * E6.1.1.7_mRNA)</v>
      </c>
      <c r="L375" s="24" t="str">
        <f t="shared" si="63"/>
        <v>(0.278 * E6.1.1.7_mRNA) - (0.00000278 * E6.1.1.7)</v>
      </c>
      <c r="M375" s="29" t="str">
        <f t="shared" si="64"/>
        <v>mRNA374: -&gt; E6.1.1.7_mRNA | 0.00292 - (0.0093 * E6.1.1.7_mRNA)</v>
      </c>
      <c r="N375" s="22" t="str">
        <f t="shared" si="65"/>
        <v>Peptide374: E6.1.1.7_mRNA -&gt; E6.1.1.7 | (0.278 * E6.1.1.7_mRNA) - (0.000000278 * E6.1.1.7)</v>
      </c>
    </row>
    <row r="376" spans="1:14">
      <c r="A376">
        <v>375</v>
      </c>
      <c r="B376" s="4" t="s">
        <v>7725</v>
      </c>
      <c r="C376" s="4" t="str">
        <f t="shared" si="58"/>
        <v>E6.1.1.9_mRNA</v>
      </c>
      <c r="D376" s="4" t="s">
        <v>13074</v>
      </c>
      <c r="E376" s="22" t="str">
        <f t="shared" si="59"/>
        <v>E6.1.1.9_kcat : 13.7</v>
      </c>
      <c r="F376" s="23" t="str">
        <f t="shared" si="55"/>
        <v>E6.1.1.9_km : 1</v>
      </c>
      <c r="G376" s="24" t="str">
        <f t="shared" si="56"/>
        <v>E6.1.1.9_mRNA : E6.1.1.9_mRNA</v>
      </c>
      <c r="H376" s="25" t="str">
        <f t="shared" si="57"/>
        <v>E6.1.1.9 : E6.1.1.9</v>
      </c>
      <c r="I376" s="26" t="str">
        <f t="shared" si="60"/>
        <v>E6.1.1.9_mRNA : 0</v>
      </c>
      <c r="J376" s="27" t="str">
        <f t="shared" si="61"/>
        <v>E6.1.1.9 : 0</v>
      </c>
      <c r="K376" s="28" t="str">
        <f t="shared" si="62"/>
        <v>0.00292 - (0.0093 * E6.1.1.9_mRNA)</v>
      </c>
      <c r="L376" s="24" t="str">
        <f t="shared" si="63"/>
        <v>(0.278 * E6.1.1.9_mRNA) - (0.00000278 * E6.1.1.9)</v>
      </c>
      <c r="M376" s="29" t="str">
        <f t="shared" si="64"/>
        <v>mRNA375: -&gt; E6.1.1.9_mRNA | 0.00292 - (0.0093 * E6.1.1.9_mRNA)</v>
      </c>
      <c r="N376" s="22" t="str">
        <f t="shared" si="65"/>
        <v>Peptide375: E6.1.1.9_mRNA -&gt; E6.1.1.9 | (0.278 * E6.1.1.9_mRNA) - (0.000000278 * E6.1.1.9)</v>
      </c>
    </row>
    <row r="377" spans="1:14">
      <c r="A377">
        <v>376</v>
      </c>
      <c r="B377" s="4" t="s">
        <v>7699</v>
      </c>
      <c r="C377" s="4" t="str">
        <f t="shared" si="58"/>
        <v>E6.2.1.14_mRNA</v>
      </c>
      <c r="D377" s="4" t="s">
        <v>13053</v>
      </c>
      <c r="E377" s="22" t="str">
        <f t="shared" si="59"/>
        <v>E6.2.1.14_kcat : 13.7</v>
      </c>
      <c r="F377" s="23" t="str">
        <f t="shared" si="55"/>
        <v>E6.2.1.14_km : 1</v>
      </c>
      <c r="G377" s="24" t="str">
        <f t="shared" si="56"/>
        <v>E6.2.1.14_mRNA : E6.2.1.14_mRNA</v>
      </c>
      <c r="H377" s="25" t="str">
        <f t="shared" si="57"/>
        <v>E6.2.1.14 : E6.2.1.14</v>
      </c>
      <c r="I377" s="26" t="str">
        <f t="shared" si="60"/>
        <v>E6.2.1.14_mRNA : 0</v>
      </c>
      <c r="J377" s="27" t="str">
        <f t="shared" si="61"/>
        <v>E6.2.1.14 : 0</v>
      </c>
      <c r="K377" s="28" t="str">
        <f t="shared" si="62"/>
        <v>0.00292 - (0.0093 * E6.2.1.14_mRNA)</v>
      </c>
      <c r="L377" s="24" t="str">
        <f t="shared" si="63"/>
        <v>(0.278 * E6.2.1.14_mRNA) - (0.00000278 * E6.2.1.14)</v>
      </c>
      <c r="M377" s="29" t="str">
        <f t="shared" si="64"/>
        <v>mRNA376: -&gt; E6.2.1.14_mRNA | 0.00292 - (0.0093 * E6.2.1.14_mRNA)</v>
      </c>
      <c r="N377" s="22" t="str">
        <f t="shared" si="65"/>
        <v>Peptide376: E6.2.1.14_mRNA -&gt; E6.2.1.14 | (0.278 * E6.2.1.14_mRNA) - (0.000000278 * E6.2.1.14)</v>
      </c>
    </row>
    <row r="378" spans="1:14">
      <c r="A378">
        <v>377</v>
      </c>
      <c r="B378" s="4" t="s">
        <v>7363</v>
      </c>
      <c r="C378" s="4" t="str">
        <f t="shared" si="58"/>
        <v>E6.2.1.26_mRNA</v>
      </c>
      <c r="D378" s="4" t="s">
        <v>12815</v>
      </c>
      <c r="E378" s="22" t="str">
        <f t="shared" si="59"/>
        <v>E6.2.1.26_kcat : 13.7</v>
      </c>
      <c r="F378" s="23" t="str">
        <f t="shared" si="55"/>
        <v>E6.2.1.26_km : 1</v>
      </c>
      <c r="G378" s="24" t="str">
        <f t="shared" si="56"/>
        <v>E6.2.1.26_mRNA : E6.2.1.26_mRNA</v>
      </c>
      <c r="H378" s="25" t="str">
        <f t="shared" si="57"/>
        <v>E6.2.1.26 : E6.2.1.26</v>
      </c>
      <c r="I378" s="26" t="str">
        <f t="shared" si="60"/>
        <v>E6.2.1.26_mRNA : 0</v>
      </c>
      <c r="J378" s="27" t="str">
        <f t="shared" si="61"/>
        <v>E6.2.1.26 : 0</v>
      </c>
      <c r="K378" s="28" t="str">
        <f t="shared" si="62"/>
        <v>0.00292 - (0.0093 * E6.2.1.26_mRNA)</v>
      </c>
      <c r="L378" s="24" t="str">
        <f t="shared" si="63"/>
        <v>(0.278 * E6.2.1.26_mRNA) - (0.00000278 * E6.2.1.26)</v>
      </c>
      <c r="M378" s="29" t="str">
        <f t="shared" si="64"/>
        <v>mRNA377: -&gt; E6.2.1.26_mRNA | 0.00292 - (0.0093 * E6.2.1.26_mRNA)</v>
      </c>
      <c r="N378" s="22" t="str">
        <f t="shared" si="65"/>
        <v>Peptide377: E6.2.1.26_mRNA -&gt; E6.2.1.26 | (0.278 * E6.2.1.26_mRNA) - (0.000000278 * E6.2.1.26)</v>
      </c>
    </row>
    <row r="379" spans="1:14">
      <c r="A379">
        <v>378</v>
      </c>
      <c r="B379" s="4" t="s">
        <v>7336</v>
      </c>
      <c r="C379" s="4" t="str">
        <f t="shared" si="58"/>
        <v>E6.2.1.3_mRNA</v>
      </c>
      <c r="D379" s="4" t="s">
        <v>12791</v>
      </c>
      <c r="E379" s="22" t="str">
        <f t="shared" si="59"/>
        <v>E6.2.1.3_kcat : 13.7</v>
      </c>
      <c r="F379" s="23" t="str">
        <f t="shared" si="55"/>
        <v>E6.2.1.3_km : 1</v>
      </c>
      <c r="G379" s="24" t="str">
        <f t="shared" si="56"/>
        <v>E6.2.1.3_mRNA : E6.2.1.3_mRNA</v>
      </c>
      <c r="H379" s="25" t="str">
        <f t="shared" si="57"/>
        <v>E6.2.1.3 : E6.2.1.3</v>
      </c>
      <c r="I379" s="26" t="str">
        <f t="shared" si="60"/>
        <v>E6.2.1.3_mRNA : 0</v>
      </c>
      <c r="J379" s="27" t="str">
        <f t="shared" si="61"/>
        <v>E6.2.1.3 : 0</v>
      </c>
      <c r="K379" s="28" t="str">
        <f t="shared" si="62"/>
        <v>0.00292 - (0.0093 * E6.2.1.3_mRNA)</v>
      </c>
      <c r="L379" s="24" t="str">
        <f t="shared" si="63"/>
        <v>(0.278 * E6.2.1.3_mRNA) - (0.00000278 * E6.2.1.3)</v>
      </c>
      <c r="M379" s="29" t="str">
        <f t="shared" si="64"/>
        <v>mRNA378: -&gt; E6.2.1.3_mRNA | 0.00292 - (0.0093 * E6.2.1.3_mRNA)</v>
      </c>
      <c r="N379" s="22" t="str">
        <f t="shared" si="65"/>
        <v>Peptide378: E6.2.1.3_mRNA -&gt; E6.2.1.3 | (0.278 * E6.2.1.3_mRNA) - (0.000000278 * E6.2.1.3)</v>
      </c>
    </row>
    <row r="380" spans="1:14">
      <c r="A380">
        <v>379</v>
      </c>
      <c r="B380" s="4" t="s">
        <v>7573</v>
      </c>
      <c r="C380" s="4" t="str">
        <f t="shared" si="58"/>
        <v>E6.3.1.13_mRNA</v>
      </c>
      <c r="D380" s="4" t="s">
        <v>12951</v>
      </c>
      <c r="E380" s="22" t="str">
        <f t="shared" si="59"/>
        <v>E6.3.1.13_kcat : 13.7</v>
      </c>
      <c r="F380" s="23" t="str">
        <f t="shared" si="55"/>
        <v>E6.3.1.13_km : 1</v>
      </c>
      <c r="G380" s="24" t="str">
        <f t="shared" si="56"/>
        <v>E6.3.1.13_mRNA : E6.3.1.13_mRNA</v>
      </c>
      <c r="H380" s="25" t="str">
        <f t="shared" si="57"/>
        <v>E6.3.1.13 : E6.3.1.13</v>
      </c>
      <c r="I380" s="26" t="str">
        <f t="shared" si="60"/>
        <v>E6.3.1.13_mRNA : 0</v>
      </c>
      <c r="J380" s="27" t="str">
        <f t="shared" si="61"/>
        <v>E6.3.1.13 : 0</v>
      </c>
      <c r="K380" s="28" t="str">
        <f t="shared" si="62"/>
        <v>0.00292 - (0.0093 * E6.3.1.13_mRNA)</v>
      </c>
      <c r="L380" s="24" t="str">
        <f t="shared" si="63"/>
        <v>(0.278 * E6.3.1.13_mRNA) - (0.00000278 * E6.3.1.13)</v>
      </c>
      <c r="M380" s="29" t="str">
        <f t="shared" si="64"/>
        <v>mRNA379: -&gt; E6.3.1.13_mRNA | 0.00292 - (0.0093 * E6.3.1.13_mRNA)</v>
      </c>
      <c r="N380" s="22" t="str">
        <f t="shared" si="65"/>
        <v>Peptide379: E6.3.1.13_mRNA -&gt; E6.3.1.13 | (0.278 * E6.3.1.13_mRNA) - (0.000000278 * E6.3.1.13)</v>
      </c>
    </row>
    <row r="381" spans="1:14">
      <c r="A381">
        <v>380</v>
      </c>
      <c r="B381" s="4" t="s">
        <v>7689</v>
      </c>
      <c r="C381" s="4" t="str">
        <f t="shared" si="58"/>
        <v>E6.3.1.2_mRNA</v>
      </c>
      <c r="D381" s="4" t="s">
        <v>13045</v>
      </c>
      <c r="E381" s="22" t="str">
        <f t="shared" si="59"/>
        <v>E6.3.1.2_kcat : 13.7</v>
      </c>
      <c r="F381" s="23" t="str">
        <f t="shared" si="55"/>
        <v>E6.3.1.2_km : 1</v>
      </c>
      <c r="G381" s="24" t="str">
        <f t="shared" si="56"/>
        <v>E6.3.1.2_mRNA : E6.3.1.2_mRNA</v>
      </c>
      <c r="H381" s="25" t="str">
        <f t="shared" si="57"/>
        <v>E6.3.1.2 : E6.3.1.2</v>
      </c>
      <c r="I381" s="26" t="str">
        <f t="shared" si="60"/>
        <v>E6.3.1.2_mRNA : 0</v>
      </c>
      <c r="J381" s="27" t="str">
        <f t="shared" si="61"/>
        <v>E6.3.1.2 : 0</v>
      </c>
      <c r="K381" s="28" t="str">
        <f t="shared" si="62"/>
        <v>0.00292 - (0.0093 * E6.3.1.2_mRNA)</v>
      </c>
      <c r="L381" s="24" t="str">
        <f t="shared" si="63"/>
        <v>(0.278 * E6.3.1.2_mRNA) - (0.00000278 * E6.3.1.2)</v>
      </c>
      <c r="M381" s="29" t="str">
        <f t="shared" si="64"/>
        <v>mRNA380: -&gt; E6.3.1.2_mRNA | 0.00292 - (0.0093 * E6.3.1.2_mRNA)</v>
      </c>
      <c r="N381" s="22" t="str">
        <f t="shared" si="65"/>
        <v>Peptide380: E6.3.1.2_mRNA -&gt; E6.3.1.2 | (0.278 * E6.3.1.2_mRNA) - (0.000000278 * E6.3.1.2)</v>
      </c>
    </row>
    <row r="382" spans="1:14">
      <c r="A382">
        <v>381</v>
      </c>
      <c r="B382" s="4" t="s">
        <v>7746</v>
      </c>
      <c r="C382" s="4" t="str">
        <f t="shared" si="58"/>
        <v>E6.3.1.5_mRNA</v>
      </c>
      <c r="D382" s="4" t="s">
        <v>13094</v>
      </c>
      <c r="E382" s="22" t="str">
        <f t="shared" si="59"/>
        <v>E6.3.1.5_kcat : 13.7</v>
      </c>
      <c r="F382" s="23" t="str">
        <f t="shared" si="55"/>
        <v>E6.3.1.5_km : 1</v>
      </c>
      <c r="G382" s="24" t="str">
        <f t="shared" si="56"/>
        <v>E6.3.1.5_mRNA : E6.3.1.5_mRNA</v>
      </c>
      <c r="H382" s="25" t="str">
        <f t="shared" si="57"/>
        <v>E6.3.1.5 : E6.3.1.5</v>
      </c>
      <c r="I382" s="26" t="str">
        <f t="shared" si="60"/>
        <v>E6.3.1.5_mRNA : 0</v>
      </c>
      <c r="J382" s="27" t="str">
        <f t="shared" si="61"/>
        <v>E6.3.1.5 : 0</v>
      </c>
      <c r="K382" s="28" t="str">
        <f t="shared" si="62"/>
        <v>0.00292 - (0.0093 * E6.3.1.5_mRNA)</v>
      </c>
      <c r="L382" s="24" t="str">
        <f t="shared" si="63"/>
        <v>(0.278 * E6.3.1.5_mRNA) - (0.00000278 * E6.3.1.5)</v>
      </c>
      <c r="M382" s="29" t="str">
        <f t="shared" si="64"/>
        <v>mRNA381: -&gt; E6.3.1.5_mRNA | 0.00292 - (0.0093 * E6.3.1.5_mRNA)</v>
      </c>
      <c r="N382" s="22" t="str">
        <f t="shared" si="65"/>
        <v>Peptide381: E6.3.1.5_mRNA -&gt; E6.3.1.5 | (0.278 * E6.3.1.5_mRNA) - (0.000000278 * E6.3.1.5)</v>
      </c>
    </row>
    <row r="383" spans="1:14">
      <c r="A383">
        <v>382</v>
      </c>
      <c r="B383" s="4" t="s">
        <v>7727</v>
      </c>
      <c r="C383" s="4" t="str">
        <f t="shared" si="58"/>
        <v>E6.3.2.1_mRNA</v>
      </c>
      <c r="D383" s="4" t="s">
        <v>13076</v>
      </c>
      <c r="E383" s="22" t="str">
        <f t="shared" si="59"/>
        <v>E6.3.2.1_kcat : 13.7</v>
      </c>
      <c r="F383" s="23" t="str">
        <f t="shared" si="55"/>
        <v>E6.3.2.1_km : 1</v>
      </c>
      <c r="G383" s="24" t="str">
        <f t="shared" si="56"/>
        <v>E6.3.2.1_mRNA : E6.3.2.1_mRNA</v>
      </c>
      <c r="H383" s="25" t="str">
        <f t="shared" si="57"/>
        <v>E6.3.2.1 : E6.3.2.1</v>
      </c>
      <c r="I383" s="26" t="str">
        <f t="shared" si="60"/>
        <v>E6.3.2.1_mRNA : 0</v>
      </c>
      <c r="J383" s="27" t="str">
        <f t="shared" si="61"/>
        <v>E6.3.2.1 : 0</v>
      </c>
      <c r="K383" s="28" t="str">
        <f t="shared" si="62"/>
        <v>0.00292 - (0.0093 * E6.3.2.1_mRNA)</v>
      </c>
      <c r="L383" s="24" t="str">
        <f t="shared" si="63"/>
        <v>(0.278 * E6.3.2.1_mRNA) - (0.00000278 * E6.3.2.1)</v>
      </c>
      <c r="M383" s="29" t="str">
        <f t="shared" si="64"/>
        <v>mRNA382: -&gt; E6.3.2.1_mRNA | 0.00292 - (0.0093 * E6.3.2.1_mRNA)</v>
      </c>
      <c r="N383" s="22" t="str">
        <f t="shared" si="65"/>
        <v>Peptide382: E6.3.2.1_mRNA -&gt; E6.3.2.1 | (0.278 * E6.3.2.1_mRNA) - (0.000000278 * E6.3.2.1)</v>
      </c>
    </row>
    <row r="384" spans="1:14">
      <c r="A384">
        <v>383</v>
      </c>
      <c r="B384" s="4" t="s">
        <v>7670</v>
      </c>
      <c r="C384" s="4" t="str">
        <f t="shared" si="58"/>
        <v>E6.3.2.10_mRNA</v>
      </c>
      <c r="D384" s="4" t="s">
        <v>13028</v>
      </c>
      <c r="E384" s="22" t="str">
        <f t="shared" si="59"/>
        <v>E6.3.2.10_kcat : 13.7</v>
      </c>
      <c r="F384" s="23" t="str">
        <f t="shared" si="55"/>
        <v>E6.3.2.10_km : 1</v>
      </c>
      <c r="G384" s="24" t="str">
        <f t="shared" si="56"/>
        <v>E6.3.2.10_mRNA : E6.3.2.10_mRNA</v>
      </c>
      <c r="H384" s="25" t="str">
        <f t="shared" si="57"/>
        <v>E6.3.2.10 : E6.3.2.10</v>
      </c>
      <c r="I384" s="26" t="str">
        <f t="shared" si="60"/>
        <v>E6.3.2.10_mRNA : 0</v>
      </c>
      <c r="J384" s="27" t="str">
        <f t="shared" si="61"/>
        <v>E6.3.2.10 : 0</v>
      </c>
      <c r="K384" s="28" t="str">
        <f t="shared" si="62"/>
        <v>0.00292 - (0.0093 * E6.3.2.10_mRNA)</v>
      </c>
      <c r="L384" s="24" t="str">
        <f t="shared" si="63"/>
        <v>(0.278 * E6.3.2.10_mRNA) - (0.00000278 * E6.3.2.10)</v>
      </c>
      <c r="M384" s="29" t="str">
        <f t="shared" si="64"/>
        <v>mRNA383: -&gt; E6.3.2.10_mRNA | 0.00292 - (0.0093 * E6.3.2.10_mRNA)</v>
      </c>
      <c r="N384" s="22" t="str">
        <f t="shared" si="65"/>
        <v>Peptide383: E6.3.2.10_mRNA -&gt; E6.3.2.10 | (0.278 * E6.3.2.10_mRNA) - (0.000000278 * E6.3.2.10)</v>
      </c>
    </row>
    <row r="385" spans="1:14">
      <c r="A385">
        <v>384</v>
      </c>
      <c r="B385" s="4" t="s">
        <v>7671</v>
      </c>
      <c r="C385" s="4" t="str">
        <f t="shared" si="58"/>
        <v>E6.3.2.13_mRNA</v>
      </c>
      <c r="D385" s="4" t="s">
        <v>13029</v>
      </c>
      <c r="E385" s="22" t="str">
        <f t="shared" si="59"/>
        <v>E6.3.2.13_kcat : 13.7</v>
      </c>
      <c r="F385" s="23" t="str">
        <f t="shared" si="55"/>
        <v>E6.3.2.13_km : 1</v>
      </c>
      <c r="G385" s="24" t="str">
        <f t="shared" si="56"/>
        <v>E6.3.2.13_mRNA : E6.3.2.13_mRNA</v>
      </c>
      <c r="H385" s="25" t="str">
        <f t="shared" si="57"/>
        <v>E6.3.2.13 : E6.3.2.13</v>
      </c>
      <c r="I385" s="26" t="str">
        <f t="shared" si="60"/>
        <v>E6.3.2.13_mRNA : 0</v>
      </c>
      <c r="J385" s="27" t="str">
        <f t="shared" si="61"/>
        <v>E6.3.2.13 : 0</v>
      </c>
      <c r="K385" s="28" t="str">
        <f t="shared" si="62"/>
        <v>0.00292 - (0.0093 * E6.3.2.13_mRNA)</v>
      </c>
      <c r="L385" s="24" t="str">
        <f t="shared" si="63"/>
        <v>(0.278 * E6.3.2.13_mRNA) - (0.00000278 * E6.3.2.13)</v>
      </c>
      <c r="M385" s="29" t="str">
        <f t="shared" si="64"/>
        <v>mRNA384: -&gt; E6.3.2.13_mRNA | 0.00292 - (0.0093 * E6.3.2.13_mRNA)</v>
      </c>
      <c r="N385" s="22" t="str">
        <f t="shared" si="65"/>
        <v>Peptide384: E6.3.2.13_mRNA -&gt; E6.3.2.13 | (0.278 * E6.3.2.13_mRNA) - (0.000000278 * E6.3.2.13)</v>
      </c>
    </row>
    <row r="386" spans="1:14">
      <c r="A386">
        <v>385</v>
      </c>
      <c r="B386" s="4" t="s">
        <v>7724</v>
      </c>
      <c r="C386" s="4" t="str">
        <f t="shared" si="58"/>
        <v>E6.3.2.17_mRNA</v>
      </c>
      <c r="D386" s="4" t="s">
        <v>13073</v>
      </c>
      <c r="E386" s="22" t="str">
        <f t="shared" si="59"/>
        <v>E6.3.2.17_kcat : 13.7</v>
      </c>
      <c r="F386" s="23" t="str">
        <f t="shared" ref="F386:F408" si="66">CONCATENATE("E",B386,"_km : 1")</f>
        <v>E6.3.2.17_km : 1</v>
      </c>
      <c r="G386" s="24" t="str">
        <f t="shared" ref="G386:G408" si="67">CONCATENATE(C386," : ",C386)</f>
        <v>E6.3.2.17_mRNA : E6.3.2.17_mRNA</v>
      </c>
      <c r="H386" s="25" t="str">
        <f t="shared" ref="H386:H408" si="68">CONCATENATE(D386," : ",D386)</f>
        <v>E6.3.2.17 : E6.3.2.17</v>
      </c>
      <c r="I386" s="26" t="str">
        <f t="shared" si="60"/>
        <v>E6.3.2.17_mRNA : 0</v>
      </c>
      <c r="J386" s="27" t="str">
        <f t="shared" si="61"/>
        <v>E6.3.2.17 : 0</v>
      </c>
      <c r="K386" s="28" t="str">
        <f t="shared" si="62"/>
        <v>0.00292 - (0.0093 * E6.3.2.17_mRNA)</v>
      </c>
      <c r="L386" s="24" t="str">
        <f t="shared" si="63"/>
        <v>(0.278 * E6.3.2.17_mRNA) - (0.00000278 * E6.3.2.17)</v>
      </c>
      <c r="M386" s="29" t="str">
        <f t="shared" si="64"/>
        <v>mRNA385: -&gt; E6.3.2.17_mRNA | 0.00292 - (0.0093 * E6.3.2.17_mRNA)</v>
      </c>
      <c r="N386" s="22" t="str">
        <f t="shared" si="65"/>
        <v>Peptide385: E6.3.2.17_mRNA -&gt; E6.3.2.17 | (0.278 * E6.3.2.17_mRNA) - (0.000000278 * E6.3.2.17)</v>
      </c>
    </row>
    <row r="387" spans="1:14">
      <c r="A387">
        <v>386</v>
      </c>
      <c r="B387" s="4" t="s">
        <v>7531</v>
      </c>
      <c r="C387" s="4" t="str">
        <f t="shared" ref="C387:C408" si="69">CONCATENATE(D387,"_mRNA")</f>
        <v>E6.3.2.4_mRNA</v>
      </c>
      <c r="D387" s="4" t="s">
        <v>12923</v>
      </c>
      <c r="E387" s="22" t="str">
        <f t="shared" ref="E387:E408" si="70">CONCATENATE("E",B387,"_kcat : 13.7")</f>
        <v>E6.3.2.4_kcat : 13.7</v>
      </c>
      <c r="F387" s="23" t="str">
        <f t="shared" si="66"/>
        <v>E6.3.2.4_km : 1</v>
      </c>
      <c r="G387" s="24" t="str">
        <f t="shared" si="67"/>
        <v>E6.3.2.4_mRNA : E6.3.2.4_mRNA</v>
      </c>
      <c r="H387" s="25" t="str">
        <f t="shared" si="68"/>
        <v>E6.3.2.4 : E6.3.2.4</v>
      </c>
      <c r="I387" s="26" t="str">
        <f t="shared" ref="I387:I408" si="71">CONCATENATE(C387," : ","0")</f>
        <v>E6.3.2.4_mRNA : 0</v>
      </c>
      <c r="J387" s="27" t="str">
        <f t="shared" ref="J387:J408" si="72">CONCATENATE(D387," : ","0")</f>
        <v>E6.3.2.4 : 0</v>
      </c>
      <c r="K387" s="28" t="str">
        <f t="shared" ref="K387:K408" si="73">CONCATENATE("0.00292 - (0.0093 * ",C387,")")</f>
        <v>0.00292 - (0.0093 * E6.3.2.4_mRNA)</v>
      </c>
      <c r="L387" s="24" t="str">
        <f t="shared" ref="L387:L408" si="74">CONCATENATE("(0.278 * ",C387,")"," - (0.00000278 * ",D387,")")</f>
        <v>(0.278 * E6.3.2.4_mRNA) - (0.00000278 * E6.3.2.4)</v>
      </c>
      <c r="M387" s="29" t="str">
        <f t="shared" ref="M387:M408" si="75">CONCATENATE("mRNA",A387,": -&gt; ",C387," | ","0.00292"," - ","(","0.0093"," * ",C387,")")</f>
        <v>mRNA386: -&gt; E6.3.2.4_mRNA | 0.00292 - (0.0093 * E6.3.2.4_mRNA)</v>
      </c>
      <c r="N387" s="22" t="str">
        <f t="shared" ref="N387:N408" si="76">CONCATENATE("Peptide",A387,": ",C387," -&gt; ",D387," | ","(","0.278"," * ",C387,")"," - ","(","0.000000278"," * ",D387,")")</f>
        <v>Peptide386: E6.3.2.4_mRNA -&gt; E6.3.2.4 | (0.278 * E6.3.2.4_mRNA) - (0.000000278 * E6.3.2.4)</v>
      </c>
    </row>
    <row r="388" spans="1:14">
      <c r="A388">
        <v>387</v>
      </c>
      <c r="B388" s="4" t="s">
        <v>7758</v>
      </c>
      <c r="C388" s="4" t="str">
        <f t="shared" si="69"/>
        <v>E6.3.2.6_mRNA</v>
      </c>
      <c r="D388" s="4" t="s">
        <v>13104</v>
      </c>
      <c r="E388" s="22" t="str">
        <f t="shared" si="70"/>
        <v>E6.3.2.6_kcat : 13.7</v>
      </c>
      <c r="F388" s="23" t="str">
        <f t="shared" si="66"/>
        <v>E6.3.2.6_km : 1</v>
      </c>
      <c r="G388" s="24" t="str">
        <f t="shared" si="67"/>
        <v>E6.3.2.6_mRNA : E6.3.2.6_mRNA</v>
      </c>
      <c r="H388" s="25" t="str">
        <f t="shared" si="68"/>
        <v>E6.3.2.6 : E6.3.2.6</v>
      </c>
      <c r="I388" s="26" t="str">
        <f t="shared" si="71"/>
        <v>E6.3.2.6_mRNA : 0</v>
      </c>
      <c r="J388" s="27" t="str">
        <f t="shared" si="72"/>
        <v>E6.3.2.6 : 0</v>
      </c>
      <c r="K388" s="28" t="str">
        <f t="shared" si="73"/>
        <v>0.00292 - (0.0093 * E6.3.2.6_mRNA)</v>
      </c>
      <c r="L388" s="24" t="str">
        <f t="shared" si="74"/>
        <v>(0.278 * E6.3.2.6_mRNA) - (0.00000278 * E6.3.2.6)</v>
      </c>
      <c r="M388" s="29" t="str">
        <f t="shared" si="75"/>
        <v>mRNA387: -&gt; E6.3.2.6_mRNA | 0.00292 - (0.0093 * E6.3.2.6_mRNA)</v>
      </c>
      <c r="N388" s="22" t="str">
        <f t="shared" si="76"/>
        <v>Peptide387: E6.3.2.6_mRNA -&gt; E6.3.2.6 | (0.278 * E6.3.2.6_mRNA) - (0.000000278 * E6.3.2.6)</v>
      </c>
    </row>
    <row r="389" spans="1:14">
      <c r="A389">
        <v>388</v>
      </c>
      <c r="B389" s="4" t="s">
        <v>7666</v>
      </c>
      <c r="C389" s="4" t="str">
        <f t="shared" si="69"/>
        <v>E6.3.2.8_mRNA</v>
      </c>
      <c r="D389" s="4" t="s">
        <v>13024</v>
      </c>
      <c r="E389" s="22" t="str">
        <f t="shared" si="70"/>
        <v>E6.3.2.8_kcat : 13.7</v>
      </c>
      <c r="F389" s="23" t="str">
        <f t="shared" si="66"/>
        <v>E6.3.2.8_km : 1</v>
      </c>
      <c r="G389" s="24" t="str">
        <f t="shared" si="67"/>
        <v>E6.3.2.8_mRNA : E6.3.2.8_mRNA</v>
      </c>
      <c r="H389" s="25" t="str">
        <f t="shared" si="68"/>
        <v>E6.3.2.8 : E6.3.2.8</v>
      </c>
      <c r="I389" s="26" t="str">
        <f t="shared" si="71"/>
        <v>E6.3.2.8_mRNA : 0</v>
      </c>
      <c r="J389" s="27" t="str">
        <f t="shared" si="72"/>
        <v>E6.3.2.8 : 0</v>
      </c>
      <c r="K389" s="28" t="str">
        <f t="shared" si="73"/>
        <v>0.00292 - (0.0093 * E6.3.2.8_mRNA)</v>
      </c>
      <c r="L389" s="24" t="str">
        <f t="shared" si="74"/>
        <v>(0.278 * E6.3.2.8_mRNA) - (0.00000278 * E6.3.2.8)</v>
      </c>
      <c r="M389" s="29" t="str">
        <f t="shared" si="75"/>
        <v>mRNA388: -&gt; E6.3.2.8_mRNA | 0.00292 - (0.0093 * E6.3.2.8_mRNA)</v>
      </c>
      <c r="N389" s="22" t="str">
        <f t="shared" si="76"/>
        <v>Peptide388: E6.3.2.8_mRNA -&gt; E6.3.2.8 | (0.278 * E6.3.2.8_mRNA) - (0.000000278 * E6.3.2.8)</v>
      </c>
    </row>
    <row r="390" spans="1:14">
      <c r="A390">
        <v>389</v>
      </c>
      <c r="B390" s="4" t="s">
        <v>7668</v>
      </c>
      <c r="C390" s="4" t="str">
        <f t="shared" si="69"/>
        <v>E6.3.2.9_mRNA</v>
      </c>
      <c r="D390" s="4" t="s">
        <v>13026</v>
      </c>
      <c r="E390" s="22" t="str">
        <f t="shared" si="70"/>
        <v>E6.3.2.9_kcat : 13.7</v>
      </c>
      <c r="F390" s="23" t="str">
        <f t="shared" si="66"/>
        <v>E6.3.2.9_km : 1</v>
      </c>
      <c r="G390" s="24" t="str">
        <f t="shared" si="67"/>
        <v>E6.3.2.9_mRNA : E6.3.2.9_mRNA</v>
      </c>
      <c r="H390" s="25" t="str">
        <f t="shared" si="68"/>
        <v>E6.3.2.9 : E6.3.2.9</v>
      </c>
      <c r="I390" s="26" t="str">
        <f t="shared" si="71"/>
        <v>E6.3.2.9_mRNA : 0</v>
      </c>
      <c r="J390" s="27" t="str">
        <f t="shared" si="72"/>
        <v>E6.3.2.9 : 0</v>
      </c>
      <c r="K390" s="28" t="str">
        <f t="shared" si="73"/>
        <v>0.00292 - (0.0093 * E6.3.2.9_mRNA)</v>
      </c>
      <c r="L390" s="24" t="str">
        <f t="shared" si="74"/>
        <v>(0.278 * E6.3.2.9_mRNA) - (0.00000278 * E6.3.2.9)</v>
      </c>
      <c r="M390" s="29" t="str">
        <f t="shared" si="75"/>
        <v>mRNA389: -&gt; E6.3.2.9_mRNA | 0.00292 - (0.0093 * E6.3.2.9_mRNA)</v>
      </c>
      <c r="N390" s="22" t="str">
        <f t="shared" si="76"/>
        <v>Peptide389: E6.3.2.9_mRNA -&gt; E6.3.2.9 | (0.278 * E6.3.2.9_mRNA) - (0.000000278 * E6.3.2.9)</v>
      </c>
    </row>
    <row r="391" spans="1:14">
      <c r="A391">
        <v>390</v>
      </c>
      <c r="B391" s="4" t="s">
        <v>7754</v>
      </c>
      <c r="C391" s="4" t="str">
        <f t="shared" si="69"/>
        <v>E6.3.3.1_mRNA</v>
      </c>
      <c r="D391" s="4" t="s">
        <v>13101</v>
      </c>
      <c r="E391" s="22" t="str">
        <f t="shared" si="70"/>
        <v>E6.3.3.1_kcat : 13.7</v>
      </c>
      <c r="F391" s="23" t="str">
        <f t="shared" si="66"/>
        <v>E6.3.3.1_km : 1</v>
      </c>
      <c r="G391" s="24" t="str">
        <f t="shared" si="67"/>
        <v>E6.3.3.1_mRNA : E6.3.3.1_mRNA</v>
      </c>
      <c r="H391" s="25" t="str">
        <f t="shared" si="68"/>
        <v>E6.3.3.1 : E6.3.3.1</v>
      </c>
      <c r="I391" s="26" t="str">
        <f t="shared" si="71"/>
        <v>E6.3.3.1_mRNA : 0</v>
      </c>
      <c r="J391" s="27" t="str">
        <f t="shared" si="72"/>
        <v>E6.3.3.1 : 0</v>
      </c>
      <c r="K391" s="28" t="str">
        <f t="shared" si="73"/>
        <v>0.00292 - (0.0093 * E6.3.3.1_mRNA)</v>
      </c>
      <c r="L391" s="24" t="str">
        <f t="shared" si="74"/>
        <v>(0.278 * E6.3.3.1_mRNA) - (0.00000278 * E6.3.3.1)</v>
      </c>
      <c r="M391" s="29" t="str">
        <f t="shared" si="75"/>
        <v>mRNA390: -&gt; E6.3.3.1_mRNA | 0.00292 - (0.0093 * E6.3.3.1_mRNA)</v>
      </c>
      <c r="N391" s="22" t="str">
        <f t="shared" si="76"/>
        <v>Peptide390: E6.3.3.1_mRNA -&gt; E6.3.3.1 | (0.278 * E6.3.3.1_mRNA) - (0.000000278 * E6.3.3.1)</v>
      </c>
    </row>
    <row r="392" spans="1:14">
      <c r="A392">
        <v>391</v>
      </c>
      <c r="B392" s="4" t="s">
        <v>7736</v>
      </c>
      <c r="C392" s="4" t="str">
        <f t="shared" si="69"/>
        <v>E6.3.3.3_mRNA</v>
      </c>
      <c r="D392" s="4" t="s">
        <v>13084</v>
      </c>
      <c r="E392" s="22" t="str">
        <f t="shared" si="70"/>
        <v>E6.3.3.3_kcat : 13.7</v>
      </c>
      <c r="F392" s="23" t="str">
        <f t="shared" si="66"/>
        <v>E6.3.3.3_km : 1</v>
      </c>
      <c r="G392" s="24" t="str">
        <f t="shared" si="67"/>
        <v>E6.3.3.3_mRNA : E6.3.3.3_mRNA</v>
      </c>
      <c r="H392" s="25" t="str">
        <f t="shared" si="68"/>
        <v>E6.3.3.3 : E6.3.3.3</v>
      </c>
      <c r="I392" s="26" t="str">
        <f t="shared" si="71"/>
        <v>E6.3.3.3_mRNA : 0</v>
      </c>
      <c r="J392" s="27" t="str">
        <f t="shared" si="72"/>
        <v>E6.3.3.3 : 0</v>
      </c>
      <c r="K392" s="28" t="str">
        <f t="shared" si="73"/>
        <v>0.00292 - (0.0093 * E6.3.3.3_mRNA)</v>
      </c>
      <c r="L392" s="24" t="str">
        <f t="shared" si="74"/>
        <v>(0.278 * E6.3.3.3_mRNA) - (0.00000278 * E6.3.3.3)</v>
      </c>
      <c r="M392" s="29" t="str">
        <f t="shared" si="75"/>
        <v>mRNA391: -&gt; E6.3.3.3_mRNA | 0.00292 - (0.0093 * E6.3.3.3_mRNA)</v>
      </c>
      <c r="N392" s="22" t="str">
        <f t="shared" si="76"/>
        <v>Peptide391: E6.3.3.3_mRNA -&gt; E6.3.3.3 | (0.278 * E6.3.3.3_mRNA) - (0.000000278 * E6.3.3.3)</v>
      </c>
    </row>
    <row r="393" spans="1:14">
      <c r="A393">
        <v>392</v>
      </c>
      <c r="B393" s="4" t="s">
        <v>7760</v>
      </c>
      <c r="C393" s="4" t="str">
        <f t="shared" si="69"/>
        <v>E6.3.4.13_mRNA</v>
      </c>
      <c r="D393" s="4" t="s">
        <v>13106</v>
      </c>
      <c r="E393" s="22" t="str">
        <f t="shared" si="70"/>
        <v>E6.3.4.13_kcat : 13.7</v>
      </c>
      <c r="F393" s="23" t="str">
        <f t="shared" si="66"/>
        <v>E6.3.4.13_km : 1</v>
      </c>
      <c r="G393" s="24" t="str">
        <f t="shared" si="67"/>
        <v>E6.3.4.13_mRNA : E6.3.4.13_mRNA</v>
      </c>
      <c r="H393" s="25" t="str">
        <f t="shared" si="68"/>
        <v>E6.3.4.13 : E6.3.4.13</v>
      </c>
      <c r="I393" s="26" t="str">
        <f t="shared" si="71"/>
        <v>E6.3.4.13_mRNA : 0</v>
      </c>
      <c r="J393" s="27" t="str">
        <f t="shared" si="72"/>
        <v>E6.3.4.13 : 0</v>
      </c>
      <c r="K393" s="28" t="str">
        <f t="shared" si="73"/>
        <v>0.00292 - (0.0093 * E6.3.4.13_mRNA)</v>
      </c>
      <c r="L393" s="24" t="str">
        <f t="shared" si="74"/>
        <v>(0.278 * E6.3.4.13_mRNA) - (0.00000278 * E6.3.4.13)</v>
      </c>
      <c r="M393" s="29" t="str">
        <f t="shared" si="75"/>
        <v>mRNA392: -&gt; E6.3.4.13_mRNA | 0.00292 - (0.0093 * E6.3.4.13_mRNA)</v>
      </c>
      <c r="N393" s="22" t="str">
        <f t="shared" si="76"/>
        <v>Peptide392: E6.3.4.13_mRNA -&gt; E6.3.4.13 | (0.278 * E6.3.4.13_mRNA) - (0.000000278 * E6.3.4.13)</v>
      </c>
    </row>
    <row r="394" spans="1:14">
      <c r="A394">
        <v>393</v>
      </c>
      <c r="B394" s="4" t="s">
        <v>7420</v>
      </c>
      <c r="C394" s="4" t="str">
        <f t="shared" si="69"/>
        <v>E6.3.4.14_mRNA</v>
      </c>
      <c r="D394" s="4" t="s">
        <v>12853</v>
      </c>
      <c r="E394" s="22" t="str">
        <f t="shared" si="70"/>
        <v>E6.3.4.14_kcat : 13.7</v>
      </c>
      <c r="F394" s="23" t="str">
        <f t="shared" si="66"/>
        <v>E6.3.4.14_km : 1</v>
      </c>
      <c r="G394" s="24" t="str">
        <f t="shared" si="67"/>
        <v>E6.3.4.14_mRNA : E6.3.4.14_mRNA</v>
      </c>
      <c r="H394" s="25" t="str">
        <f t="shared" si="68"/>
        <v>E6.3.4.14 : E6.3.4.14</v>
      </c>
      <c r="I394" s="26" t="str">
        <f t="shared" si="71"/>
        <v>E6.3.4.14_mRNA : 0</v>
      </c>
      <c r="J394" s="27" t="str">
        <f t="shared" si="72"/>
        <v>E6.3.4.14 : 0</v>
      </c>
      <c r="K394" s="28" t="str">
        <f t="shared" si="73"/>
        <v>0.00292 - (0.0093 * E6.3.4.14_mRNA)</v>
      </c>
      <c r="L394" s="24" t="str">
        <f t="shared" si="74"/>
        <v>(0.278 * E6.3.4.14_mRNA) - (0.00000278 * E6.3.4.14)</v>
      </c>
      <c r="M394" s="29" t="str">
        <f t="shared" si="75"/>
        <v>mRNA393: -&gt; E6.3.4.14_mRNA | 0.00292 - (0.0093 * E6.3.4.14_mRNA)</v>
      </c>
      <c r="N394" s="22" t="str">
        <f t="shared" si="76"/>
        <v>Peptide393: E6.3.4.14_mRNA -&gt; E6.3.4.14 | (0.278 * E6.3.4.14_mRNA) - (0.000000278 * E6.3.4.14)</v>
      </c>
    </row>
    <row r="395" spans="1:14">
      <c r="A395">
        <v>394</v>
      </c>
      <c r="B395" s="4" t="s">
        <v>7412</v>
      </c>
      <c r="C395" s="4" t="str">
        <f t="shared" si="69"/>
        <v>E6.3.4.15_mRNA</v>
      </c>
      <c r="D395" s="4" t="s">
        <v>12846</v>
      </c>
      <c r="E395" s="22" t="str">
        <f t="shared" si="70"/>
        <v>E6.3.4.15_kcat : 13.7</v>
      </c>
      <c r="F395" s="23" t="str">
        <f t="shared" si="66"/>
        <v>E6.3.4.15_km : 1</v>
      </c>
      <c r="G395" s="24" t="str">
        <f t="shared" si="67"/>
        <v>E6.3.4.15_mRNA : E6.3.4.15_mRNA</v>
      </c>
      <c r="H395" s="25" t="str">
        <f t="shared" si="68"/>
        <v>E6.3.4.15 : E6.3.4.15</v>
      </c>
      <c r="I395" s="26" t="str">
        <f t="shared" si="71"/>
        <v>E6.3.4.15_mRNA : 0</v>
      </c>
      <c r="J395" s="27" t="str">
        <f t="shared" si="72"/>
        <v>E6.3.4.15 : 0</v>
      </c>
      <c r="K395" s="28" t="str">
        <f t="shared" si="73"/>
        <v>0.00292 - (0.0093 * E6.3.4.15_mRNA)</v>
      </c>
      <c r="L395" s="24" t="str">
        <f t="shared" si="74"/>
        <v>(0.278 * E6.3.4.15_mRNA) - (0.00000278 * E6.3.4.15)</v>
      </c>
      <c r="M395" s="29" t="str">
        <f t="shared" si="75"/>
        <v>mRNA394: -&gt; E6.3.4.15_mRNA | 0.00292 - (0.0093 * E6.3.4.15_mRNA)</v>
      </c>
      <c r="N395" s="22" t="str">
        <f t="shared" si="76"/>
        <v>Peptide394: E6.3.4.15_mRNA -&gt; E6.3.4.15 | (0.278 * E6.3.4.15_mRNA) - (0.000000278 * E6.3.4.15)</v>
      </c>
    </row>
    <row r="396" spans="1:14">
      <c r="A396">
        <v>395</v>
      </c>
      <c r="B396" s="4" t="s">
        <v>7414</v>
      </c>
      <c r="C396" s="4" t="str">
        <f t="shared" si="69"/>
        <v>E6.3.4.18_mRNA</v>
      </c>
      <c r="D396" s="4" t="s">
        <v>12848</v>
      </c>
      <c r="E396" s="22" t="str">
        <f t="shared" si="70"/>
        <v>E6.3.4.18_kcat : 13.7</v>
      </c>
      <c r="F396" s="23" t="str">
        <f t="shared" si="66"/>
        <v>E6.3.4.18_km : 1</v>
      </c>
      <c r="G396" s="24" t="str">
        <f t="shared" si="67"/>
        <v>E6.3.4.18_mRNA : E6.3.4.18_mRNA</v>
      </c>
      <c r="H396" s="25" t="str">
        <f t="shared" si="68"/>
        <v>E6.3.4.18 : E6.3.4.18</v>
      </c>
      <c r="I396" s="26" t="str">
        <f t="shared" si="71"/>
        <v>E6.3.4.18_mRNA : 0</v>
      </c>
      <c r="J396" s="27" t="str">
        <f t="shared" si="72"/>
        <v>E6.3.4.18 : 0</v>
      </c>
      <c r="K396" s="28" t="str">
        <f t="shared" si="73"/>
        <v>0.00292 - (0.0093 * E6.3.4.18_mRNA)</v>
      </c>
      <c r="L396" s="24" t="str">
        <f t="shared" si="74"/>
        <v>(0.278 * E6.3.4.18_mRNA) - (0.00000278 * E6.3.4.18)</v>
      </c>
      <c r="M396" s="29" t="str">
        <f t="shared" si="75"/>
        <v>mRNA395: -&gt; E6.3.4.18_mRNA | 0.00292 - (0.0093 * E6.3.4.18_mRNA)</v>
      </c>
      <c r="N396" s="22" t="str">
        <f t="shared" si="76"/>
        <v>Peptide395: E6.3.4.18_mRNA -&gt; E6.3.4.18 | (0.278 * E6.3.4.18_mRNA) - (0.000000278 * E6.3.4.18)</v>
      </c>
    </row>
    <row r="397" spans="1:14">
      <c r="A397">
        <v>396</v>
      </c>
      <c r="B397" s="4" t="s">
        <v>7744</v>
      </c>
      <c r="C397" s="4" t="str">
        <f t="shared" si="69"/>
        <v>E6.3.4.21_mRNA</v>
      </c>
      <c r="D397" s="4" t="s">
        <v>13092</v>
      </c>
      <c r="E397" s="22" t="str">
        <f t="shared" si="70"/>
        <v>E6.3.4.21_kcat : 13.7</v>
      </c>
      <c r="F397" s="23" t="str">
        <f t="shared" si="66"/>
        <v>E6.3.4.21_km : 1</v>
      </c>
      <c r="G397" s="24" t="str">
        <f t="shared" si="67"/>
        <v>E6.3.4.21_mRNA : E6.3.4.21_mRNA</v>
      </c>
      <c r="H397" s="25" t="str">
        <f t="shared" si="68"/>
        <v>E6.3.4.21 : E6.3.4.21</v>
      </c>
      <c r="I397" s="26" t="str">
        <f t="shared" si="71"/>
        <v>E6.3.4.21_mRNA : 0</v>
      </c>
      <c r="J397" s="27" t="str">
        <f t="shared" si="72"/>
        <v>E6.3.4.21 : 0</v>
      </c>
      <c r="K397" s="28" t="str">
        <f t="shared" si="73"/>
        <v>0.00292 - (0.0093 * E6.3.4.21_mRNA)</v>
      </c>
      <c r="L397" s="24" t="str">
        <f t="shared" si="74"/>
        <v>(0.278 * E6.3.4.21_mRNA) - (0.00000278 * E6.3.4.21)</v>
      </c>
      <c r="M397" s="29" t="str">
        <f t="shared" si="75"/>
        <v>mRNA396: -&gt; E6.3.4.21_mRNA | 0.00292 - (0.0093 * E6.3.4.21_mRNA)</v>
      </c>
      <c r="N397" s="22" t="str">
        <f t="shared" si="76"/>
        <v>Peptide396: E6.3.4.21_mRNA -&gt; E6.3.4.21 | (0.278 * E6.3.4.21_mRNA) - (0.000000278 * E6.3.4.21)</v>
      </c>
    </row>
    <row r="398" spans="1:14">
      <c r="A398">
        <v>397</v>
      </c>
      <c r="B398" s="4" t="s">
        <v>7569</v>
      </c>
      <c r="C398" s="4" t="str">
        <f t="shared" si="69"/>
        <v>E6.3.4.3_mRNA</v>
      </c>
      <c r="D398" s="4" t="s">
        <v>12948</v>
      </c>
      <c r="E398" s="22" t="str">
        <f t="shared" si="70"/>
        <v>E6.3.4.3_kcat : 13.7</v>
      </c>
      <c r="F398" s="23" t="str">
        <f t="shared" si="66"/>
        <v>E6.3.4.3_km : 1</v>
      </c>
      <c r="G398" s="24" t="str">
        <f t="shared" si="67"/>
        <v>E6.3.4.3_mRNA : E6.3.4.3_mRNA</v>
      </c>
      <c r="H398" s="25" t="str">
        <f t="shared" si="68"/>
        <v>E6.3.4.3 : E6.3.4.3</v>
      </c>
      <c r="I398" s="26" t="str">
        <f t="shared" si="71"/>
        <v>E6.3.4.3_mRNA : 0</v>
      </c>
      <c r="J398" s="27" t="str">
        <f t="shared" si="72"/>
        <v>E6.3.4.3 : 0</v>
      </c>
      <c r="K398" s="28" t="str">
        <f t="shared" si="73"/>
        <v>0.00292 - (0.0093 * E6.3.4.3_mRNA)</v>
      </c>
      <c r="L398" s="24" t="str">
        <f t="shared" si="74"/>
        <v>(0.278 * E6.3.4.3_mRNA) - (0.00000278 * E6.3.4.3)</v>
      </c>
      <c r="M398" s="29" t="str">
        <f t="shared" si="75"/>
        <v>mRNA397: -&gt; E6.3.4.3_mRNA | 0.00292 - (0.0093 * E6.3.4.3_mRNA)</v>
      </c>
      <c r="N398" s="22" t="str">
        <f t="shared" si="76"/>
        <v>Peptide397: E6.3.4.3_mRNA -&gt; E6.3.4.3 | (0.278 * E6.3.4.3_mRNA) - (0.000000278 * E6.3.4.3)</v>
      </c>
    </row>
    <row r="399" spans="1:14">
      <c r="A399">
        <v>398</v>
      </c>
      <c r="B399" s="4" t="s">
        <v>7826</v>
      </c>
      <c r="C399" s="4" t="str">
        <f t="shared" si="69"/>
        <v>E6.3.4.4_mRNA</v>
      </c>
      <c r="D399" s="4" t="s">
        <v>13124</v>
      </c>
      <c r="E399" s="22" t="str">
        <f t="shared" si="70"/>
        <v>E6.3.4.4_kcat : 13.7</v>
      </c>
      <c r="F399" s="23" t="str">
        <f t="shared" si="66"/>
        <v>E6.3.4.4_km : 1</v>
      </c>
      <c r="G399" s="24" t="str">
        <f t="shared" si="67"/>
        <v>E6.3.4.4_mRNA : E6.3.4.4_mRNA</v>
      </c>
      <c r="H399" s="25" t="str">
        <f t="shared" si="68"/>
        <v>E6.3.4.4 : E6.3.4.4</v>
      </c>
      <c r="I399" s="26" t="str">
        <f t="shared" si="71"/>
        <v>E6.3.4.4_mRNA : 0</v>
      </c>
      <c r="J399" s="27" t="str">
        <f t="shared" si="72"/>
        <v>E6.3.4.4 : 0</v>
      </c>
      <c r="K399" s="28" t="str">
        <f t="shared" si="73"/>
        <v>0.00292 - (0.0093 * E6.3.4.4_mRNA)</v>
      </c>
      <c r="L399" s="24" t="str">
        <f t="shared" si="74"/>
        <v>(0.278 * E6.3.4.4_mRNA) - (0.00000278 * E6.3.4.4)</v>
      </c>
      <c r="M399" s="29" t="str">
        <f t="shared" si="75"/>
        <v>mRNA398: -&gt; E6.3.4.4_mRNA | 0.00292 - (0.0093 * E6.3.4.4_mRNA)</v>
      </c>
      <c r="N399" s="22" t="str">
        <f t="shared" si="76"/>
        <v>Peptide398: E6.3.4.4_mRNA -&gt; E6.3.4.4 | (0.278 * E6.3.4.4_mRNA) - (0.000000278 * E6.3.4.4)</v>
      </c>
    </row>
    <row r="400" spans="1:14">
      <c r="A400">
        <v>399</v>
      </c>
      <c r="B400" s="4" t="s">
        <v>7542</v>
      </c>
      <c r="C400" s="4" t="str">
        <f t="shared" si="69"/>
        <v>E6.3.4.5_mRNA</v>
      </c>
      <c r="D400" s="4" t="s">
        <v>12933</v>
      </c>
      <c r="E400" s="22" t="str">
        <f t="shared" si="70"/>
        <v>E6.3.4.5_kcat : 13.7</v>
      </c>
      <c r="F400" s="23" t="str">
        <f t="shared" si="66"/>
        <v>E6.3.4.5_km : 1</v>
      </c>
      <c r="G400" s="24" t="str">
        <f t="shared" si="67"/>
        <v>E6.3.4.5_mRNA : E6.3.4.5_mRNA</v>
      </c>
      <c r="H400" s="25" t="str">
        <f t="shared" si="68"/>
        <v>E6.3.4.5 : E6.3.4.5</v>
      </c>
      <c r="I400" s="26" t="str">
        <f t="shared" si="71"/>
        <v>E6.3.4.5_mRNA : 0</v>
      </c>
      <c r="J400" s="27" t="str">
        <f t="shared" si="72"/>
        <v>E6.3.4.5 : 0</v>
      </c>
      <c r="K400" s="28" t="str">
        <f t="shared" si="73"/>
        <v>0.00292 - (0.0093 * E6.3.4.5_mRNA)</v>
      </c>
      <c r="L400" s="24" t="str">
        <f t="shared" si="74"/>
        <v>(0.278 * E6.3.4.5_mRNA) - (0.00000278 * E6.3.4.5)</v>
      </c>
      <c r="M400" s="29" t="str">
        <f t="shared" si="75"/>
        <v>mRNA399: -&gt; E6.3.4.5_mRNA | 0.00292 - (0.0093 * E6.3.4.5_mRNA)</v>
      </c>
      <c r="N400" s="22" t="str">
        <f t="shared" si="76"/>
        <v>Peptide399: E6.3.4.5_mRNA -&gt; E6.3.4.5 | (0.278 * E6.3.4.5_mRNA) - (0.000000278 * E6.3.4.5)</v>
      </c>
    </row>
    <row r="401" spans="1:14">
      <c r="A401">
        <v>400</v>
      </c>
      <c r="B401" s="4" t="s">
        <v>7756</v>
      </c>
      <c r="C401" s="4" t="str">
        <f t="shared" si="69"/>
        <v>E6.3.5.3_mRNA</v>
      </c>
      <c r="D401" s="4" t="s">
        <v>13103</v>
      </c>
      <c r="E401" s="22" t="str">
        <f t="shared" si="70"/>
        <v>E6.3.5.3_kcat : 13.7</v>
      </c>
      <c r="F401" s="23" t="str">
        <f t="shared" si="66"/>
        <v>E6.3.5.3_km : 1</v>
      </c>
      <c r="G401" s="24" t="str">
        <f t="shared" si="67"/>
        <v>E6.3.5.3_mRNA : E6.3.5.3_mRNA</v>
      </c>
      <c r="H401" s="25" t="str">
        <f t="shared" si="68"/>
        <v>E6.3.5.3 : E6.3.5.3</v>
      </c>
      <c r="I401" s="26" t="str">
        <f t="shared" si="71"/>
        <v>E6.3.5.3_mRNA : 0</v>
      </c>
      <c r="J401" s="27" t="str">
        <f t="shared" si="72"/>
        <v>E6.3.5.3 : 0</v>
      </c>
      <c r="K401" s="28" t="str">
        <f t="shared" si="73"/>
        <v>0.00292 - (0.0093 * E6.3.5.3_mRNA)</v>
      </c>
      <c r="L401" s="24" t="str">
        <f t="shared" si="74"/>
        <v>(0.278 * E6.3.5.3_mRNA) - (0.00000278 * E6.3.5.3)</v>
      </c>
      <c r="M401" s="29" t="str">
        <f t="shared" si="75"/>
        <v>mRNA400: -&gt; E6.3.5.3_mRNA | 0.00292 - (0.0093 * E6.3.5.3_mRNA)</v>
      </c>
      <c r="N401" s="22" t="str">
        <f t="shared" si="76"/>
        <v>Peptide400: E6.3.5.3_mRNA -&gt; E6.3.5.3 | (0.278 * E6.3.5.3_mRNA) - (0.000000278 * E6.3.5.3)</v>
      </c>
    </row>
    <row r="402" spans="1:14">
      <c r="A402">
        <v>401</v>
      </c>
      <c r="B402" s="4" t="s">
        <v>7680</v>
      </c>
      <c r="C402" s="4" t="str">
        <f t="shared" si="69"/>
        <v>E6.3.5.4_mRNA</v>
      </c>
      <c r="D402" s="4" t="s">
        <v>13036</v>
      </c>
      <c r="E402" s="22" t="str">
        <f t="shared" si="70"/>
        <v>E6.3.5.4_kcat : 13.7</v>
      </c>
      <c r="F402" s="23" t="str">
        <f t="shared" si="66"/>
        <v>E6.3.5.4_km : 1</v>
      </c>
      <c r="G402" s="24" t="str">
        <f t="shared" si="67"/>
        <v>E6.3.5.4_mRNA : E6.3.5.4_mRNA</v>
      </c>
      <c r="H402" s="25" t="str">
        <f t="shared" si="68"/>
        <v>E6.3.5.4 : E6.3.5.4</v>
      </c>
      <c r="I402" s="26" t="str">
        <f t="shared" si="71"/>
        <v>E6.3.5.4_mRNA : 0</v>
      </c>
      <c r="J402" s="27" t="str">
        <f t="shared" si="72"/>
        <v>E6.3.5.4 : 0</v>
      </c>
      <c r="K402" s="28" t="str">
        <f t="shared" si="73"/>
        <v>0.00292 - (0.0093 * E6.3.5.4_mRNA)</v>
      </c>
      <c r="L402" s="24" t="str">
        <f t="shared" si="74"/>
        <v>(0.278 * E6.3.5.4_mRNA) - (0.00000278 * E6.3.5.4)</v>
      </c>
      <c r="M402" s="29" t="str">
        <f t="shared" si="75"/>
        <v>mRNA401: -&gt; E6.3.5.4_mRNA | 0.00292 - (0.0093 * E6.3.5.4_mRNA)</v>
      </c>
      <c r="N402" s="22" t="str">
        <f t="shared" si="76"/>
        <v>Peptide401: E6.3.5.4_mRNA -&gt; E6.3.5.4 | (0.278 * E6.3.5.4_mRNA) - (0.000000278 * E6.3.5.4)</v>
      </c>
    </row>
    <row r="403" spans="1:14">
      <c r="A403">
        <v>402</v>
      </c>
      <c r="B403" s="4" t="s">
        <v>7591</v>
      </c>
      <c r="C403" s="4" t="str">
        <f t="shared" si="69"/>
        <v>E6.3.5.5_mRNA</v>
      </c>
      <c r="D403" s="4" t="s">
        <v>12968</v>
      </c>
      <c r="E403" s="22" t="str">
        <f t="shared" si="70"/>
        <v>E6.3.5.5_kcat : 13.7</v>
      </c>
      <c r="F403" s="23" t="str">
        <f t="shared" si="66"/>
        <v>E6.3.5.5_km : 1</v>
      </c>
      <c r="G403" s="24" t="str">
        <f t="shared" si="67"/>
        <v>E6.3.5.5_mRNA : E6.3.5.5_mRNA</v>
      </c>
      <c r="H403" s="25" t="str">
        <f t="shared" si="68"/>
        <v>E6.3.5.5 : E6.3.5.5</v>
      </c>
      <c r="I403" s="26" t="str">
        <f t="shared" si="71"/>
        <v>E6.3.5.5_mRNA : 0</v>
      </c>
      <c r="J403" s="27" t="str">
        <f t="shared" si="72"/>
        <v>E6.3.5.5 : 0</v>
      </c>
      <c r="K403" s="28" t="str">
        <f t="shared" si="73"/>
        <v>0.00292 - (0.0093 * E6.3.5.5_mRNA)</v>
      </c>
      <c r="L403" s="24" t="str">
        <f t="shared" si="74"/>
        <v>(0.278 * E6.3.5.5_mRNA) - (0.00000278 * E6.3.5.5)</v>
      </c>
      <c r="M403" s="29" t="str">
        <f t="shared" si="75"/>
        <v>mRNA402: -&gt; E6.3.5.5_mRNA | 0.00292 - (0.0093 * E6.3.5.5_mRNA)</v>
      </c>
      <c r="N403" s="22" t="str">
        <f t="shared" si="76"/>
        <v>Peptide402: E6.3.5.5_mRNA -&gt; E6.3.5.5 | (0.278 * E6.3.5.5_mRNA) - (0.000000278 * E6.3.5.5)</v>
      </c>
    </row>
    <row r="404" spans="1:14">
      <c r="A404">
        <v>403</v>
      </c>
      <c r="B404" s="4" t="s">
        <v>7408</v>
      </c>
      <c r="C404" s="4" t="str">
        <f t="shared" si="69"/>
        <v>E6.4.1.3_mRNA</v>
      </c>
      <c r="D404" s="4" t="s">
        <v>12844</v>
      </c>
      <c r="E404" s="22" t="str">
        <f t="shared" si="70"/>
        <v>E6.4.1.3_kcat : 13.7</v>
      </c>
      <c r="F404" s="23" t="str">
        <f t="shared" si="66"/>
        <v>E6.4.1.3_km : 1</v>
      </c>
      <c r="G404" s="24" t="str">
        <f t="shared" si="67"/>
        <v>E6.4.1.3_mRNA : E6.4.1.3_mRNA</v>
      </c>
      <c r="H404" s="25" t="str">
        <f t="shared" si="68"/>
        <v>E6.4.1.3 : E6.4.1.3</v>
      </c>
      <c r="I404" s="26" t="str">
        <f t="shared" si="71"/>
        <v>E6.4.1.3_mRNA : 0</v>
      </c>
      <c r="J404" s="27" t="str">
        <f t="shared" si="72"/>
        <v>E6.4.1.3 : 0</v>
      </c>
      <c r="K404" s="28" t="str">
        <f t="shared" si="73"/>
        <v>0.00292 - (0.0093 * E6.4.1.3_mRNA)</v>
      </c>
      <c r="L404" s="24" t="str">
        <f t="shared" si="74"/>
        <v>(0.278 * E6.4.1.3_mRNA) - (0.00000278 * E6.4.1.3)</v>
      </c>
      <c r="M404" s="29" t="str">
        <f t="shared" si="75"/>
        <v>mRNA403: -&gt; E6.4.1.3_mRNA | 0.00292 - (0.0093 * E6.4.1.3_mRNA)</v>
      </c>
      <c r="N404" s="22" t="str">
        <f t="shared" si="76"/>
        <v>Peptide403: E6.4.1.3_mRNA -&gt; E6.4.1.3 | (0.278 * E6.4.1.3_mRNA) - (0.000000278 * E6.4.1.3)</v>
      </c>
    </row>
    <row r="405" spans="1:14">
      <c r="A405">
        <v>404</v>
      </c>
      <c r="B405" s="4" t="s">
        <v>7404</v>
      </c>
      <c r="C405" s="4" t="str">
        <f t="shared" si="69"/>
        <v>E6.4.1.7_mRNA</v>
      </c>
      <c r="D405" s="4" t="s">
        <v>12840</v>
      </c>
      <c r="E405" s="22" t="str">
        <f t="shared" si="70"/>
        <v>E6.4.1.7_kcat : 13.7</v>
      </c>
      <c r="F405" s="23" t="str">
        <f t="shared" si="66"/>
        <v>E6.4.1.7_km : 1</v>
      </c>
      <c r="G405" s="24" t="str">
        <f t="shared" si="67"/>
        <v>E6.4.1.7_mRNA : E6.4.1.7_mRNA</v>
      </c>
      <c r="H405" s="25" t="str">
        <f t="shared" si="68"/>
        <v>E6.4.1.7 : E6.4.1.7</v>
      </c>
      <c r="I405" s="26" t="str">
        <f t="shared" si="71"/>
        <v>E6.4.1.7_mRNA : 0</v>
      </c>
      <c r="J405" s="27" t="str">
        <f t="shared" si="72"/>
        <v>E6.4.1.7 : 0</v>
      </c>
      <c r="K405" s="28" t="str">
        <f t="shared" si="73"/>
        <v>0.00292 - (0.0093 * E6.4.1.7_mRNA)</v>
      </c>
      <c r="L405" s="24" t="str">
        <f t="shared" si="74"/>
        <v>(0.278 * E6.4.1.7_mRNA) - (0.00000278 * E6.4.1.7)</v>
      </c>
      <c r="M405" s="29" t="str">
        <f t="shared" si="75"/>
        <v>mRNA404: -&gt; E6.4.1.7_mRNA | 0.00292 - (0.0093 * E6.4.1.7_mRNA)</v>
      </c>
      <c r="N405" s="22" t="str">
        <f t="shared" si="76"/>
        <v>Peptide404: E6.4.1.7_mRNA -&gt; E6.4.1.7 | (0.278 * E6.4.1.7_mRNA) - (0.000000278 * E6.4.1.7)</v>
      </c>
    </row>
    <row r="406" spans="1:14">
      <c r="A406">
        <v>405</v>
      </c>
      <c r="B406" s="4" t="s">
        <v>7521</v>
      </c>
      <c r="C406" s="4" t="str">
        <f t="shared" si="69"/>
        <v>E6.5.1.2_mRNA</v>
      </c>
      <c r="D406" s="4" t="s">
        <v>12913</v>
      </c>
      <c r="E406" s="22" t="str">
        <f t="shared" si="70"/>
        <v>E6.5.1.2_kcat : 13.7</v>
      </c>
      <c r="F406" s="23" t="str">
        <f t="shared" si="66"/>
        <v>E6.5.1.2_km : 1</v>
      </c>
      <c r="G406" s="24" t="str">
        <f t="shared" si="67"/>
        <v>E6.5.1.2_mRNA : E6.5.1.2_mRNA</v>
      </c>
      <c r="H406" s="25" t="str">
        <f t="shared" si="68"/>
        <v>E6.5.1.2 : E6.5.1.2</v>
      </c>
      <c r="I406" s="26" t="str">
        <f t="shared" si="71"/>
        <v>E6.5.1.2_mRNA : 0</v>
      </c>
      <c r="J406" s="27" t="str">
        <f t="shared" si="72"/>
        <v>E6.5.1.2 : 0</v>
      </c>
      <c r="K406" s="28" t="str">
        <f t="shared" si="73"/>
        <v>0.00292 - (0.0093 * E6.5.1.2_mRNA)</v>
      </c>
      <c r="L406" s="24" t="str">
        <f t="shared" si="74"/>
        <v>(0.278 * E6.5.1.2_mRNA) - (0.00000278 * E6.5.1.2)</v>
      </c>
      <c r="M406" s="29" t="str">
        <f t="shared" si="75"/>
        <v>mRNA405: -&gt; E6.5.1.2_mRNA | 0.00292 - (0.0093 * E6.5.1.2_mRNA)</v>
      </c>
      <c r="N406" s="22" t="str">
        <f t="shared" si="76"/>
        <v>Peptide405: E6.5.1.2_mRNA -&gt; E6.5.1.2 | (0.278 * E6.5.1.2_mRNA) - (0.000000278 * E6.5.1.2)</v>
      </c>
    </row>
    <row r="407" spans="1:14">
      <c r="A407">
        <v>406</v>
      </c>
      <c r="B407" s="4" t="s">
        <v>7679</v>
      </c>
      <c r="C407" s="4" t="str">
        <f t="shared" si="69"/>
        <v>E7.1.1.9_mRNA</v>
      </c>
      <c r="D407" s="4" t="s">
        <v>13035</v>
      </c>
      <c r="E407" s="22" t="str">
        <f t="shared" si="70"/>
        <v>E7.1.1.9_kcat : 13.7</v>
      </c>
      <c r="F407" s="23" t="str">
        <f t="shared" si="66"/>
        <v>E7.1.1.9_km : 1</v>
      </c>
      <c r="G407" s="24" t="str">
        <f t="shared" si="67"/>
        <v>E7.1.1.9_mRNA : E7.1.1.9_mRNA</v>
      </c>
      <c r="H407" s="25" t="str">
        <f t="shared" si="68"/>
        <v>E7.1.1.9 : E7.1.1.9</v>
      </c>
      <c r="I407" s="26" t="str">
        <f t="shared" si="71"/>
        <v>E7.1.1.9_mRNA : 0</v>
      </c>
      <c r="J407" s="27" t="str">
        <f t="shared" si="72"/>
        <v>E7.1.1.9 : 0</v>
      </c>
      <c r="K407" s="28" t="str">
        <f t="shared" si="73"/>
        <v>0.00292 - (0.0093 * E7.1.1.9_mRNA)</v>
      </c>
      <c r="L407" s="24" t="str">
        <f t="shared" si="74"/>
        <v>(0.278 * E7.1.1.9_mRNA) - (0.00000278 * E7.1.1.9)</v>
      </c>
      <c r="M407" s="29" t="str">
        <f t="shared" si="75"/>
        <v>mRNA406: -&gt; E7.1.1.9_mRNA | 0.00292 - (0.0093 * E7.1.1.9_mRNA)</v>
      </c>
      <c r="N407" s="22" t="str">
        <f t="shared" si="76"/>
        <v>Peptide406: E7.1.1.9_mRNA -&gt; E7.1.1.9 | (0.278 * E7.1.1.9_mRNA) - (0.000000278 * E7.1.1.9)</v>
      </c>
    </row>
    <row r="408" spans="1:14">
      <c r="A408">
        <v>407</v>
      </c>
      <c r="B408" s="4" t="s">
        <v>7517</v>
      </c>
      <c r="C408" s="4" t="str">
        <f t="shared" si="69"/>
        <v>E7.1.2.2_mRNA</v>
      </c>
      <c r="D408" s="4" t="s">
        <v>12911</v>
      </c>
      <c r="E408" s="22" t="str">
        <f t="shared" si="70"/>
        <v>E7.1.2.2_kcat : 13.7</v>
      </c>
      <c r="F408" s="23" t="str">
        <f t="shared" si="66"/>
        <v>E7.1.2.2_km : 1</v>
      </c>
      <c r="G408" s="24" t="str">
        <f t="shared" si="67"/>
        <v>E7.1.2.2_mRNA : E7.1.2.2_mRNA</v>
      </c>
      <c r="H408" s="25" t="str">
        <f t="shared" si="68"/>
        <v>E7.1.2.2 : E7.1.2.2</v>
      </c>
      <c r="I408" s="26" t="str">
        <f t="shared" si="71"/>
        <v>E7.1.2.2_mRNA : 0</v>
      </c>
      <c r="J408" s="27" t="str">
        <f t="shared" si="72"/>
        <v>E7.1.2.2 : 0</v>
      </c>
      <c r="K408" s="28" t="str">
        <f t="shared" si="73"/>
        <v>0.00292 - (0.0093 * E7.1.2.2_mRNA)</v>
      </c>
      <c r="L408" s="24" t="str">
        <f t="shared" si="74"/>
        <v>(0.278 * E7.1.2.2_mRNA) - (0.00000278 * E7.1.2.2)</v>
      </c>
      <c r="M408" s="29" t="str">
        <f t="shared" si="75"/>
        <v>mRNA407: -&gt; E7.1.2.2_mRNA | 0.00292 - (0.0093 * E7.1.2.2_mRNA)</v>
      </c>
      <c r="N408" s="22" t="str">
        <f t="shared" si="76"/>
        <v>Peptide407: E7.1.2.2_mRNA -&gt; E7.1.2.2 | (0.278 * E7.1.2.2_mRNA) - (0.000000278 * E7.1.2.2)</v>
      </c>
    </row>
    <row r="409" spans="1:14">
      <c r="C409" s="4"/>
    </row>
    <row r="410" spans="1:14">
      <c r="C410" s="4"/>
    </row>
    <row r="411" spans="1:14">
      <c r="C411" s="4"/>
    </row>
    <row r="412" spans="1:14">
      <c r="C412" s="4"/>
    </row>
    <row r="413" spans="1:14">
      <c r="C413" s="4"/>
    </row>
    <row r="414" spans="1:14">
      <c r="C414" s="4"/>
    </row>
    <row r="415" spans="1:14">
      <c r="C415" s="4"/>
    </row>
    <row r="416" spans="1:14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</sheetData>
  <sortState xmlns:xlrd2="http://schemas.microsoft.com/office/spreadsheetml/2017/richdata2" ref="C2:C1183">
    <sortCondition ref="C2:C118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9D2B-6C7A-8640-8224-0B28B6D4EE40}">
  <dimension ref="A1:K1183"/>
  <sheetViews>
    <sheetView topLeftCell="C1" zoomScale="110" zoomScaleNormal="110" workbookViewId="0">
      <selection activeCell="C1" sqref="C1"/>
    </sheetView>
  </sheetViews>
  <sheetFormatPr defaultColWidth="10.6640625" defaultRowHeight="16"/>
  <cols>
    <col min="1" max="1" width="14.1640625" customWidth="1"/>
    <col min="2" max="2" width="15.5" customWidth="1"/>
    <col min="3" max="3" width="11.6640625" customWidth="1"/>
    <col min="4" max="4" width="6.1640625" customWidth="1"/>
    <col min="6" max="6" width="32.33203125" customWidth="1"/>
    <col min="7" max="7" width="33.33203125" customWidth="1"/>
    <col min="8" max="8" width="34" customWidth="1"/>
    <col min="9" max="9" width="29.5" customWidth="1"/>
    <col min="10" max="10" width="105.6640625" customWidth="1"/>
    <col min="11" max="11" width="71.33203125" customWidth="1"/>
  </cols>
  <sheetData>
    <row r="1" spans="1:11" ht="29.5">
      <c r="A1" s="8" t="s">
        <v>10</v>
      </c>
      <c r="B1" s="8" t="s">
        <v>12</v>
      </c>
      <c r="C1" s="8" t="s">
        <v>10475</v>
      </c>
      <c r="D1" s="8" t="s">
        <v>10476</v>
      </c>
      <c r="E1" s="8" t="s">
        <v>10477</v>
      </c>
      <c r="F1" s="8" t="s">
        <v>10478</v>
      </c>
      <c r="G1" s="8" t="s">
        <v>10479</v>
      </c>
      <c r="H1" s="8" t="s">
        <v>10480</v>
      </c>
      <c r="I1" s="8" t="s">
        <v>10481</v>
      </c>
      <c r="J1" s="8" t="s">
        <v>10482</v>
      </c>
      <c r="K1" s="11" t="s">
        <v>10483</v>
      </c>
    </row>
    <row r="2" spans="1:11">
      <c r="A2" t="s">
        <v>22</v>
      </c>
      <c r="B2" t="s">
        <v>23</v>
      </c>
      <c r="C2" t="s">
        <v>15311</v>
      </c>
      <c r="D2" cm="1">
        <f t="array" ref="D2:D1183">_xlfn.SEQUENCE(1182)</f>
        <v>1</v>
      </c>
      <c r="E2" t="str">
        <f>"E" &amp; C2</f>
        <v>E2_7_7_7</v>
      </c>
      <c r="F2" t="s">
        <v>12706</v>
      </c>
      <c r="G2" t="s">
        <v>12705</v>
      </c>
      <c r="H2" s="3" t="s">
        <v>10163</v>
      </c>
      <c r="I2" s="3" t="s">
        <v>11305</v>
      </c>
      <c r="J2" t="str">
        <f>CONCATENATE("(${Variables:",E2,"_kcat","} * ",E2," * ",G2,")","/(${Variables:",E2,"_km","} + (",E2," * ",G2,"))")</f>
        <v>(${Variables:E2_7_7_7_kcat} * E2_7_7_7 * C00677 * C00039)/(${Variables:E2_7_7_7_km} + (E2_7_7_7 * C00677 * C00039))</v>
      </c>
      <c r="K2" s="21" t="str">
        <f>CONCATENATE("r",D2,": ",F2," -&gt; ",H2," | ",J2)</f>
        <v>r1: C00677 + C00039 -&gt; C00013 + C00039 | (${Variables:E2_7_7_7_kcat} * E2_7_7_7 * C00677 * C00039)/(${Variables:E2_7_7_7_km} + (E2_7_7_7 * C00677 * C00039))</v>
      </c>
    </row>
    <row r="3" spans="1:11">
      <c r="A3" t="s">
        <v>22</v>
      </c>
      <c r="B3" t="s">
        <v>23</v>
      </c>
      <c r="C3" t="s">
        <v>15311</v>
      </c>
      <c r="D3">
        <v>2</v>
      </c>
      <c r="E3" t="str">
        <f t="shared" ref="E3:E66" si="0">"E" &amp; C3</f>
        <v>E2_7_7_7</v>
      </c>
      <c r="F3" t="s">
        <v>10162</v>
      </c>
      <c r="G3" t="s">
        <v>11301</v>
      </c>
      <c r="H3" s="3" t="s">
        <v>10163</v>
      </c>
      <c r="I3" s="3" t="s">
        <v>11305</v>
      </c>
      <c r="J3" t="str">
        <f t="shared" ref="J3:J66" si="1">CONCATENATE("(${Variables:",E3,"_kcat","} * ",E3," * ",G3,")","/(${Variables:",E3,"_km","} + (",E3," * ",G3,"))")</f>
        <v>(${Variables:E2_7_7_7_kcat} * E2_7_7_7 * C00131 * C00039)/(${Variables:E2_7_7_7_km} + (E2_7_7_7 * C00131 * C00039))</v>
      </c>
      <c r="K3" s="21" t="str">
        <f t="shared" ref="K3:K66" si="2">CONCATENATE("r",D3,": ",F3," -&gt; ",H3," | ",J3)</f>
        <v>r2: C00131 + C00039 -&gt; C00013 + C00039 | (${Variables:E2_7_7_7_kcat} * E2_7_7_7 * C00131 * C00039)/(${Variables:E2_7_7_7_km} + (E2_7_7_7 * C00131 * C00039))</v>
      </c>
    </row>
    <row r="4" spans="1:11">
      <c r="A4" t="s">
        <v>22</v>
      </c>
      <c r="B4" t="s">
        <v>23</v>
      </c>
      <c r="C4" t="s">
        <v>15311</v>
      </c>
      <c r="D4">
        <v>3</v>
      </c>
      <c r="E4" t="str">
        <f t="shared" si="0"/>
        <v>E2_7_7_7</v>
      </c>
      <c r="F4" t="s">
        <v>10164</v>
      </c>
      <c r="G4" t="s">
        <v>11302</v>
      </c>
      <c r="H4" s="3" t="s">
        <v>10163</v>
      </c>
      <c r="I4" s="3" t="s">
        <v>11305</v>
      </c>
      <c r="J4" t="str">
        <f t="shared" si="1"/>
        <v>(${Variables:E2_7_7_7_kcat} * E2_7_7_7 * C00286 * C00039 )/(${Variables:E2_7_7_7_km} + (E2_7_7_7 * C00286 * C00039 ))</v>
      </c>
      <c r="K4" s="21" t="str">
        <f t="shared" si="2"/>
        <v>r3: C00286 + C00039  -&gt; C00013 + C00039 | (${Variables:E2_7_7_7_kcat} * E2_7_7_7 * C00286 * C00039 )/(${Variables:E2_7_7_7_km} + (E2_7_7_7 * C00286 * C00039 ))</v>
      </c>
    </row>
    <row r="5" spans="1:11">
      <c r="A5" t="s">
        <v>22</v>
      </c>
      <c r="B5" t="s">
        <v>23</v>
      </c>
      <c r="C5" t="s">
        <v>15311</v>
      </c>
      <c r="D5">
        <v>4</v>
      </c>
      <c r="E5" t="str">
        <f t="shared" si="0"/>
        <v>E2_7_7_7</v>
      </c>
      <c r="F5" t="s">
        <v>10165</v>
      </c>
      <c r="G5" t="s">
        <v>11303</v>
      </c>
      <c r="H5" s="3" t="s">
        <v>10163</v>
      </c>
      <c r="I5" s="3" t="s">
        <v>11305</v>
      </c>
      <c r="J5" t="str">
        <f t="shared" si="1"/>
        <v>(${Variables:E2_7_7_7_kcat} * E2_7_7_7 * C00458 * C00039)/(${Variables:E2_7_7_7_km} + (E2_7_7_7 * C00458 * C00039))</v>
      </c>
      <c r="K5" s="21" t="str">
        <f t="shared" si="2"/>
        <v>r4: C00458 + C00039 -&gt; C00013 + C00039 | (${Variables:E2_7_7_7_kcat} * E2_7_7_7 * C00458 * C00039)/(${Variables:E2_7_7_7_km} + (E2_7_7_7 * C00458 * C00039))</v>
      </c>
    </row>
    <row r="6" spans="1:11">
      <c r="A6" t="s">
        <v>22</v>
      </c>
      <c r="B6" t="s">
        <v>23</v>
      </c>
      <c r="C6" t="s">
        <v>15311</v>
      </c>
      <c r="D6">
        <v>5</v>
      </c>
      <c r="E6" t="str">
        <f t="shared" si="0"/>
        <v>E2_7_7_7</v>
      </c>
      <c r="F6" t="s">
        <v>10166</v>
      </c>
      <c r="G6" t="s">
        <v>11304</v>
      </c>
      <c r="H6" s="3" t="s">
        <v>10163</v>
      </c>
      <c r="I6" s="3" t="s">
        <v>11305</v>
      </c>
      <c r="J6" t="str">
        <f t="shared" si="1"/>
        <v>(${Variables:E2_7_7_7_kcat} * E2_7_7_7 * C00459 * C00039 )/(${Variables:E2_7_7_7_km} + (E2_7_7_7 * C00459 * C00039 ))</v>
      </c>
      <c r="K6" s="21" t="str">
        <f t="shared" si="2"/>
        <v>r5: C00459 + C00039  -&gt; C00013 + C00039 | (${Variables:E2_7_7_7_kcat} * E2_7_7_7 * C00459 * C00039 )/(${Variables:E2_7_7_7_km} + (E2_7_7_7 * C00459 * C00039 ))</v>
      </c>
    </row>
    <row r="7" spans="1:11">
      <c r="A7" t="s">
        <v>22</v>
      </c>
      <c r="B7" t="s">
        <v>23</v>
      </c>
      <c r="C7" t="s">
        <v>15311</v>
      </c>
      <c r="D7">
        <v>6</v>
      </c>
      <c r="E7" t="str">
        <f t="shared" si="0"/>
        <v>E2_7_7_7</v>
      </c>
      <c r="F7" t="s">
        <v>10167</v>
      </c>
      <c r="G7" t="s">
        <v>10167</v>
      </c>
      <c r="H7" s="3" t="s">
        <v>10168</v>
      </c>
      <c r="I7" s="3" t="s">
        <v>10168</v>
      </c>
      <c r="J7" t="str">
        <f t="shared" si="1"/>
        <v>(${Variables:E2_7_7_7_kcat} * E2_7_7_7 * C11039)/(${Variables:E2_7_7_7_km} + (E2_7_7_7 * C11039))</v>
      </c>
      <c r="K7" s="21" t="str">
        <f t="shared" si="2"/>
        <v>r6: C11039 -&gt; C21031 | (${Variables:E2_7_7_7_kcat} * E2_7_7_7 * C11039)/(${Variables:E2_7_7_7_km} + (E2_7_7_7 * C11039))</v>
      </c>
    </row>
    <row r="8" spans="1:11">
      <c r="A8" t="s">
        <v>84</v>
      </c>
      <c r="B8" t="s">
        <v>85</v>
      </c>
      <c r="C8" t="s">
        <v>15312</v>
      </c>
      <c r="D8">
        <v>7</v>
      </c>
      <c r="E8" t="str">
        <f t="shared" si="0"/>
        <v>E1_5_1_20</v>
      </c>
      <c r="F8" t="s">
        <v>10487</v>
      </c>
      <c r="G8" t="s">
        <v>11306</v>
      </c>
      <c r="H8" t="s">
        <v>10488</v>
      </c>
      <c r="I8" t="s">
        <v>11999</v>
      </c>
      <c r="J8" t="str">
        <f t="shared" si="1"/>
        <v>(${Variables:E1_5_1_20_kcat} * E1_5_1_20 * C00440 * C00006)/(${Variables:E1_5_1_20_km} + (E1_5_1_20 * C00440 * C00006))</v>
      </c>
      <c r="K8" s="21" t="str">
        <f t="shared" si="2"/>
        <v>r7: C00440 + C00006 -&gt; C00143 + C00005 + C00080 | (${Variables:E1_5_1_20_kcat} * E1_5_1_20 * C00440 * C00006)/(${Variables:E1_5_1_20_km} + (E1_5_1_20 * C00440 * C00006))</v>
      </c>
    </row>
    <row r="9" spans="1:11">
      <c r="A9" t="s">
        <v>84</v>
      </c>
      <c r="B9" t="s">
        <v>85</v>
      </c>
      <c r="C9" t="s">
        <v>15312</v>
      </c>
      <c r="D9">
        <v>8</v>
      </c>
      <c r="E9" t="str">
        <f t="shared" si="0"/>
        <v>E1_5_1_20</v>
      </c>
      <c r="F9" t="s">
        <v>10169</v>
      </c>
      <c r="G9" t="s">
        <v>11307</v>
      </c>
      <c r="H9" t="s">
        <v>10170</v>
      </c>
      <c r="I9" t="s">
        <v>12000</v>
      </c>
      <c r="J9" t="str">
        <f t="shared" si="1"/>
        <v>(${Variables:E1_5_1_20_kcat} * E1_5_1_20 * C00440 * C00003)/(${Variables:E1_5_1_20_km} + (E1_5_1_20 * C00440 * C00003))</v>
      </c>
      <c r="K9" s="21" t="str">
        <f t="shared" si="2"/>
        <v>r8: C00440 + C00003 -&gt; C00143 + C00004 + C00080 | (${Variables:E1_5_1_20_kcat} * E1_5_1_20 * C00440 * C00003)/(${Variables:E1_5_1_20_km} + (E1_5_1_20 * C00440 * C00003))</v>
      </c>
    </row>
    <row r="10" spans="1:11">
      <c r="A10" t="s">
        <v>88</v>
      </c>
      <c r="B10" t="s">
        <v>89</v>
      </c>
      <c r="C10" t="s">
        <v>15313</v>
      </c>
      <c r="D10">
        <v>9</v>
      </c>
      <c r="E10" t="str">
        <f t="shared" si="0"/>
        <v>E2_1_1_14</v>
      </c>
      <c r="F10" t="s">
        <v>10489</v>
      </c>
      <c r="G10" t="s">
        <v>11308</v>
      </c>
      <c r="H10" t="s">
        <v>10490</v>
      </c>
      <c r="I10" t="s">
        <v>12001</v>
      </c>
      <c r="J10" t="str">
        <f t="shared" si="1"/>
        <v>(${Variables:E2_1_1_14_kcat} * E2_1_1_14 * C04489 * C00155)/(${Variables:E2_1_1_14_km} + (E2_1_1_14 * C04489 * C00155))</v>
      </c>
      <c r="K10" s="21" t="str">
        <f t="shared" si="2"/>
        <v>r9: C04489 + C00155 -&gt; C04144 + C00073 | (${Variables:E2_1_1_14_kcat} * E2_1_1_14 * C04489 * C00155)/(${Variables:E2_1_1_14_km} + (E2_1_1_14 * C04489 * C00155))</v>
      </c>
    </row>
    <row r="11" spans="1:11">
      <c r="A11" t="s">
        <v>88</v>
      </c>
      <c r="B11" t="s">
        <v>89</v>
      </c>
      <c r="C11" t="s">
        <v>15313</v>
      </c>
      <c r="D11">
        <v>10</v>
      </c>
      <c r="E11" t="str">
        <f t="shared" si="0"/>
        <v>E2_1_1_14</v>
      </c>
      <c r="F11" t="s">
        <v>10171</v>
      </c>
      <c r="G11" t="s">
        <v>11309</v>
      </c>
      <c r="H11" t="s">
        <v>10172</v>
      </c>
      <c r="I11" t="s">
        <v>12002</v>
      </c>
      <c r="J11" t="str">
        <f t="shared" si="1"/>
        <v>(${Variables:E2_1_1_14_kcat} * E2_1_1_14 * C05698 * C04489)/(${Variables:E2_1_1_14_km} + (E2_1_1_14 * C05698 * C04489))</v>
      </c>
      <c r="K11" s="21" t="str">
        <f t="shared" si="2"/>
        <v>r10: C05698 + C04489 -&gt; C05335 + C04144 | (${Variables:E2_1_1_14_kcat} * E2_1_1_14 * C05698 * C04489)/(${Variables:E2_1_1_14_km} + (E2_1_1_14 * C05698 * C04489))</v>
      </c>
    </row>
    <row r="12" spans="1:11">
      <c r="A12" t="s">
        <v>96</v>
      </c>
      <c r="B12" t="s">
        <v>97</v>
      </c>
      <c r="C12" t="s">
        <v>15314</v>
      </c>
      <c r="D12">
        <v>11</v>
      </c>
      <c r="E12" t="str">
        <f t="shared" si="0"/>
        <v>E5_2_1_8</v>
      </c>
      <c r="F12" t="s">
        <v>7845</v>
      </c>
      <c r="G12" t="s">
        <v>7845</v>
      </c>
      <c r="H12" t="s">
        <v>7846</v>
      </c>
      <c r="I12" t="s">
        <v>7846</v>
      </c>
      <c r="J12" t="str">
        <f t="shared" si="1"/>
        <v>(${Variables:E5_2_1_8_kcat} * E5_2_1_8 * C03798)/(${Variables:E5_2_1_8_km} + (E5_2_1_8 * C03798))</v>
      </c>
      <c r="K12" s="21" t="str">
        <f t="shared" si="2"/>
        <v>r11: C03798 -&gt; C03633 | (${Variables:E5_2_1_8_kcat} * E5_2_1_8 * C03798)/(${Variables:E5_2_1_8_km} + (E5_2_1_8 * C03798))</v>
      </c>
    </row>
    <row r="13" spans="1:11">
      <c r="A13" t="s">
        <v>110</v>
      </c>
      <c r="B13" t="s">
        <v>111</v>
      </c>
      <c r="C13" t="s">
        <v>15315</v>
      </c>
      <c r="D13">
        <v>12</v>
      </c>
      <c r="E13" t="str">
        <f t="shared" si="0"/>
        <v>E3_5_1_25</v>
      </c>
      <c r="F13" t="s">
        <v>10491</v>
      </c>
      <c r="G13" t="s">
        <v>11310</v>
      </c>
      <c r="H13" t="s">
        <v>10492</v>
      </c>
      <c r="I13" t="s">
        <v>15976</v>
      </c>
      <c r="J13" t="str">
        <f t="shared" si="1"/>
        <v>(${Variables:E3_5_1_25_kcat} * E3_5_1_25 * C00357 * C00001)/(${Variables:E3_5_1_25_km} + (E3_5_1_25 * C00357 * C00001))</v>
      </c>
      <c r="K13" s="21" t="str">
        <f t="shared" si="2"/>
        <v>r12: C00357 + C00001 -&gt; C00352 +C00033 | (${Variables:E3_5_1_25_kcat} * E3_5_1_25 * C00357 * C00001)/(${Variables:E3_5_1_25_km} + (E3_5_1_25 * C00357 * C00001))</v>
      </c>
    </row>
    <row r="14" spans="1:11">
      <c r="A14" t="s">
        <v>114</v>
      </c>
      <c r="B14" t="s">
        <v>115</v>
      </c>
      <c r="C14" t="s">
        <v>15316</v>
      </c>
      <c r="D14">
        <v>13</v>
      </c>
      <c r="E14" t="str">
        <f t="shared" si="0"/>
        <v>E3_5_99_6</v>
      </c>
      <c r="F14" t="s">
        <v>10493</v>
      </c>
      <c r="G14" t="s">
        <v>11311</v>
      </c>
      <c r="H14" t="s">
        <v>10494</v>
      </c>
      <c r="I14" t="s">
        <v>12004</v>
      </c>
      <c r="J14" t="str">
        <f t="shared" si="1"/>
        <v>(${Variables:E3_5_99_6_kcat} * E3_5_99_6 * C00352 * C00001)/(${Variables:E3_5_99_6_km} + (E3_5_99_6 * C00352 * C00001))</v>
      </c>
      <c r="K14" s="21" t="str">
        <f t="shared" si="2"/>
        <v>r13: C00352 + C00001 -&gt; C00085 + C00014 | (${Variables:E3_5_99_6_kcat} * E3_5_99_6 * C00352 * C00001)/(${Variables:E3_5_99_6_km} + (E3_5_99_6 * C00352 * C00001))</v>
      </c>
    </row>
    <row r="15" spans="1:11">
      <c r="A15" t="s">
        <v>126</v>
      </c>
      <c r="B15" t="s">
        <v>127</v>
      </c>
      <c r="C15" t="s">
        <v>15317</v>
      </c>
      <c r="D15">
        <v>14</v>
      </c>
      <c r="E15" t="str">
        <f t="shared" si="0"/>
        <v>E2_7_11_1</v>
      </c>
      <c r="F15" t="s">
        <v>10495</v>
      </c>
      <c r="G15" t="s">
        <v>11312</v>
      </c>
      <c r="H15" t="s">
        <v>10496</v>
      </c>
      <c r="I15" t="s">
        <v>12005</v>
      </c>
      <c r="J15" t="str">
        <f t="shared" si="1"/>
        <v>(${Variables:E2_7_11_1_kcat} * E2_7_11_1 * C00002 *C00017)/(${Variables:E2_7_11_1_km} + (E2_7_11_1 * C00002 *C00017))</v>
      </c>
      <c r="K15" s="21" t="str">
        <f t="shared" si="2"/>
        <v>r14: C00002 +C00017 -&gt; C00008 + C00562 | (${Variables:E2_7_11_1_kcat} * E2_7_11_1 * C00002 *C00017)/(${Variables:E2_7_11_1_km} + (E2_7_11_1 * C00002 *C00017))</v>
      </c>
    </row>
    <row r="16" spans="1:11">
      <c r="A16" t="s">
        <v>126</v>
      </c>
      <c r="B16" t="s">
        <v>127</v>
      </c>
      <c r="C16" t="s">
        <v>15317</v>
      </c>
      <c r="D16">
        <v>15</v>
      </c>
      <c r="E16" t="str">
        <f t="shared" si="0"/>
        <v>E2_7_11_1</v>
      </c>
      <c r="F16" t="s">
        <v>10159</v>
      </c>
      <c r="G16" t="s">
        <v>11313</v>
      </c>
      <c r="H16" t="s">
        <v>10160</v>
      </c>
      <c r="I16" t="s">
        <v>12006</v>
      </c>
      <c r="J16" t="str">
        <f t="shared" si="1"/>
        <v>(${Variables:E2_7_11_1_kcat} * E2_7_11_1 * C00002 * C01609)/(${Variables:E2_7_11_1_km} + (E2_7_11_1 * C00002 * C01609))</v>
      </c>
      <c r="K16" s="21" t="str">
        <f t="shared" si="2"/>
        <v>r15: C00002 + C01609 -&gt; C00008 + C02729 | (${Variables:E2_7_11_1_kcat} * E2_7_11_1 * C00002 * C01609)/(${Variables:E2_7_11_1_km} + (E2_7_11_1 * C00002 * C01609))</v>
      </c>
    </row>
    <row r="17" spans="1:11">
      <c r="A17" t="s">
        <v>130</v>
      </c>
      <c r="B17" t="s">
        <v>131</v>
      </c>
      <c r="C17" t="s">
        <v>15317</v>
      </c>
      <c r="D17">
        <v>16</v>
      </c>
      <c r="E17" t="str">
        <f t="shared" si="0"/>
        <v>E2_7_11_1</v>
      </c>
      <c r="F17" t="s">
        <v>10495</v>
      </c>
      <c r="G17" t="s">
        <v>11312</v>
      </c>
      <c r="H17" t="s">
        <v>10496</v>
      </c>
      <c r="I17" t="s">
        <v>12005</v>
      </c>
      <c r="J17" t="str">
        <f t="shared" si="1"/>
        <v>(${Variables:E2_7_11_1_kcat} * E2_7_11_1 * C00002 *C00017)/(${Variables:E2_7_11_1_km} + (E2_7_11_1 * C00002 *C00017))</v>
      </c>
      <c r="K17" s="21" t="str">
        <f t="shared" si="2"/>
        <v>r16: C00002 +C00017 -&gt; C00008 + C00562 | (${Variables:E2_7_11_1_kcat} * E2_7_11_1 * C00002 *C00017)/(${Variables:E2_7_11_1_km} + (E2_7_11_1 * C00002 *C00017))</v>
      </c>
    </row>
    <row r="18" spans="1:11">
      <c r="A18" t="s">
        <v>130</v>
      </c>
      <c r="B18" t="s">
        <v>131</v>
      </c>
      <c r="C18" t="s">
        <v>15317</v>
      </c>
      <c r="D18">
        <v>17</v>
      </c>
      <c r="E18" t="str">
        <f t="shared" si="0"/>
        <v>E2_7_11_1</v>
      </c>
      <c r="F18" t="s">
        <v>10159</v>
      </c>
      <c r="G18" t="s">
        <v>11313</v>
      </c>
      <c r="H18" t="s">
        <v>10160</v>
      </c>
      <c r="I18" t="s">
        <v>12006</v>
      </c>
      <c r="J18" t="str">
        <f t="shared" si="1"/>
        <v>(${Variables:E2_7_11_1_kcat} * E2_7_11_1 * C00002 * C01609)/(${Variables:E2_7_11_1_km} + (E2_7_11_1 * C00002 * C01609))</v>
      </c>
      <c r="K18" s="21" t="str">
        <f t="shared" si="2"/>
        <v>r17: C00002 + C01609 -&gt; C00008 + C02729 | (${Variables:E2_7_11_1_kcat} * E2_7_11_1 * C00002 * C01609)/(${Variables:E2_7_11_1_km} + (E2_7_11_1 * C00002 * C01609))</v>
      </c>
    </row>
    <row r="19" spans="1:11" ht="17" customHeight="1">
      <c r="A19" t="s">
        <v>142</v>
      </c>
      <c r="B19" t="s">
        <v>143</v>
      </c>
      <c r="C19" t="s">
        <v>15318</v>
      </c>
      <c r="D19">
        <v>18</v>
      </c>
      <c r="E19" t="str">
        <f t="shared" si="0"/>
        <v>E3_1_3_16</v>
      </c>
      <c r="F19" t="s">
        <v>10497</v>
      </c>
      <c r="G19" t="s">
        <v>11314</v>
      </c>
      <c r="H19" t="s">
        <v>10498</v>
      </c>
      <c r="I19" t="s">
        <v>12007</v>
      </c>
      <c r="J19" t="str">
        <f t="shared" si="1"/>
        <v>(${Variables:E3_1_3_16_kcat} * E3_1_3_16 * C00562 * C00001)/(${Variables:E3_1_3_16_km} + (E3_1_3_16 * C00562 * C00001))</v>
      </c>
      <c r="K19" s="21" t="str">
        <f t="shared" si="2"/>
        <v>r18: C00562 + C00001 -&gt; C00017 + C00009 | (${Variables:E3_1_3_16_kcat} * E3_1_3_16 * C00562 * C00001)/(${Variables:E3_1_3_16_km} + (E3_1_3_16 * C00562 * C00001))</v>
      </c>
    </row>
    <row r="20" spans="1:11">
      <c r="A20" t="s">
        <v>199</v>
      </c>
      <c r="B20" t="s">
        <v>200</v>
      </c>
      <c r="C20" t="s">
        <v>15319</v>
      </c>
      <c r="D20">
        <v>19</v>
      </c>
      <c r="E20" t="str">
        <f t="shared" si="0"/>
        <v>E3_5_1_18</v>
      </c>
      <c r="F20" t="s">
        <v>10499</v>
      </c>
      <c r="G20" t="s">
        <v>11315</v>
      </c>
      <c r="H20" t="s">
        <v>10500</v>
      </c>
      <c r="I20" t="s">
        <v>12008</v>
      </c>
      <c r="J20" t="str">
        <f t="shared" si="1"/>
        <v>(${Variables:E3_5_1_18_kcat} * E3_5_1_18 * C04421 * C00001 )/(${Variables:E3_5_1_18_km} + (E3_5_1_18 * C04421 * C00001 ))</v>
      </c>
      <c r="K20" s="21" t="str">
        <f t="shared" si="2"/>
        <v>r19: C04421 + C00001  -&gt; C00042 + C00666 | (${Variables:E3_5_1_18_kcat} * E3_5_1_18 * C04421 * C00001 )/(${Variables:E3_5_1_18_km} + (E3_5_1_18 * C04421 * C00001 ))</v>
      </c>
    </row>
    <row r="21" spans="1:11">
      <c r="A21" t="s">
        <v>203</v>
      </c>
      <c r="B21" t="s">
        <v>204</v>
      </c>
      <c r="C21" t="s">
        <v>15320</v>
      </c>
      <c r="D21">
        <v>20</v>
      </c>
      <c r="E21" t="str">
        <f t="shared" si="0"/>
        <v>E2_8_1_6</v>
      </c>
      <c r="F21" s="3" t="s">
        <v>15898</v>
      </c>
      <c r="G21" s="3" t="s">
        <v>15899</v>
      </c>
      <c r="H21" s="3" t="s">
        <v>15733</v>
      </c>
      <c r="I21" s="3" t="s">
        <v>15990</v>
      </c>
      <c r="J21" t="str">
        <f t="shared" si="1"/>
        <v>(${Variables:E2_8_1_6_kcat} * E2_8_1_6 * C01909 * C17023 * C00019 * C05359 * C00080)/(${Variables:E2_8_1_6_km} + (E2_8_1_6 * C01909 * C17023 * C00019 * C05359 * C00080))</v>
      </c>
      <c r="K21" s="21" t="str">
        <f t="shared" si="2"/>
        <v>r20: C01909 + C17023 + C00019 + C05359 + C00080 -&gt; C00120 + C00073 + C05198 | (${Variables:E2_8_1_6_kcat} * E2_8_1_6 * C01909 * C17023 * C00019 * C05359 * C00080)/(${Variables:E2_8_1_6_km} + (E2_8_1_6 * C01909 * C17023 * C00019 * C05359 * C00080))</v>
      </c>
    </row>
    <row r="22" spans="1:11">
      <c r="A22" t="s">
        <v>219</v>
      </c>
      <c r="B22" t="s">
        <v>220</v>
      </c>
      <c r="C22" t="s">
        <v>15321</v>
      </c>
      <c r="D22">
        <v>21</v>
      </c>
      <c r="E22" t="str">
        <f t="shared" si="0"/>
        <v>E3_2_2_4</v>
      </c>
      <c r="F22" t="s">
        <v>10501</v>
      </c>
      <c r="G22" t="s">
        <v>11316</v>
      </c>
      <c r="H22" t="s">
        <v>10502</v>
      </c>
      <c r="I22" t="s">
        <v>12009</v>
      </c>
      <c r="J22" t="str">
        <f t="shared" si="1"/>
        <v>(${Variables:E3_2_2_4_kcat} * E3_2_2_4 * C00020 * C00001)/(${Variables:E3_2_2_4_km} + (E3_2_2_4 * C00020 * C00001))</v>
      </c>
      <c r="K22" s="21" t="str">
        <f t="shared" si="2"/>
        <v>r21: C00020 + C00001 -&gt; C00147 + C00117 | (${Variables:E3_2_2_4_kcat} * E3_2_2_4 * C00020 * C00001)/(${Variables:E3_2_2_4_km} + (E3_2_2_4 * C00020 * C00001))</v>
      </c>
    </row>
    <row r="23" spans="1:11">
      <c r="A23" t="s">
        <v>230</v>
      </c>
      <c r="B23" t="s">
        <v>231</v>
      </c>
      <c r="C23" t="s">
        <v>15322</v>
      </c>
      <c r="D23">
        <v>22</v>
      </c>
      <c r="E23" t="str">
        <f t="shared" si="0"/>
        <v>E1_16_3_1</v>
      </c>
      <c r="F23" t="s">
        <v>15719</v>
      </c>
      <c r="G23" t="s">
        <v>15718</v>
      </c>
      <c r="H23" t="s">
        <v>15732</v>
      </c>
      <c r="I23" t="s">
        <v>15734</v>
      </c>
      <c r="J23" t="str">
        <f t="shared" si="1"/>
        <v>(${Variables:E1_16_3_1_kcat} * E1_16_3_1 * C00007 *  C14818 *  C00080)/(${Variables:E1_16_3_1_km} + (E1_16_3_1 * C00007 *  C14818 *  C00080))</v>
      </c>
      <c r="K23" s="21" t="str">
        <f t="shared" si="2"/>
        <v>r22: C00007 + C14818 +  C00080 -&gt; C14819 + C00001 | (${Variables:E1_16_3_1_kcat} * E1_16_3_1 * C00007 *  C14818 *  C00080)/(${Variables:E1_16_3_1_km} + (E1_16_3_1 * C00007 *  C14818 *  C00080))</v>
      </c>
    </row>
    <row r="24" spans="1:11">
      <c r="A24" t="s">
        <v>272</v>
      </c>
      <c r="B24" t="s">
        <v>273</v>
      </c>
      <c r="C24" t="s">
        <v>15323</v>
      </c>
      <c r="D24">
        <v>23</v>
      </c>
      <c r="E24" t="str">
        <f t="shared" si="0"/>
        <v>E1_2_1_8</v>
      </c>
      <c r="F24" t="s">
        <v>10503</v>
      </c>
      <c r="G24" t="s">
        <v>11317</v>
      </c>
      <c r="H24" t="s">
        <v>15730</v>
      </c>
      <c r="I24" t="s">
        <v>15728</v>
      </c>
      <c r="J24" t="str">
        <f t="shared" si="1"/>
        <v>(${Variables:E1_2_1_8_kcat} * E1_2_1_8 * C00576 * C00003 * C00001)/(${Variables:E1_2_1_8_km} + (E1_2_1_8 * C00576 * C00003 * C00001))</v>
      </c>
      <c r="K24" s="21" t="str">
        <f t="shared" si="2"/>
        <v>r23: C00576 + C00003 + C00001 -&gt; C00719 + C00004 + C00080 | (${Variables:E1_2_1_8_kcat} * E1_2_1_8 * C00576 * C00003 * C00001)/(${Variables:E1_2_1_8_km} + (E1_2_1_8 * C00576 * C00003 * C00001))</v>
      </c>
    </row>
    <row r="25" spans="1:11">
      <c r="A25" t="s">
        <v>272</v>
      </c>
      <c r="B25" t="s">
        <v>273</v>
      </c>
      <c r="C25" t="s">
        <v>15323</v>
      </c>
      <c r="D25">
        <v>24</v>
      </c>
      <c r="E25" t="str">
        <f t="shared" si="0"/>
        <v>E1_2_1_8</v>
      </c>
      <c r="F25" t="s">
        <v>10173</v>
      </c>
      <c r="G25" t="s">
        <v>11318</v>
      </c>
      <c r="H25" t="s">
        <v>15731</v>
      </c>
      <c r="I25" t="s">
        <v>15729</v>
      </c>
      <c r="J25" t="str">
        <f t="shared" si="1"/>
        <v>(${Variables:E1_2_1_8_kcat} * E1_2_1_8 * C00576 * C00006 * C00001)/(${Variables:E1_2_1_8_km} + (E1_2_1_8 * C00576 * C00006 * C00001))</v>
      </c>
      <c r="K25" s="21" t="str">
        <f t="shared" si="2"/>
        <v>r24: C00576 + C00006 + C00001 -&gt; C00719 + C00005 + C00080 | (${Variables:E1_2_1_8_kcat} * E1_2_1_8 * C00576 * C00006 * C00001)/(${Variables:E1_2_1_8_km} + (E1_2_1_8 * C00576 * C00006 * C00001))</v>
      </c>
    </row>
    <row r="26" spans="1:11">
      <c r="A26" t="s">
        <v>280</v>
      </c>
      <c r="B26" t="s">
        <v>281</v>
      </c>
      <c r="C26" t="s">
        <v>15324</v>
      </c>
      <c r="D26">
        <v>25</v>
      </c>
      <c r="E26" t="str">
        <f t="shared" si="0"/>
        <v>E1_1_99_1</v>
      </c>
      <c r="F26" t="s">
        <v>10504</v>
      </c>
      <c r="G26" t="s">
        <v>11319</v>
      </c>
      <c r="H26" t="s">
        <v>10505</v>
      </c>
      <c r="I26" t="s">
        <v>12010</v>
      </c>
      <c r="J26" t="str">
        <f t="shared" si="1"/>
        <v>(${Variables:E1_1_99_1_kcat} * E1_1_99_1 * C00114 * C00028)/(${Variables:E1_1_99_1_km} + (E1_1_99_1 * C00114 * C00028))</v>
      </c>
      <c r="K26" s="21" t="str">
        <f t="shared" si="2"/>
        <v>r25: C00114 + C00028 -&gt; C00576 + C00030 | (${Variables:E1_1_99_1_kcat} * E1_1_99_1 * C00114 * C00028)/(${Variables:E1_1_99_1_km} + (E1_1_99_1 * C00114 * C00028))</v>
      </c>
    </row>
    <row r="27" spans="1:11">
      <c r="A27" t="s">
        <v>324</v>
      </c>
      <c r="B27" t="s">
        <v>325</v>
      </c>
      <c r="C27" t="s">
        <v>15325</v>
      </c>
      <c r="D27">
        <v>26</v>
      </c>
      <c r="E27" t="str">
        <f t="shared" si="0"/>
        <v>E2_1_1_63</v>
      </c>
      <c r="F27" t="s">
        <v>10506</v>
      </c>
      <c r="G27" t="s">
        <v>11320</v>
      </c>
      <c r="H27" t="s">
        <v>10507</v>
      </c>
      <c r="I27" t="s">
        <v>12011</v>
      </c>
      <c r="J27" t="str">
        <f t="shared" si="1"/>
        <v>(${Variables:E2_1_1_63_kcat} * E2_1_1_63 * C04250 * C02743)/(${Variables:E2_1_1_63_km} + (E2_1_1_63 * C04250 * C02743))</v>
      </c>
      <c r="K27" s="21" t="str">
        <f t="shared" si="2"/>
        <v>r26: C04250 + C02743 -&gt; C03800 + C11475 | (${Variables:E2_1_1_63_kcat} * E2_1_1_63 * C04250 * C02743)/(${Variables:E2_1_1_63_km} + (E2_1_1_63 * C04250 * C02743))</v>
      </c>
    </row>
    <row r="28" spans="1:11">
      <c r="A28" t="s">
        <v>328</v>
      </c>
      <c r="B28" t="s">
        <v>329</v>
      </c>
      <c r="C28" t="s">
        <v>15326</v>
      </c>
      <c r="D28">
        <v>27</v>
      </c>
      <c r="E28" t="str">
        <f t="shared" si="0"/>
        <v>E3_5_1_91</v>
      </c>
      <c r="F28" s="3" t="s">
        <v>7896</v>
      </c>
      <c r="G28" s="3" t="s">
        <v>11321</v>
      </c>
      <c r="H28" s="3" t="s">
        <v>7897</v>
      </c>
      <c r="I28" s="3" t="s">
        <v>12012</v>
      </c>
      <c r="J28" t="str">
        <f t="shared" si="1"/>
        <v>(${Variables:E3_5_1_91_kcat} * E3_5_1_91 * C15561 * C00001)/(${Variables:E3_5_1_91_km} + (E3_5_1_91 * C15561 * C00001))</v>
      </c>
      <c r="K28" s="21" t="str">
        <f t="shared" si="2"/>
        <v>r27: C15561 + C00001 -&gt; C00058 + C15562 | (${Variables:E3_5_1_91_kcat} * E3_5_1_91 * C15561 * C00001)/(${Variables:E3_5_1_91_km} + (E3_5_1_91 * C15561 * C00001))</v>
      </c>
    </row>
    <row r="29" spans="1:11">
      <c r="A29" t="s">
        <v>339</v>
      </c>
      <c r="B29" t="s">
        <v>340</v>
      </c>
      <c r="C29" t="s">
        <v>15327</v>
      </c>
      <c r="D29">
        <v>28</v>
      </c>
      <c r="E29" t="str">
        <f t="shared" si="0"/>
        <v>E2_6_1_48</v>
      </c>
      <c r="F29" t="s">
        <v>10508</v>
      </c>
      <c r="G29" t="s">
        <v>11322</v>
      </c>
      <c r="H29" t="s">
        <v>10509</v>
      </c>
      <c r="I29" t="s">
        <v>12013</v>
      </c>
      <c r="J29" t="str">
        <f t="shared" si="1"/>
        <v>(${Variables:E2_6_1_48_kcat} * E2_6_1_48 * C00431 * C00026)/(${Variables:E2_6_1_48_km} + (E2_6_1_48 * C00431 * C00026))</v>
      </c>
      <c r="K29" s="21" t="str">
        <f t="shared" si="2"/>
        <v>r28: C00431 + C00026 -&gt; C03273 + C00025 | (${Variables:E2_6_1_48_kcat} * E2_6_1_48 * C00431 * C00026)/(${Variables:E2_6_1_48_km} + (E2_6_1_48 * C00431 * C00026))</v>
      </c>
    </row>
    <row r="30" spans="1:11">
      <c r="A30" t="s">
        <v>356</v>
      </c>
      <c r="B30" t="s">
        <v>357</v>
      </c>
      <c r="C30" t="s">
        <v>15328</v>
      </c>
      <c r="D30">
        <v>29</v>
      </c>
      <c r="E30" t="str">
        <f t="shared" si="0"/>
        <v>E2_2_1_6</v>
      </c>
      <c r="F30" s="3" t="s">
        <v>15977</v>
      </c>
      <c r="G30" s="3" t="s">
        <v>15978</v>
      </c>
      <c r="H30" t="s">
        <v>13222</v>
      </c>
      <c r="I30" t="s">
        <v>15723</v>
      </c>
      <c r="J30" t="str">
        <f t="shared" si="1"/>
        <v>(${Variables:E2_2_1_6_kcat} * E2_2_1_6 * C00900 * C00011)/(${Variables:E2_2_1_6_km} + (E2_2_1_6 * C00900 * C00011))</v>
      </c>
      <c r="K30" s="21" t="str">
        <f t="shared" si="2"/>
        <v>r29: C00900 + C00011 -&gt; C00022 | (${Variables:E2_2_1_6_kcat} * E2_2_1_6 * C00900 * C00011)/(${Variables:E2_2_1_6_km} + (E2_2_1_6 * C00900 * C00011))</v>
      </c>
    </row>
    <row r="31" spans="1:11">
      <c r="A31" t="s">
        <v>356</v>
      </c>
      <c r="B31" t="s">
        <v>357</v>
      </c>
      <c r="C31" t="s">
        <v>15328</v>
      </c>
      <c r="D31">
        <v>30</v>
      </c>
      <c r="E31" t="str">
        <f t="shared" si="0"/>
        <v>E2_2_1_6</v>
      </c>
      <c r="F31" s="3" t="s">
        <v>10175</v>
      </c>
      <c r="G31" s="3" t="s">
        <v>11323</v>
      </c>
      <c r="H31" t="s">
        <v>13222</v>
      </c>
      <c r="I31" t="s">
        <v>15723</v>
      </c>
      <c r="J31" t="str">
        <f t="shared" si="1"/>
        <v>(${Variables:E2_2_1_6_kcat} * E2_2_1_6 * C06010 * C00011)/(${Variables:E2_2_1_6_km} + (E2_2_1_6 * C06010 * C00011))</v>
      </c>
      <c r="K31" s="21" t="str">
        <f t="shared" si="2"/>
        <v>r30: C06010 + C00011 -&gt; C00022 | (${Variables:E2_2_1_6_kcat} * E2_2_1_6 * C06010 * C00011)/(${Variables:E2_2_1_6_km} + (E2_2_1_6 * C06010 * C00011))</v>
      </c>
    </row>
    <row r="32" spans="1:11">
      <c r="A32" t="s">
        <v>356</v>
      </c>
      <c r="B32" t="s">
        <v>357</v>
      </c>
      <c r="C32" t="s">
        <v>15328</v>
      </c>
      <c r="D32">
        <v>31</v>
      </c>
      <c r="E32" t="str">
        <f t="shared" si="0"/>
        <v>E2_2_1_6</v>
      </c>
      <c r="F32" s="3" t="s">
        <v>10176</v>
      </c>
      <c r="G32" s="3" t="s">
        <v>11324</v>
      </c>
      <c r="H32" t="s">
        <v>10177</v>
      </c>
      <c r="I32" t="s">
        <v>12014</v>
      </c>
      <c r="J32" t="str">
        <f t="shared" si="1"/>
        <v>(${Variables:E2_2_1_6_kcat} * E2_2_1_6 * C00022 * C00068)/(${Variables:E2_2_1_6_km} + (E2_2_1_6 * C00022 * C00068))</v>
      </c>
      <c r="K32" s="21" t="str">
        <f t="shared" si="2"/>
        <v>r31: C00022 + C00068 -&gt; C05125 + C00011 | (${Variables:E2_2_1_6_kcat} * E2_2_1_6 * C00022 * C00068)/(${Variables:E2_2_1_6_km} + (E2_2_1_6 * C00022 * C00068))</v>
      </c>
    </row>
    <row r="33" spans="1:11">
      <c r="A33" t="s">
        <v>356</v>
      </c>
      <c r="B33" t="s">
        <v>357</v>
      </c>
      <c r="C33" t="s">
        <v>15328</v>
      </c>
      <c r="D33">
        <v>32</v>
      </c>
      <c r="E33" t="str">
        <f t="shared" si="0"/>
        <v>E2_2_1_6</v>
      </c>
      <c r="F33" s="3" t="s">
        <v>10178</v>
      </c>
      <c r="G33" s="3" t="s">
        <v>11325</v>
      </c>
      <c r="H33" t="s">
        <v>10179</v>
      </c>
      <c r="I33" t="s">
        <v>12015</v>
      </c>
      <c r="J33" t="str">
        <f t="shared" si="1"/>
        <v>(${Variables:E2_2_1_6_kcat} * E2_2_1_6 * C00900 * C00068)/(${Variables:E2_2_1_6_km} + (E2_2_1_6 * C00900 * C00068))</v>
      </c>
      <c r="K33" s="21" t="str">
        <f t="shared" si="2"/>
        <v>r32: C00900 + C00068 -&gt; C05125 + C00022 | (${Variables:E2_2_1_6_kcat} * E2_2_1_6 * C00900 * C00068)/(${Variables:E2_2_1_6_km} + (E2_2_1_6 * C00900 * C00068))</v>
      </c>
    </row>
    <row r="34" spans="1:11">
      <c r="A34" t="s">
        <v>356</v>
      </c>
      <c r="B34" t="s">
        <v>357</v>
      </c>
      <c r="C34" t="s">
        <v>15328</v>
      </c>
      <c r="D34">
        <v>33</v>
      </c>
      <c r="E34" t="str">
        <f t="shared" si="0"/>
        <v>E2_2_1_6</v>
      </c>
      <c r="F34" s="3" t="s">
        <v>10180</v>
      </c>
      <c r="G34" s="3" t="s">
        <v>11326</v>
      </c>
      <c r="H34" t="s">
        <v>10179</v>
      </c>
      <c r="I34" t="s">
        <v>12015</v>
      </c>
      <c r="J34" t="str">
        <f t="shared" si="1"/>
        <v>(${Variables:E2_2_1_6_kcat} * E2_2_1_6 * C06010 * C00068)/(${Variables:E2_2_1_6_km} + (E2_2_1_6 * C06010 * C00068))</v>
      </c>
      <c r="K34" s="21" t="str">
        <f t="shared" si="2"/>
        <v>r33: C06010 + C00068 -&gt; C05125 + C00022 | (${Variables:E2_2_1_6_kcat} * E2_2_1_6 * C06010 * C00068)/(${Variables:E2_2_1_6_km} + (E2_2_1_6 * C06010 * C00068))</v>
      </c>
    </row>
    <row r="35" spans="1:11">
      <c r="A35" t="s">
        <v>356</v>
      </c>
      <c r="B35" t="s">
        <v>357</v>
      </c>
      <c r="C35" t="s">
        <v>15328</v>
      </c>
      <c r="D35">
        <v>34</v>
      </c>
      <c r="E35" t="str">
        <f t="shared" si="0"/>
        <v>E2_2_1_6</v>
      </c>
      <c r="F35" s="3" t="s">
        <v>10181</v>
      </c>
      <c r="G35" s="3" t="s">
        <v>11327</v>
      </c>
      <c r="H35" t="s">
        <v>10182</v>
      </c>
      <c r="I35" t="s">
        <v>12016</v>
      </c>
      <c r="J35" t="str">
        <f t="shared" si="1"/>
        <v>(${Variables:E2_2_1_6_kcat} * E2_2_1_6 * C00109 * C05125)/(${Variables:E2_2_1_6_km} + (E2_2_1_6 * C00109 * C05125))</v>
      </c>
      <c r="K35" s="21" t="str">
        <f t="shared" si="2"/>
        <v>r34: C00109 + C05125 -&gt; C06006 + C00068 | (${Variables:E2_2_1_6_kcat} * E2_2_1_6 * C00109 * C05125)/(${Variables:E2_2_1_6_km} + (E2_2_1_6 * C00109 * C05125))</v>
      </c>
    </row>
    <row r="36" spans="1:11">
      <c r="A36" t="s">
        <v>356</v>
      </c>
      <c r="B36" t="s">
        <v>357</v>
      </c>
      <c r="C36" t="s">
        <v>15328</v>
      </c>
      <c r="D36">
        <v>35</v>
      </c>
      <c r="E36" t="str">
        <f t="shared" si="0"/>
        <v>E2_2_1_6</v>
      </c>
      <c r="F36" s="3" t="s">
        <v>10183</v>
      </c>
      <c r="G36" s="3" t="s">
        <v>11328</v>
      </c>
      <c r="H36" t="s">
        <v>10184</v>
      </c>
      <c r="I36" t="s">
        <v>12017</v>
      </c>
      <c r="J36" t="str">
        <f t="shared" si="1"/>
        <v>(${Variables:E2_2_1_6_kcat} * E2_2_1_6 * C00022 * C00109)/(${Variables:E2_2_1_6_km} + (E2_2_1_6 * C00022 * C00109))</v>
      </c>
      <c r="K36" s="21" t="str">
        <f t="shared" si="2"/>
        <v>r35: C00022 + C00109 -&gt; C06006 + C00011 | (${Variables:E2_2_1_6_kcat} * E2_2_1_6 * C00022 * C00109)/(${Variables:E2_2_1_6_km} + (E2_2_1_6 * C00022 * C00109))</v>
      </c>
    </row>
    <row r="37" spans="1:11">
      <c r="A37" t="s">
        <v>390</v>
      </c>
      <c r="B37" t="s">
        <v>391</v>
      </c>
      <c r="C37" t="s">
        <v>15329</v>
      </c>
      <c r="D37">
        <v>36</v>
      </c>
      <c r="E37" t="str">
        <f t="shared" si="0"/>
        <v>E1_1_1_36</v>
      </c>
      <c r="F37" t="s">
        <v>10510</v>
      </c>
      <c r="G37" t="s">
        <v>11329</v>
      </c>
      <c r="H37" t="s">
        <v>10511</v>
      </c>
      <c r="I37" t="s">
        <v>12018</v>
      </c>
      <c r="J37" t="str">
        <f t="shared" si="1"/>
        <v>(${Variables:E1_1_1_36_kcat} * E1_1_1_36 * C01086 * C00006)/(${Variables:E1_1_1_36_km} + (E1_1_1_36 * C01086 * C00006))</v>
      </c>
      <c r="K37" s="21" t="str">
        <f t="shared" si="2"/>
        <v>r36: C01086 + C00006 -&gt; C00264 + C00005 + C00080 | (${Variables:E1_1_1_36_kcat} * E1_1_1_36 * C01086 * C00006)/(${Variables:E1_1_1_36_km} + (E1_1_1_36 * C01086 * C00006))</v>
      </c>
    </row>
    <row r="38" spans="1:11">
      <c r="A38" t="s">
        <v>390</v>
      </c>
      <c r="B38" t="s">
        <v>391</v>
      </c>
      <c r="C38" t="s">
        <v>15329</v>
      </c>
      <c r="D38">
        <v>37</v>
      </c>
      <c r="E38" t="str">
        <f t="shared" si="0"/>
        <v>E1_1_1_36</v>
      </c>
      <c r="F38" t="s">
        <v>10185</v>
      </c>
      <c r="G38" t="s">
        <v>11330</v>
      </c>
      <c r="H38" t="s">
        <v>10186</v>
      </c>
      <c r="I38" t="s">
        <v>12019</v>
      </c>
      <c r="J38" t="str">
        <f t="shared" si="1"/>
        <v>(${Variables:E1_1_1_36_kcat} * E1_1_1_36 * C03561 * C00006)/(${Variables:E1_1_1_36_km} + (E1_1_1_36 * C03561 * C00006))</v>
      </c>
      <c r="K38" s="21" t="str">
        <f t="shared" si="2"/>
        <v>r37: C03561 + C00006 -&gt; C00332 + C00005 + C00080 | (${Variables:E1_1_1_36_kcat} * E1_1_1_36 * C03561 * C00006)/(${Variables:E1_1_1_36_km} + (E1_1_1_36 * C03561 * C00006))</v>
      </c>
    </row>
    <row r="39" spans="1:11">
      <c r="A39" t="s">
        <v>407</v>
      </c>
      <c r="B39" t="s">
        <v>408</v>
      </c>
      <c r="C39" t="s">
        <v>15330</v>
      </c>
      <c r="D39">
        <v>38</v>
      </c>
      <c r="E39" t="str">
        <f t="shared" si="0"/>
        <v>E2_4_1_287</v>
      </c>
      <c r="F39" t="s">
        <v>10512</v>
      </c>
      <c r="G39" t="s">
        <v>11331</v>
      </c>
      <c r="H39" t="s">
        <v>10513</v>
      </c>
      <c r="I39" t="s">
        <v>12020</v>
      </c>
      <c r="J39" t="str">
        <f t="shared" si="1"/>
        <v>(${Variables:E2_4_1_287_kcat} * E2_4_1_287 * G13125 * G13119)/(${Variables:E2_4_1_287_km} + (E2_4_1_287 * G13125 * G13119))</v>
      </c>
      <c r="K39" s="21" t="str">
        <f t="shared" si="2"/>
        <v>r38: G13125 + G13119 -&gt; G10619 + G13120 | (${Variables:E2_4_1_287_kcat} * E2_4_1_287 * G13125 * G13119)/(${Variables:E2_4_1_287_km} + (E2_4_1_287 * G13125 * G13119))</v>
      </c>
    </row>
    <row r="40" spans="1:11">
      <c r="A40" t="s">
        <v>407</v>
      </c>
      <c r="B40" t="s">
        <v>408</v>
      </c>
      <c r="C40" t="s">
        <v>15330</v>
      </c>
      <c r="D40">
        <v>39</v>
      </c>
      <c r="E40" t="str">
        <f t="shared" si="0"/>
        <v>E2_4_1_287</v>
      </c>
      <c r="F40" t="s">
        <v>10187</v>
      </c>
      <c r="G40" t="s">
        <v>11332</v>
      </c>
      <c r="H40" t="s">
        <v>10188</v>
      </c>
      <c r="I40" t="s">
        <v>12021</v>
      </c>
      <c r="J40" t="str">
        <f t="shared" si="1"/>
        <v>(${Variables:E2_4_1_287_kcat} * E2_4_1_287 * G13125 * G13120)/(${Variables:E2_4_1_287_km} + (E2_4_1_287 * G13125 * G13120))</v>
      </c>
      <c r="K40" s="21" t="str">
        <f t="shared" si="2"/>
        <v>r39: G13125 + G13120 -&gt; G10619 + G13121 | (${Variables:E2_4_1_287_kcat} * E2_4_1_287 * G13125 * G13120)/(${Variables:E2_4_1_287_km} + (E2_4_1_287 * G13125 * G13120))</v>
      </c>
    </row>
    <row r="41" spans="1:11">
      <c r="A41" t="s">
        <v>425</v>
      </c>
      <c r="B41" t="s">
        <v>426</v>
      </c>
      <c r="C41" t="s">
        <v>15331</v>
      </c>
      <c r="D41">
        <v>40</v>
      </c>
      <c r="E41" t="str">
        <f t="shared" si="0"/>
        <v>E1_6_5_5</v>
      </c>
      <c r="F41" t="s">
        <v>15900</v>
      </c>
      <c r="G41" t="s">
        <v>15720</v>
      </c>
      <c r="H41" t="s">
        <v>15721</v>
      </c>
      <c r="I41" t="s">
        <v>15722</v>
      </c>
      <c r="J41" t="str">
        <f t="shared" si="1"/>
        <v>(${Variables:E1_6_5_5_kcat} * E1_6_5_5 * C15602 * C00005 * C00080)/(${Variables:E1_6_5_5_km} + (E1_6_5_5 * C15602 * C00005 * C00080))</v>
      </c>
      <c r="K41" s="21" t="str">
        <f t="shared" si="2"/>
        <v>r40: C15602 + C00005 + C00080 -&gt; C05309 + C00006 | (${Variables:E1_6_5_5_kcat} * E1_6_5_5 * C15602 * C00005 * C00080)/(${Variables:E1_6_5_5_km} + (E1_6_5_5 * C15602 * C00005 * C00080))</v>
      </c>
    </row>
    <row r="42" spans="1:11">
      <c r="A42" t="s">
        <v>462</v>
      </c>
      <c r="B42" t="s">
        <v>463</v>
      </c>
      <c r="C42" t="s">
        <v>15332</v>
      </c>
      <c r="D42">
        <v>41</v>
      </c>
      <c r="E42" t="str">
        <f t="shared" si="0"/>
        <v>E2_8_1_12</v>
      </c>
      <c r="F42" t="s">
        <v>15724</v>
      </c>
      <c r="G42" t="s">
        <v>15725</v>
      </c>
      <c r="H42" t="s">
        <v>15726</v>
      </c>
      <c r="I42" t="s">
        <v>15727</v>
      </c>
      <c r="J42" t="str">
        <f t="shared" si="1"/>
        <v>(${Variables:E2_8_1_12_kcat} * E2_8_1_12 * C18239 *  C15814)/(${Variables:E2_8_1_12_km} + (E2_8_1_12 * C18239 *  C15814))</v>
      </c>
      <c r="K42" s="21" t="str">
        <f t="shared" si="2"/>
        <v>r41: C18239 + C15814 -&gt; C05924 + C15810 | (${Variables:E2_8_1_12_kcat} * E2_8_1_12 * C18239 *  C15814)/(${Variables:E2_8_1_12_km} + (E2_8_1_12 * C18239 *  C15814))</v>
      </c>
    </row>
    <row r="43" spans="1:11">
      <c r="A43" t="s">
        <v>470</v>
      </c>
      <c r="B43" t="s">
        <v>471</v>
      </c>
      <c r="C43" t="s">
        <v>15333</v>
      </c>
      <c r="D43">
        <v>42</v>
      </c>
      <c r="E43" t="str">
        <f t="shared" si="0"/>
        <v>E2_10_1_1</v>
      </c>
      <c r="F43" t="s">
        <v>10514</v>
      </c>
      <c r="G43" t="s">
        <v>11333</v>
      </c>
      <c r="H43" t="s">
        <v>10515</v>
      </c>
      <c r="I43" t="s">
        <v>12022</v>
      </c>
      <c r="J43" t="str">
        <f t="shared" si="1"/>
        <v>(${Variables:E2_10_1_1_kcat} * E2_10_1_1 * C19848 * C06232 )/(${Variables:E2_10_1_1_km} + (E2_10_1_1 * C19848 * C06232 ))</v>
      </c>
      <c r="K43" s="21" t="str">
        <f t="shared" si="2"/>
        <v>r42: C19848 + C06232  -&gt; C18237 + C00020 + C00001 | (${Variables:E2_10_1_1_kcat} * E2_10_1_1 * C19848 * C06232 )/(${Variables:E2_10_1_1_km} + (E2_10_1_1 * C19848 * C06232 ))</v>
      </c>
    </row>
    <row r="44" spans="1:11">
      <c r="A44" t="s">
        <v>486</v>
      </c>
      <c r="B44" t="s">
        <v>487</v>
      </c>
      <c r="C44" t="s">
        <v>15334</v>
      </c>
      <c r="D44">
        <v>43</v>
      </c>
      <c r="E44" t="str">
        <f t="shared" si="0"/>
        <v>E3_6_1_55</v>
      </c>
      <c r="F44" t="s">
        <v>10516</v>
      </c>
      <c r="G44" t="s">
        <v>11334</v>
      </c>
      <c r="H44" t="s">
        <v>10517</v>
      </c>
      <c r="I44" t="s">
        <v>12023</v>
      </c>
      <c r="J44" t="str">
        <f t="shared" si="1"/>
        <v>(${Variables:E3_6_1_55_kcat} * E3_6_1_55 * C19967 * C00001)/(${Variables:E3_6_1_55_km} + (E3_6_1_55 * C19967 * C00001))</v>
      </c>
      <c r="K44" s="21" t="str">
        <f t="shared" si="2"/>
        <v>r43: C19967 + C00001 -&gt; C19968 + C00013 | (${Variables:E3_6_1_55_kcat} * E3_6_1_55 * C19967 * C00001)/(${Variables:E3_6_1_55_km} + (E3_6_1_55 * C19967 * C00001))</v>
      </c>
    </row>
    <row r="45" spans="1:11">
      <c r="A45" t="s">
        <v>512</v>
      </c>
      <c r="B45" t="s">
        <v>513</v>
      </c>
      <c r="C45" t="s">
        <v>15335</v>
      </c>
      <c r="D45">
        <v>44</v>
      </c>
      <c r="E45" t="str">
        <f t="shared" si="0"/>
        <v>E1_14_14_18</v>
      </c>
      <c r="F45" t="s">
        <v>15738</v>
      </c>
      <c r="G45" t="s">
        <v>15737</v>
      </c>
      <c r="H45" t="s">
        <v>15736</v>
      </c>
      <c r="I45" t="s">
        <v>15735</v>
      </c>
      <c r="J45" t="str">
        <f t="shared" si="1"/>
        <v>(${Variables:E1_14_14_18_kcat} * E1_14_14_18 * C00032 *  C03024 *  C00007)/(${Variables:E1_14_14_18_km} + (E1_14_14_18 * C00032 *  C03024 *  C00007))</v>
      </c>
      <c r="K45" s="21" t="str">
        <f t="shared" si="2"/>
        <v>r44: C00032 +  C03024 + C00007 -&gt; C00500 + C00237 + C14818 + C03161 + C00001 | (${Variables:E1_14_14_18_kcat} * E1_14_14_18 * C00032 *  C03024 *  C00007)/(${Variables:E1_14_14_18_km} + (E1_14_14_18 * C00032 *  C03024 *  C00007))</v>
      </c>
    </row>
    <row r="46" spans="1:11">
      <c r="A46" t="s">
        <v>552</v>
      </c>
      <c r="B46" t="s">
        <v>553</v>
      </c>
      <c r="C46" t="s">
        <v>15336</v>
      </c>
      <c r="D46">
        <v>45</v>
      </c>
      <c r="E46" t="str">
        <f t="shared" si="0"/>
        <v>E3_5_4_33</v>
      </c>
      <c r="F46" t="s">
        <v>10518</v>
      </c>
      <c r="G46" t="s">
        <v>11335</v>
      </c>
      <c r="H46" t="s">
        <v>10519</v>
      </c>
      <c r="I46" t="s">
        <v>12024</v>
      </c>
      <c r="J46" t="str">
        <f t="shared" si="1"/>
        <v>(${Variables:E3_5_4_33_kcat} * E3_5_4_33 * C17324 * C00001)/(${Variables:E3_5_4_33_km} + (E3_5_4_33 * C17324 * C00001))</v>
      </c>
      <c r="K46" s="21" t="str">
        <f t="shared" si="2"/>
        <v>r45: C17324 + C00001 -&gt; C20451 + C00014 | (${Variables:E3_5_4_33_kcat} * E3_5_4_33 * C17324 * C00001)/(${Variables:E3_5_4_33_km} + (E3_5_4_33 * C17324 * C00001))</v>
      </c>
    </row>
    <row r="47" spans="1:11">
      <c r="A47" t="s">
        <v>580</v>
      </c>
      <c r="B47" t="s">
        <v>581</v>
      </c>
      <c r="C47" t="s">
        <v>15335</v>
      </c>
      <c r="D47">
        <v>46</v>
      </c>
      <c r="E47" t="str">
        <f t="shared" si="0"/>
        <v>E1_14_14_18</v>
      </c>
      <c r="F47" t="s">
        <v>15739</v>
      </c>
      <c r="G47" t="s">
        <v>15737</v>
      </c>
      <c r="H47" t="s">
        <v>15740</v>
      </c>
      <c r="I47" t="s">
        <v>15741</v>
      </c>
      <c r="J47" t="str">
        <f t="shared" si="1"/>
        <v>(${Variables:E1_14_14_18_kcat} * E1_14_14_18 * C00032 *  C03024 *  C00007)/(${Variables:E1_14_14_18_km} + (E1_14_14_18 * C00032 *  C03024 *  C00007))</v>
      </c>
      <c r="K47" s="21" t="str">
        <f t="shared" si="2"/>
        <v>r46: C00032 +  C03024 +  C00007 -&gt; C00500 + C00237 + C14818 +  C03161 +  C00001 | (${Variables:E1_14_14_18_kcat} * E1_14_14_18 * C00032 *  C03024 *  C00007)/(${Variables:E1_14_14_18_km} + (E1_14_14_18 * C00032 *  C03024 *  C00007))</v>
      </c>
    </row>
    <row r="48" spans="1:11">
      <c r="A48" t="s">
        <v>590</v>
      </c>
      <c r="B48" t="s">
        <v>591</v>
      </c>
      <c r="C48" t="s">
        <v>15337</v>
      </c>
      <c r="D48">
        <v>47</v>
      </c>
      <c r="E48" t="str">
        <f t="shared" si="0"/>
        <v>E2_4_2_29</v>
      </c>
      <c r="F48" t="s">
        <v>10520</v>
      </c>
      <c r="G48" t="s">
        <v>11336</v>
      </c>
      <c r="H48" t="s">
        <v>10521</v>
      </c>
      <c r="I48" t="s">
        <v>12025</v>
      </c>
      <c r="J48" t="str">
        <f t="shared" si="1"/>
        <v>(${Variables:E2_4_2_29_kcat} * E2_4_2_29 * C01977 * C16675)/(${Variables:E2_4_2_29_km} + (E2_4_2_29 * C01977 * C16675))</v>
      </c>
      <c r="K48" s="21" t="str">
        <f t="shared" si="2"/>
        <v>r47: C01977 + C16675 -&gt; C20446 + C00242 | (${Variables:E2_4_2_29_kcat} * E2_4_2_29 * C01977 * C16675)/(${Variables:E2_4_2_29_km} + (E2_4_2_29 * C01977 * C16675))</v>
      </c>
    </row>
    <row r="49" spans="1:11">
      <c r="A49" t="s">
        <v>622</v>
      </c>
      <c r="B49" t="s">
        <v>623</v>
      </c>
      <c r="C49" t="s">
        <v>15311</v>
      </c>
      <c r="D49">
        <v>48</v>
      </c>
      <c r="E49" t="str">
        <f t="shared" si="0"/>
        <v>E2_7_7_7</v>
      </c>
      <c r="F49" t="s">
        <v>12706</v>
      </c>
      <c r="G49" t="s">
        <v>12705</v>
      </c>
      <c r="H49" s="3" t="s">
        <v>10163</v>
      </c>
      <c r="I49" s="3" t="s">
        <v>11305</v>
      </c>
      <c r="J49" t="str">
        <f t="shared" si="1"/>
        <v>(${Variables:E2_7_7_7_kcat} * E2_7_7_7 * C00677 * C00039)/(${Variables:E2_7_7_7_km} + (E2_7_7_7 * C00677 * C00039))</v>
      </c>
      <c r="K49" s="21" t="str">
        <f t="shared" si="2"/>
        <v>r48: C00677 + C00039 -&gt; C00013 + C00039 | (${Variables:E2_7_7_7_kcat} * E2_7_7_7 * C00677 * C00039)/(${Variables:E2_7_7_7_km} + (E2_7_7_7 * C00677 * C00039))</v>
      </c>
    </row>
    <row r="50" spans="1:11">
      <c r="A50" t="s">
        <v>622</v>
      </c>
      <c r="B50" t="s">
        <v>623</v>
      </c>
      <c r="C50" t="s">
        <v>15311</v>
      </c>
      <c r="D50">
        <v>49</v>
      </c>
      <c r="E50" t="str">
        <f t="shared" si="0"/>
        <v>E2_7_7_7</v>
      </c>
      <c r="F50" t="s">
        <v>10162</v>
      </c>
      <c r="G50" t="s">
        <v>11301</v>
      </c>
      <c r="H50" s="3" t="s">
        <v>10163</v>
      </c>
      <c r="I50" s="3" t="s">
        <v>11305</v>
      </c>
      <c r="J50" t="str">
        <f t="shared" si="1"/>
        <v>(${Variables:E2_7_7_7_kcat} * E2_7_7_7 * C00131 * C00039)/(${Variables:E2_7_7_7_km} + (E2_7_7_7 * C00131 * C00039))</v>
      </c>
      <c r="K50" s="21" t="str">
        <f t="shared" si="2"/>
        <v>r49: C00131 + C00039 -&gt; C00013 + C00039 | (${Variables:E2_7_7_7_kcat} * E2_7_7_7 * C00131 * C00039)/(${Variables:E2_7_7_7_km} + (E2_7_7_7 * C00131 * C00039))</v>
      </c>
    </row>
    <row r="51" spans="1:11">
      <c r="A51" t="s">
        <v>622</v>
      </c>
      <c r="B51" t="s">
        <v>623</v>
      </c>
      <c r="C51" t="s">
        <v>15311</v>
      </c>
      <c r="D51">
        <v>50</v>
      </c>
      <c r="E51" t="str">
        <f t="shared" si="0"/>
        <v>E2_7_7_7</v>
      </c>
      <c r="F51" t="s">
        <v>10164</v>
      </c>
      <c r="G51" t="s">
        <v>11302</v>
      </c>
      <c r="H51" s="3" t="s">
        <v>10163</v>
      </c>
      <c r="I51" s="3" t="s">
        <v>11305</v>
      </c>
      <c r="J51" t="str">
        <f t="shared" si="1"/>
        <v>(${Variables:E2_7_7_7_kcat} * E2_7_7_7 * C00286 * C00039 )/(${Variables:E2_7_7_7_km} + (E2_7_7_7 * C00286 * C00039 ))</v>
      </c>
      <c r="K51" s="21" t="str">
        <f t="shared" si="2"/>
        <v>r50: C00286 + C00039  -&gt; C00013 + C00039 | (${Variables:E2_7_7_7_kcat} * E2_7_7_7 * C00286 * C00039 )/(${Variables:E2_7_7_7_km} + (E2_7_7_7 * C00286 * C00039 ))</v>
      </c>
    </row>
    <row r="52" spans="1:11">
      <c r="A52" t="s">
        <v>622</v>
      </c>
      <c r="B52" t="s">
        <v>623</v>
      </c>
      <c r="C52" t="s">
        <v>15311</v>
      </c>
      <c r="D52">
        <v>51</v>
      </c>
      <c r="E52" t="str">
        <f t="shared" si="0"/>
        <v>E2_7_7_7</v>
      </c>
      <c r="F52" t="s">
        <v>10165</v>
      </c>
      <c r="G52" t="s">
        <v>11303</v>
      </c>
      <c r="H52" s="3" t="s">
        <v>10163</v>
      </c>
      <c r="I52" s="3" t="s">
        <v>11305</v>
      </c>
      <c r="J52" t="str">
        <f t="shared" si="1"/>
        <v>(${Variables:E2_7_7_7_kcat} * E2_7_7_7 * C00458 * C00039)/(${Variables:E2_7_7_7_km} + (E2_7_7_7 * C00458 * C00039))</v>
      </c>
      <c r="K52" s="21" t="str">
        <f t="shared" si="2"/>
        <v>r51: C00458 + C00039 -&gt; C00013 + C00039 | (${Variables:E2_7_7_7_kcat} * E2_7_7_7 * C00458 * C00039)/(${Variables:E2_7_7_7_km} + (E2_7_7_7 * C00458 * C00039))</v>
      </c>
    </row>
    <row r="53" spans="1:11">
      <c r="A53" t="s">
        <v>622</v>
      </c>
      <c r="B53" t="s">
        <v>623</v>
      </c>
      <c r="C53" t="s">
        <v>15311</v>
      </c>
      <c r="D53">
        <v>52</v>
      </c>
      <c r="E53" t="str">
        <f t="shared" si="0"/>
        <v>E2_7_7_7</v>
      </c>
      <c r="F53" t="s">
        <v>10166</v>
      </c>
      <c r="G53" t="s">
        <v>11304</v>
      </c>
      <c r="H53" s="3" t="s">
        <v>10163</v>
      </c>
      <c r="I53" s="3" t="s">
        <v>11305</v>
      </c>
      <c r="J53" t="str">
        <f t="shared" si="1"/>
        <v>(${Variables:E2_7_7_7_kcat} * E2_7_7_7 * C00459 * C00039 )/(${Variables:E2_7_7_7_km} + (E2_7_7_7 * C00459 * C00039 ))</v>
      </c>
      <c r="K53" s="21" t="str">
        <f t="shared" si="2"/>
        <v>r52: C00459 + C00039  -&gt; C00013 + C00039 | (${Variables:E2_7_7_7_kcat} * E2_7_7_7 * C00459 * C00039 )/(${Variables:E2_7_7_7_km} + (E2_7_7_7 * C00459 * C00039 ))</v>
      </c>
    </row>
    <row r="54" spans="1:11">
      <c r="A54" t="s">
        <v>622</v>
      </c>
      <c r="B54" t="s">
        <v>623</v>
      </c>
      <c r="C54" t="s">
        <v>15311</v>
      </c>
      <c r="D54">
        <v>53</v>
      </c>
      <c r="E54" t="str">
        <f t="shared" si="0"/>
        <v>E2_7_7_7</v>
      </c>
      <c r="F54" t="s">
        <v>10167</v>
      </c>
      <c r="G54" t="s">
        <v>10167</v>
      </c>
      <c r="H54" s="3" t="s">
        <v>10168</v>
      </c>
      <c r="I54" s="3" t="s">
        <v>10168</v>
      </c>
      <c r="J54" t="str">
        <f t="shared" si="1"/>
        <v>(${Variables:E2_7_7_7_kcat} * E2_7_7_7 * C11039)/(${Variables:E2_7_7_7_km} + (E2_7_7_7 * C11039))</v>
      </c>
      <c r="K54" s="21" t="str">
        <f t="shared" si="2"/>
        <v>r53: C11039 -&gt; C21031 | (${Variables:E2_7_7_7_kcat} * E2_7_7_7 * C11039)/(${Variables:E2_7_7_7_km} + (E2_7_7_7 * C11039))</v>
      </c>
    </row>
    <row r="55" spans="1:11">
      <c r="A55" t="s">
        <v>646</v>
      </c>
      <c r="B55" t="s">
        <v>647</v>
      </c>
      <c r="C55" t="s">
        <v>15338</v>
      </c>
      <c r="D55">
        <v>54</v>
      </c>
      <c r="E55" t="str">
        <f t="shared" si="0"/>
        <v>E2_3_3_13</v>
      </c>
      <c r="F55" t="s">
        <v>10522</v>
      </c>
      <c r="G55" t="s">
        <v>11337</v>
      </c>
      <c r="H55" t="s">
        <v>10523</v>
      </c>
      <c r="I55" t="s">
        <v>12026</v>
      </c>
      <c r="J55" t="str">
        <f t="shared" si="1"/>
        <v>(${Variables:E2_3_3_13_kcat} * E2_3_3_13 * C02504 * C00010)/(${Variables:E2_3_3_13_km} + (E2_3_3_13 * C02504 * C00010))</v>
      </c>
      <c r="K55" s="21" t="str">
        <f t="shared" si="2"/>
        <v>r54: C02504 + C00010 -&gt; C00024 + C00141 + C00001 | (${Variables:E2_3_3_13_kcat} * E2_3_3_13 * C02504 * C00010)/(${Variables:E2_3_3_13_km} + (E2_3_3_13 * C02504 * C00010))</v>
      </c>
    </row>
    <row r="56" spans="1:11">
      <c r="A56" t="s">
        <v>655</v>
      </c>
      <c r="B56" t="s">
        <v>656</v>
      </c>
      <c r="C56" t="s">
        <v>15339</v>
      </c>
      <c r="D56">
        <v>55</v>
      </c>
      <c r="E56" t="str">
        <f t="shared" si="0"/>
        <v>E2_7_2_4</v>
      </c>
      <c r="F56" t="s">
        <v>10524</v>
      </c>
      <c r="G56" t="s">
        <v>11338</v>
      </c>
      <c r="H56" t="s">
        <v>10525</v>
      </c>
      <c r="I56" t="s">
        <v>12027</v>
      </c>
      <c r="J56" t="str">
        <f t="shared" si="1"/>
        <v>(${Variables:E2_7_2_4_kcat} * E2_7_2_4 * C00002 * C00049)/(${Variables:E2_7_2_4_km} + (E2_7_2_4 * C00002 * C00049))</v>
      </c>
      <c r="K56" s="21" t="str">
        <f t="shared" si="2"/>
        <v>r55: C00002 + C00049 -&gt; C00008 + C03082 | (${Variables:E2_7_2_4_kcat} * E2_7_2_4 * C00002 * C00049)/(${Variables:E2_7_2_4_km} + (E2_7_2_4 * C00002 * C00049))</v>
      </c>
    </row>
    <row r="57" spans="1:11">
      <c r="A57" t="s">
        <v>659</v>
      </c>
      <c r="B57" t="s">
        <v>660</v>
      </c>
      <c r="C57" t="s">
        <v>15340</v>
      </c>
      <c r="D57">
        <v>56</v>
      </c>
      <c r="E57" t="str">
        <f t="shared" si="0"/>
        <v>E1_2_1_11</v>
      </c>
      <c r="F57" t="s">
        <v>10526</v>
      </c>
      <c r="G57" t="s">
        <v>11339</v>
      </c>
      <c r="H57" t="s">
        <v>10527</v>
      </c>
      <c r="I57" t="s">
        <v>12028</v>
      </c>
      <c r="J57" t="str">
        <f t="shared" si="1"/>
        <v>(${Variables:E1_2_1_11_kcat} * E1_2_1_11 * C00441 * C00009 * C00006)/(${Variables:E1_2_1_11_km} + (E1_2_1_11 * C00441 * C00009 * C00006))</v>
      </c>
      <c r="K57" s="21" t="str">
        <f t="shared" si="2"/>
        <v>r56: C00441 + C00009 + C00006 -&gt; C03082 + C00005 + C00080 | (${Variables:E1_2_1_11_kcat} * E1_2_1_11 * C00441 * C00009 * C00006)/(${Variables:E1_2_1_11_km} + (E1_2_1_11 * C00441 * C00009 * C00006))</v>
      </c>
    </row>
    <row r="58" spans="1:11">
      <c r="A58" t="s">
        <v>669</v>
      </c>
      <c r="B58" t="s">
        <v>670</v>
      </c>
      <c r="C58" t="s">
        <v>15341</v>
      </c>
      <c r="D58">
        <v>57</v>
      </c>
      <c r="E58" t="str">
        <f t="shared" si="0"/>
        <v>E1_11_1_6</v>
      </c>
      <c r="F58" t="s">
        <v>13257</v>
      </c>
      <c r="G58" t="s">
        <v>13257</v>
      </c>
      <c r="H58" t="s">
        <v>15742</v>
      </c>
      <c r="I58" t="s">
        <v>15743</v>
      </c>
      <c r="J58" t="str">
        <f t="shared" si="1"/>
        <v>(${Variables:E1_11_1_6_kcat} * E1_11_1_6 * C00027)/(${Variables:E1_11_1_6_km} + (E1_11_1_6 * C00027))</v>
      </c>
      <c r="K58" s="21" t="str">
        <f t="shared" si="2"/>
        <v>r57: C00027 -&gt; C00007 + C00001 | (${Variables:E1_11_1_6_kcat} * E1_11_1_6 * C00027)/(${Variables:E1_11_1_6_km} + (E1_11_1_6 * C00027))</v>
      </c>
    </row>
    <row r="59" spans="1:11">
      <c r="A59" t="s">
        <v>669</v>
      </c>
      <c r="B59" t="s">
        <v>670</v>
      </c>
      <c r="C59" t="s">
        <v>15341</v>
      </c>
      <c r="D59">
        <v>58</v>
      </c>
      <c r="E59" t="str">
        <f t="shared" si="0"/>
        <v>E1_11_1_6</v>
      </c>
      <c r="F59" t="s">
        <v>10189</v>
      </c>
      <c r="G59" t="s">
        <v>11340</v>
      </c>
      <c r="H59" t="s">
        <v>15745</v>
      </c>
      <c r="I59" t="s">
        <v>15744</v>
      </c>
      <c r="J59" t="str">
        <f t="shared" si="1"/>
        <v>(${Variables:E1_11_1_6_kcat} * E1_11_1_6 * C00132 * C00027)/(${Variables:E1_11_1_6_km} + (E1_11_1_6 * C00132 * C00027))</v>
      </c>
      <c r="K59" s="21" t="str">
        <f t="shared" si="2"/>
        <v>r58: C00132 + C00027 -&gt; C00067 +  C00001 | (${Variables:E1_11_1_6_kcat} * E1_11_1_6 * C00132 * C00027)/(${Variables:E1_11_1_6_km} + (E1_11_1_6 * C00132 * C00027))</v>
      </c>
    </row>
    <row r="60" spans="1:11">
      <c r="A60" t="s">
        <v>669</v>
      </c>
      <c r="B60" t="s">
        <v>670</v>
      </c>
      <c r="C60" t="s">
        <v>15341</v>
      </c>
      <c r="D60">
        <v>59</v>
      </c>
      <c r="E60" t="str">
        <f t="shared" si="0"/>
        <v>E1_11_1_6</v>
      </c>
      <c r="F60" t="s">
        <v>15901</v>
      </c>
      <c r="G60" t="s">
        <v>15746</v>
      </c>
      <c r="H60" t="s">
        <v>15747</v>
      </c>
      <c r="I60" t="s">
        <v>15748</v>
      </c>
      <c r="J60" t="str">
        <f t="shared" si="1"/>
        <v>(${Variables:E1_11_1_6_kcat} * E1_11_1_6 *  C00632 *  C00007 )/(${Variables:E1_11_1_6_km} + (E1_11_1_6 *  C00632 *  C00007 ))</v>
      </c>
      <c r="K60" s="21" t="str">
        <f t="shared" si="2"/>
        <v>r59: C00632 +  C00007  -&gt; C05640 + C00704 +  C00027 +  C00080 | (${Variables:E1_11_1_6_kcat} * E1_11_1_6 *  C00632 *  C00007 )/(${Variables:E1_11_1_6_km} + (E1_11_1_6 *  C00632 *  C00007 ))</v>
      </c>
    </row>
    <row r="61" spans="1:11">
      <c r="A61" t="s">
        <v>726</v>
      </c>
      <c r="B61" t="s">
        <v>727</v>
      </c>
      <c r="C61" t="s">
        <v>15342</v>
      </c>
      <c r="D61">
        <v>60</v>
      </c>
      <c r="E61" t="str">
        <f t="shared" si="0"/>
        <v>E3_3_2_10</v>
      </c>
      <c r="F61" t="s">
        <v>10195</v>
      </c>
      <c r="G61" t="s">
        <v>11341</v>
      </c>
      <c r="H61" t="s">
        <v>10196</v>
      </c>
      <c r="I61" t="s">
        <v>10196</v>
      </c>
      <c r="J61" t="str">
        <f t="shared" si="1"/>
        <v>(${Variables:E3_3_2_10_kcat} * E3_3_2_10 * C00722 * C00001)/(${Variables:E3_3_2_10_km} + (E3_3_2_10 * C00722 * C00001))</v>
      </c>
      <c r="K61" s="21" t="str">
        <f t="shared" si="2"/>
        <v>r60: C00722 + C00001 -&gt; C15588 | (${Variables:E3_3_2_10_kcat} * E3_3_2_10 * C00722 * C00001)/(${Variables:E3_3_2_10_km} + (E3_3_2_10 * C00722 * C00001))</v>
      </c>
    </row>
    <row r="62" spans="1:11">
      <c r="A62" t="s">
        <v>726</v>
      </c>
      <c r="B62" t="s">
        <v>727</v>
      </c>
      <c r="C62" t="s">
        <v>15342</v>
      </c>
      <c r="D62">
        <v>61</v>
      </c>
      <c r="E62" t="str">
        <f t="shared" si="0"/>
        <v>E3_3_2_10</v>
      </c>
      <c r="F62" t="s">
        <v>10197</v>
      </c>
      <c r="G62" t="s">
        <v>11342</v>
      </c>
      <c r="H62" t="s">
        <v>10198</v>
      </c>
      <c r="I62" t="s">
        <v>10198</v>
      </c>
      <c r="J62" t="str">
        <f t="shared" si="1"/>
        <v>(${Variables:E3_3_2_10_kcat} * E3_3_2_10 * C06548 * C00001 )/(${Variables:E3_3_2_10_km} + (E3_3_2_10 * C06548 * C00001 ))</v>
      </c>
      <c r="K62" s="21" t="str">
        <f t="shared" si="2"/>
        <v>r61: C06548 + C00001  -&gt; C01380 | (${Variables:E3_3_2_10_kcat} * E3_3_2_10 * C06548 * C00001 )/(${Variables:E3_3_2_10_km} + (E3_3_2_10 * C06548 * C00001 ))</v>
      </c>
    </row>
    <row r="63" spans="1:11">
      <c r="A63" t="s">
        <v>726</v>
      </c>
      <c r="B63" t="s">
        <v>727</v>
      </c>
      <c r="C63" t="s">
        <v>15342</v>
      </c>
      <c r="D63">
        <v>62</v>
      </c>
      <c r="E63" t="str">
        <f t="shared" si="0"/>
        <v>E3_3_2_10</v>
      </c>
      <c r="F63" t="s">
        <v>10199</v>
      </c>
      <c r="G63" t="s">
        <v>11343</v>
      </c>
      <c r="H63" t="s">
        <v>10200</v>
      </c>
      <c r="I63" t="s">
        <v>10200</v>
      </c>
      <c r="J63" t="str">
        <f t="shared" si="1"/>
        <v>(${Variables:E3_3_2_10_kcat} * E3_3_2_10 * C14771 * C00001)/(${Variables:E3_3_2_10_km} + (E3_3_2_10 * C14771 * C00001))</v>
      </c>
      <c r="K63" s="21" t="str">
        <f t="shared" si="2"/>
        <v>r62: C14771 + C00001 -&gt; C14775 | (${Variables:E3_3_2_10_kcat} * E3_3_2_10 * C14771 * C00001)/(${Variables:E3_3_2_10_km} + (E3_3_2_10 * C14771 * C00001))</v>
      </c>
    </row>
    <row r="64" spans="1:11">
      <c r="A64" t="s">
        <v>726</v>
      </c>
      <c r="B64" t="s">
        <v>727</v>
      </c>
      <c r="C64" t="s">
        <v>15342</v>
      </c>
      <c r="D64">
        <v>63</v>
      </c>
      <c r="E64" t="str">
        <f t="shared" si="0"/>
        <v>E3_3_2_10</v>
      </c>
      <c r="F64" t="s">
        <v>10201</v>
      </c>
      <c r="G64" t="s">
        <v>11344</v>
      </c>
      <c r="H64" t="s">
        <v>10202</v>
      </c>
      <c r="I64" t="s">
        <v>10202</v>
      </c>
      <c r="J64" t="str">
        <f t="shared" si="1"/>
        <v>(${Variables:E3_3_2_10_kcat} * E3_3_2_10 * C14770 * C00001 )/(${Variables:E3_3_2_10_km} + (E3_3_2_10 * C14770 * C00001 ))</v>
      </c>
      <c r="K64" s="21" t="str">
        <f t="shared" si="2"/>
        <v>r63: C14770 + C00001  -&gt; C14774 | (${Variables:E3_3_2_10_kcat} * E3_3_2_10 * C14770 * C00001 )/(${Variables:E3_3_2_10_km} + (E3_3_2_10 * C14770 * C00001 ))</v>
      </c>
    </row>
    <row r="65" spans="1:11">
      <c r="A65" t="s">
        <v>726</v>
      </c>
      <c r="B65" t="s">
        <v>727</v>
      </c>
      <c r="C65" t="s">
        <v>15342</v>
      </c>
      <c r="D65">
        <v>64</v>
      </c>
      <c r="E65" t="str">
        <f t="shared" si="0"/>
        <v>E3_3_2_10</v>
      </c>
      <c r="F65" t="s">
        <v>10203</v>
      </c>
      <c r="G65" t="s">
        <v>11345</v>
      </c>
      <c r="H65" t="s">
        <v>10204</v>
      </c>
      <c r="I65" t="s">
        <v>10204</v>
      </c>
      <c r="J65" t="str">
        <f t="shared" si="1"/>
        <v>(${Variables:E3_3_2_10_kcat} * E3_3_2_10 * C14769 * C00001 )/(${Variables:E3_3_2_10_km} + (E3_3_2_10 * C14769 * C00001 ))</v>
      </c>
      <c r="K65" s="21" t="str">
        <f t="shared" si="2"/>
        <v>r64: C14769 + C00001  -&gt; C14773 | (${Variables:E3_3_2_10_kcat} * E3_3_2_10 * C14769 * C00001 )/(${Variables:E3_3_2_10_km} + (E3_3_2_10 * C14769 * C00001 ))</v>
      </c>
    </row>
    <row r="66" spans="1:11">
      <c r="A66" t="s">
        <v>726</v>
      </c>
      <c r="B66" t="s">
        <v>727</v>
      </c>
      <c r="C66" t="s">
        <v>15342</v>
      </c>
      <c r="D66">
        <v>65</v>
      </c>
      <c r="E66" t="str">
        <f t="shared" si="0"/>
        <v>E3_3_2_10</v>
      </c>
      <c r="F66" t="s">
        <v>10205</v>
      </c>
      <c r="G66" t="s">
        <v>11346</v>
      </c>
      <c r="H66" t="s">
        <v>10206</v>
      </c>
      <c r="I66" t="s">
        <v>10206</v>
      </c>
      <c r="J66" t="str">
        <f t="shared" si="1"/>
        <v>(${Variables:E3_3_2_10_kcat} * E3_3_2_10 * C14768 * C00001)/(${Variables:E3_3_2_10_km} + (E3_3_2_10 * C14768 * C00001))</v>
      </c>
      <c r="K66" s="21" t="str">
        <f t="shared" si="2"/>
        <v>r65: C14768 + C00001 -&gt; C14772 | (${Variables:E3_3_2_10_kcat} * E3_3_2_10 * C14768 * C00001)/(${Variables:E3_3_2_10_km} + (E3_3_2_10 * C14768 * C00001))</v>
      </c>
    </row>
    <row r="67" spans="1:11">
      <c r="A67" t="s">
        <v>773</v>
      </c>
      <c r="B67" t="s">
        <v>774</v>
      </c>
      <c r="C67" t="s">
        <v>15343</v>
      </c>
      <c r="D67">
        <v>66</v>
      </c>
      <c r="E67" t="str">
        <f t="shared" ref="E67:E130" si="3">"E" &amp; C67</f>
        <v>E4_6_1_1</v>
      </c>
      <c r="F67" t="s">
        <v>7961</v>
      </c>
      <c r="G67" t="s">
        <v>7961</v>
      </c>
      <c r="H67" t="s">
        <v>10528</v>
      </c>
      <c r="I67" t="s">
        <v>12029</v>
      </c>
      <c r="J67" t="str">
        <f t="shared" ref="J67:J130" si="4">CONCATENATE("(${Variables:",E67,"_kcat","} * ",E67," * ",G67,")","/(${Variables:",E67,"_km","} + (",E67," * ",G67,"))")</f>
        <v>(${Variables:E4_6_1_1_kcat} * E4_6_1_1 * C00002)/(${Variables:E4_6_1_1_km} + (E4_6_1_1 * C00002))</v>
      </c>
      <c r="K67" s="21" t="str">
        <f t="shared" ref="K67:K130" si="5">CONCATENATE("r",D67,": ",F67," -&gt; ",H67," | ",J67)</f>
        <v>r66: C00002 -&gt; C00575 + C00013 | (${Variables:E4_6_1_1_kcat} * E4_6_1_1 * C00002)/(${Variables:E4_6_1_1_km} + (E4_6_1_1 * C00002))</v>
      </c>
    </row>
    <row r="68" spans="1:11">
      <c r="A68" t="s">
        <v>773</v>
      </c>
      <c r="B68" t="s">
        <v>774</v>
      </c>
      <c r="C68" t="s">
        <v>15343</v>
      </c>
      <c r="D68">
        <v>67</v>
      </c>
      <c r="E68" t="str">
        <f t="shared" si="3"/>
        <v>E4_6_1_1</v>
      </c>
      <c r="F68" t="s">
        <v>10207</v>
      </c>
      <c r="G68" t="s">
        <v>10207</v>
      </c>
      <c r="H68" t="s">
        <v>10208</v>
      </c>
      <c r="I68" t="s">
        <v>12030</v>
      </c>
      <c r="J68" t="str">
        <f t="shared" si="4"/>
        <v>(${Variables:E4_6_1_1_kcat} * E4_6_1_1 * C00044 )/(${Variables:E4_6_1_1_km} + (E4_6_1_1 * C00044 ))</v>
      </c>
      <c r="K68" s="21" t="str">
        <f t="shared" si="5"/>
        <v>r67: C00044  -&gt; C00942 + C00013 | (${Variables:E4_6_1_1_kcat} * E4_6_1_1 * C00044 )/(${Variables:E4_6_1_1_km} + (E4_6_1_1 * C00044 ))</v>
      </c>
    </row>
    <row r="69" spans="1:11">
      <c r="A69" t="s">
        <v>776</v>
      </c>
      <c r="B69" t="s">
        <v>777</v>
      </c>
      <c r="C69" t="s">
        <v>15311</v>
      </c>
      <c r="D69">
        <v>68</v>
      </c>
      <c r="E69" t="str">
        <f t="shared" si="3"/>
        <v>E2_7_7_7</v>
      </c>
      <c r="F69" t="s">
        <v>12706</v>
      </c>
      <c r="G69" t="s">
        <v>12705</v>
      </c>
      <c r="H69" s="3" t="s">
        <v>10163</v>
      </c>
      <c r="I69" s="3" t="s">
        <v>11305</v>
      </c>
      <c r="J69" t="str">
        <f t="shared" si="4"/>
        <v>(${Variables:E2_7_7_7_kcat} * E2_7_7_7 * C00677 * C00039)/(${Variables:E2_7_7_7_km} + (E2_7_7_7 * C00677 * C00039))</v>
      </c>
      <c r="K69" s="21" t="str">
        <f t="shared" si="5"/>
        <v>r68: C00677 + C00039 -&gt; C00013 + C00039 | (${Variables:E2_7_7_7_kcat} * E2_7_7_7 * C00677 * C00039)/(${Variables:E2_7_7_7_km} + (E2_7_7_7 * C00677 * C00039))</v>
      </c>
    </row>
    <row r="70" spans="1:11">
      <c r="A70" t="s">
        <v>776</v>
      </c>
      <c r="B70" t="s">
        <v>777</v>
      </c>
      <c r="C70" t="s">
        <v>15311</v>
      </c>
      <c r="D70">
        <v>69</v>
      </c>
      <c r="E70" t="str">
        <f t="shared" si="3"/>
        <v>E2_7_7_7</v>
      </c>
      <c r="F70" t="s">
        <v>10162</v>
      </c>
      <c r="G70" t="s">
        <v>11301</v>
      </c>
      <c r="H70" s="3" t="s">
        <v>10163</v>
      </c>
      <c r="I70" s="3" t="s">
        <v>11305</v>
      </c>
      <c r="J70" t="str">
        <f t="shared" si="4"/>
        <v>(${Variables:E2_7_7_7_kcat} * E2_7_7_7 * C00131 * C00039)/(${Variables:E2_7_7_7_km} + (E2_7_7_7 * C00131 * C00039))</v>
      </c>
      <c r="K70" s="21" t="str">
        <f t="shared" si="5"/>
        <v>r69: C00131 + C00039 -&gt; C00013 + C00039 | (${Variables:E2_7_7_7_kcat} * E2_7_7_7 * C00131 * C00039)/(${Variables:E2_7_7_7_km} + (E2_7_7_7 * C00131 * C00039))</v>
      </c>
    </row>
    <row r="71" spans="1:11">
      <c r="A71" t="s">
        <v>776</v>
      </c>
      <c r="B71" t="s">
        <v>777</v>
      </c>
      <c r="C71" t="s">
        <v>15311</v>
      </c>
      <c r="D71">
        <v>70</v>
      </c>
      <c r="E71" t="str">
        <f t="shared" si="3"/>
        <v>E2_7_7_7</v>
      </c>
      <c r="F71" t="s">
        <v>10164</v>
      </c>
      <c r="G71" t="s">
        <v>11302</v>
      </c>
      <c r="H71" s="3" t="s">
        <v>10163</v>
      </c>
      <c r="I71" s="3" t="s">
        <v>11305</v>
      </c>
      <c r="J71" t="str">
        <f t="shared" si="4"/>
        <v>(${Variables:E2_7_7_7_kcat} * E2_7_7_7 * C00286 * C00039 )/(${Variables:E2_7_7_7_km} + (E2_7_7_7 * C00286 * C00039 ))</v>
      </c>
      <c r="K71" s="21" t="str">
        <f t="shared" si="5"/>
        <v>r70: C00286 + C00039  -&gt; C00013 + C00039 | (${Variables:E2_7_7_7_kcat} * E2_7_7_7 * C00286 * C00039 )/(${Variables:E2_7_7_7_km} + (E2_7_7_7 * C00286 * C00039 ))</v>
      </c>
    </row>
    <row r="72" spans="1:11">
      <c r="A72" t="s">
        <v>776</v>
      </c>
      <c r="B72" t="s">
        <v>777</v>
      </c>
      <c r="C72" t="s">
        <v>15311</v>
      </c>
      <c r="D72">
        <v>71</v>
      </c>
      <c r="E72" t="str">
        <f t="shared" si="3"/>
        <v>E2_7_7_7</v>
      </c>
      <c r="F72" t="s">
        <v>10165</v>
      </c>
      <c r="G72" t="s">
        <v>11303</v>
      </c>
      <c r="H72" s="3" t="s">
        <v>10163</v>
      </c>
      <c r="I72" s="3" t="s">
        <v>11305</v>
      </c>
      <c r="J72" t="str">
        <f t="shared" si="4"/>
        <v>(${Variables:E2_7_7_7_kcat} * E2_7_7_7 * C00458 * C00039)/(${Variables:E2_7_7_7_km} + (E2_7_7_7 * C00458 * C00039))</v>
      </c>
      <c r="K72" s="21" t="str">
        <f t="shared" si="5"/>
        <v>r71: C00458 + C00039 -&gt; C00013 + C00039 | (${Variables:E2_7_7_7_kcat} * E2_7_7_7 * C00458 * C00039)/(${Variables:E2_7_7_7_km} + (E2_7_7_7 * C00458 * C00039))</v>
      </c>
    </row>
    <row r="73" spans="1:11">
      <c r="A73" t="s">
        <v>776</v>
      </c>
      <c r="B73" t="s">
        <v>777</v>
      </c>
      <c r="C73" t="s">
        <v>15311</v>
      </c>
      <c r="D73">
        <v>72</v>
      </c>
      <c r="E73" t="str">
        <f t="shared" si="3"/>
        <v>E2_7_7_7</v>
      </c>
      <c r="F73" t="s">
        <v>10166</v>
      </c>
      <c r="G73" t="s">
        <v>11304</v>
      </c>
      <c r="H73" s="3" t="s">
        <v>10163</v>
      </c>
      <c r="I73" s="3" t="s">
        <v>11305</v>
      </c>
      <c r="J73" t="str">
        <f t="shared" si="4"/>
        <v>(${Variables:E2_7_7_7_kcat} * E2_7_7_7 * C00459 * C00039 )/(${Variables:E2_7_7_7_km} + (E2_7_7_7 * C00459 * C00039 ))</v>
      </c>
      <c r="K73" s="21" t="str">
        <f t="shared" si="5"/>
        <v>r72: C00459 + C00039  -&gt; C00013 + C00039 | (${Variables:E2_7_7_7_kcat} * E2_7_7_7 * C00459 * C00039 )/(${Variables:E2_7_7_7_km} + (E2_7_7_7 * C00459 * C00039 ))</v>
      </c>
    </row>
    <row r="74" spans="1:11">
      <c r="A74" t="s">
        <v>776</v>
      </c>
      <c r="B74" t="s">
        <v>777</v>
      </c>
      <c r="C74" t="s">
        <v>15311</v>
      </c>
      <c r="D74">
        <v>73</v>
      </c>
      <c r="E74" t="str">
        <f t="shared" si="3"/>
        <v>E2_7_7_7</v>
      </c>
      <c r="F74" t="s">
        <v>10167</v>
      </c>
      <c r="G74" t="s">
        <v>10167</v>
      </c>
      <c r="H74" s="3" t="s">
        <v>10168</v>
      </c>
      <c r="I74" s="3" t="s">
        <v>10168</v>
      </c>
      <c r="J74" t="str">
        <f t="shared" si="4"/>
        <v>(${Variables:E2_7_7_7_kcat} * E2_7_7_7 * C11039)/(${Variables:E2_7_7_7_km} + (E2_7_7_7 * C11039))</v>
      </c>
      <c r="K74" s="21" t="str">
        <f t="shared" si="5"/>
        <v>r73: C11039 -&gt; C21031 | (${Variables:E2_7_7_7_kcat} * E2_7_7_7 * C11039)/(${Variables:E2_7_7_7_km} + (E2_7_7_7 * C11039))</v>
      </c>
    </row>
    <row r="75" spans="1:11">
      <c r="A75" t="s">
        <v>788</v>
      </c>
      <c r="B75" t="s">
        <v>789</v>
      </c>
      <c r="C75" t="s">
        <v>15344</v>
      </c>
      <c r="D75">
        <v>74</v>
      </c>
      <c r="E75" t="str">
        <f t="shared" si="3"/>
        <v>E6_2_1_3</v>
      </c>
      <c r="F75" t="s">
        <v>10529</v>
      </c>
      <c r="G75" t="s">
        <v>11347</v>
      </c>
      <c r="H75" t="s">
        <v>15980</v>
      </c>
      <c r="I75" t="s">
        <v>15979</v>
      </c>
      <c r="J75" t="str">
        <f t="shared" si="4"/>
        <v>(${Variables:E6_2_1_3_kcat} * E6_2_1_3 * C00002 * C00638 * C00010)/(${Variables:E6_2_1_3_km} + (E6_2_1_3 * C00002 * C00638 * C00010))</v>
      </c>
      <c r="K75" s="21" t="str">
        <f t="shared" si="5"/>
        <v>r74: C00002 + C00638 + C00010 -&gt; C00020 + C00013 + C02843 | (${Variables:E6_2_1_3_kcat} * E6_2_1_3 * C00002 * C00638 * C00010)/(${Variables:E6_2_1_3_km} + (E6_2_1_3 * C00002 * C00638 * C00010))</v>
      </c>
    </row>
    <row r="76" spans="1:11">
      <c r="A76" t="s">
        <v>788</v>
      </c>
      <c r="B76" t="s">
        <v>789</v>
      </c>
      <c r="C76" t="s">
        <v>15344</v>
      </c>
      <c r="D76">
        <v>75</v>
      </c>
      <c r="E76" t="str">
        <f t="shared" si="3"/>
        <v>E6_2_1_3</v>
      </c>
      <c r="F76" t="s">
        <v>10156</v>
      </c>
      <c r="G76" t="s">
        <v>11348</v>
      </c>
      <c r="H76" t="s">
        <v>10157</v>
      </c>
      <c r="I76" t="s">
        <v>12032</v>
      </c>
      <c r="J76" t="str">
        <f t="shared" si="4"/>
        <v>(${Variables:E6_2_1_3_kcat} * E6_2_1_3 * C00002 * C00249 * C00010)/(${Variables:E6_2_1_3_km} + (E6_2_1_3 * C00002 * C00249 * C00010))</v>
      </c>
      <c r="K76" s="21" t="str">
        <f t="shared" si="5"/>
        <v>r75: C00002 + C00249 + C00010 -&gt; C00020 + C00154 + C00013 | (${Variables:E6_2_1_3_kcat} * E6_2_1_3 * C00002 * C00249 * C00010)/(${Variables:E6_2_1_3_km} + (E6_2_1_3 * C00002 * C00249 * C00010))</v>
      </c>
    </row>
    <row r="77" spans="1:11">
      <c r="A77" t="s">
        <v>793</v>
      </c>
      <c r="B77" t="s">
        <v>794</v>
      </c>
      <c r="C77" t="s">
        <v>15345</v>
      </c>
      <c r="D77">
        <v>76</v>
      </c>
      <c r="E77" t="str">
        <f t="shared" si="3"/>
        <v>E1_1_1_306</v>
      </c>
      <c r="F77" s="3" t="s">
        <v>10531</v>
      </c>
      <c r="G77" s="3" t="s">
        <v>15983</v>
      </c>
      <c r="H77" s="3" t="s">
        <v>15982</v>
      </c>
      <c r="I77" s="3" t="s">
        <v>15981</v>
      </c>
      <c r="J77" t="str">
        <f t="shared" si="4"/>
        <v>(${Variables:E1_1_1_306_kcat} * E1_1_1_306 * C18235 * C00003)/(${Variables:E1_1_1_306_km} + (E1_1_1_306 * C18235 * C00003))</v>
      </c>
      <c r="K77" s="21" t="str">
        <f>CONCATENATE("r",D77,": ",F77," -&gt; ",H77," | ",J77)</f>
        <v>r76: C18235 + C00003 -&gt; C06718 + C00004 + C00080 | (${Variables:E1_1_1_306_kcat} * E1_1_1_306 * C18235 * C00003)/(${Variables:E1_1_1_306_km} + (E1_1_1_306 * C18235 * C00003))</v>
      </c>
    </row>
    <row r="78" spans="1:11">
      <c r="A78" t="s">
        <v>793</v>
      </c>
      <c r="B78" t="s">
        <v>794</v>
      </c>
      <c r="C78" t="s">
        <v>15345</v>
      </c>
      <c r="D78">
        <v>77</v>
      </c>
      <c r="E78" t="str">
        <f t="shared" si="3"/>
        <v>E1_1_1_306</v>
      </c>
      <c r="F78" s="3" t="s">
        <v>10209</v>
      </c>
      <c r="G78" s="3" t="s">
        <v>11349</v>
      </c>
      <c r="H78" s="3" t="s">
        <v>10210</v>
      </c>
      <c r="I78" s="3" t="s">
        <v>12033</v>
      </c>
      <c r="J78" t="str">
        <f t="shared" si="4"/>
        <v>(${Variables:E1_1_1_306_kcat} * E1_1_1_306 * C18235 * C00003 * C00001)/(${Variables:E1_1_1_306_km} + (E1_1_1_306 * C18235 * C00003 * C00001))</v>
      </c>
      <c r="K78" s="21" t="str">
        <f t="shared" si="5"/>
        <v>r77: C18235 + C00003 + C00001 -&gt; C00058 + C06717 + C00004 + C00080 | (${Variables:E1_1_1_306_kcat} * E1_1_1_306 * C18235 * C00003 * C00001)/(${Variables:E1_1_1_306_km} + (E1_1_1_306 * C18235 * C00003 * C00001))</v>
      </c>
    </row>
    <row r="79" spans="1:11">
      <c r="A79" t="s">
        <v>800</v>
      </c>
      <c r="B79" t="s">
        <v>801</v>
      </c>
      <c r="C79" t="s">
        <v>15346</v>
      </c>
      <c r="D79">
        <v>78</v>
      </c>
      <c r="E79" t="str">
        <f t="shared" si="3"/>
        <v>E2_7_7_24</v>
      </c>
      <c r="F79" t="s">
        <v>10532</v>
      </c>
      <c r="G79" t="s">
        <v>11350</v>
      </c>
      <c r="H79" t="s">
        <v>10533</v>
      </c>
      <c r="I79" t="s">
        <v>12034</v>
      </c>
      <c r="J79" t="str">
        <f t="shared" si="4"/>
        <v>(${Variables:E2_7_7_24_kcat} * E2_7_7_24 * C00459 * C00103)/(${Variables:E2_7_7_24_km} + (E2_7_7_24 * C00459 * C00103))</v>
      </c>
      <c r="K79" s="21" t="str">
        <f t="shared" si="5"/>
        <v>r78: C00459 + C00103 -&gt; C00013 + C00842 | (${Variables:E2_7_7_24_kcat} * E2_7_7_24 * C00459 * C00103)/(${Variables:E2_7_7_24_km} + (E2_7_7_24 * C00459 * C00103))</v>
      </c>
    </row>
    <row r="80" spans="1:11">
      <c r="A80" t="s">
        <v>804</v>
      </c>
      <c r="B80" t="s">
        <v>805</v>
      </c>
      <c r="C80" t="s">
        <v>15347</v>
      </c>
      <c r="D80">
        <v>79</v>
      </c>
      <c r="E80" t="str">
        <f t="shared" si="3"/>
        <v>E5_1_3_13</v>
      </c>
      <c r="F80" t="s">
        <v>7979</v>
      </c>
      <c r="G80" t="s">
        <v>7979</v>
      </c>
      <c r="H80" t="s">
        <v>7980</v>
      </c>
      <c r="I80" t="s">
        <v>7980</v>
      </c>
      <c r="J80" t="str">
        <f t="shared" si="4"/>
        <v>(${Variables:E5_1_3_13_kcat} * E5_1_3_13 * C11907)/(${Variables:E5_1_3_13_km} + (E5_1_3_13 * C11907))</v>
      </c>
      <c r="K80" s="21" t="str">
        <f t="shared" si="5"/>
        <v>r79: C11907 -&gt; C00688 | (${Variables:E5_1_3_13_kcat} * E5_1_3_13 * C11907)/(${Variables:E5_1_3_13_km} + (E5_1_3_13 * C11907))</v>
      </c>
    </row>
    <row r="81" spans="1:11">
      <c r="A81" t="s">
        <v>808</v>
      </c>
      <c r="B81" t="s">
        <v>809</v>
      </c>
      <c r="C81" t="s">
        <v>15348</v>
      </c>
      <c r="D81">
        <v>80</v>
      </c>
      <c r="E81" t="str">
        <f t="shared" si="3"/>
        <v>E4_2_1_46</v>
      </c>
      <c r="F81" t="s">
        <v>7983</v>
      </c>
      <c r="G81" t="s">
        <v>7983</v>
      </c>
      <c r="H81" t="s">
        <v>10534</v>
      </c>
      <c r="I81" t="s">
        <v>12035</v>
      </c>
      <c r="J81" t="str">
        <f t="shared" si="4"/>
        <v>(${Variables:E4_2_1_46_kcat} * E4_2_1_46 * C00842)/(${Variables:E4_2_1_46_km} + (E4_2_1_46 * C00842))</v>
      </c>
      <c r="K81" s="21" t="str">
        <f t="shared" si="5"/>
        <v>r80: C00842 -&gt; C11907 + C00001 | (${Variables:E4_2_1_46_kcat} * E4_2_1_46 * C00842)/(${Variables:E4_2_1_46_km} + (E4_2_1_46 * C00842))</v>
      </c>
    </row>
    <row r="82" spans="1:11">
      <c r="A82" t="s">
        <v>814</v>
      </c>
      <c r="B82" t="s">
        <v>815</v>
      </c>
      <c r="C82" t="s">
        <v>15349</v>
      </c>
      <c r="D82">
        <v>81</v>
      </c>
      <c r="E82" t="str">
        <f t="shared" si="3"/>
        <v>E3_4_11_2</v>
      </c>
      <c r="F82" t="s">
        <v>10535</v>
      </c>
      <c r="G82" t="s">
        <v>11351</v>
      </c>
      <c r="H82" t="s">
        <v>10536</v>
      </c>
      <c r="I82" t="s">
        <v>12036</v>
      </c>
      <c r="J82" t="str">
        <f t="shared" si="4"/>
        <v>(${Variables:E3_4_11_2_kcat} * E3_4_11_2 * C01419 * C00001)/(${Variables:E3_4_11_2_km} + (E3_4_11_2 * C01419 * C00001))</v>
      </c>
      <c r="K82" s="21" t="str">
        <f t="shared" si="5"/>
        <v>r81: C01419 + C00001 -&gt; C00097 + C00037 | (${Variables:E3_4_11_2_kcat} * E3_4_11_2 * C01419 * C00001)/(${Variables:E3_4_11_2_km} + (E3_4_11_2 * C01419 * C00001))</v>
      </c>
    </row>
    <row r="83" spans="1:11">
      <c r="A83" t="s">
        <v>814</v>
      </c>
      <c r="B83" t="s">
        <v>815</v>
      </c>
      <c r="C83" t="s">
        <v>15349</v>
      </c>
      <c r="D83">
        <v>82</v>
      </c>
      <c r="E83" t="str">
        <f t="shared" si="3"/>
        <v>E3_4_11_2</v>
      </c>
      <c r="F83" t="s">
        <v>10211</v>
      </c>
      <c r="G83" t="s">
        <v>11352</v>
      </c>
      <c r="H83" t="s">
        <v>10212</v>
      </c>
      <c r="I83" t="s">
        <v>12037</v>
      </c>
      <c r="J83" t="str">
        <f t="shared" si="4"/>
        <v>(${Variables:E3_4_11_2_kcat} * E3_4_11_2 * C05729 * C00001)/(${Variables:E3_4_11_2_km} + (E3_4_11_2 * C05729 * C00001))</v>
      </c>
      <c r="K83" s="21" t="str">
        <f t="shared" si="5"/>
        <v>r82: C05729 + C00001 -&gt; C05726 + C00037 | (${Variables:E3_4_11_2_kcat} * E3_4_11_2 * C05729 * C00001)/(${Variables:E3_4_11_2_km} + (E3_4_11_2 * C05729 * C00001))</v>
      </c>
    </row>
    <row r="84" spans="1:11">
      <c r="A84" t="s">
        <v>818</v>
      </c>
      <c r="B84" t="s">
        <v>819</v>
      </c>
      <c r="C84" t="s">
        <v>15350</v>
      </c>
      <c r="D84">
        <v>83</v>
      </c>
      <c r="E84" t="str">
        <f t="shared" si="3"/>
        <v>E2_3_1_122</v>
      </c>
      <c r="F84" t="s">
        <v>14109</v>
      </c>
      <c r="G84" t="s">
        <v>14109</v>
      </c>
      <c r="H84" t="s">
        <v>10537</v>
      </c>
      <c r="I84" t="s">
        <v>12038</v>
      </c>
      <c r="J84" t="str">
        <f t="shared" si="4"/>
        <v>(${Variables:E2_3_1_122_kcat} * E2_3_1_122 * C04218)/(${Variables:E2_3_1_122_km} + (E2_3_1_122 * C04218))</v>
      </c>
      <c r="K84" s="21" t="str">
        <f t="shared" si="5"/>
        <v>r83: C04218 -&gt; C01083 + C04465 | (${Variables:E2_3_1_122_kcat} * E2_3_1_122 * C04218)/(${Variables:E2_3_1_122_km} + (E2_3_1_122 * C04218))</v>
      </c>
    </row>
    <row r="85" spans="1:11">
      <c r="A85" t="s">
        <v>818</v>
      </c>
      <c r="B85" t="s">
        <v>819</v>
      </c>
      <c r="C85" t="s">
        <v>15350</v>
      </c>
      <c r="D85">
        <v>84</v>
      </c>
      <c r="E85" t="str">
        <f t="shared" si="3"/>
        <v>E2_3_1_122</v>
      </c>
      <c r="F85" t="s">
        <v>14115</v>
      </c>
      <c r="G85" t="s">
        <v>14115</v>
      </c>
      <c r="H85" t="s">
        <v>10215</v>
      </c>
      <c r="I85" t="s">
        <v>12039</v>
      </c>
      <c r="J85" t="str">
        <f t="shared" si="4"/>
        <v>(${Variables:E2_3_1_122_kcat} * E2_3_1_122 * C22876)/(${Variables:E2_3_1_122_km} + (E2_3_1_122 * C22876))</v>
      </c>
      <c r="K85" s="21" t="str">
        <f t="shared" si="5"/>
        <v>r84: C22876 -&gt; C01083 + C22877 | (${Variables:E2_3_1_122_kcat} * E2_3_1_122 * C22876)/(${Variables:E2_3_1_122_km} + (E2_3_1_122 * C22876))</v>
      </c>
    </row>
    <row r="86" spans="1:11">
      <c r="A86" t="s">
        <v>824</v>
      </c>
      <c r="B86" t="s">
        <v>825</v>
      </c>
      <c r="C86" t="s">
        <v>15351</v>
      </c>
      <c r="D86">
        <v>85</v>
      </c>
      <c r="E86" t="str">
        <f t="shared" si="3"/>
        <v>E1_8_1_4</v>
      </c>
      <c r="F86" t="s">
        <v>10538</v>
      </c>
      <c r="G86" t="s">
        <v>11353</v>
      </c>
      <c r="H86" t="s">
        <v>10539</v>
      </c>
      <c r="I86" t="s">
        <v>12040</v>
      </c>
      <c r="J86" t="str">
        <f t="shared" si="4"/>
        <v>(${Variables:E1_8_1_4_kcat} * E1_8_1_4 * C16832 * C00003)/(${Variables:E1_8_1_4_km} + (E1_8_1_4 * C16832 * C00003))</v>
      </c>
      <c r="K86" s="21" t="str">
        <f t="shared" si="5"/>
        <v>r85: C16832 + C00003 -&gt; C16237 + C00004 + C00080 | (${Variables:E1_8_1_4_kcat} * E1_8_1_4 * C16832 * C00003)/(${Variables:E1_8_1_4_km} + (E1_8_1_4 * C16832 * C00003))</v>
      </c>
    </row>
    <row r="87" spans="1:11">
      <c r="A87" t="s">
        <v>824</v>
      </c>
      <c r="B87" t="s">
        <v>825</v>
      </c>
      <c r="C87" t="s">
        <v>15351</v>
      </c>
      <c r="D87">
        <v>86</v>
      </c>
      <c r="E87" t="str">
        <f t="shared" si="3"/>
        <v>E1_8_1_4</v>
      </c>
      <c r="F87" t="s">
        <v>10216</v>
      </c>
      <c r="G87" t="s">
        <v>11354</v>
      </c>
      <c r="H87" t="s">
        <v>10217</v>
      </c>
      <c r="I87" t="s">
        <v>12041</v>
      </c>
      <c r="J87" t="str">
        <f t="shared" si="4"/>
        <v>(${Variables:E1_8_1_4_kcat} * E1_8_1_4 * C02972 * C00003)/(${Variables:E1_8_1_4_km} + (E1_8_1_4 * C02972 * C00003))</v>
      </c>
      <c r="K87" s="21" t="str">
        <f t="shared" si="5"/>
        <v>r86: C02972 + C00003 -&gt; C02051 + C00004 + C00080 | (${Variables:E1_8_1_4_kcat} * E1_8_1_4 * C02972 * C00003)/(${Variables:E1_8_1_4_km} + (E1_8_1_4 * C02972 * C00003))</v>
      </c>
    </row>
    <row r="88" spans="1:11">
      <c r="A88" t="s">
        <v>824</v>
      </c>
      <c r="B88" t="s">
        <v>825</v>
      </c>
      <c r="C88" t="s">
        <v>15351</v>
      </c>
      <c r="D88">
        <v>87</v>
      </c>
      <c r="E88" t="str">
        <f t="shared" si="3"/>
        <v>E1_8_1_4</v>
      </c>
      <c r="F88" t="s">
        <v>10218</v>
      </c>
      <c r="G88" t="s">
        <v>11355</v>
      </c>
      <c r="H88" t="s">
        <v>10219</v>
      </c>
      <c r="I88" t="s">
        <v>12042</v>
      </c>
      <c r="J88" t="str">
        <f t="shared" si="4"/>
        <v>(${Variables:E1_8_1_4_kcat} * E1_8_1_4 * C15973 * C00003)/(${Variables:E1_8_1_4_km} + (E1_8_1_4 * C15973 * C00003))</v>
      </c>
      <c r="K88" s="21" t="str">
        <f t="shared" si="5"/>
        <v>r87: C15973 + C00003 -&gt; C15972 + C00004 + C00080 | (${Variables:E1_8_1_4_kcat} * E1_8_1_4 * C15973 * C00003)/(${Variables:E1_8_1_4_km} + (E1_8_1_4 * C15973 * C00003))</v>
      </c>
    </row>
    <row r="89" spans="1:11">
      <c r="A89" t="s">
        <v>824</v>
      </c>
      <c r="B89" t="s">
        <v>825</v>
      </c>
      <c r="C89" t="s">
        <v>15351</v>
      </c>
      <c r="D89">
        <v>88</v>
      </c>
      <c r="E89" t="str">
        <f t="shared" si="3"/>
        <v>E1_8_1_4</v>
      </c>
      <c r="F89" t="s">
        <v>10220</v>
      </c>
      <c r="G89" t="s">
        <v>11356</v>
      </c>
      <c r="H89" t="s">
        <v>10221</v>
      </c>
      <c r="I89" t="s">
        <v>12043</v>
      </c>
      <c r="J89" t="str">
        <f t="shared" si="4"/>
        <v>(${Variables:E1_8_1_4_kcat} * E1_8_1_4 * C00579 * C00003 )/(${Variables:E1_8_1_4_km} + (E1_8_1_4 * C00579 * C00003 ))</v>
      </c>
      <c r="K89" s="21" t="str">
        <f t="shared" si="5"/>
        <v>r88: C00579 + C00003  -&gt; C00248 + C00004 + C00080 | (${Variables:E1_8_1_4_kcat} * E1_8_1_4 * C00579 * C00003 )/(${Variables:E1_8_1_4_km} + (E1_8_1_4 * C00579 * C00003 ))</v>
      </c>
    </row>
    <row r="90" spans="1:11">
      <c r="A90" t="s">
        <v>838</v>
      </c>
      <c r="B90" t="s">
        <v>839</v>
      </c>
      <c r="C90" t="s">
        <v>15352</v>
      </c>
      <c r="D90">
        <v>89</v>
      </c>
      <c r="E90" t="str">
        <f t="shared" si="3"/>
        <v>E1_3_5_1</v>
      </c>
      <c r="F90" t="s">
        <v>10540</v>
      </c>
      <c r="G90" t="s">
        <v>11357</v>
      </c>
      <c r="H90" t="s">
        <v>10541</v>
      </c>
      <c r="I90" t="s">
        <v>12044</v>
      </c>
      <c r="J90" t="str">
        <f t="shared" si="4"/>
        <v>(${Variables:E1_3_5_1_kcat} * E1_3_5_1 * C15602 * C00042)/(${Variables:E1_3_5_1_km} + (E1_3_5_1 * C15602 * C00042))</v>
      </c>
      <c r="K90" s="21" t="str">
        <f t="shared" si="5"/>
        <v>r89: C15602 + C00042 -&gt; C15603 + C00122 | (${Variables:E1_3_5_1_kcat} * E1_3_5_1 * C15602 * C00042)/(${Variables:E1_3_5_1_km} + (E1_3_5_1 * C15602 * C00042))</v>
      </c>
    </row>
    <row r="91" spans="1:11">
      <c r="A91" t="s">
        <v>838</v>
      </c>
      <c r="B91" t="s">
        <v>839</v>
      </c>
      <c r="C91" t="s">
        <v>15352</v>
      </c>
      <c r="D91">
        <v>90</v>
      </c>
      <c r="E91" t="str">
        <f t="shared" si="3"/>
        <v>E1_3_5_1</v>
      </c>
      <c r="F91" t="s">
        <v>10222</v>
      </c>
      <c r="G91" t="s">
        <v>11358</v>
      </c>
      <c r="H91" t="s">
        <v>10223</v>
      </c>
      <c r="I91" t="s">
        <v>12045</v>
      </c>
      <c r="J91" t="str">
        <f t="shared" si="4"/>
        <v>(${Variables:E1_3_5_1_kcat} * E1_3_5_1 * C00399 * C00042)/(${Variables:E1_3_5_1_km} + (E1_3_5_1 * C00399 * C00042))</v>
      </c>
      <c r="K91" s="21" t="str">
        <f t="shared" si="5"/>
        <v>r90: C00399 + C00042 -&gt; C00390 + C00122 | (${Variables:E1_3_5_1_kcat} * E1_3_5_1 * C00399 * C00042)/(${Variables:E1_3_5_1_km} + (E1_3_5_1 * C00399 * C00042))</v>
      </c>
    </row>
    <row r="92" spans="1:11">
      <c r="A92" t="s">
        <v>870</v>
      </c>
      <c r="B92" t="s">
        <v>871</v>
      </c>
      <c r="C92" t="s">
        <v>15351</v>
      </c>
      <c r="D92">
        <v>91</v>
      </c>
      <c r="E92" t="str">
        <f t="shared" si="3"/>
        <v>E1_8_1_4</v>
      </c>
      <c r="F92" t="s">
        <v>10538</v>
      </c>
      <c r="G92" t="s">
        <v>11353</v>
      </c>
      <c r="H92" t="s">
        <v>10539</v>
      </c>
      <c r="I92" t="s">
        <v>12040</v>
      </c>
      <c r="J92" t="str">
        <f t="shared" si="4"/>
        <v>(${Variables:E1_8_1_4_kcat} * E1_8_1_4 * C16832 * C00003)/(${Variables:E1_8_1_4_km} + (E1_8_1_4 * C16832 * C00003))</v>
      </c>
      <c r="K92" s="21" t="str">
        <f t="shared" si="5"/>
        <v>r91: C16832 + C00003 -&gt; C16237 + C00004 + C00080 | (${Variables:E1_8_1_4_kcat} * E1_8_1_4 * C16832 * C00003)/(${Variables:E1_8_1_4_km} + (E1_8_1_4 * C16832 * C00003))</v>
      </c>
    </row>
    <row r="93" spans="1:11">
      <c r="A93" t="s">
        <v>870</v>
      </c>
      <c r="B93" t="s">
        <v>871</v>
      </c>
      <c r="C93" t="s">
        <v>15351</v>
      </c>
      <c r="D93">
        <v>92</v>
      </c>
      <c r="E93" t="str">
        <f t="shared" si="3"/>
        <v>E1_8_1_4</v>
      </c>
      <c r="F93" t="s">
        <v>10216</v>
      </c>
      <c r="G93" t="s">
        <v>11354</v>
      </c>
      <c r="H93" t="s">
        <v>10217</v>
      </c>
      <c r="I93" t="s">
        <v>12041</v>
      </c>
      <c r="J93" t="str">
        <f t="shared" si="4"/>
        <v>(${Variables:E1_8_1_4_kcat} * E1_8_1_4 * C02972 * C00003)/(${Variables:E1_8_1_4_km} + (E1_8_1_4 * C02972 * C00003))</v>
      </c>
      <c r="K93" s="21" t="str">
        <f t="shared" si="5"/>
        <v>r92: C02972 + C00003 -&gt; C02051 + C00004 + C00080 | (${Variables:E1_8_1_4_kcat} * E1_8_1_4 * C02972 * C00003)/(${Variables:E1_8_1_4_km} + (E1_8_1_4 * C02972 * C00003))</v>
      </c>
    </row>
    <row r="94" spans="1:11">
      <c r="A94" t="s">
        <v>870</v>
      </c>
      <c r="B94" t="s">
        <v>871</v>
      </c>
      <c r="C94" t="s">
        <v>15351</v>
      </c>
      <c r="D94">
        <v>93</v>
      </c>
      <c r="E94" t="str">
        <f t="shared" si="3"/>
        <v>E1_8_1_4</v>
      </c>
      <c r="F94" t="s">
        <v>10218</v>
      </c>
      <c r="G94" t="s">
        <v>11355</v>
      </c>
      <c r="H94" t="s">
        <v>10219</v>
      </c>
      <c r="I94" t="s">
        <v>12042</v>
      </c>
      <c r="J94" t="str">
        <f t="shared" si="4"/>
        <v>(${Variables:E1_8_1_4_kcat} * E1_8_1_4 * C15973 * C00003)/(${Variables:E1_8_1_4_km} + (E1_8_1_4 * C15973 * C00003))</v>
      </c>
      <c r="K94" s="21" t="str">
        <f t="shared" si="5"/>
        <v>r93: C15973 + C00003 -&gt; C15972 + C00004 + C00080 | (${Variables:E1_8_1_4_kcat} * E1_8_1_4 * C15973 * C00003)/(${Variables:E1_8_1_4_km} + (E1_8_1_4 * C15973 * C00003))</v>
      </c>
    </row>
    <row r="95" spans="1:11">
      <c r="A95" t="s">
        <v>870</v>
      </c>
      <c r="B95" t="s">
        <v>871</v>
      </c>
      <c r="C95" t="s">
        <v>15351</v>
      </c>
      <c r="D95">
        <v>94</v>
      </c>
      <c r="E95" t="str">
        <f t="shared" si="3"/>
        <v>E1_8_1_4</v>
      </c>
      <c r="F95" t="s">
        <v>10220</v>
      </c>
      <c r="G95" t="s">
        <v>11356</v>
      </c>
      <c r="H95" t="s">
        <v>10221</v>
      </c>
      <c r="I95" t="s">
        <v>12043</v>
      </c>
      <c r="J95" t="str">
        <f t="shared" si="4"/>
        <v>(${Variables:E1_8_1_4_kcat} * E1_8_1_4 * C00579 * C00003 )/(${Variables:E1_8_1_4_km} + (E1_8_1_4 * C00579 * C00003 ))</v>
      </c>
      <c r="K95" s="21" t="str">
        <f t="shared" si="5"/>
        <v>r94: C00579 + C00003  -&gt; C00248 + C00004 + C00080 | (${Variables:E1_8_1_4_kcat} * E1_8_1_4 * C00579 * C00003 )/(${Variables:E1_8_1_4_km} + (E1_8_1_4 * C00579 * C00003 ))</v>
      </c>
    </row>
    <row r="96" spans="1:11">
      <c r="A96" t="s">
        <v>873</v>
      </c>
      <c r="B96" t="s">
        <v>874</v>
      </c>
      <c r="C96" t="s">
        <v>15351</v>
      </c>
      <c r="D96">
        <v>95</v>
      </c>
      <c r="E96" t="str">
        <f t="shared" si="3"/>
        <v>E1_8_1_4</v>
      </c>
      <c r="F96" t="s">
        <v>10538</v>
      </c>
      <c r="G96" t="s">
        <v>11353</v>
      </c>
      <c r="H96" t="s">
        <v>10539</v>
      </c>
      <c r="I96" t="s">
        <v>12040</v>
      </c>
      <c r="J96" t="str">
        <f t="shared" si="4"/>
        <v>(${Variables:E1_8_1_4_kcat} * E1_8_1_4 * C16832 * C00003)/(${Variables:E1_8_1_4_km} + (E1_8_1_4 * C16832 * C00003))</v>
      </c>
      <c r="K96" s="21" t="str">
        <f t="shared" si="5"/>
        <v>r95: C16832 + C00003 -&gt; C16237 + C00004 + C00080 | (${Variables:E1_8_1_4_kcat} * E1_8_1_4 * C16832 * C00003)/(${Variables:E1_8_1_4_km} + (E1_8_1_4 * C16832 * C00003))</v>
      </c>
    </row>
    <row r="97" spans="1:11">
      <c r="A97" t="s">
        <v>873</v>
      </c>
      <c r="B97" t="s">
        <v>874</v>
      </c>
      <c r="C97" t="s">
        <v>15351</v>
      </c>
      <c r="D97">
        <v>96</v>
      </c>
      <c r="E97" t="str">
        <f t="shared" si="3"/>
        <v>E1_8_1_4</v>
      </c>
      <c r="F97" t="s">
        <v>10216</v>
      </c>
      <c r="G97" t="s">
        <v>11354</v>
      </c>
      <c r="H97" t="s">
        <v>10217</v>
      </c>
      <c r="I97" t="s">
        <v>12041</v>
      </c>
      <c r="J97" t="str">
        <f t="shared" si="4"/>
        <v>(${Variables:E1_8_1_4_kcat} * E1_8_1_4 * C02972 * C00003)/(${Variables:E1_8_1_4_km} + (E1_8_1_4 * C02972 * C00003))</v>
      </c>
      <c r="K97" s="21" t="str">
        <f t="shared" si="5"/>
        <v>r96: C02972 + C00003 -&gt; C02051 + C00004 + C00080 | (${Variables:E1_8_1_4_kcat} * E1_8_1_4 * C02972 * C00003)/(${Variables:E1_8_1_4_km} + (E1_8_1_4 * C02972 * C00003))</v>
      </c>
    </row>
    <row r="98" spans="1:11">
      <c r="A98" t="s">
        <v>873</v>
      </c>
      <c r="B98" t="s">
        <v>874</v>
      </c>
      <c r="C98" t="s">
        <v>15351</v>
      </c>
      <c r="D98">
        <v>97</v>
      </c>
      <c r="E98" t="str">
        <f t="shared" si="3"/>
        <v>E1_8_1_4</v>
      </c>
      <c r="F98" t="s">
        <v>10218</v>
      </c>
      <c r="G98" t="s">
        <v>11355</v>
      </c>
      <c r="H98" t="s">
        <v>10219</v>
      </c>
      <c r="I98" t="s">
        <v>12042</v>
      </c>
      <c r="J98" t="str">
        <f t="shared" si="4"/>
        <v>(${Variables:E1_8_1_4_kcat} * E1_8_1_4 * C15973 * C00003)/(${Variables:E1_8_1_4_km} + (E1_8_1_4 * C15973 * C00003))</v>
      </c>
      <c r="K98" s="21" t="str">
        <f t="shared" si="5"/>
        <v>r97: C15973 + C00003 -&gt; C15972 + C00004 + C00080 | (${Variables:E1_8_1_4_kcat} * E1_8_1_4 * C15973 * C00003)/(${Variables:E1_8_1_4_km} + (E1_8_1_4 * C15973 * C00003))</v>
      </c>
    </row>
    <row r="99" spans="1:11">
      <c r="A99" t="s">
        <v>873</v>
      </c>
      <c r="B99" t="s">
        <v>874</v>
      </c>
      <c r="C99" t="s">
        <v>15351</v>
      </c>
      <c r="D99">
        <v>98</v>
      </c>
      <c r="E99" t="str">
        <f t="shared" si="3"/>
        <v>E1_8_1_4</v>
      </c>
      <c r="F99" t="s">
        <v>10220</v>
      </c>
      <c r="G99" t="s">
        <v>11356</v>
      </c>
      <c r="H99" t="s">
        <v>10221</v>
      </c>
      <c r="I99" t="s">
        <v>12043</v>
      </c>
      <c r="J99" t="str">
        <f t="shared" si="4"/>
        <v>(${Variables:E1_8_1_4_kcat} * E1_8_1_4 * C00579 * C00003 )/(${Variables:E1_8_1_4_km} + (E1_8_1_4 * C00579 * C00003 ))</v>
      </c>
      <c r="K99" s="21" t="str">
        <f t="shared" si="5"/>
        <v>r98: C00579 + C00003  -&gt; C00248 + C00004 + C00080 | (${Variables:E1_8_1_4_kcat} * E1_8_1_4 * C00579 * C00003 )/(${Variables:E1_8_1_4_km} + (E1_8_1_4 * C00579 * C00003 ))</v>
      </c>
    </row>
    <row r="100" spans="1:11">
      <c r="A100" t="s">
        <v>889</v>
      </c>
      <c r="B100" t="s">
        <v>890</v>
      </c>
      <c r="C100" t="s">
        <v>15352</v>
      </c>
      <c r="D100">
        <v>99</v>
      </c>
      <c r="E100" t="str">
        <f t="shared" si="3"/>
        <v>E1_3_5_1</v>
      </c>
      <c r="F100" t="s">
        <v>10540</v>
      </c>
      <c r="G100" t="s">
        <v>11357</v>
      </c>
      <c r="H100" t="s">
        <v>10541</v>
      </c>
      <c r="I100" t="s">
        <v>12044</v>
      </c>
      <c r="J100" t="str">
        <f t="shared" si="4"/>
        <v>(${Variables:E1_3_5_1_kcat} * E1_3_5_1 * C15602 * C00042)/(${Variables:E1_3_5_1_km} + (E1_3_5_1 * C15602 * C00042))</v>
      </c>
      <c r="K100" s="21" t="str">
        <f t="shared" si="5"/>
        <v>r99: C15602 + C00042 -&gt; C15603 + C00122 | (${Variables:E1_3_5_1_kcat} * E1_3_5_1 * C15602 * C00042)/(${Variables:E1_3_5_1_km} + (E1_3_5_1 * C15602 * C00042))</v>
      </c>
    </row>
    <row r="101" spans="1:11">
      <c r="A101" t="s">
        <v>889</v>
      </c>
      <c r="B101" t="s">
        <v>890</v>
      </c>
      <c r="C101" t="s">
        <v>15352</v>
      </c>
      <c r="D101">
        <v>100</v>
      </c>
      <c r="E101" t="str">
        <f t="shared" si="3"/>
        <v>E1_3_5_1</v>
      </c>
      <c r="F101" t="s">
        <v>10222</v>
      </c>
      <c r="G101" t="s">
        <v>11358</v>
      </c>
      <c r="H101" t="s">
        <v>10223</v>
      </c>
      <c r="I101" t="s">
        <v>12045</v>
      </c>
      <c r="J101" t="str">
        <f t="shared" si="4"/>
        <v>(${Variables:E1_3_5_1_kcat} * E1_3_5_1 * C00399 * C00042)/(${Variables:E1_3_5_1_km} + (E1_3_5_1 * C00399 * C00042))</v>
      </c>
      <c r="K101" s="21" t="str">
        <f t="shared" si="5"/>
        <v>r100: C00399 + C00042 -&gt; C00390 + C00122 | (${Variables:E1_3_5_1_kcat} * E1_3_5_1 * C00399 * C00042)/(${Variables:E1_3_5_1_km} + (E1_3_5_1 * C00399 * C00042))</v>
      </c>
    </row>
    <row r="102" spans="1:11">
      <c r="A102" t="s">
        <v>973</v>
      </c>
      <c r="B102" t="s">
        <v>974</v>
      </c>
      <c r="C102" t="s">
        <v>15353</v>
      </c>
      <c r="D102">
        <v>101</v>
      </c>
      <c r="E102" t="str">
        <f t="shared" si="3"/>
        <v>E1_3_1_98</v>
      </c>
      <c r="F102" t="s">
        <v>10542</v>
      </c>
      <c r="G102" t="s">
        <v>11359</v>
      </c>
      <c r="H102" t="s">
        <v>10543</v>
      </c>
      <c r="I102" t="s">
        <v>12046</v>
      </c>
      <c r="J102" t="str">
        <f t="shared" si="4"/>
        <v>(${Variables:E1_3_1_98_kcat} * E1_3_1_98 * C01050 * C00006)/(${Variables:E1_3_1_98_km} + (E1_3_1_98 * C01050 * C00006))</v>
      </c>
      <c r="K102" s="21" t="str">
        <f t="shared" si="5"/>
        <v>r101: C01050 + C00006 -&gt; C04631 + C00005 + C00080 | (${Variables:E1_3_1_98_kcat} * E1_3_1_98 * C01050 * C00006)/(${Variables:E1_3_1_98_km} + (E1_3_1_98 * C01050 * C00006))</v>
      </c>
    </row>
    <row r="103" spans="1:11">
      <c r="A103" t="s">
        <v>973</v>
      </c>
      <c r="B103" t="s">
        <v>974</v>
      </c>
      <c r="C103" t="s">
        <v>15353</v>
      </c>
      <c r="D103">
        <v>102</v>
      </c>
      <c r="E103" t="str">
        <f t="shared" si="3"/>
        <v>E1_3_1_98</v>
      </c>
      <c r="F103" t="s">
        <v>10228</v>
      </c>
      <c r="G103" t="s">
        <v>11360</v>
      </c>
      <c r="H103" t="s">
        <v>10229</v>
      </c>
      <c r="I103" t="s">
        <v>12047</v>
      </c>
      <c r="J103" t="str">
        <f t="shared" si="4"/>
        <v>(${Variables:E1_3_1_98_kcat} * E1_3_1_98 * C01050 * C00003 )/(${Variables:E1_3_1_98_km} + (E1_3_1_98 * C01050 * C00003 ))</v>
      </c>
      <c r="K103" s="21" t="str">
        <f t="shared" si="5"/>
        <v>r102: C01050 + C00003  -&gt; C04631 + C00004 + C00080 | (${Variables:E1_3_1_98_kcat} * E1_3_1_98 * C01050 * C00003 )/(${Variables:E1_3_1_98_km} + (E1_3_1_98 * C01050 * C00003 ))</v>
      </c>
    </row>
    <row r="104" spans="1:11">
      <c r="A104" t="s">
        <v>977</v>
      </c>
      <c r="B104" t="s">
        <v>978</v>
      </c>
      <c r="C104" t="s">
        <v>15354</v>
      </c>
      <c r="D104">
        <v>103</v>
      </c>
      <c r="E104" t="str">
        <f t="shared" si="3"/>
        <v>E4_4_1_21</v>
      </c>
      <c r="F104" t="s">
        <v>8008</v>
      </c>
      <c r="G104" t="s">
        <v>8008</v>
      </c>
      <c r="H104" t="s">
        <v>10544</v>
      </c>
      <c r="I104" t="s">
        <v>12048</v>
      </c>
      <c r="J104" t="str">
        <f t="shared" si="4"/>
        <v>(${Variables:E4_4_1_21_kcat} * E4_4_1_21 * C03539)/(${Variables:E4_4_1_21_km} + (E4_4_1_21 * C03539))</v>
      </c>
      <c r="K104" s="21" t="str">
        <f t="shared" si="5"/>
        <v>r103: C03539 -&gt; C11838 + C00155 | (${Variables:E4_4_1_21_kcat} * E4_4_1_21 * C03539)/(${Variables:E4_4_1_21_km} + (E4_4_1_21 * C03539))</v>
      </c>
    </row>
    <row r="105" spans="1:11">
      <c r="A105" t="s">
        <v>982</v>
      </c>
      <c r="B105" t="s">
        <v>983</v>
      </c>
      <c r="C105" t="s">
        <v>15344</v>
      </c>
      <c r="D105">
        <v>104</v>
      </c>
      <c r="E105" t="str">
        <f t="shared" si="3"/>
        <v>E6_2_1_3</v>
      </c>
      <c r="F105" t="s">
        <v>10529</v>
      </c>
      <c r="G105" t="s">
        <v>11347</v>
      </c>
      <c r="H105" s="3" t="s">
        <v>10530</v>
      </c>
      <c r="I105" s="3" t="s">
        <v>12031</v>
      </c>
      <c r="J105" t="str">
        <f t="shared" si="4"/>
        <v>(${Variables:E6_2_1_3_kcat} * E6_2_1_3 * C00002 * C00638 * C00010)/(${Variables:E6_2_1_3_km} + (E6_2_1_3 * C00002 * C00638 * C00010))</v>
      </c>
      <c r="K105" s="21" t="str">
        <f t="shared" si="5"/>
        <v>r104: C00002 + C00638 + C00010 -&gt; C00020 + C00013 + C02843 | (${Variables:E6_2_1_3_kcat} * E6_2_1_3 * C00002 * C00638 * C00010)/(${Variables:E6_2_1_3_km} + (E6_2_1_3 * C00002 * C00638 * C00010))</v>
      </c>
    </row>
    <row r="106" spans="1:11">
      <c r="A106" t="s">
        <v>982</v>
      </c>
      <c r="B106" t="s">
        <v>983</v>
      </c>
      <c r="C106" t="s">
        <v>15344</v>
      </c>
      <c r="D106">
        <v>105</v>
      </c>
      <c r="E106" t="str">
        <f t="shared" si="3"/>
        <v>E6_2_1_3</v>
      </c>
      <c r="F106" t="s">
        <v>10158</v>
      </c>
      <c r="G106" t="s">
        <v>11361</v>
      </c>
      <c r="H106" s="3" t="s">
        <v>10157</v>
      </c>
      <c r="I106" s="3" t="s">
        <v>12032</v>
      </c>
      <c r="J106" t="str">
        <f t="shared" si="4"/>
        <v>(${Variables:E6_2_1_3_kcat} * E6_2_1_3 * C00002 * C00249 * C00010 )/(${Variables:E6_2_1_3_km} + (E6_2_1_3 * C00002 * C00249 * C00010 ))</v>
      </c>
      <c r="K106" s="21" t="str">
        <f t="shared" si="5"/>
        <v>r105: C00002 + C00249 + C00010  -&gt; C00020 + C00154 + C00013 | (${Variables:E6_2_1_3_kcat} * E6_2_1_3 * C00002 * C00249 * C00010 )/(${Variables:E6_2_1_3_km} + (E6_2_1_3 * C00002 * C00249 * C00010 ))</v>
      </c>
    </row>
    <row r="107" spans="1:11">
      <c r="A107" t="s">
        <v>985</v>
      </c>
      <c r="B107" t="s">
        <v>986</v>
      </c>
      <c r="C107" t="s">
        <v>15344</v>
      </c>
      <c r="D107">
        <v>106</v>
      </c>
      <c r="E107" t="str">
        <f t="shared" si="3"/>
        <v>E6_2_1_3</v>
      </c>
      <c r="F107" s="3" t="s">
        <v>15984</v>
      </c>
      <c r="G107" s="3" t="s">
        <v>15985</v>
      </c>
      <c r="H107" s="3" t="s">
        <v>15989</v>
      </c>
      <c r="I107" s="3" t="s">
        <v>15988</v>
      </c>
      <c r="J107" t="str">
        <f>CONCATENATE("(${Variables:",E107,"_kcat","} * ",E107," * ",G107,")","/(${Variables:",E107,"_km","} + (",E107," * ",G107,"))")</f>
        <v>(${Variables:E6_2_1_3_kcat} * E6_2_1_3 * C00002 * C00638 * C00010)/(${Variables:E6_2_1_3_km} + (E6_2_1_3 * C00002 * C00638 * C00010))</v>
      </c>
      <c r="K107" s="21" t="str">
        <f t="shared" si="5"/>
        <v>r106: C00002 + C00638 + C00010 -&gt; C00020 + C00013 + C02843 | (${Variables:E6_2_1_3_kcat} * E6_2_1_3 * C00002 * C00638 * C00010)/(${Variables:E6_2_1_3_km} + (E6_2_1_3 * C00002 * C00638 * C00010))</v>
      </c>
    </row>
    <row r="108" spans="1:11">
      <c r="A108" t="s">
        <v>985</v>
      </c>
      <c r="B108" t="s">
        <v>986</v>
      </c>
      <c r="C108" t="s">
        <v>15344</v>
      </c>
      <c r="D108">
        <v>107</v>
      </c>
      <c r="E108" t="str">
        <f t="shared" si="3"/>
        <v>E6_2_1_3</v>
      </c>
      <c r="F108" s="3" t="s">
        <v>10156</v>
      </c>
      <c r="G108" s="3" t="s">
        <v>11348</v>
      </c>
      <c r="H108" s="3" t="s">
        <v>10157</v>
      </c>
      <c r="I108" s="3" t="s">
        <v>12032</v>
      </c>
      <c r="J108" t="str">
        <f t="shared" si="4"/>
        <v>(${Variables:E6_2_1_3_kcat} * E6_2_1_3 * C00002 * C00249 * C00010)/(${Variables:E6_2_1_3_km} + (E6_2_1_3 * C00002 * C00249 * C00010))</v>
      </c>
      <c r="K108" s="21" t="str">
        <f t="shared" si="5"/>
        <v>r107: C00002 + C00249 + C00010 -&gt; C00020 + C00154 + C00013 | (${Variables:E6_2_1_3_kcat} * E6_2_1_3 * C00002 * C00249 * C00010)/(${Variables:E6_2_1_3_km} + (E6_2_1_3 * C00002 * C00249 * C00010))</v>
      </c>
    </row>
    <row r="109" spans="1:11">
      <c r="A109" t="s">
        <v>989</v>
      </c>
      <c r="B109" t="s">
        <v>990</v>
      </c>
      <c r="C109" t="s">
        <v>15325</v>
      </c>
      <c r="D109">
        <v>108</v>
      </c>
      <c r="E109" t="str">
        <f t="shared" si="3"/>
        <v>E2_1_1_63</v>
      </c>
      <c r="F109" t="s">
        <v>10506</v>
      </c>
      <c r="G109" t="s">
        <v>11320</v>
      </c>
      <c r="H109" s="3" t="s">
        <v>10507</v>
      </c>
      <c r="I109" s="3" t="s">
        <v>12011</v>
      </c>
      <c r="J109" t="str">
        <f t="shared" si="4"/>
        <v>(${Variables:E2_1_1_63_kcat} * E2_1_1_63 * C04250 * C02743)/(${Variables:E2_1_1_63_km} + (E2_1_1_63 * C04250 * C02743))</v>
      </c>
      <c r="K109" s="21" t="str">
        <f t="shared" si="5"/>
        <v>r108: C04250 + C02743 -&gt; C03800 + C11475 | (${Variables:E2_1_1_63_kcat} * E2_1_1_63 * C04250 * C02743)/(${Variables:E2_1_1_63_km} + (E2_1_1_63 * C04250 * C02743))</v>
      </c>
    </row>
    <row r="110" spans="1:11">
      <c r="A110" t="s">
        <v>992</v>
      </c>
      <c r="B110" t="s">
        <v>993</v>
      </c>
      <c r="C110" t="s">
        <v>15344</v>
      </c>
      <c r="D110">
        <v>109</v>
      </c>
      <c r="E110" t="str">
        <f t="shared" si="3"/>
        <v>E6_2_1_3</v>
      </c>
      <c r="F110" t="s">
        <v>10529</v>
      </c>
      <c r="G110" t="s">
        <v>11347</v>
      </c>
      <c r="H110" t="s">
        <v>10530</v>
      </c>
      <c r="I110" t="s">
        <v>12031</v>
      </c>
      <c r="J110" t="str">
        <f t="shared" si="4"/>
        <v>(${Variables:E6_2_1_3_kcat} * E6_2_1_3 * C00002 * C00638 * C00010)/(${Variables:E6_2_1_3_km} + (E6_2_1_3 * C00002 * C00638 * C00010))</v>
      </c>
      <c r="K110" s="21" t="str">
        <f t="shared" si="5"/>
        <v>r109: C00002 + C00638 + C00010 -&gt; C00020 + C00013 + C02843 | (${Variables:E6_2_1_3_kcat} * E6_2_1_3 * C00002 * C00638 * C00010)/(${Variables:E6_2_1_3_km} + (E6_2_1_3 * C00002 * C00638 * C00010))</v>
      </c>
    </row>
    <row r="111" spans="1:11">
      <c r="A111" t="s">
        <v>992</v>
      </c>
      <c r="B111" t="s">
        <v>993</v>
      </c>
      <c r="C111" t="s">
        <v>15344</v>
      </c>
      <c r="D111">
        <v>110</v>
      </c>
      <c r="E111" t="str">
        <f t="shared" si="3"/>
        <v>E6_2_1_3</v>
      </c>
      <c r="F111" t="s">
        <v>10156</v>
      </c>
      <c r="G111" t="s">
        <v>11348</v>
      </c>
      <c r="H111" t="s">
        <v>10157</v>
      </c>
      <c r="I111" t="s">
        <v>12032</v>
      </c>
      <c r="J111" t="str">
        <f t="shared" si="4"/>
        <v>(${Variables:E6_2_1_3_kcat} * E6_2_1_3 * C00002 * C00249 * C00010)/(${Variables:E6_2_1_3_km} + (E6_2_1_3 * C00002 * C00249 * C00010))</v>
      </c>
      <c r="K111" s="21" t="str">
        <f t="shared" si="5"/>
        <v>r110: C00002 + C00249 + C00010 -&gt; C00020 + C00154 + C00013 | (${Variables:E6_2_1_3_kcat} * E6_2_1_3 * C00002 * C00249 * C00010)/(${Variables:E6_2_1_3_km} + (E6_2_1_3 * C00002 * C00249 * C00010))</v>
      </c>
    </row>
    <row r="112" spans="1:11">
      <c r="A112" t="s">
        <v>996</v>
      </c>
      <c r="B112" t="s">
        <v>997</v>
      </c>
      <c r="C112" t="s">
        <v>15355</v>
      </c>
      <c r="D112">
        <v>111</v>
      </c>
      <c r="E112" t="str">
        <f t="shared" si="3"/>
        <v>E2_4_1_250</v>
      </c>
      <c r="F112" t="s">
        <v>10545</v>
      </c>
      <c r="G112" t="s">
        <v>11362</v>
      </c>
      <c r="H112" t="s">
        <v>10546</v>
      </c>
      <c r="I112" t="s">
        <v>12049</v>
      </c>
      <c r="J112" t="str">
        <f t="shared" si="4"/>
        <v>(${Variables:E2_4_1_250_kcat} * E2_4_1_250 * C00043 * C04006)/(${Variables:E2_4_1_250_km} + (E2_4_1_250 * C00043 * C04006))</v>
      </c>
      <c r="K112" s="21" t="str">
        <f t="shared" si="5"/>
        <v>r111: C00043 + C04006 -&gt; C19761 + C00015 | (${Variables:E2_4_1_250_kcat} * E2_4_1_250 * C00043 * C04006)/(${Variables:E2_4_1_250_km} + (E2_4_1_250 * C00043 * C04006))</v>
      </c>
    </row>
    <row r="113" spans="1:11">
      <c r="A113" t="s">
        <v>1014</v>
      </c>
      <c r="B113" t="s">
        <v>1015</v>
      </c>
      <c r="C113" t="s">
        <v>15356</v>
      </c>
      <c r="D113">
        <v>112</v>
      </c>
      <c r="E113" t="str">
        <f t="shared" si="3"/>
        <v>E3_6_1_11</v>
      </c>
      <c r="F113" t="s">
        <v>12707</v>
      </c>
      <c r="G113" t="s">
        <v>12708</v>
      </c>
      <c r="H113" t="s">
        <v>12736</v>
      </c>
      <c r="I113" t="s">
        <v>12737</v>
      </c>
      <c r="J113" t="str">
        <f t="shared" si="4"/>
        <v>(${Variables:E3_6_1_11_kcat} * E3_6_1_11 * C00404 * C00001)/(${Variables:E3_6_1_11_km} + (E3_6_1_11 * C00404 * C00001))</v>
      </c>
      <c r="K113" s="21" t="str">
        <f t="shared" si="5"/>
        <v>r112: C00404 + C00001 -&gt; C00404 + C00009 | (${Variables:E3_6_1_11_kcat} * E3_6_1_11 * C00404 * C00001)/(${Variables:E3_6_1_11_km} + (E3_6_1_11 * C00404 * C00001))</v>
      </c>
    </row>
    <row r="114" spans="1:11">
      <c r="A114" t="s">
        <v>1014</v>
      </c>
      <c r="B114" t="s">
        <v>1015</v>
      </c>
      <c r="C114" t="s">
        <v>15356</v>
      </c>
      <c r="D114">
        <v>113</v>
      </c>
      <c r="E114" t="str">
        <f t="shared" si="3"/>
        <v>E3_6_1_11</v>
      </c>
      <c r="F114" t="s">
        <v>10230</v>
      </c>
      <c r="G114" t="s">
        <v>11363</v>
      </c>
      <c r="H114" t="s">
        <v>10231</v>
      </c>
      <c r="I114" t="s">
        <v>12050</v>
      </c>
      <c r="J114" t="str">
        <f t="shared" si="4"/>
        <v>(${Variables:E3_6_1_11_kcat} * E3_6_1_11 * C04494 * C00001)/(${Variables:E3_6_1_11_km} + (E3_6_1_11 * C04494 * C00001))</v>
      </c>
      <c r="K114" s="21" t="str">
        <f t="shared" si="5"/>
        <v>r113: C04494 + C00001 -&gt; C01228 + C00009 | (${Variables:E3_6_1_11_kcat} * E3_6_1_11 * C04494 * C00001)/(${Variables:E3_6_1_11_km} + (E3_6_1_11 * C04494 * C00001))</v>
      </c>
    </row>
    <row r="115" spans="1:11">
      <c r="A115" t="s">
        <v>1020</v>
      </c>
      <c r="B115" t="s">
        <v>1021</v>
      </c>
      <c r="C115" t="s">
        <v>15357</v>
      </c>
      <c r="D115">
        <v>114</v>
      </c>
      <c r="E115" t="str">
        <f t="shared" si="3"/>
        <v>E1_5_1_2</v>
      </c>
      <c r="F115" t="s">
        <v>10547</v>
      </c>
      <c r="G115" t="s">
        <v>11364</v>
      </c>
      <c r="H115" t="s">
        <v>10548</v>
      </c>
      <c r="I115" t="s">
        <v>12051</v>
      </c>
      <c r="J115" t="str">
        <f t="shared" si="4"/>
        <v>(${Variables:E1_5_1_2_kcat} * E1_5_1_2 * C00148 * C00003)/(${Variables:E1_5_1_2_km} + (E1_5_1_2 * C00148 * C00003))</v>
      </c>
      <c r="K115" s="21" t="str">
        <f t="shared" si="5"/>
        <v>r114: C00148 + C00003 -&gt; C03912 + C00004 + C00080 | (${Variables:E1_5_1_2_kcat} * E1_5_1_2 * C00148 * C00003)/(${Variables:E1_5_1_2_km} + (E1_5_1_2 * C00148 * C00003))</v>
      </c>
    </row>
    <row r="116" spans="1:11">
      <c r="A116" t="s">
        <v>1020</v>
      </c>
      <c r="B116" t="s">
        <v>1021</v>
      </c>
      <c r="C116" t="s">
        <v>15357</v>
      </c>
      <c r="D116">
        <v>115</v>
      </c>
      <c r="E116" t="str">
        <f t="shared" si="3"/>
        <v>E1_5_1_2</v>
      </c>
      <c r="F116" t="s">
        <v>10232</v>
      </c>
      <c r="G116" t="s">
        <v>11365</v>
      </c>
      <c r="H116" t="s">
        <v>10233</v>
      </c>
      <c r="I116" t="s">
        <v>12052</v>
      </c>
      <c r="J116" t="str">
        <f t="shared" si="4"/>
        <v>(${Variables:E1_5_1_2_kcat} * E1_5_1_2 * C00148 * C00006)/(${Variables:E1_5_1_2_km} + (E1_5_1_2 * C00148 * C00006))</v>
      </c>
      <c r="K116" s="21" t="str">
        <f t="shared" si="5"/>
        <v>r115: C00148 + C00006 -&gt; C03912 + C00005 + C00080 | (${Variables:E1_5_1_2_kcat} * E1_5_1_2 * C00148 * C00006)/(${Variables:E1_5_1_2_km} + (E1_5_1_2 * C00148 * C00006))</v>
      </c>
    </row>
    <row r="117" spans="1:11">
      <c r="A117" t="s">
        <v>1020</v>
      </c>
      <c r="B117" t="s">
        <v>1021</v>
      </c>
      <c r="C117" t="s">
        <v>15357</v>
      </c>
      <c r="D117">
        <v>116</v>
      </c>
      <c r="E117" t="str">
        <f t="shared" si="3"/>
        <v>E1_5_1_2</v>
      </c>
      <c r="F117" t="s">
        <v>10234</v>
      </c>
      <c r="G117" t="s">
        <v>11366</v>
      </c>
      <c r="H117" t="s">
        <v>10235</v>
      </c>
      <c r="I117" t="s">
        <v>12053</v>
      </c>
      <c r="J117" t="str">
        <f t="shared" si="4"/>
        <v>(${Variables:E1_5_1_2_kcat} * E1_5_1_2 * C01157 * C00003)/(${Variables:E1_5_1_2_km} + (E1_5_1_2 * C01157 * C00003))</v>
      </c>
      <c r="K117" s="21" t="str">
        <f t="shared" si="5"/>
        <v>r116: C01157 + C00003 -&gt; C04281 + C00004 + C00080 | (${Variables:E1_5_1_2_kcat} * E1_5_1_2 * C01157 * C00003)/(${Variables:E1_5_1_2_km} + (E1_5_1_2 * C01157 * C00003))</v>
      </c>
    </row>
    <row r="118" spans="1:11">
      <c r="A118" t="s">
        <v>1020</v>
      </c>
      <c r="B118" t="s">
        <v>1021</v>
      </c>
      <c r="C118" t="s">
        <v>15357</v>
      </c>
      <c r="D118">
        <v>117</v>
      </c>
      <c r="E118" t="str">
        <f t="shared" si="3"/>
        <v>E1_5_1_2</v>
      </c>
      <c r="F118" t="s">
        <v>10236</v>
      </c>
      <c r="G118" t="s">
        <v>11367</v>
      </c>
      <c r="H118" t="s">
        <v>10237</v>
      </c>
      <c r="I118" t="s">
        <v>12054</v>
      </c>
      <c r="J118" t="str">
        <f t="shared" si="4"/>
        <v>(${Variables:E1_5_1_2_kcat} * E1_5_1_2 * C01157 * C00006)/(${Variables:E1_5_1_2_km} + (E1_5_1_2 * C01157 * C00006))</v>
      </c>
      <c r="K118" s="21" t="str">
        <f t="shared" si="5"/>
        <v>r117: C01157 + C00006 -&gt; C04281 + C00005 + C00080 | (${Variables:E1_5_1_2_kcat} * E1_5_1_2 * C01157 * C00006)/(${Variables:E1_5_1_2_km} + (E1_5_1_2 * C01157 * C00006))</v>
      </c>
    </row>
    <row r="119" spans="1:11">
      <c r="A119" t="s">
        <v>1030</v>
      </c>
      <c r="B119" t="s">
        <v>1031</v>
      </c>
      <c r="C119" t="s">
        <v>15358</v>
      </c>
      <c r="D119">
        <v>118</v>
      </c>
      <c r="E119" t="str">
        <f t="shared" si="3"/>
        <v>E3_1_3_3</v>
      </c>
      <c r="F119" t="s">
        <v>10549</v>
      </c>
      <c r="G119" t="s">
        <v>11368</v>
      </c>
      <c r="H119" t="s">
        <v>10550</v>
      </c>
      <c r="I119" t="s">
        <v>12055</v>
      </c>
      <c r="J119" t="str">
        <f t="shared" si="4"/>
        <v>(${Variables:E3_1_3_3_kcat} * E3_1_3_3 * C01005 * C00001)/(${Variables:E3_1_3_3_km} + (E3_1_3_3 * C01005 * C00001))</v>
      </c>
      <c r="K119" s="21" t="str">
        <f t="shared" si="5"/>
        <v>r118: C01005 + C00001 -&gt; C00065 + C00009 | (${Variables:E3_1_3_3_kcat} * E3_1_3_3 * C01005 * C00001)/(${Variables:E3_1_3_3_km} + (E3_1_3_3 * C01005 * C00001))</v>
      </c>
    </row>
    <row r="120" spans="1:11">
      <c r="A120" t="s">
        <v>1030</v>
      </c>
      <c r="B120" t="s">
        <v>1031</v>
      </c>
      <c r="C120" t="s">
        <v>15358</v>
      </c>
      <c r="D120">
        <v>119</v>
      </c>
      <c r="E120" t="str">
        <f t="shared" si="3"/>
        <v>E3_1_3_3</v>
      </c>
      <c r="F120" t="s">
        <v>10152</v>
      </c>
      <c r="G120" t="s">
        <v>11369</v>
      </c>
      <c r="H120" t="s">
        <v>10154</v>
      </c>
      <c r="I120" t="s">
        <v>12056</v>
      </c>
      <c r="J120" t="str">
        <f t="shared" si="4"/>
        <v>(${Variables:E3_1_3_3_kcat} * E3_1_3_3 * C02532 * C00001)/(${Variables:E3_1_3_3_km} + (E3_1_3_3 * C02532 * C00001))</v>
      </c>
      <c r="K120" s="21" t="str">
        <f t="shared" si="5"/>
        <v>r119: C02532 + C00001 -&gt; C00740 + C00009 | (${Variables:E3_1_3_3_kcat} * E3_1_3_3 * C02532 * C00001)/(${Variables:E3_1_3_3_km} + (E3_1_3_3 * C02532 * C00001))</v>
      </c>
    </row>
    <row r="121" spans="1:11">
      <c r="A121" t="s">
        <v>1037</v>
      </c>
      <c r="B121" t="s">
        <v>1038</v>
      </c>
      <c r="C121" t="s">
        <v>15359</v>
      </c>
      <c r="D121">
        <v>120</v>
      </c>
      <c r="E121" t="str">
        <f t="shared" si="3"/>
        <v>E1_2_1_70</v>
      </c>
      <c r="F121" t="s">
        <v>10551</v>
      </c>
      <c r="G121" t="s">
        <v>11370</v>
      </c>
      <c r="H121" t="s">
        <v>10552</v>
      </c>
      <c r="I121" t="s">
        <v>12057</v>
      </c>
      <c r="J121" t="str">
        <f t="shared" si="4"/>
        <v>(${Variables:E1_2_1_70_kcat} * E1_2_1_70 * C02987 * C00005 * C00080)/(${Variables:E1_2_1_70_km} + (E1_2_1_70 * C02987 * C00005 * C00080))</v>
      </c>
      <c r="K121" s="21" t="str">
        <f t="shared" si="5"/>
        <v>r120: C02987 + C00005 + C00080 -&gt; C03741 + C01641 + C00006 | (${Variables:E1_2_1_70_kcat} * E1_2_1_70 * C02987 * C00005 * C00080)/(${Variables:E1_2_1_70_km} + (E1_2_1_70 * C02987 * C00005 * C00080))</v>
      </c>
    </row>
    <row r="122" spans="1:11">
      <c r="A122" t="s">
        <v>1041</v>
      </c>
      <c r="B122" t="s">
        <v>1042</v>
      </c>
      <c r="C122" t="s">
        <v>15360</v>
      </c>
      <c r="D122">
        <v>121</v>
      </c>
      <c r="E122" t="str">
        <f t="shared" si="3"/>
        <v>E2_5_1_61</v>
      </c>
      <c r="F122" t="s">
        <v>15902</v>
      </c>
      <c r="G122" t="s">
        <v>15749</v>
      </c>
      <c r="H122" t="s">
        <v>15753</v>
      </c>
      <c r="I122" t="s">
        <v>15750</v>
      </c>
      <c r="J122" t="str">
        <f t="shared" si="4"/>
        <v>(${Variables:E2_5_1_61_kcat} * E2_5_1_61 * C00931 * C00001)/(${Variables:E2_5_1_61_km} + (E2_5_1_61 * C00931 * C00001))</v>
      </c>
      <c r="K122" s="21" t="str">
        <f t="shared" si="5"/>
        <v>r121: C00931 + C00001 -&gt; C01024 +  C00014 | (${Variables:E2_5_1_61_kcat} * E2_5_1_61 * C00931 * C00001)/(${Variables:E2_5_1_61_km} + (E2_5_1_61 * C00931 * C00001))</v>
      </c>
    </row>
    <row r="123" spans="1:11">
      <c r="A123" t="s">
        <v>1045</v>
      </c>
      <c r="B123" t="s">
        <v>1046</v>
      </c>
      <c r="C123" t="s">
        <v>15361</v>
      </c>
      <c r="D123">
        <v>122</v>
      </c>
      <c r="E123" t="str">
        <f t="shared" si="3"/>
        <v>E2_1_1_107</v>
      </c>
      <c r="F123" t="s">
        <v>10238</v>
      </c>
      <c r="G123" t="s">
        <v>11371</v>
      </c>
      <c r="H123" t="s">
        <v>15751</v>
      </c>
      <c r="I123" t="s">
        <v>12059</v>
      </c>
      <c r="J123" t="str">
        <f t="shared" si="4"/>
        <v>(${Variables:E2_1_1_107_kcat} * E2_1_1_107 * C00019 * C01051)/(${Variables:E2_1_1_107_km} + (E2_1_1_107 * C00019 * C01051))</v>
      </c>
      <c r="K123" s="21" t="str">
        <f t="shared" si="5"/>
        <v>r122: C00019 + C01051 -&gt;  C00021 + C02463 | (${Variables:E2_1_1_107_kcat} * E2_1_1_107 * C00019 * C01051)/(${Variables:E2_1_1_107_km} + (E2_1_1_107 * C00019 * C01051))</v>
      </c>
    </row>
    <row r="124" spans="1:11">
      <c r="A124" t="s">
        <v>1045</v>
      </c>
      <c r="B124" t="s">
        <v>1046</v>
      </c>
      <c r="C124" t="s">
        <v>15361</v>
      </c>
      <c r="D124">
        <v>123</v>
      </c>
      <c r="E124" t="str">
        <f t="shared" si="3"/>
        <v>E2_1_1_107</v>
      </c>
      <c r="F124" t="s">
        <v>10238</v>
      </c>
      <c r="G124" t="s">
        <v>11371</v>
      </c>
      <c r="H124" t="s">
        <v>10239</v>
      </c>
      <c r="I124" t="s">
        <v>12058</v>
      </c>
      <c r="J124" t="str">
        <f t="shared" si="4"/>
        <v>(${Variables:E2_1_1_107_kcat} * E2_1_1_107 * C00019 * C01051)/(${Variables:E2_1_1_107_km} + (E2_1_1_107 * C00019 * C01051))</v>
      </c>
      <c r="K124" s="21" t="str">
        <f t="shared" si="5"/>
        <v>r123: C00019 + C01051 -&gt; C00021 + C15527 | (${Variables:E2_1_1_107_kcat} * E2_1_1_107 * C00019 * C01051)/(${Variables:E2_1_1_107_km} + (E2_1_1_107 * C00019 * C01051))</v>
      </c>
    </row>
    <row r="125" spans="1:11">
      <c r="A125" t="s">
        <v>1045</v>
      </c>
      <c r="B125" t="s">
        <v>1046</v>
      </c>
      <c r="C125" t="s">
        <v>15361</v>
      </c>
      <c r="D125">
        <v>124</v>
      </c>
      <c r="E125" t="str">
        <f t="shared" si="3"/>
        <v>E2_1_1_107</v>
      </c>
      <c r="F125" t="s">
        <v>10240</v>
      </c>
      <c r="G125" t="s">
        <v>11372</v>
      </c>
      <c r="H125" t="s">
        <v>10241</v>
      </c>
      <c r="I125" t="s">
        <v>12059</v>
      </c>
      <c r="J125" t="str">
        <f t="shared" si="4"/>
        <v>(${Variables:E2_1_1_107_kcat} * E2_1_1_107 * C00019 * C15527 )/(${Variables:E2_1_1_107_km} + (E2_1_1_107 * C00019 * C15527 ))</v>
      </c>
      <c r="K125" s="21" t="str">
        <f t="shared" si="5"/>
        <v>r124: C00019 + C15527  -&gt; C00021 + C02463 | (${Variables:E2_1_1_107_kcat} * E2_1_1_107 * C00019 * C15527 )/(${Variables:E2_1_1_107_km} + (E2_1_1_107 * C00019 * C15527 ))</v>
      </c>
    </row>
    <row r="126" spans="1:11">
      <c r="A126" t="s">
        <v>1045</v>
      </c>
      <c r="B126" t="s">
        <v>1046</v>
      </c>
      <c r="C126" t="s">
        <v>15361</v>
      </c>
      <c r="D126">
        <v>125</v>
      </c>
      <c r="E126" t="str">
        <f t="shared" si="3"/>
        <v>E2_1_1_107</v>
      </c>
      <c r="F126" t="s">
        <v>15903</v>
      </c>
      <c r="G126" t="s">
        <v>15752</v>
      </c>
      <c r="H126" t="s">
        <v>15769</v>
      </c>
      <c r="I126" t="s">
        <v>15754</v>
      </c>
      <c r="J126" t="str">
        <f t="shared" si="4"/>
        <v>(${Variables:E2_1_1_107_kcat} * E2_1_1_107 * C00019 * C02469)/(${Variables:E2_1_1_107_km} + (E2_1_1_107 * C00019 * C02469))</v>
      </c>
      <c r="K126" s="21" t="str">
        <f t="shared" si="5"/>
        <v>r125: C00019 + C02469 -&gt; C00021 + C05778 | (${Variables:E2_1_1_107_kcat} * E2_1_1_107 * C00019 * C02469)/(${Variables:E2_1_1_107_km} + (E2_1_1_107 * C00019 * C02469))</v>
      </c>
    </row>
    <row r="127" spans="1:11">
      <c r="A127" t="s">
        <v>1049</v>
      </c>
      <c r="B127" t="s">
        <v>1050</v>
      </c>
      <c r="C127" t="s">
        <v>15362</v>
      </c>
      <c r="D127">
        <v>126</v>
      </c>
      <c r="E127" t="str">
        <f t="shared" si="3"/>
        <v>E4_2_1_24</v>
      </c>
      <c r="F127" s="5" t="s">
        <v>8056</v>
      </c>
      <c r="G127" s="5" t="s">
        <v>8056</v>
      </c>
      <c r="H127" t="s">
        <v>15904</v>
      </c>
      <c r="I127" t="s">
        <v>15749</v>
      </c>
      <c r="J127" t="str">
        <f t="shared" si="4"/>
        <v>(${Variables:E4_2_1_24_kcat} * E4_2_1_24 * C00430)/(${Variables:E4_2_1_24_km} + (E4_2_1_24 * C00430))</v>
      </c>
      <c r="K127" s="21" t="str">
        <f t="shared" si="5"/>
        <v>r126: C00430 -&gt; C00931 +  C00001 | (${Variables:E4_2_1_24_kcat} * E4_2_1_24 * C00430)/(${Variables:E4_2_1_24_km} + (E4_2_1_24 * C00430))</v>
      </c>
    </row>
    <row r="128" spans="1:11">
      <c r="A128" t="s">
        <v>1057</v>
      </c>
      <c r="B128" t="s">
        <v>1058</v>
      </c>
      <c r="C128" t="s">
        <v>15363</v>
      </c>
      <c r="D128">
        <v>127</v>
      </c>
      <c r="E128" t="str">
        <f t="shared" si="3"/>
        <v>E4_1_1_37</v>
      </c>
      <c r="F128" t="s">
        <v>8044</v>
      </c>
      <c r="G128" t="s">
        <v>8044</v>
      </c>
      <c r="H128" t="s">
        <v>15756</v>
      </c>
      <c r="I128" t="s">
        <v>15755</v>
      </c>
      <c r="J128" t="str">
        <f t="shared" si="4"/>
        <v>(${Variables:E4_1_1_37_kcat} * E4_1_1_37 * C01051)/(${Variables:E4_1_1_37_km} + (E4_1_1_37 * C01051))</v>
      </c>
      <c r="K128" s="21" t="str">
        <f t="shared" si="5"/>
        <v>r127: C01051 -&gt; C03263 + C00011 | (${Variables:E4_1_1_37_kcat} * E4_1_1_37 * C01051)/(${Variables:E4_1_1_37_km} + (E4_1_1_37 * C01051))</v>
      </c>
    </row>
    <row r="129" spans="1:11">
      <c r="A129" t="s">
        <v>1057</v>
      </c>
      <c r="B129" t="s">
        <v>1058</v>
      </c>
      <c r="C129" t="s">
        <v>15363</v>
      </c>
      <c r="D129">
        <v>128</v>
      </c>
      <c r="E129" t="str">
        <f t="shared" si="3"/>
        <v>E4_1_1_37</v>
      </c>
      <c r="F129" t="s">
        <v>10244</v>
      </c>
      <c r="G129" t="s">
        <v>10244</v>
      </c>
      <c r="H129" t="s">
        <v>15905</v>
      </c>
      <c r="I129" t="s">
        <v>15906</v>
      </c>
      <c r="J129" t="str">
        <f t="shared" si="4"/>
        <v>(${Variables:E4_1_1_37_kcat} * E4_1_1_37 * C05766)/(${Variables:E4_1_1_37_km} + (E4_1_1_37 * C05766))</v>
      </c>
      <c r="K129" s="21" t="str">
        <f t="shared" si="5"/>
        <v>r128: C05766 -&gt; C05768 + C00011 | (${Variables:E4_1_1_37_kcat} * E4_1_1_37 * C05766)/(${Variables:E4_1_1_37_km} + (E4_1_1_37 * C05766))</v>
      </c>
    </row>
    <row r="130" spans="1:11">
      <c r="A130" t="s">
        <v>1061</v>
      </c>
      <c r="B130" t="s">
        <v>1062</v>
      </c>
      <c r="C130" t="s">
        <v>15364</v>
      </c>
      <c r="D130">
        <v>129</v>
      </c>
      <c r="E130" t="str">
        <f t="shared" si="3"/>
        <v>E1_3_3_4</v>
      </c>
      <c r="F130" t="s">
        <v>15953</v>
      </c>
      <c r="G130" t="s">
        <v>15757</v>
      </c>
      <c r="H130" t="s">
        <v>15758</v>
      </c>
      <c r="I130" t="s">
        <v>15759</v>
      </c>
      <c r="J130" t="str">
        <f t="shared" si="4"/>
        <v>(${Variables:E1_3_3_4_kcat} * E1_3_3_4 * C01079 * C00007)/(${Variables:E1_3_3_4_km} + (E1_3_3_4 * C01079 * C00007))</v>
      </c>
      <c r="K130" s="21" t="str">
        <f t="shared" si="5"/>
        <v>r129: C01079 + C00007 -&gt; C02191 + C00027 | (${Variables:E1_3_3_4_kcat} * E1_3_3_4 * C01079 * C00007)/(${Variables:E1_3_3_4_km} + (E1_3_3_4 * C01079 * C00007))</v>
      </c>
    </row>
    <row r="131" spans="1:11">
      <c r="A131" t="s">
        <v>1067</v>
      </c>
      <c r="B131" t="s">
        <v>1068</v>
      </c>
      <c r="C131" t="s">
        <v>15365</v>
      </c>
      <c r="D131">
        <v>130</v>
      </c>
      <c r="E131" t="str">
        <f t="shared" ref="E131:E194" si="6">"E" &amp; C131</f>
        <v>E1_1_1_31</v>
      </c>
      <c r="F131" t="s">
        <v>10553</v>
      </c>
      <c r="G131" t="s">
        <v>11373</v>
      </c>
      <c r="H131" s="3" t="s">
        <v>15970</v>
      </c>
      <c r="I131" s="3" t="s">
        <v>15971</v>
      </c>
      <c r="J131" t="str">
        <f t="shared" ref="J131:J194" si="7">CONCATENATE("(${Variables:",E131,"_kcat","} * ",E131," * ",G131,")","/(${Variables:",E131,"_km","} + (",E131," * ",G131,"))")</f>
        <v>(${Variables:E1_1_1_31_kcat} * E1_1_1_31 * C01188 * C00003)/(${Variables:E1_1_1_31_km} + (E1_1_1_31 * C01188 * C00003))</v>
      </c>
      <c r="K131" s="21" t="str">
        <f t="shared" ref="K131:K194" si="8">CONCATENATE("r",D131,": ",F131," -&gt; ",H131," | ",J131)</f>
        <v>r130: C01188 + C00003 -&gt; C00349 + C00004 + C00080 | (${Variables:E1_1_1_31_kcat} * E1_1_1_31 * C01188 * C00003)/(${Variables:E1_1_1_31_km} + (E1_1_1_31 * C01188 * C00003))</v>
      </c>
    </row>
    <row r="132" spans="1:11">
      <c r="A132" t="s">
        <v>1067</v>
      </c>
      <c r="B132" t="s">
        <v>1068</v>
      </c>
      <c r="C132" t="s">
        <v>15365</v>
      </c>
      <c r="D132">
        <v>131</v>
      </c>
      <c r="E132" t="str">
        <f t="shared" si="6"/>
        <v>E1_1_1_31</v>
      </c>
      <c r="F132" t="s">
        <v>10246</v>
      </c>
      <c r="G132" t="s">
        <v>11374</v>
      </c>
      <c r="H132" s="3" t="s">
        <v>10247</v>
      </c>
      <c r="I132" s="3" t="s">
        <v>12060</v>
      </c>
      <c r="J132" t="str">
        <f t="shared" si="7"/>
        <v>(${Variables:E1_1_1_31_kcat} * E1_1_1_31 * C06001 * C00003)/(${Variables:E1_1_1_31_km} + (E1_1_1_31 * C06001 * C00003))</v>
      </c>
      <c r="K132" s="21" t="str">
        <f t="shared" si="8"/>
        <v>r131: C06001 + C00003 -&gt; C06002 + C00004 + C00080 | (${Variables:E1_1_1_31_kcat} * E1_1_1_31 * C06001 * C00003)/(${Variables:E1_1_1_31_km} + (E1_1_1_31 * C06001 * C00003))</v>
      </c>
    </row>
    <row r="133" spans="1:11">
      <c r="A133" t="s">
        <v>1071</v>
      </c>
      <c r="B133" t="s">
        <v>1072</v>
      </c>
      <c r="C133" t="s">
        <v>15366</v>
      </c>
      <c r="D133">
        <v>132</v>
      </c>
      <c r="E133" t="str">
        <f t="shared" si="6"/>
        <v>E5_4_3_8</v>
      </c>
      <c r="F133" t="s">
        <v>8056</v>
      </c>
      <c r="G133" t="s">
        <v>8056</v>
      </c>
      <c r="H133" s="3" t="s">
        <v>8057</v>
      </c>
      <c r="I133" s="3" t="s">
        <v>8057</v>
      </c>
      <c r="J133" t="str">
        <f t="shared" si="7"/>
        <v>(${Variables:E5_4_3_8_kcat} * E5_4_3_8 * C00430)/(${Variables:E5_4_3_8_km} + (E5_4_3_8 * C00430))</v>
      </c>
      <c r="K133" s="21" t="str">
        <f t="shared" si="8"/>
        <v>r132: C00430 -&gt; C03741 | (${Variables:E5_4_3_8_kcat} * E5_4_3_8 * C00430)/(${Variables:E5_4_3_8_km} + (E5_4_3_8 * C00430))</v>
      </c>
    </row>
    <row r="134" spans="1:11">
      <c r="A134" t="s">
        <v>1099</v>
      </c>
      <c r="B134" t="s">
        <v>1100</v>
      </c>
      <c r="C134" t="s">
        <v>15367</v>
      </c>
      <c r="D134">
        <v>133</v>
      </c>
      <c r="E134" t="str">
        <f t="shared" si="6"/>
        <v>E2_5_1_74</v>
      </c>
      <c r="F134" t="s">
        <v>10554</v>
      </c>
      <c r="G134" t="s">
        <v>11375</v>
      </c>
      <c r="H134" t="s">
        <v>10555</v>
      </c>
      <c r="I134" t="s">
        <v>12061</v>
      </c>
      <c r="J134" t="str">
        <f t="shared" si="7"/>
        <v>(${Variables:E2_5_1_74_kcat} * E2_5_1_74 * C05847 * C03657)/(${Variables:E2_5_1_74_km} + (E2_5_1_74 * C05847 * C03657))</v>
      </c>
      <c r="K134" s="21" t="str">
        <f t="shared" si="8"/>
        <v>r133: C05847 + C03657 -&gt; C19847 + C00013 + C00011 | (${Variables:E2_5_1_74_kcat} * E2_5_1_74 * C05847 * C03657)/(${Variables:E2_5_1_74_km} + (E2_5_1_74 * C05847 * C03657))</v>
      </c>
    </row>
    <row r="135" spans="1:11">
      <c r="A135" t="s">
        <v>1103</v>
      </c>
      <c r="B135" t="s">
        <v>1104</v>
      </c>
      <c r="C135" t="s">
        <v>15368</v>
      </c>
      <c r="D135">
        <v>134</v>
      </c>
      <c r="E135" t="str">
        <f t="shared" si="6"/>
        <v>E6_2_1_26</v>
      </c>
      <c r="F135" t="s">
        <v>10556</v>
      </c>
      <c r="G135" t="s">
        <v>11376</v>
      </c>
      <c r="H135" t="s">
        <v>10557</v>
      </c>
      <c r="I135" t="s">
        <v>12062</v>
      </c>
      <c r="J135" t="str">
        <f t="shared" si="7"/>
        <v>(${Variables:E6_2_1_26_kcat} * E6_2_1_26 * C00002 * C02730 * C00010 )/(${Variables:E6_2_1_26_km} + (E6_2_1_26 * C00002 * C02730 * C00010 ))</v>
      </c>
      <c r="K135" s="21" t="str">
        <f t="shared" si="8"/>
        <v>r134: C00002 + C02730 + C00010  -&gt; C00020 + C00013 + C03160 | (${Variables:E6_2_1_26_kcat} * E6_2_1_26 * C00002 * C02730 * C00010 )/(${Variables:E6_2_1_26_km} + (E6_2_1_26 * C00002 * C02730 * C00010 ))</v>
      </c>
    </row>
    <row r="136" spans="1:11">
      <c r="A136" t="s">
        <v>1109</v>
      </c>
      <c r="B136" t="s">
        <v>1110</v>
      </c>
      <c r="C136" t="s">
        <v>15369</v>
      </c>
      <c r="D136">
        <v>135</v>
      </c>
      <c r="E136" t="str">
        <f t="shared" si="6"/>
        <v>E4_1_3_36</v>
      </c>
      <c r="F136" t="s">
        <v>8068</v>
      </c>
      <c r="G136" t="s">
        <v>8068</v>
      </c>
      <c r="H136" t="s">
        <v>8069</v>
      </c>
      <c r="I136" t="s">
        <v>12063</v>
      </c>
      <c r="J136" t="str">
        <f t="shared" si="7"/>
        <v>(${Variables:E4_1_3_36_kcat} * E4_1_3_36 * C03160)/(${Variables:E4_1_3_36_km} + (E4_1_3_36 * C03160))</v>
      </c>
      <c r="K136" s="21" t="str">
        <f t="shared" si="8"/>
        <v>r135: C03160 -&gt; C03657 + C00010 | (${Variables:E4_1_3_36_kcat} * E4_1_3_36 * C03160)/(${Variables:E4_1_3_36_km} + (E4_1_3_36 * C03160))</v>
      </c>
    </row>
    <row r="137" spans="1:11">
      <c r="A137" t="s">
        <v>1109</v>
      </c>
      <c r="B137" t="s">
        <v>1110</v>
      </c>
      <c r="C137" t="s">
        <v>15369</v>
      </c>
      <c r="D137">
        <v>136</v>
      </c>
      <c r="E137" t="str">
        <f t="shared" si="6"/>
        <v>E4_1_3_36</v>
      </c>
      <c r="F137" t="s">
        <v>8068</v>
      </c>
      <c r="G137" t="s">
        <v>8068</v>
      </c>
      <c r="H137" t="s">
        <v>10248</v>
      </c>
      <c r="I137" t="s">
        <v>12064</v>
      </c>
      <c r="J137" t="str">
        <f t="shared" si="7"/>
        <v>(${Variables:E4_1_3_36_kcat} * E4_1_3_36 * C03160)/(${Variables:E4_1_3_36_km} + (E4_1_3_36 * C03160))</v>
      </c>
      <c r="K137" s="21" t="str">
        <f t="shared" si="8"/>
        <v>r136: C03160 -&gt; C15547 + C00001 | (${Variables:E4_1_3_36_kcat} * E4_1_3_36 * C03160)/(${Variables:E4_1_3_36_km} + (E4_1_3_36 * C03160))</v>
      </c>
    </row>
    <row r="138" spans="1:11">
      <c r="A138" t="s">
        <v>1164</v>
      </c>
      <c r="B138" t="s">
        <v>1165</v>
      </c>
      <c r="C138" t="s">
        <v>15370</v>
      </c>
      <c r="D138">
        <v>137</v>
      </c>
      <c r="E138" t="str">
        <f t="shared" si="6"/>
        <v>E2_2_1_9</v>
      </c>
      <c r="F138" t="s">
        <v>10558</v>
      </c>
      <c r="G138" t="s">
        <v>11377</v>
      </c>
      <c r="H138" t="s">
        <v>10559</v>
      </c>
      <c r="I138" t="s">
        <v>12065</v>
      </c>
      <c r="J138" t="str">
        <f t="shared" si="7"/>
        <v>(${Variables:E2_2_1_9_kcat} * E2_2_1_9 * C00885 * C00026)/(${Variables:E2_2_1_9_km} + (E2_2_1_9 * C00885 * C00026))</v>
      </c>
      <c r="K138" s="21" t="str">
        <f t="shared" si="8"/>
        <v>r137: C00885 + C00026 -&gt; C16519 + C00011 | (${Variables:E2_2_1_9_kcat} * E2_2_1_9 * C00885 * C00026)/(${Variables:E2_2_1_9_km} + (E2_2_1_9 * C00885 * C00026))</v>
      </c>
    </row>
    <row r="139" spans="1:11">
      <c r="A139" t="s">
        <v>1174</v>
      </c>
      <c r="B139" t="s">
        <v>1175</v>
      </c>
      <c r="C139" t="s">
        <v>15371</v>
      </c>
      <c r="D139">
        <v>138</v>
      </c>
      <c r="E139" t="str">
        <f t="shared" si="6"/>
        <v>E2_1_1_163</v>
      </c>
      <c r="F139" t="s">
        <v>10560</v>
      </c>
      <c r="G139" t="s">
        <v>11378</v>
      </c>
      <c r="H139" t="s">
        <v>10561</v>
      </c>
      <c r="I139" t="s">
        <v>12066</v>
      </c>
      <c r="J139" t="str">
        <f t="shared" si="7"/>
        <v>(${Variables:E2_1_1_163_kcat} * E2_1_1_163 * C19847 * C00019)/(${Variables:E2_1_1_163_km} + (E2_1_1_163 * C19847 * C00019))</v>
      </c>
      <c r="K139" s="21" t="str">
        <f t="shared" si="8"/>
        <v>r138: C19847 + C00019 -&gt; C05819 + C00021 | (${Variables:E2_1_1_163_kcat} * E2_1_1_163 * C19847 * C00019)/(${Variables:E2_1_1_163_km} + (E2_1_1_163 * C19847 * C00019))</v>
      </c>
    </row>
    <row r="140" spans="1:11">
      <c r="A140" t="s">
        <v>1181</v>
      </c>
      <c r="B140" t="s">
        <v>1182</v>
      </c>
      <c r="C140" t="s">
        <v>15372</v>
      </c>
      <c r="D140">
        <v>139</v>
      </c>
      <c r="E140" t="str">
        <f t="shared" si="6"/>
        <v>E2_5_1_30</v>
      </c>
      <c r="F140" t="s">
        <v>15907</v>
      </c>
      <c r="G140" t="s">
        <v>15762</v>
      </c>
      <c r="H140" t="s">
        <v>15761</v>
      </c>
      <c r="I140" t="s">
        <v>15760</v>
      </c>
      <c r="J140" t="str">
        <f t="shared" si="7"/>
        <v>(${Variables:E2_5_1_30_kcat} * E2_5_1_30 * C00448 * C00129 )/(${Variables:E2_5_1_30_km} + (E2_5_1_30 * C00448 * C00129 ))</v>
      </c>
      <c r="K140" s="21" t="str">
        <f t="shared" si="8"/>
        <v>r139: C00448 +  C00129  -&gt; C04216 +  C00013 | (${Variables:E2_5_1_30_kcat} * E2_5_1_30 * C00448 * C00129 )/(${Variables:E2_5_1_30_km} + (E2_5_1_30 * C00448 * C00129 ))</v>
      </c>
    </row>
    <row r="141" spans="1:11">
      <c r="A141" t="s">
        <v>1212</v>
      </c>
      <c r="B141" t="s">
        <v>1213</v>
      </c>
      <c r="C141" t="s">
        <v>15373</v>
      </c>
      <c r="D141">
        <v>140</v>
      </c>
      <c r="E141" t="str">
        <f t="shared" si="6"/>
        <v>E5_4_2_8</v>
      </c>
      <c r="F141" t="s">
        <v>8084</v>
      </c>
      <c r="G141" t="s">
        <v>8084</v>
      </c>
      <c r="H141" t="s">
        <v>8085</v>
      </c>
      <c r="I141" t="s">
        <v>8085</v>
      </c>
      <c r="J141" t="str">
        <f t="shared" si="7"/>
        <v>(${Variables:E5_4_2_8_kcat} * E5_4_2_8 * C00275)/(${Variables:E5_4_2_8_km} + (E5_4_2_8 * C00275))</v>
      </c>
      <c r="K141" s="21" t="str">
        <f t="shared" si="8"/>
        <v>r140: C00275 -&gt; C00636 | (${Variables:E5_4_2_8_kcat} * E5_4_2_8 * C00275)/(${Variables:E5_4_2_8_km} + (E5_4_2_8 * C00275))</v>
      </c>
    </row>
    <row r="142" spans="1:11">
      <c r="A142" t="s">
        <v>1223</v>
      </c>
      <c r="B142" t="s">
        <v>1224</v>
      </c>
      <c r="C142" t="s">
        <v>15374</v>
      </c>
      <c r="D142">
        <v>141</v>
      </c>
      <c r="E142" t="str">
        <f t="shared" si="6"/>
        <v>E2_4_2_1</v>
      </c>
      <c r="F142" t="s">
        <v>8088</v>
      </c>
      <c r="G142" t="s">
        <v>8088</v>
      </c>
      <c r="H142" t="s">
        <v>10562</v>
      </c>
      <c r="I142" t="s">
        <v>12067</v>
      </c>
      <c r="J142" t="str">
        <f t="shared" si="7"/>
        <v>(${Variables:E2_4_2_1_kcat} * E2_4_2_1 * C00673)/(${Variables:E2_4_2_1_km} + (E2_4_2_1 * C00673))</v>
      </c>
      <c r="K142" s="21" t="str">
        <f t="shared" si="8"/>
        <v>r141: C00673 -&gt; C00118 + C00084 | (${Variables:E2_4_2_1_kcat} * E2_4_2_1 * C00673)/(${Variables:E2_4_2_1_km} + (E2_4_2_1 * C00673))</v>
      </c>
    </row>
    <row r="143" spans="1:11">
      <c r="A143" t="s">
        <v>1249</v>
      </c>
      <c r="B143" t="s">
        <v>1250</v>
      </c>
      <c r="C143" t="s">
        <v>15375</v>
      </c>
      <c r="D143">
        <v>142</v>
      </c>
      <c r="E143" t="str">
        <f t="shared" si="6"/>
        <v>E4_1_99_3</v>
      </c>
      <c r="F143" t="s">
        <v>8092</v>
      </c>
      <c r="G143" t="s">
        <v>8092</v>
      </c>
      <c r="H143" t="s">
        <v>14112</v>
      </c>
      <c r="I143" t="s">
        <v>14112</v>
      </c>
      <c r="J143" t="str">
        <f t="shared" si="7"/>
        <v>(${Variables:E4_1_99_3_kcat} * E4_1_99_3 * C03103)/(${Variables:E4_1_99_3_km} + (E4_1_99_3 * C03103))</v>
      </c>
      <c r="K143" s="21" t="str">
        <f t="shared" si="8"/>
        <v>r142: C03103 -&gt; C08249 | (${Variables:E4_1_99_3_kcat} * E4_1_99_3 * C03103)/(${Variables:E4_1_99_3_km} + (E4_1_99_3 * C03103))</v>
      </c>
    </row>
    <row r="144" spans="1:11">
      <c r="A144" t="s">
        <v>1249</v>
      </c>
      <c r="B144" t="s">
        <v>1250</v>
      </c>
      <c r="C144" t="s">
        <v>15375</v>
      </c>
      <c r="D144">
        <v>143</v>
      </c>
      <c r="E144" t="str">
        <f t="shared" si="6"/>
        <v>E4_1_99_3</v>
      </c>
      <c r="F144" t="s">
        <v>10249</v>
      </c>
      <c r="G144" t="s">
        <v>10249</v>
      </c>
      <c r="H144" t="s">
        <v>10250</v>
      </c>
      <c r="I144" t="s">
        <v>10250</v>
      </c>
      <c r="J144" t="str">
        <f t="shared" si="7"/>
        <v>(${Variables:E4_1_99_3_kcat} * E4_1_99_3 * C17509)/(${Variables:E4_1_99_3_km} + (E4_1_99_3 * C17509))</v>
      </c>
      <c r="K144" s="21" t="str">
        <f t="shared" si="8"/>
        <v>r143: C17509 -&gt; C17510 | (${Variables:E4_1_99_3_kcat} * E4_1_99_3 * C17509)/(${Variables:E4_1_99_3_km} + (E4_1_99_3 * C17509))</v>
      </c>
    </row>
    <row r="145" spans="1:11">
      <c r="A145" t="s">
        <v>1271</v>
      </c>
      <c r="B145" t="s">
        <v>1272</v>
      </c>
      <c r="C145" t="s">
        <v>15376</v>
      </c>
      <c r="D145">
        <v>144</v>
      </c>
      <c r="E145" t="str">
        <f t="shared" si="6"/>
        <v>E2_7_7_6</v>
      </c>
      <c r="F145" t="s">
        <v>10563</v>
      </c>
      <c r="G145" t="s">
        <v>11379</v>
      </c>
      <c r="H145" t="s">
        <v>10252</v>
      </c>
      <c r="I145" t="s">
        <v>12068</v>
      </c>
      <c r="J145" t="str">
        <f t="shared" si="7"/>
        <v>(${Variables:E2_7_7_6_kcat} * E2_7_7_6 * C00201 * C00046)/(${Variables:E2_7_7_6_km} + (E2_7_7_6 * C00201 * C00046))</v>
      </c>
      <c r="K145" s="21" t="str">
        <f t="shared" si="8"/>
        <v>r144: C00201 + C00046 -&gt; C00013 + C00046 | (${Variables:E2_7_7_6_kcat} * E2_7_7_6 * C00201 * C00046)/(${Variables:E2_7_7_6_km} + (E2_7_7_6 * C00201 * C00046))</v>
      </c>
    </row>
    <row r="146" spans="1:11">
      <c r="A146" t="s">
        <v>1271</v>
      </c>
      <c r="B146" t="s">
        <v>1272</v>
      </c>
      <c r="C146" t="s">
        <v>15376</v>
      </c>
      <c r="D146">
        <v>145</v>
      </c>
      <c r="E146" t="str">
        <f t="shared" si="6"/>
        <v>E2_7_7_6</v>
      </c>
      <c r="F146" t="s">
        <v>10251</v>
      </c>
      <c r="G146" t="s">
        <v>11380</v>
      </c>
      <c r="H146" t="s">
        <v>10252</v>
      </c>
      <c r="I146" t="s">
        <v>12068</v>
      </c>
      <c r="J146" t="str">
        <f t="shared" si="7"/>
        <v>(${Variables:E2_7_7_6_kcat} * E2_7_7_6 * C00002 * C00046)/(${Variables:E2_7_7_6_km} + (E2_7_7_6 * C00002 * C00046))</v>
      </c>
      <c r="K146" s="21" t="str">
        <f t="shared" si="8"/>
        <v>r145: C00002 + C00046 -&gt; C00013 + C00046 | (${Variables:E2_7_7_6_kcat} * E2_7_7_6 * C00002 * C00046)/(${Variables:E2_7_7_6_km} + (E2_7_7_6 * C00002 * C00046))</v>
      </c>
    </row>
    <row r="147" spans="1:11">
      <c r="A147" t="s">
        <v>1271</v>
      </c>
      <c r="B147" t="s">
        <v>1272</v>
      </c>
      <c r="C147" t="s">
        <v>15376</v>
      </c>
      <c r="D147">
        <v>146</v>
      </c>
      <c r="E147" t="str">
        <f t="shared" si="6"/>
        <v>E2_7_7_6</v>
      </c>
      <c r="F147" t="s">
        <v>10253</v>
      </c>
      <c r="G147" t="s">
        <v>11381</v>
      </c>
      <c r="H147" t="s">
        <v>10252</v>
      </c>
      <c r="I147" t="s">
        <v>12068</v>
      </c>
      <c r="J147" t="str">
        <f t="shared" si="7"/>
        <v>(${Variables:E2_7_7_6_kcat} * E2_7_7_6 * C00044 * C00046)/(${Variables:E2_7_7_6_km} + (E2_7_7_6 * C00044 * C00046))</v>
      </c>
      <c r="K147" s="21" t="str">
        <f t="shared" si="8"/>
        <v>r146: C00044 + C00046 -&gt; C00013 + C00046 | (${Variables:E2_7_7_6_kcat} * E2_7_7_6 * C00044 * C00046)/(${Variables:E2_7_7_6_km} + (E2_7_7_6 * C00044 * C00046))</v>
      </c>
    </row>
    <row r="148" spans="1:11">
      <c r="A148" t="s">
        <v>1271</v>
      </c>
      <c r="B148" t="s">
        <v>1272</v>
      </c>
      <c r="C148" t="s">
        <v>15376</v>
      </c>
      <c r="D148">
        <v>147</v>
      </c>
      <c r="E148" t="str">
        <f t="shared" si="6"/>
        <v>E2_7_7_6</v>
      </c>
      <c r="F148" t="s">
        <v>10254</v>
      </c>
      <c r="G148" t="s">
        <v>11382</v>
      </c>
      <c r="H148" t="s">
        <v>10252</v>
      </c>
      <c r="I148" t="s">
        <v>12068</v>
      </c>
      <c r="J148" t="str">
        <f t="shared" si="7"/>
        <v>(${Variables:E2_7_7_6_kcat} * E2_7_7_6 * C00063 * C00046)/(${Variables:E2_7_7_6_km} + (E2_7_7_6 * C00063 * C00046))</v>
      </c>
      <c r="K148" s="21" t="str">
        <f t="shared" si="8"/>
        <v>r147: C00063 + C00046 -&gt; C00013 + C00046 | (${Variables:E2_7_7_6_kcat} * E2_7_7_6 * C00063 * C00046)/(${Variables:E2_7_7_6_km} + (E2_7_7_6 * C00063 * C00046))</v>
      </c>
    </row>
    <row r="149" spans="1:11">
      <c r="A149" t="s">
        <v>1271</v>
      </c>
      <c r="B149" t="s">
        <v>1272</v>
      </c>
      <c r="C149" t="s">
        <v>15376</v>
      </c>
      <c r="D149">
        <v>148</v>
      </c>
      <c r="E149" t="str">
        <f t="shared" si="6"/>
        <v>E2_7_7_6</v>
      </c>
      <c r="F149" t="s">
        <v>10255</v>
      </c>
      <c r="G149" t="s">
        <v>11383</v>
      </c>
      <c r="H149" t="s">
        <v>10252</v>
      </c>
      <c r="I149" t="s">
        <v>12068</v>
      </c>
      <c r="J149" t="str">
        <f t="shared" si="7"/>
        <v>(${Variables:E2_7_7_6_kcat} * E2_7_7_6 * C00075 * C00046)/(${Variables:E2_7_7_6_km} + (E2_7_7_6 * C00075 * C00046))</v>
      </c>
      <c r="K149" s="21" t="str">
        <f t="shared" si="8"/>
        <v>r148: C00075 + C00046 -&gt; C00013 + C00046 | (${Variables:E2_7_7_6_kcat} * E2_7_7_6 * C00075 * C00046)/(${Variables:E2_7_7_6_km} + (E2_7_7_6 * C00075 * C00046))</v>
      </c>
    </row>
    <row r="150" spans="1:11">
      <c r="A150" t="s">
        <v>1271</v>
      </c>
      <c r="B150" t="s">
        <v>1272</v>
      </c>
      <c r="C150" t="s">
        <v>15376</v>
      </c>
      <c r="D150">
        <v>149</v>
      </c>
      <c r="E150" t="str">
        <f t="shared" si="6"/>
        <v>E2_7_7_6</v>
      </c>
      <c r="F150" t="s">
        <v>12709</v>
      </c>
      <c r="G150" t="s">
        <v>12712</v>
      </c>
      <c r="H150" t="s">
        <v>12710</v>
      </c>
      <c r="I150" t="s">
        <v>12711</v>
      </c>
      <c r="J150" t="str">
        <f t="shared" si="7"/>
        <v>(${Variables:E2_7_7_6_kcat} * E2_7_7_6 * C00201)/(${Variables:E2_7_7_6_km} + (E2_7_7_6 * C00201))</v>
      </c>
      <c r="K150" s="21" t="str">
        <f t="shared" si="8"/>
        <v>r149:  C00201 -&gt; C20864 +  C00013 | (${Variables:E2_7_7_6_kcat} * E2_7_7_6 * C00201)/(${Variables:E2_7_7_6_km} + (E2_7_7_6 * C00201))</v>
      </c>
    </row>
    <row r="151" spans="1:11">
      <c r="A151" t="s">
        <v>1275</v>
      </c>
      <c r="B151" t="s">
        <v>1276</v>
      </c>
      <c r="C151" t="s">
        <v>15376</v>
      </c>
      <c r="D151">
        <v>150</v>
      </c>
      <c r="E151" t="str">
        <f t="shared" si="6"/>
        <v>E2_7_7_6</v>
      </c>
      <c r="F151" t="s">
        <v>10563</v>
      </c>
      <c r="G151" t="s">
        <v>11379</v>
      </c>
      <c r="H151" t="s">
        <v>10252</v>
      </c>
      <c r="I151" t="s">
        <v>12068</v>
      </c>
      <c r="J151" t="str">
        <f t="shared" si="7"/>
        <v>(${Variables:E2_7_7_6_kcat} * E2_7_7_6 * C00201 * C00046)/(${Variables:E2_7_7_6_km} + (E2_7_7_6 * C00201 * C00046))</v>
      </c>
      <c r="K151" s="21" t="str">
        <f t="shared" si="8"/>
        <v>r150: C00201 + C00046 -&gt; C00013 + C00046 | (${Variables:E2_7_7_6_kcat} * E2_7_7_6 * C00201 * C00046)/(${Variables:E2_7_7_6_km} + (E2_7_7_6 * C00201 * C00046))</v>
      </c>
    </row>
    <row r="152" spans="1:11">
      <c r="A152" t="s">
        <v>1275</v>
      </c>
      <c r="B152" t="s">
        <v>1276</v>
      </c>
      <c r="C152" t="s">
        <v>15376</v>
      </c>
      <c r="D152">
        <v>151</v>
      </c>
      <c r="E152" t="str">
        <f t="shared" si="6"/>
        <v>E2_7_7_6</v>
      </c>
      <c r="F152" t="s">
        <v>10251</v>
      </c>
      <c r="G152" t="s">
        <v>11380</v>
      </c>
      <c r="H152" t="s">
        <v>10252</v>
      </c>
      <c r="I152" t="s">
        <v>12068</v>
      </c>
      <c r="J152" t="str">
        <f t="shared" si="7"/>
        <v>(${Variables:E2_7_7_6_kcat} * E2_7_7_6 * C00002 * C00046)/(${Variables:E2_7_7_6_km} + (E2_7_7_6 * C00002 * C00046))</v>
      </c>
      <c r="K152" s="21" t="str">
        <f t="shared" si="8"/>
        <v>r151: C00002 + C00046 -&gt; C00013 + C00046 | (${Variables:E2_7_7_6_kcat} * E2_7_7_6 * C00002 * C00046)/(${Variables:E2_7_7_6_km} + (E2_7_7_6 * C00002 * C00046))</v>
      </c>
    </row>
    <row r="153" spans="1:11">
      <c r="A153" t="s">
        <v>1275</v>
      </c>
      <c r="B153" t="s">
        <v>1276</v>
      </c>
      <c r="C153" t="s">
        <v>15376</v>
      </c>
      <c r="D153">
        <v>152</v>
      </c>
      <c r="E153" t="str">
        <f t="shared" si="6"/>
        <v>E2_7_7_6</v>
      </c>
      <c r="F153" t="s">
        <v>10253</v>
      </c>
      <c r="G153" t="s">
        <v>11381</v>
      </c>
      <c r="H153" t="s">
        <v>10252</v>
      </c>
      <c r="I153" t="s">
        <v>12068</v>
      </c>
      <c r="J153" t="str">
        <f t="shared" si="7"/>
        <v>(${Variables:E2_7_7_6_kcat} * E2_7_7_6 * C00044 * C00046)/(${Variables:E2_7_7_6_km} + (E2_7_7_6 * C00044 * C00046))</v>
      </c>
      <c r="K153" s="21" t="str">
        <f t="shared" si="8"/>
        <v>r152: C00044 + C00046 -&gt; C00013 + C00046 | (${Variables:E2_7_7_6_kcat} * E2_7_7_6 * C00044 * C00046)/(${Variables:E2_7_7_6_km} + (E2_7_7_6 * C00044 * C00046))</v>
      </c>
    </row>
    <row r="154" spans="1:11">
      <c r="A154" t="s">
        <v>1275</v>
      </c>
      <c r="B154" t="s">
        <v>1276</v>
      </c>
      <c r="C154" t="s">
        <v>15376</v>
      </c>
      <c r="D154">
        <v>153</v>
      </c>
      <c r="E154" t="str">
        <f t="shared" si="6"/>
        <v>E2_7_7_6</v>
      </c>
      <c r="F154" t="s">
        <v>10254</v>
      </c>
      <c r="G154" t="s">
        <v>11382</v>
      </c>
      <c r="H154" t="s">
        <v>10252</v>
      </c>
      <c r="I154" t="s">
        <v>12068</v>
      </c>
      <c r="J154" t="str">
        <f t="shared" si="7"/>
        <v>(${Variables:E2_7_7_6_kcat} * E2_7_7_6 * C00063 * C00046)/(${Variables:E2_7_7_6_km} + (E2_7_7_6 * C00063 * C00046))</v>
      </c>
      <c r="K154" s="21" t="str">
        <f t="shared" si="8"/>
        <v>r153: C00063 + C00046 -&gt; C00013 + C00046 | (${Variables:E2_7_7_6_kcat} * E2_7_7_6 * C00063 * C00046)/(${Variables:E2_7_7_6_km} + (E2_7_7_6 * C00063 * C00046))</v>
      </c>
    </row>
    <row r="155" spans="1:11">
      <c r="A155" t="s">
        <v>1275</v>
      </c>
      <c r="B155" t="s">
        <v>1276</v>
      </c>
      <c r="C155" t="s">
        <v>15376</v>
      </c>
      <c r="D155">
        <v>154</v>
      </c>
      <c r="E155" t="str">
        <f t="shared" si="6"/>
        <v>E2_7_7_6</v>
      </c>
      <c r="F155" t="s">
        <v>10255</v>
      </c>
      <c r="G155" t="s">
        <v>11383</v>
      </c>
      <c r="H155" t="s">
        <v>10252</v>
      </c>
      <c r="I155" t="s">
        <v>12068</v>
      </c>
      <c r="J155" t="str">
        <f t="shared" si="7"/>
        <v>(${Variables:E2_7_7_6_kcat} * E2_7_7_6 * C00075 * C00046)/(${Variables:E2_7_7_6_km} + (E2_7_7_6 * C00075 * C00046))</v>
      </c>
      <c r="K155" s="21" t="str">
        <f t="shared" si="8"/>
        <v>r154: C00075 + C00046 -&gt; C00013 + C00046 | (${Variables:E2_7_7_6_kcat} * E2_7_7_6 * C00075 * C00046)/(${Variables:E2_7_7_6_km} + (E2_7_7_6 * C00075 * C00046))</v>
      </c>
    </row>
    <row r="156" spans="1:11">
      <c r="A156" t="s">
        <v>1275</v>
      </c>
      <c r="B156" t="s">
        <v>1276</v>
      </c>
      <c r="C156" t="s">
        <v>15376</v>
      </c>
      <c r="D156">
        <v>155</v>
      </c>
      <c r="E156" t="str">
        <f t="shared" si="6"/>
        <v>E2_7_7_6</v>
      </c>
      <c r="F156" t="s">
        <v>12712</v>
      </c>
      <c r="G156" t="s">
        <v>12712</v>
      </c>
      <c r="H156" t="s">
        <v>12710</v>
      </c>
      <c r="I156" t="s">
        <v>12711</v>
      </c>
      <c r="J156" t="str">
        <f t="shared" si="7"/>
        <v>(${Variables:E2_7_7_6_kcat} * E2_7_7_6 * C00201)/(${Variables:E2_7_7_6_km} + (E2_7_7_6 * C00201))</v>
      </c>
      <c r="K156" s="21" t="str">
        <f t="shared" si="8"/>
        <v>r155: C00201 -&gt; C20864 +  C00013 | (${Variables:E2_7_7_6_kcat} * E2_7_7_6 * C00201)/(${Variables:E2_7_7_6_km} + (E2_7_7_6 * C00201))</v>
      </c>
    </row>
    <row r="157" spans="1:11">
      <c r="A157" t="s">
        <v>1478</v>
      </c>
      <c r="B157" t="s">
        <v>1479</v>
      </c>
      <c r="C157" t="s">
        <v>15377</v>
      </c>
      <c r="D157">
        <v>156</v>
      </c>
      <c r="E157" t="str">
        <f t="shared" si="6"/>
        <v>E2_1_1_79</v>
      </c>
      <c r="F157" t="s">
        <v>10564</v>
      </c>
      <c r="G157" t="s">
        <v>11384</v>
      </c>
      <c r="H157" t="s">
        <v>10565</v>
      </c>
      <c r="I157" t="s">
        <v>12069</v>
      </c>
      <c r="J157" t="str">
        <f t="shared" si="7"/>
        <v>(${Variables:E2_1_1_79_kcat} * E2_1_1_79 * C00019 * C01229 )/(${Variables:E2_1_1_79_km} + (E2_1_1_79 * C00019 * C01229 ))</v>
      </c>
      <c r="K157" s="21" t="str">
        <f t="shared" si="8"/>
        <v>r156: C00019 + C01229  -&gt; C00021 + C04340 | (${Variables:E2_1_1_79_kcat} * E2_1_1_79 * C00019 * C01229 )/(${Variables:E2_1_1_79_km} + (E2_1_1_79 * C00019 * C01229 ))</v>
      </c>
    </row>
    <row r="158" spans="1:11">
      <c r="A158" t="s">
        <v>1485</v>
      </c>
      <c r="B158" t="s">
        <v>1486</v>
      </c>
      <c r="C158" t="s">
        <v>15378</v>
      </c>
      <c r="D158">
        <v>157</v>
      </c>
      <c r="E158" t="str">
        <f t="shared" si="6"/>
        <v>E2_7_4_3</v>
      </c>
      <c r="F158" t="s">
        <v>10566</v>
      </c>
      <c r="G158" t="s">
        <v>11385</v>
      </c>
      <c r="H158" t="s">
        <v>13192</v>
      </c>
      <c r="I158" t="s">
        <v>13192</v>
      </c>
      <c r="J158" t="str">
        <f t="shared" si="7"/>
        <v>(${Variables:E2_7_4_3_kcat} * E2_7_4_3 * C00002 * C00020)/(${Variables:E2_7_4_3_km} + (E2_7_4_3 * C00002 * C00020))</v>
      </c>
      <c r="K158" s="21" t="str">
        <f t="shared" si="8"/>
        <v>r157: C00002 + C00020 -&gt; C00008 | (${Variables:E2_7_4_3_kcat} * E2_7_4_3 * C00002 * C00020)/(${Variables:E2_7_4_3_km} + (E2_7_4_3 * C00002 * C00020))</v>
      </c>
    </row>
    <row r="159" spans="1:11">
      <c r="A159" t="s">
        <v>1485</v>
      </c>
      <c r="B159" t="s">
        <v>1486</v>
      </c>
      <c r="C159" t="s">
        <v>15378</v>
      </c>
      <c r="D159">
        <v>158</v>
      </c>
      <c r="E159" t="str">
        <f t="shared" si="6"/>
        <v>E2_7_4_3</v>
      </c>
      <c r="F159" t="s">
        <v>10258</v>
      </c>
      <c r="G159" t="s">
        <v>11386</v>
      </c>
      <c r="H159" t="s">
        <v>10259</v>
      </c>
      <c r="I159" t="s">
        <v>12070</v>
      </c>
      <c r="J159" t="str">
        <f t="shared" si="7"/>
        <v>(${Variables:E2_7_4_3_kcat} * E2_7_4_3 * C00002 * C00360)/(${Variables:E2_7_4_3_km} + (E2_7_4_3 * C00002 * C00360))</v>
      </c>
      <c r="K159" s="21" t="str">
        <f t="shared" si="8"/>
        <v>r158: C00002 + C00360 -&gt; C00008 + C00206 | (${Variables:E2_7_4_3_kcat} * E2_7_4_3 * C00002 * C00360)/(${Variables:E2_7_4_3_km} + (E2_7_4_3 * C00002 * C00360))</v>
      </c>
    </row>
    <row r="160" spans="1:11">
      <c r="A160" t="s">
        <v>1485</v>
      </c>
      <c r="B160" t="s">
        <v>1486</v>
      </c>
      <c r="C160" t="s">
        <v>15378</v>
      </c>
      <c r="D160">
        <v>159</v>
      </c>
      <c r="E160" t="str">
        <f t="shared" si="6"/>
        <v>E2_7_4_3</v>
      </c>
      <c r="F160" t="s">
        <v>10260</v>
      </c>
      <c r="G160" t="s">
        <v>11387</v>
      </c>
      <c r="H160" t="s">
        <v>10261</v>
      </c>
      <c r="I160" t="s">
        <v>12071</v>
      </c>
      <c r="J160" t="str">
        <f t="shared" si="7"/>
        <v>(${Variables:E2_7_4_3_kcat} * E2_7_4_3 * C00068 * C00008)/(${Variables:E2_7_4_3_km} + (E2_7_4_3 * C00068 * C00008))</v>
      </c>
      <c r="K160" s="21" t="str">
        <f t="shared" si="8"/>
        <v>r159: C00068 + C00008 -&gt; C03028 + C00020 | (${Variables:E2_7_4_3_kcat} * E2_7_4_3 * C00068 * C00008)/(${Variables:E2_7_4_3_km} + (E2_7_4_3 * C00068 * C00008))</v>
      </c>
    </row>
    <row r="161" spans="1:11">
      <c r="A161" t="s">
        <v>1511</v>
      </c>
      <c r="B161" t="s">
        <v>1512</v>
      </c>
      <c r="C161" t="s">
        <v>15376</v>
      </c>
      <c r="D161">
        <v>160</v>
      </c>
      <c r="E161" t="str">
        <f t="shared" si="6"/>
        <v>E2_7_7_6</v>
      </c>
      <c r="F161" t="s">
        <v>10563</v>
      </c>
      <c r="G161" t="s">
        <v>11379</v>
      </c>
      <c r="H161" t="s">
        <v>10252</v>
      </c>
      <c r="I161" t="s">
        <v>12068</v>
      </c>
      <c r="J161" t="str">
        <f t="shared" si="7"/>
        <v>(${Variables:E2_7_7_6_kcat} * E2_7_7_6 * C00201 * C00046)/(${Variables:E2_7_7_6_km} + (E2_7_7_6 * C00201 * C00046))</v>
      </c>
      <c r="K161" s="21" t="str">
        <f t="shared" si="8"/>
        <v>r160: C00201 + C00046 -&gt; C00013 + C00046 | (${Variables:E2_7_7_6_kcat} * E2_7_7_6 * C00201 * C00046)/(${Variables:E2_7_7_6_km} + (E2_7_7_6 * C00201 * C00046))</v>
      </c>
    </row>
    <row r="162" spans="1:11">
      <c r="A162" t="s">
        <v>1511</v>
      </c>
      <c r="B162" t="s">
        <v>1512</v>
      </c>
      <c r="C162" t="s">
        <v>15376</v>
      </c>
      <c r="D162">
        <v>161</v>
      </c>
      <c r="E162" t="str">
        <f t="shared" si="6"/>
        <v>E2_7_7_6</v>
      </c>
      <c r="F162" s="4" t="s">
        <v>10251</v>
      </c>
      <c r="G162" s="4" t="s">
        <v>11380</v>
      </c>
      <c r="H162" s="4" t="s">
        <v>10252</v>
      </c>
      <c r="I162" s="4" t="s">
        <v>12068</v>
      </c>
      <c r="J162" t="str">
        <f t="shared" si="7"/>
        <v>(${Variables:E2_7_7_6_kcat} * E2_7_7_6 * C00002 * C00046)/(${Variables:E2_7_7_6_km} + (E2_7_7_6 * C00002 * C00046))</v>
      </c>
      <c r="K162" s="21" t="str">
        <f t="shared" si="8"/>
        <v>r161: C00002 + C00046 -&gt; C00013 + C00046 | (${Variables:E2_7_7_6_kcat} * E2_7_7_6 * C00002 * C00046)/(${Variables:E2_7_7_6_km} + (E2_7_7_6 * C00002 * C00046))</v>
      </c>
    </row>
    <row r="163" spans="1:11">
      <c r="A163" t="s">
        <v>1511</v>
      </c>
      <c r="B163" t="s">
        <v>1512</v>
      </c>
      <c r="C163" t="s">
        <v>15376</v>
      </c>
      <c r="D163">
        <v>162</v>
      </c>
      <c r="E163" t="str">
        <f t="shared" si="6"/>
        <v>E2_7_7_6</v>
      </c>
      <c r="F163" s="4" t="s">
        <v>10253</v>
      </c>
      <c r="G163" s="4" t="s">
        <v>11381</v>
      </c>
      <c r="H163" s="4" t="s">
        <v>10252</v>
      </c>
      <c r="I163" s="4" t="s">
        <v>12068</v>
      </c>
      <c r="J163" t="str">
        <f t="shared" si="7"/>
        <v>(${Variables:E2_7_7_6_kcat} * E2_7_7_6 * C00044 * C00046)/(${Variables:E2_7_7_6_km} + (E2_7_7_6 * C00044 * C00046))</v>
      </c>
      <c r="K163" s="21" t="str">
        <f t="shared" si="8"/>
        <v>r162: C00044 + C00046 -&gt; C00013 + C00046 | (${Variables:E2_7_7_6_kcat} * E2_7_7_6 * C00044 * C00046)/(${Variables:E2_7_7_6_km} + (E2_7_7_6 * C00044 * C00046))</v>
      </c>
    </row>
    <row r="164" spans="1:11">
      <c r="A164" t="s">
        <v>1511</v>
      </c>
      <c r="B164" t="s">
        <v>1512</v>
      </c>
      <c r="C164" t="s">
        <v>15376</v>
      </c>
      <c r="D164">
        <v>163</v>
      </c>
      <c r="E164" t="str">
        <f t="shared" si="6"/>
        <v>E2_7_7_6</v>
      </c>
      <c r="F164" s="4" t="s">
        <v>10254</v>
      </c>
      <c r="G164" s="4" t="s">
        <v>11382</v>
      </c>
      <c r="H164" s="4" t="s">
        <v>10252</v>
      </c>
      <c r="I164" s="4" t="s">
        <v>12068</v>
      </c>
      <c r="J164" t="str">
        <f t="shared" si="7"/>
        <v>(${Variables:E2_7_7_6_kcat} * E2_7_7_6 * C00063 * C00046)/(${Variables:E2_7_7_6_km} + (E2_7_7_6 * C00063 * C00046))</v>
      </c>
      <c r="K164" s="21" t="str">
        <f t="shared" si="8"/>
        <v>r163: C00063 + C00046 -&gt; C00013 + C00046 | (${Variables:E2_7_7_6_kcat} * E2_7_7_6 * C00063 * C00046)/(${Variables:E2_7_7_6_km} + (E2_7_7_6 * C00063 * C00046))</v>
      </c>
    </row>
    <row r="165" spans="1:11">
      <c r="A165" t="s">
        <v>1511</v>
      </c>
      <c r="B165" t="s">
        <v>1512</v>
      </c>
      <c r="C165" t="s">
        <v>15376</v>
      </c>
      <c r="D165">
        <v>164</v>
      </c>
      <c r="E165" t="str">
        <f t="shared" si="6"/>
        <v>E2_7_7_6</v>
      </c>
      <c r="F165" s="4" t="s">
        <v>10255</v>
      </c>
      <c r="G165" s="4" t="s">
        <v>11383</v>
      </c>
      <c r="H165" s="4" t="s">
        <v>10252</v>
      </c>
      <c r="I165" s="4" t="s">
        <v>12068</v>
      </c>
      <c r="J165" t="str">
        <f t="shared" si="7"/>
        <v>(${Variables:E2_7_7_6_kcat} * E2_7_7_6 * C00075 * C00046)/(${Variables:E2_7_7_6_km} + (E2_7_7_6 * C00075 * C00046))</v>
      </c>
      <c r="K165" s="21" t="str">
        <f t="shared" si="8"/>
        <v>r164: C00075 + C00046 -&gt; C00013 + C00046 | (${Variables:E2_7_7_6_kcat} * E2_7_7_6 * C00075 * C00046)/(${Variables:E2_7_7_6_km} + (E2_7_7_6 * C00075 * C00046))</v>
      </c>
    </row>
    <row r="166" spans="1:11">
      <c r="A166" t="s">
        <v>1511</v>
      </c>
      <c r="B166" t="s">
        <v>1512</v>
      </c>
      <c r="C166" t="s">
        <v>15376</v>
      </c>
      <c r="D166">
        <v>165</v>
      </c>
      <c r="E166" t="str">
        <f t="shared" si="6"/>
        <v>E2_7_7_6</v>
      </c>
      <c r="F166" s="4" t="s">
        <v>12712</v>
      </c>
      <c r="G166" s="4" t="s">
        <v>12712</v>
      </c>
      <c r="H166" s="4" t="s">
        <v>12710</v>
      </c>
      <c r="I166" s="4" t="s">
        <v>12713</v>
      </c>
      <c r="J166" t="str">
        <f t="shared" si="7"/>
        <v>(${Variables:E2_7_7_6_kcat} * E2_7_7_6 * C00201)/(${Variables:E2_7_7_6_km} + (E2_7_7_6 * C00201))</v>
      </c>
      <c r="K166" s="21" t="str">
        <f t="shared" si="8"/>
        <v>r165: C00201 -&gt; C20864 +  C00013 | (${Variables:E2_7_7_6_kcat} * E2_7_7_6 * C00201)/(${Variables:E2_7_7_6_km} + (E2_7_7_6 * C00201))</v>
      </c>
    </row>
    <row r="167" spans="1:11">
      <c r="A167" t="s">
        <v>1519</v>
      </c>
      <c r="B167" t="s">
        <v>1520</v>
      </c>
      <c r="C167" t="s">
        <v>15379</v>
      </c>
      <c r="D167">
        <v>166</v>
      </c>
      <c r="E167" t="str">
        <f t="shared" si="6"/>
        <v>E5_4_99_12</v>
      </c>
      <c r="F167" t="s">
        <v>8110</v>
      </c>
      <c r="G167" t="s">
        <v>8110</v>
      </c>
      <c r="H167" t="s">
        <v>8111</v>
      </c>
      <c r="I167" t="s">
        <v>8111</v>
      </c>
      <c r="J167" t="str">
        <f t="shared" si="7"/>
        <v>(${Variables:E5_4_99_12_kcat} * E5_4_99_12 * C00868)/(${Variables:E5_4_99_12_km} + (E5_4_99_12 * C00868))</v>
      </c>
      <c r="K167" s="21" t="str">
        <f t="shared" si="8"/>
        <v>r166: C00868 -&gt; C02764 | (${Variables:E5_4_99_12_kcat} * E5_4_99_12 * C00868)/(${Variables:E5_4_99_12_km} + (E5_4_99_12 * C00868))</v>
      </c>
    </row>
    <row r="168" spans="1:11">
      <c r="A168" t="s">
        <v>1559</v>
      </c>
      <c r="B168" t="s">
        <v>1560</v>
      </c>
      <c r="C168" t="s">
        <v>15380</v>
      </c>
      <c r="D168">
        <v>167</v>
      </c>
      <c r="E168" t="str">
        <f t="shared" si="6"/>
        <v>E5_4_2_10</v>
      </c>
      <c r="F168" t="s">
        <v>8115</v>
      </c>
      <c r="G168" t="s">
        <v>8115</v>
      </c>
      <c r="H168" t="s">
        <v>8116</v>
      </c>
      <c r="I168" t="s">
        <v>8116</v>
      </c>
      <c r="J168" t="str">
        <f t="shared" si="7"/>
        <v>(${Variables:E5_4_2_10_kcat} * E5_4_2_10 * C06156 )/(${Variables:E5_4_2_10_km} + (E5_4_2_10 * C06156 ))</v>
      </c>
      <c r="K168" s="21" t="str">
        <f t="shared" si="8"/>
        <v>r167: C06156  -&gt; C00352 | (${Variables:E5_4_2_10_kcat} * E5_4_2_10 * C06156 )/(${Variables:E5_4_2_10_km} + (E5_4_2_10 * C06156 ))</v>
      </c>
    </row>
    <row r="169" spans="1:11">
      <c r="A169" t="s">
        <v>1575</v>
      </c>
      <c r="B169" t="s">
        <v>1576</v>
      </c>
      <c r="C169" t="s">
        <v>15381</v>
      </c>
      <c r="D169">
        <v>168</v>
      </c>
      <c r="E169" t="str">
        <f t="shared" si="6"/>
        <v>E2_6_1_16</v>
      </c>
      <c r="F169" t="s">
        <v>10567</v>
      </c>
      <c r="G169" t="s">
        <v>11388</v>
      </c>
      <c r="H169" t="s">
        <v>10568</v>
      </c>
      <c r="I169" t="s">
        <v>12072</v>
      </c>
      <c r="J169" t="str">
        <f t="shared" si="7"/>
        <v>(${Variables:E2_6_1_16_kcat} * E2_6_1_16 * C00064 * C00085)/(${Variables:E2_6_1_16_km} + (E2_6_1_16 * C00064 * C00085))</v>
      </c>
      <c r="K169" s="21" t="str">
        <f t="shared" si="8"/>
        <v>r168: C00064 + C00085 -&gt; C00025 + C00352 | (${Variables:E2_6_1_16_kcat} * E2_6_1_16 * C00064 * C00085)/(${Variables:E2_6_1_16_km} + (E2_6_1_16 * C00064 * C00085))</v>
      </c>
    </row>
    <row r="170" spans="1:11">
      <c r="A170" t="s">
        <v>1579</v>
      </c>
      <c r="B170" t="s">
        <v>1580</v>
      </c>
      <c r="C170" t="s">
        <v>15382</v>
      </c>
      <c r="D170">
        <v>169</v>
      </c>
      <c r="E170" t="str">
        <f t="shared" si="6"/>
        <v>E5_1_1_1</v>
      </c>
      <c r="F170" t="s">
        <v>8123</v>
      </c>
      <c r="G170" t="s">
        <v>8123</v>
      </c>
      <c r="H170" t="s">
        <v>8124</v>
      </c>
      <c r="I170" t="s">
        <v>8124</v>
      </c>
      <c r="J170" t="str">
        <f t="shared" si="7"/>
        <v>(${Variables:E5_1_1_1_kcat} * E5_1_1_1 * C00041 )/(${Variables:E5_1_1_1_km} + (E5_1_1_1 * C00041 ))</v>
      </c>
      <c r="K170" s="21" t="str">
        <f t="shared" si="8"/>
        <v>r169: C00041  -&gt; C00133 | (${Variables:E5_1_1_1_kcat} * E5_1_1_1 * C00041 )/(${Variables:E5_1_1_1_km} + (E5_1_1_1 * C00041 ))</v>
      </c>
    </row>
    <row r="171" spans="1:11">
      <c r="A171" t="s">
        <v>1643</v>
      </c>
      <c r="B171" t="s">
        <v>1644</v>
      </c>
      <c r="C171" t="s">
        <v>15383</v>
      </c>
      <c r="D171">
        <v>170</v>
      </c>
      <c r="E171" t="str">
        <f t="shared" si="6"/>
        <v>E1_1_1_205</v>
      </c>
      <c r="F171" t="s">
        <v>10569</v>
      </c>
      <c r="G171" t="s">
        <v>11389</v>
      </c>
      <c r="H171" t="s">
        <v>10570</v>
      </c>
      <c r="I171" t="s">
        <v>12073</v>
      </c>
      <c r="J171" t="str">
        <f t="shared" si="7"/>
        <v>(${Variables:E1_1_1_205_kcat} * E1_1_1_205 * C00130 * C00003 * C00001)/(${Variables:E1_1_1_205_km} + (E1_1_1_205 * C00130 * C00003 * C00001))</v>
      </c>
      <c r="K171" s="21" t="str">
        <f t="shared" si="8"/>
        <v>r170: C00130 + C00003 + C00001 -&gt; C00655 + C00004 + C00080 | (${Variables:E1_1_1_205_kcat} * E1_1_1_205 * C00130 * C00003 * C00001)/(${Variables:E1_1_1_205_km} + (E1_1_1_205 * C00130 * C00003 * C00001))</v>
      </c>
    </row>
    <row r="172" spans="1:11">
      <c r="A172" t="s">
        <v>1643</v>
      </c>
      <c r="B172" t="s">
        <v>1644</v>
      </c>
      <c r="C172" t="s">
        <v>15383</v>
      </c>
      <c r="D172">
        <v>171</v>
      </c>
      <c r="E172" t="str">
        <f t="shared" si="6"/>
        <v>E1_1_1_205</v>
      </c>
      <c r="F172" t="s">
        <v>10262</v>
      </c>
      <c r="G172" t="s">
        <v>11390</v>
      </c>
      <c r="H172" t="s">
        <v>10263</v>
      </c>
      <c r="I172" t="s">
        <v>12074</v>
      </c>
      <c r="J172" t="str">
        <f t="shared" si="7"/>
        <v>(${Variables:E1_1_1_205_kcat} * E1_1_1_205 * C04646 * C00003 * C00001)/(${Variables:E1_1_1_205_km} + (E1_1_1_205 * C04646 * C00003 * C00001))</v>
      </c>
      <c r="K172" s="21" t="str">
        <f t="shared" si="8"/>
        <v>r171: C04646 + C00003 + C00001 -&gt; C16618 + C00004 + C00080 | (${Variables:E1_1_1_205_kcat} * E1_1_1_205 * C04646 * C00003 * C00001)/(${Variables:E1_1_1_205_km} + (E1_1_1_205 * C04646 * C00003 * C00001))</v>
      </c>
    </row>
    <row r="173" spans="1:11">
      <c r="A173" t="s">
        <v>1680</v>
      </c>
      <c r="B173" t="s">
        <v>1681</v>
      </c>
      <c r="C173" t="s">
        <v>15311</v>
      </c>
      <c r="D173">
        <v>172</v>
      </c>
      <c r="E173" t="str">
        <f t="shared" si="6"/>
        <v>E2_7_7_7</v>
      </c>
      <c r="F173" t="s">
        <v>12706</v>
      </c>
      <c r="G173" t="s">
        <v>12705</v>
      </c>
      <c r="H173" s="3" t="s">
        <v>10163</v>
      </c>
      <c r="I173" s="3" t="s">
        <v>11305</v>
      </c>
      <c r="J173" t="str">
        <f t="shared" si="7"/>
        <v>(${Variables:E2_7_7_7_kcat} * E2_7_7_7 * C00677 * C00039)/(${Variables:E2_7_7_7_km} + (E2_7_7_7 * C00677 * C00039))</v>
      </c>
      <c r="K173" s="21" t="str">
        <f t="shared" si="8"/>
        <v>r172: C00677 + C00039 -&gt; C00013 + C00039 | (${Variables:E2_7_7_7_kcat} * E2_7_7_7 * C00677 * C00039)/(${Variables:E2_7_7_7_km} + (E2_7_7_7 * C00677 * C00039))</v>
      </c>
    </row>
    <row r="174" spans="1:11">
      <c r="A174" t="s">
        <v>1680</v>
      </c>
      <c r="B174" t="s">
        <v>1681</v>
      </c>
      <c r="C174" t="s">
        <v>15311</v>
      </c>
      <c r="D174">
        <v>173</v>
      </c>
      <c r="E174" t="str">
        <f t="shared" si="6"/>
        <v>E2_7_7_7</v>
      </c>
      <c r="F174" t="s">
        <v>10162</v>
      </c>
      <c r="G174" t="s">
        <v>11301</v>
      </c>
      <c r="H174" s="3" t="s">
        <v>10163</v>
      </c>
      <c r="I174" s="3" t="s">
        <v>11305</v>
      </c>
      <c r="J174" t="str">
        <f t="shared" si="7"/>
        <v>(${Variables:E2_7_7_7_kcat} * E2_7_7_7 * C00131 * C00039)/(${Variables:E2_7_7_7_km} + (E2_7_7_7 * C00131 * C00039))</v>
      </c>
      <c r="K174" s="21" t="str">
        <f t="shared" si="8"/>
        <v>r173: C00131 + C00039 -&gt; C00013 + C00039 | (${Variables:E2_7_7_7_kcat} * E2_7_7_7 * C00131 * C00039)/(${Variables:E2_7_7_7_km} + (E2_7_7_7 * C00131 * C00039))</v>
      </c>
    </row>
    <row r="175" spans="1:11">
      <c r="A175" t="s">
        <v>1680</v>
      </c>
      <c r="B175" t="s">
        <v>1681</v>
      </c>
      <c r="C175" t="s">
        <v>15311</v>
      </c>
      <c r="D175">
        <v>174</v>
      </c>
      <c r="E175" t="str">
        <f t="shared" si="6"/>
        <v>E2_7_7_7</v>
      </c>
      <c r="F175" t="s">
        <v>10164</v>
      </c>
      <c r="G175" t="s">
        <v>11302</v>
      </c>
      <c r="H175" s="3" t="s">
        <v>10163</v>
      </c>
      <c r="I175" s="3" t="s">
        <v>11305</v>
      </c>
      <c r="J175" t="str">
        <f t="shared" si="7"/>
        <v>(${Variables:E2_7_7_7_kcat} * E2_7_7_7 * C00286 * C00039 )/(${Variables:E2_7_7_7_km} + (E2_7_7_7 * C00286 * C00039 ))</v>
      </c>
      <c r="K175" s="21" t="str">
        <f t="shared" si="8"/>
        <v>r174: C00286 + C00039  -&gt; C00013 + C00039 | (${Variables:E2_7_7_7_kcat} * E2_7_7_7 * C00286 * C00039 )/(${Variables:E2_7_7_7_km} + (E2_7_7_7 * C00286 * C00039 ))</v>
      </c>
    </row>
    <row r="176" spans="1:11">
      <c r="A176" t="s">
        <v>1680</v>
      </c>
      <c r="B176" t="s">
        <v>1681</v>
      </c>
      <c r="C176" t="s">
        <v>15311</v>
      </c>
      <c r="D176">
        <v>175</v>
      </c>
      <c r="E176" t="str">
        <f t="shared" si="6"/>
        <v>E2_7_7_7</v>
      </c>
      <c r="F176" t="s">
        <v>10165</v>
      </c>
      <c r="G176" t="s">
        <v>11303</v>
      </c>
      <c r="H176" s="3" t="s">
        <v>10163</v>
      </c>
      <c r="I176" s="3" t="s">
        <v>11305</v>
      </c>
      <c r="J176" t="str">
        <f t="shared" si="7"/>
        <v>(${Variables:E2_7_7_7_kcat} * E2_7_7_7 * C00458 * C00039)/(${Variables:E2_7_7_7_km} + (E2_7_7_7 * C00458 * C00039))</v>
      </c>
      <c r="K176" s="21" t="str">
        <f t="shared" si="8"/>
        <v>r175: C00458 + C00039 -&gt; C00013 + C00039 | (${Variables:E2_7_7_7_kcat} * E2_7_7_7 * C00458 * C00039)/(${Variables:E2_7_7_7_km} + (E2_7_7_7 * C00458 * C00039))</v>
      </c>
    </row>
    <row r="177" spans="1:11">
      <c r="A177" t="s">
        <v>1680</v>
      </c>
      <c r="B177" t="s">
        <v>1681</v>
      </c>
      <c r="C177" t="s">
        <v>15311</v>
      </c>
      <c r="D177">
        <v>176</v>
      </c>
      <c r="E177" t="str">
        <f t="shared" si="6"/>
        <v>E2_7_7_7</v>
      </c>
      <c r="F177" t="s">
        <v>10166</v>
      </c>
      <c r="G177" t="s">
        <v>11304</v>
      </c>
      <c r="H177" s="3" t="s">
        <v>10163</v>
      </c>
      <c r="I177" s="3" t="s">
        <v>11305</v>
      </c>
      <c r="J177" t="str">
        <f t="shared" si="7"/>
        <v>(${Variables:E2_7_7_7_kcat} * E2_7_7_7 * C00459 * C00039 )/(${Variables:E2_7_7_7_km} + (E2_7_7_7 * C00459 * C00039 ))</v>
      </c>
      <c r="K177" s="21" t="str">
        <f t="shared" si="8"/>
        <v>r176: C00459 + C00039  -&gt; C00013 + C00039 | (${Variables:E2_7_7_7_kcat} * E2_7_7_7 * C00459 * C00039 )/(${Variables:E2_7_7_7_km} + (E2_7_7_7 * C00459 * C00039 ))</v>
      </c>
    </row>
    <row r="178" spans="1:11">
      <c r="A178" t="s">
        <v>1680</v>
      </c>
      <c r="B178" t="s">
        <v>1681</v>
      </c>
      <c r="C178" t="s">
        <v>15311</v>
      </c>
      <c r="D178">
        <v>177</v>
      </c>
      <c r="E178" t="str">
        <f t="shared" si="6"/>
        <v>E2_7_7_7</v>
      </c>
      <c r="F178" t="s">
        <v>10167</v>
      </c>
      <c r="G178" t="s">
        <v>10167</v>
      </c>
      <c r="H178" s="3" t="s">
        <v>10168</v>
      </c>
      <c r="I178" s="3" t="s">
        <v>10168</v>
      </c>
      <c r="J178" t="str">
        <f t="shared" si="7"/>
        <v>(${Variables:E2_7_7_7_kcat} * E2_7_7_7 * C11039)/(${Variables:E2_7_7_7_km} + (E2_7_7_7 * C11039))</v>
      </c>
      <c r="K178" s="21" t="str">
        <f t="shared" si="8"/>
        <v>r177: C11039 -&gt; C21031 | (${Variables:E2_7_7_7_kcat} * E2_7_7_7 * C11039)/(${Variables:E2_7_7_7_km} + (E2_7_7_7 * C11039))</v>
      </c>
    </row>
    <row r="179" spans="1:11">
      <c r="A179" t="s">
        <v>1705</v>
      </c>
      <c r="B179" t="s">
        <v>1706</v>
      </c>
      <c r="C179" t="s">
        <v>15384</v>
      </c>
      <c r="D179">
        <v>178</v>
      </c>
      <c r="E179" t="str">
        <f t="shared" si="6"/>
        <v>E2_3_1_31</v>
      </c>
      <c r="F179" t="s">
        <v>10571</v>
      </c>
      <c r="G179" t="s">
        <v>12704</v>
      </c>
      <c r="H179" t="s">
        <v>10572</v>
      </c>
      <c r="I179" t="s">
        <v>12075</v>
      </c>
      <c r="J179" t="str">
        <f t="shared" si="7"/>
        <v>(${Variables:E2_3_1_31_kcat} * E2_3_1_31 * C00024 * C00263)/(${Variables:E2_3_1_31_km} + (E2_3_1_31 * C00024 * C00263))</v>
      </c>
      <c r="K179" s="21" t="str">
        <f t="shared" si="8"/>
        <v>r178: C00024 + C00263 -&gt; C00010 + C01077 | (${Variables:E2_3_1_31_kcat} * E2_3_1_31 * C00024 * C00263)/(${Variables:E2_3_1_31_km} + (E2_3_1_31 * C00024 * C00263))</v>
      </c>
    </row>
    <row r="180" spans="1:11">
      <c r="A180" t="s">
        <v>1764</v>
      </c>
      <c r="B180" t="s">
        <v>1765</v>
      </c>
      <c r="C180" t="s">
        <v>15385</v>
      </c>
      <c r="D180">
        <v>179</v>
      </c>
      <c r="E180" t="str">
        <f t="shared" si="6"/>
        <v>E1_1_1_42</v>
      </c>
      <c r="F180" t="s">
        <v>10266</v>
      </c>
      <c r="G180" t="s">
        <v>11391</v>
      </c>
      <c r="H180" t="s">
        <v>15908</v>
      </c>
      <c r="I180" t="s">
        <v>15909</v>
      </c>
      <c r="J180" t="str">
        <f t="shared" si="7"/>
        <v>(${Variables:E1_1_1_42_kcat} * E1_1_1_42 * C00311 * C00006)/(${Variables:E1_1_1_42_km} + (E1_1_1_42 * C00311 * C00006))</v>
      </c>
      <c r="K180" s="21" t="str">
        <f t="shared" si="8"/>
        <v>r179: C00311 + C00006 -&gt; C00026 + C00011 + C00005 + C00080 | (${Variables:E1_1_1_42_kcat} * E1_1_1_42 * C00311 * C00006)/(${Variables:E1_1_1_42_km} + (E1_1_1_42 * C00311 * C00006))</v>
      </c>
    </row>
    <row r="181" spans="1:11">
      <c r="A181" t="s">
        <v>1764</v>
      </c>
      <c r="B181" t="s">
        <v>1765</v>
      </c>
      <c r="C181" t="s">
        <v>15385</v>
      </c>
      <c r="D181">
        <v>180</v>
      </c>
      <c r="E181" t="str">
        <f t="shared" si="6"/>
        <v>E1_1_1_42</v>
      </c>
      <c r="F181" t="s">
        <v>10264</v>
      </c>
      <c r="G181" t="s">
        <v>10264</v>
      </c>
      <c r="H181" t="s">
        <v>10265</v>
      </c>
      <c r="I181" t="s">
        <v>12076</v>
      </c>
      <c r="J181" t="str">
        <f t="shared" si="7"/>
        <v>(${Variables:E1_1_1_42_kcat} * E1_1_1_42 * C05379)/(${Variables:E1_1_1_42_km} + (E1_1_1_42 * C05379))</v>
      </c>
      <c r="K181" s="21" t="str">
        <f t="shared" si="8"/>
        <v>r180: C05379 -&gt; C00026 + C00011 | (${Variables:E1_1_1_42_kcat} * E1_1_1_42 * C05379)/(${Variables:E1_1_1_42_km} + (E1_1_1_42 * C05379))</v>
      </c>
    </row>
    <row r="182" spans="1:11">
      <c r="A182" t="s">
        <v>1764</v>
      </c>
      <c r="B182" t="s">
        <v>1765</v>
      </c>
      <c r="C182" t="s">
        <v>15385</v>
      </c>
      <c r="D182">
        <v>181</v>
      </c>
      <c r="E182" t="str">
        <f t="shared" si="6"/>
        <v>E1_1_1_42</v>
      </c>
      <c r="F182" t="s">
        <v>10266</v>
      </c>
      <c r="G182" t="s">
        <v>11391</v>
      </c>
      <c r="H182" t="s">
        <v>10267</v>
      </c>
      <c r="I182" t="s">
        <v>12077</v>
      </c>
      <c r="J182" t="str">
        <f t="shared" si="7"/>
        <v>(${Variables:E1_1_1_42_kcat} * E1_1_1_42 * C00311 * C00006)/(${Variables:E1_1_1_42_km} + (E1_1_1_42 * C00311 * C00006))</v>
      </c>
      <c r="K182" s="21" t="str">
        <f t="shared" si="8"/>
        <v>r181: C00311 + C00006 -&gt; C05379 + C00005 + C00080 | (${Variables:E1_1_1_42_kcat} * E1_1_1_42 * C00311 * C00006)/(${Variables:E1_1_1_42_km} + (E1_1_1_42 * C00311 * C00006))</v>
      </c>
    </row>
    <row r="183" spans="1:11">
      <c r="A183" t="s">
        <v>1783</v>
      </c>
      <c r="B183" t="s">
        <v>1784</v>
      </c>
      <c r="C183" t="s">
        <v>15386</v>
      </c>
      <c r="D183">
        <v>182</v>
      </c>
      <c r="E183" t="str">
        <f t="shared" si="6"/>
        <v>E6_1_1_2</v>
      </c>
      <c r="F183" t="s">
        <v>10573</v>
      </c>
      <c r="G183" t="s">
        <v>11392</v>
      </c>
      <c r="H183" s="3" t="s">
        <v>15974</v>
      </c>
      <c r="I183" s="3" t="s">
        <v>15975</v>
      </c>
      <c r="J183" t="str">
        <f t="shared" si="7"/>
        <v>(${Variables:E6_1_1_2_kcat} * E6_1_1_2 * C00002 * C00078 * C01652)/(${Variables:E6_1_1_2_km} + (E6_1_1_2 * C00002 * C00078 * C01652))</v>
      </c>
      <c r="K183" s="21" t="str">
        <f t="shared" si="8"/>
        <v>r182: C00002 + C00078 + C01652 -&gt; C00020 + C00013 + C03512 | (${Variables:E6_1_1_2_kcat} * E6_1_1_2 * C00002 * C00078 * C01652)/(${Variables:E6_1_1_2_km} + (E6_1_1_2 * C00002 * C00078 * C01652))</v>
      </c>
    </row>
    <row r="184" spans="1:11">
      <c r="A184" t="s">
        <v>1797</v>
      </c>
      <c r="B184" t="s">
        <v>1798</v>
      </c>
      <c r="C184" t="s">
        <v>15387</v>
      </c>
      <c r="D184">
        <v>183</v>
      </c>
      <c r="E184" t="str">
        <f t="shared" si="6"/>
        <v>E4_2_1_130</v>
      </c>
      <c r="F184" t="s">
        <v>8146</v>
      </c>
      <c r="G184" t="s">
        <v>8146</v>
      </c>
      <c r="H184" t="s">
        <v>10574</v>
      </c>
      <c r="I184" t="s">
        <v>12078</v>
      </c>
      <c r="J184" t="str">
        <f t="shared" si="7"/>
        <v>(${Variables:E4_2_1_130_kcat} * E4_2_1_130 * C00256)/(${Variables:E4_2_1_130_km} + (E4_2_1_130 * C00256))</v>
      </c>
      <c r="K184" s="21" t="str">
        <f t="shared" si="8"/>
        <v>r183: C00256 -&gt; C00546 + C00001 | (${Variables:E4_2_1_130_kcat} * E4_2_1_130 * C00256)/(${Variables:E4_2_1_130_km} + (E4_2_1_130 * C00256))</v>
      </c>
    </row>
    <row r="185" spans="1:11">
      <c r="A185" t="s">
        <v>1801</v>
      </c>
      <c r="B185" t="s">
        <v>1802</v>
      </c>
      <c r="C185" t="s">
        <v>15388</v>
      </c>
      <c r="D185">
        <v>184</v>
      </c>
      <c r="E185" t="str">
        <f t="shared" si="6"/>
        <v>E3_1_1_1</v>
      </c>
      <c r="F185" t="s">
        <v>10575</v>
      </c>
      <c r="G185" t="s">
        <v>11393</v>
      </c>
      <c r="H185" t="s">
        <v>10576</v>
      </c>
      <c r="I185" t="s">
        <v>12079</v>
      </c>
      <c r="J185" t="str">
        <f t="shared" si="7"/>
        <v>(${Variables:E3_1_1_1_kcat} * E3_1_1_1 * C02391 * C00001)/(${Variables:E3_1_1_1_km} + (E3_1_1_1 * C02391 * C00001))</v>
      </c>
      <c r="K185" s="21" t="str">
        <f t="shared" si="8"/>
        <v>r184: C02391 + C00001 -&gt; C00069 + C00060 | (${Variables:E3_1_1_1_kcat} * E3_1_1_1 * C02391 * C00001)/(${Variables:E3_1_1_1_km} + (E3_1_1_1 * C02391 * C00001))</v>
      </c>
    </row>
    <row r="186" spans="1:11">
      <c r="A186" t="s">
        <v>1801</v>
      </c>
      <c r="B186" t="s">
        <v>1802</v>
      </c>
      <c r="C186" t="s">
        <v>15388</v>
      </c>
      <c r="D186">
        <v>185</v>
      </c>
      <c r="E186" t="str">
        <f t="shared" si="6"/>
        <v>E3_1_1_1</v>
      </c>
      <c r="F186" t="s">
        <v>10577</v>
      </c>
      <c r="G186" t="s">
        <v>11394</v>
      </c>
      <c r="H186" t="s">
        <v>10578</v>
      </c>
      <c r="I186" t="s">
        <v>12080</v>
      </c>
      <c r="J186" t="str">
        <f t="shared" si="7"/>
        <v>(${Variables:E3_1_1_1_kcat} * E3_1_1_1 * C01416 * C00001)/(${Variables:E3_1_1_1_km} + (E3_1_1_1 * C01416 * C00001))</v>
      </c>
      <c r="K186" s="21" t="str">
        <f t="shared" si="8"/>
        <v>r185: C01416 + C00001 -&gt; C12448 + C00180 | (${Variables:E3_1_1_1_kcat} * E3_1_1_1 * C01416 * C00001)/(${Variables:E3_1_1_1_km} + (E3_1_1_1 * C01416 * C00001))</v>
      </c>
    </row>
    <row r="187" spans="1:11">
      <c r="A187" t="s">
        <v>1801</v>
      </c>
      <c r="B187" t="s">
        <v>1802</v>
      </c>
      <c r="C187" t="s">
        <v>15388</v>
      </c>
      <c r="D187">
        <v>186</v>
      </c>
      <c r="E187" t="str">
        <f t="shared" si="6"/>
        <v>E3_1_1_1</v>
      </c>
      <c r="F187" t="s">
        <v>10579</v>
      </c>
      <c r="G187" t="s">
        <v>11395</v>
      </c>
      <c r="H187" t="s">
        <v>10580</v>
      </c>
      <c r="I187" t="s">
        <v>12081</v>
      </c>
      <c r="J187" t="str">
        <f t="shared" si="7"/>
        <v>(${Variables:E3_1_1_1_kcat} * E3_1_1_1 * C16641 * C00001)/(${Variables:E3_1_1_1_km} + (E3_1_1_1 * C16641 * C00001))</v>
      </c>
      <c r="K187" s="21" t="str">
        <f t="shared" si="8"/>
        <v>r186: C16641 + C00001 -&gt; C11173 + C16836 | (${Variables:E3_1_1_1_kcat} * E3_1_1_1 * C16641 * C00001)/(${Variables:E3_1_1_1_km} + (E3_1_1_1 * C16641 * C00001))</v>
      </c>
    </row>
    <row r="188" spans="1:11">
      <c r="A188" t="s">
        <v>1801</v>
      </c>
      <c r="B188" t="s">
        <v>1802</v>
      </c>
      <c r="C188" t="s">
        <v>15388</v>
      </c>
      <c r="D188">
        <v>187</v>
      </c>
      <c r="E188" t="str">
        <f t="shared" si="6"/>
        <v>E3_1_1_1</v>
      </c>
      <c r="F188" t="s">
        <v>10581</v>
      </c>
      <c r="G188" t="s">
        <v>11396</v>
      </c>
      <c r="H188" t="s">
        <v>10582</v>
      </c>
      <c r="I188" t="s">
        <v>12082</v>
      </c>
      <c r="J188" t="str">
        <f t="shared" si="7"/>
        <v>(${Variables:E3_1_1_1_kcat} * E3_1_1_1 * C16543 * C00001 )/(${Variables:E3_1_1_1_km} + (E3_1_1_1 * C16543 * C00001 ))</v>
      </c>
      <c r="K188" s="21" t="str">
        <f t="shared" si="8"/>
        <v>r187: C16543 + C00001  -&gt; C11173 + C16837 | (${Variables:E3_1_1_1_kcat} * E3_1_1_1 * C16543 * C00001 )/(${Variables:E3_1_1_1_km} + (E3_1_1_1 * C16543 * C00001 ))</v>
      </c>
    </row>
    <row r="189" spans="1:11">
      <c r="A189" t="s">
        <v>1801</v>
      </c>
      <c r="B189" t="s">
        <v>1802</v>
      </c>
      <c r="C189" t="s">
        <v>15388</v>
      </c>
      <c r="D189">
        <v>188</v>
      </c>
      <c r="E189" t="str">
        <f t="shared" si="6"/>
        <v>E3_1_1_1</v>
      </c>
      <c r="F189" t="s">
        <v>10583</v>
      </c>
      <c r="G189" t="s">
        <v>11397</v>
      </c>
      <c r="H189" t="s">
        <v>10584</v>
      </c>
      <c r="I189" t="s">
        <v>12083</v>
      </c>
      <c r="J189" t="str">
        <f t="shared" si="7"/>
        <v>(${Variables:E3_1_1_1_kcat} * E3_1_1_1 * C12650 * C00001)/(${Variables:E3_1_1_1_km} + (E3_1_1_1 * C12650 * C00001))</v>
      </c>
      <c r="K189" s="21" t="str">
        <f t="shared" si="8"/>
        <v>r188: C12650 + C00001 -&gt; C16635 + C16834 + C00011 | (${Variables:E3_1_1_1_kcat} * E3_1_1_1 * C12650 * C00001)/(${Variables:E3_1_1_1_km} + (E3_1_1_1 * C12650 * C00001))</v>
      </c>
    </row>
    <row r="190" spans="1:11">
      <c r="A190" t="s">
        <v>1801</v>
      </c>
      <c r="B190" t="s">
        <v>1802</v>
      </c>
      <c r="C190" t="s">
        <v>15388</v>
      </c>
      <c r="D190">
        <v>189</v>
      </c>
      <c r="E190" t="str">
        <f t="shared" si="6"/>
        <v>E3_1_1_1</v>
      </c>
      <c r="F190" t="s">
        <v>10585</v>
      </c>
      <c r="G190" t="s">
        <v>11398</v>
      </c>
      <c r="H190" t="s">
        <v>10586</v>
      </c>
      <c r="I190" t="s">
        <v>12084</v>
      </c>
      <c r="J190" t="str">
        <f t="shared" si="7"/>
        <v>(${Variables:E3_1_1_1_kcat} * E3_1_1_1 * C07585 * C00001)/(${Variables:E3_1_1_1_km} + (E3_1_1_1 * C07585 * C00001))</v>
      </c>
      <c r="K190" s="21" t="str">
        <f t="shared" si="8"/>
        <v>r189: C07585 + C00001 -&gt; C07447 + C07446 | (${Variables:E3_1_1_1_kcat} * E3_1_1_1 * C07585 * C00001)/(${Variables:E3_1_1_1_km} + (E3_1_1_1 * C07585 * C00001))</v>
      </c>
    </row>
    <row r="191" spans="1:11">
      <c r="A191" t="s">
        <v>1801</v>
      </c>
      <c r="B191" t="s">
        <v>1802</v>
      </c>
      <c r="C191" t="s">
        <v>15388</v>
      </c>
      <c r="D191">
        <v>190</v>
      </c>
      <c r="E191" t="str">
        <f t="shared" si="6"/>
        <v>E3_1_1_1</v>
      </c>
      <c r="F191" t="s">
        <v>10587</v>
      </c>
      <c r="G191" t="s">
        <v>11399</v>
      </c>
      <c r="H191" t="s">
        <v>10588</v>
      </c>
      <c r="I191" t="s">
        <v>12085</v>
      </c>
      <c r="J191" t="str">
        <f t="shared" si="7"/>
        <v>(${Variables:E3_1_1_1_kcat} * E3_1_1_1 * C07054 * C00001)/(${Variables:E3_1_1_1_km} + (E3_1_1_1 * C07054 * C00001))</v>
      </c>
      <c r="K191" s="21" t="str">
        <f t="shared" si="8"/>
        <v>r190: C07054 + C00001 -&gt; C07446 + C05361 | (${Variables:E3_1_1_1_kcat} * E3_1_1_1 * C07054 * C00001)/(${Variables:E3_1_1_1_km} + (E3_1_1_1 * C07054 * C00001))</v>
      </c>
    </row>
    <row r="192" spans="1:11">
      <c r="A192" t="s">
        <v>1801</v>
      </c>
      <c r="B192" t="s">
        <v>1802</v>
      </c>
      <c r="C192" t="s">
        <v>15388</v>
      </c>
      <c r="D192">
        <v>191</v>
      </c>
      <c r="E192" t="str">
        <f t="shared" si="6"/>
        <v>E3_1_1_1</v>
      </c>
      <c r="F192" t="s">
        <v>10589</v>
      </c>
      <c r="G192" t="s">
        <v>11400</v>
      </c>
      <c r="H192" t="s">
        <v>10590</v>
      </c>
      <c r="I192" t="s">
        <v>12086</v>
      </c>
      <c r="J192" t="str">
        <f t="shared" si="7"/>
        <v>(${Variables:E3_1_1_1_kcat} * E3_1_1_1 * C16561 * C00001)/(${Variables:E3_1_1_1_km} + (E3_1_1_1 * C16561 * C00001))</v>
      </c>
      <c r="K192" s="21" t="str">
        <f t="shared" si="8"/>
        <v>r191: C16561 + C00001 -&gt; C11004 + C11735 | (${Variables:E3_1_1_1_kcat} * E3_1_1_1 * C16561 * C00001)/(${Variables:E3_1_1_1_km} + (E3_1_1_1 * C16561 * C00001))</v>
      </c>
    </row>
    <row r="193" spans="1:11">
      <c r="A193" t="s">
        <v>1801</v>
      </c>
      <c r="B193" t="s">
        <v>1802</v>
      </c>
      <c r="C193" t="s">
        <v>15388</v>
      </c>
      <c r="D193">
        <v>192</v>
      </c>
      <c r="E193" t="str">
        <f t="shared" si="6"/>
        <v>E3_1_1_1</v>
      </c>
      <c r="F193" t="s">
        <v>10591</v>
      </c>
      <c r="G193" t="s">
        <v>11401</v>
      </c>
      <c r="H193" t="s">
        <v>10592</v>
      </c>
      <c r="I193" t="s">
        <v>12087</v>
      </c>
      <c r="J193" t="str">
        <f t="shared" si="7"/>
        <v>(${Variables:E3_1_1_1_kcat} * E3_1_1_1 * C07073 * C00001)/(${Variables:E3_1_1_1_km} + (E3_1_1_1 * C07073 * C00001))</v>
      </c>
      <c r="K193" s="21" t="str">
        <f t="shared" si="8"/>
        <v>r192: C07073 + C00001 -&gt; C11004 + C16647 | (${Variables:E3_1_1_1_kcat} * E3_1_1_1 * C07073 * C00001)/(${Variables:E3_1_1_1_km} + (E3_1_1_1 * C07073 * C00001))</v>
      </c>
    </row>
    <row r="194" spans="1:11">
      <c r="A194" t="s">
        <v>1812</v>
      </c>
      <c r="B194" t="s">
        <v>1813</v>
      </c>
      <c r="C194" t="s">
        <v>15389</v>
      </c>
      <c r="D194">
        <v>193</v>
      </c>
      <c r="E194" t="str">
        <f t="shared" si="6"/>
        <v>E2_4_2_9</v>
      </c>
      <c r="F194" t="s">
        <v>10593</v>
      </c>
      <c r="G194" t="s">
        <v>11402</v>
      </c>
      <c r="H194" t="s">
        <v>10594</v>
      </c>
      <c r="I194" t="s">
        <v>12088</v>
      </c>
      <c r="J194" t="str">
        <f t="shared" si="7"/>
        <v>(${Variables:E2_4_2_9_kcat} * E2_4_2_9 * C00105 * C00013 )/(${Variables:E2_4_2_9_km} + (E2_4_2_9 * C00105 * C00013 ))</v>
      </c>
      <c r="K194" s="21" t="str">
        <f t="shared" si="8"/>
        <v>r193: C00105 + C00013  -&gt; C00106 + C00119 | (${Variables:E2_4_2_9_kcat} * E2_4_2_9 * C00105 * C00013 )/(${Variables:E2_4_2_9_km} + (E2_4_2_9 * C00105 * C00013 ))</v>
      </c>
    </row>
    <row r="195" spans="1:11">
      <c r="A195" t="s">
        <v>1824</v>
      </c>
      <c r="B195" t="s">
        <v>1825</v>
      </c>
      <c r="C195" t="s">
        <v>15390</v>
      </c>
      <c r="D195">
        <v>194</v>
      </c>
      <c r="E195" t="str">
        <f t="shared" ref="E195:E258" si="9">"E" &amp; C195</f>
        <v>E1_6_5_2</v>
      </c>
      <c r="F195" t="s">
        <v>10595</v>
      </c>
      <c r="G195" t="s">
        <v>11403</v>
      </c>
      <c r="H195" t="s">
        <v>10596</v>
      </c>
      <c r="I195" t="s">
        <v>12089</v>
      </c>
      <c r="J195" t="str">
        <f t="shared" ref="J195:J258" si="10">CONCATENATE("(${Variables:",E195,"_kcat","} * ",E195," * ",G195,")","/(${Variables:",E195,"_km","} + (",E195," * ",G195,"))")</f>
        <v>(${Variables:E1_6_5_2_kcat} * E1_6_5_2 * C00004 * C00080 * C15602)/(${Variables:E1_6_5_2_km} + (E1_6_5_2 * C00004 * C00080 * C15602))</v>
      </c>
      <c r="K195" s="21" t="str">
        <f t="shared" ref="K195:K258" si="11">CONCATENATE("r",D195,": ",F195," -&gt; ",H195," | ",J195)</f>
        <v>r194: C00004 + C00080 + C15602 -&gt; C00003 + C15603 | (${Variables:E1_6_5_2_kcat} * E1_6_5_2 * C00004 * C00080 * C15602)/(${Variables:E1_6_5_2_km} + (E1_6_5_2 * C00004 * C00080 * C15602))</v>
      </c>
    </row>
    <row r="196" spans="1:11">
      <c r="A196" t="s">
        <v>1824</v>
      </c>
      <c r="B196" t="s">
        <v>1825</v>
      </c>
      <c r="C196" t="s">
        <v>15390</v>
      </c>
      <c r="D196">
        <v>195</v>
      </c>
      <c r="E196" t="str">
        <f t="shared" si="9"/>
        <v>E1_6_5_2</v>
      </c>
      <c r="F196" t="s">
        <v>10268</v>
      </c>
      <c r="G196" t="s">
        <v>11404</v>
      </c>
      <c r="H196" t="s">
        <v>10269</v>
      </c>
      <c r="I196" t="s">
        <v>12090</v>
      </c>
      <c r="J196" t="str">
        <f t="shared" si="10"/>
        <v>(${Variables:E1_6_5_2_kcat} * E1_6_5_2 * C00828 * C00080 * C00004)/(${Variables:E1_6_5_2_km} + (E1_6_5_2 * C00828 * C00080 * C00004))</v>
      </c>
      <c r="K196" s="21" t="str">
        <f t="shared" si="11"/>
        <v>r195: C00828 + C00080 + C00004 -&gt; C05819 + C00003 | (${Variables:E1_6_5_2_kcat} * E1_6_5_2 * C00828 * C00080 * C00004)/(${Variables:E1_6_5_2_km} + (E1_6_5_2 * C00828 * C00080 * C00004))</v>
      </c>
    </row>
    <row r="197" spans="1:11">
      <c r="A197" t="s">
        <v>1824</v>
      </c>
      <c r="B197" t="s">
        <v>1825</v>
      </c>
      <c r="C197" t="s">
        <v>15390</v>
      </c>
      <c r="D197">
        <v>196</v>
      </c>
      <c r="E197" t="str">
        <f t="shared" si="9"/>
        <v>E1_6_5_2</v>
      </c>
      <c r="F197" t="s">
        <v>10270</v>
      </c>
      <c r="G197" t="s">
        <v>11405</v>
      </c>
      <c r="H197" t="s">
        <v>10271</v>
      </c>
      <c r="I197" t="s">
        <v>12091</v>
      </c>
      <c r="J197" t="str">
        <f t="shared" si="10"/>
        <v>(${Variables:E1_6_5_2_kcat} * E1_6_5_2 * C01628 * C00004 * C00080)/(${Variables:E1_6_5_2_km} + (E1_6_5_2 * C01628 * C00004 * C00080))</v>
      </c>
      <c r="K197" s="21" t="str">
        <f t="shared" si="11"/>
        <v>r196: C01628 + C00004 + C00080 -&gt; C05850 + C00003 | (${Variables:E1_6_5_2_kcat} * E1_6_5_2 * C01628 * C00004 * C00080)/(${Variables:E1_6_5_2_km} + (E1_6_5_2 * C01628 * C00004 * C00080))</v>
      </c>
    </row>
    <row r="198" spans="1:11">
      <c r="A198" t="s">
        <v>1824</v>
      </c>
      <c r="B198" t="s">
        <v>1825</v>
      </c>
      <c r="C198" t="s">
        <v>15390</v>
      </c>
      <c r="D198">
        <v>197</v>
      </c>
      <c r="E198" t="str">
        <f t="shared" si="9"/>
        <v>E1_6_5_2</v>
      </c>
      <c r="F198" t="s">
        <v>10272</v>
      </c>
      <c r="G198" t="s">
        <v>11406</v>
      </c>
      <c r="H198" t="s">
        <v>10273</v>
      </c>
      <c r="I198" t="s">
        <v>12092</v>
      </c>
      <c r="J198" t="str">
        <f t="shared" si="10"/>
        <v>(${Variables:E1_6_5_2_kcat} * E1_6_5_2 * C02059 * C00004 * C00080 )/(${Variables:E1_6_5_2_km} + (E1_6_5_2 * C02059 * C00004 * C00080 ))</v>
      </c>
      <c r="K198" s="21" t="str">
        <f t="shared" si="11"/>
        <v>r197: C02059 + C00004 + C00080  -&gt; C03313 + C00003 | (${Variables:E1_6_5_2_kcat} * E1_6_5_2 * C02059 * C00004 * C00080 )/(${Variables:E1_6_5_2_km} + (E1_6_5_2 * C02059 * C00004 * C00080 ))</v>
      </c>
    </row>
    <row r="199" spans="1:11">
      <c r="A199" t="s">
        <v>1824</v>
      </c>
      <c r="B199" t="s">
        <v>1825</v>
      </c>
      <c r="C199" t="s">
        <v>15390</v>
      </c>
      <c r="D199">
        <v>198</v>
      </c>
      <c r="E199" t="str">
        <f t="shared" si="9"/>
        <v>E1_6_5_2</v>
      </c>
      <c r="F199" t="s">
        <v>10274</v>
      </c>
      <c r="G199" t="s">
        <v>11407</v>
      </c>
      <c r="H199" t="s">
        <v>10275</v>
      </c>
      <c r="I199" t="s">
        <v>12093</v>
      </c>
      <c r="J199" t="str">
        <f t="shared" si="10"/>
        <v>(${Variables:E1_6_5_2_kcat} * E1_6_5_2 * C00005 * C00080 * C15602)/(${Variables:E1_6_5_2_km} + (E1_6_5_2 * C00005 * C00080 * C15602))</v>
      </c>
      <c r="K199" s="21" t="str">
        <f t="shared" si="11"/>
        <v>r198: C00005 + C00080 + C15602 -&gt; C00006 + C15603 | (${Variables:E1_6_5_2_kcat} * E1_6_5_2 * C00005 * C00080 * C15602)/(${Variables:E1_6_5_2_km} + (E1_6_5_2 * C00005 * C00080 * C15602))</v>
      </c>
    </row>
    <row r="200" spans="1:11">
      <c r="A200" t="s">
        <v>1830</v>
      </c>
      <c r="B200" t="s">
        <v>1831</v>
      </c>
      <c r="C200" t="s">
        <v>15391</v>
      </c>
      <c r="D200">
        <v>199</v>
      </c>
      <c r="E200" t="str">
        <f t="shared" si="9"/>
        <v>E4_2_1_79</v>
      </c>
      <c r="F200" t="s">
        <v>8162</v>
      </c>
      <c r="G200" t="s">
        <v>8162</v>
      </c>
      <c r="H200" t="s">
        <v>10597</v>
      </c>
      <c r="I200" t="s">
        <v>12094</v>
      </c>
      <c r="J200" t="str">
        <f t="shared" si="10"/>
        <v>(${Variables:E4_2_1_79_kcat} * E4_2_1_79 * C02225)/(${Variables:E4_2_1_79_km} + (E4_2_1_79 * C02225))</v>
      </c>
      <c r="K200" s="21" t="str">
        <f t="shared" si="11"/>
        <v>r199: C02225 -&gt; C04225 + C00001 | (${Variables:E4_2_1_79_kcat} * E4_2_1_79 * C02225)/(${Variables:E4_2_1_79_km} + (E4_2_1_79 * C02225))</v>
      </c>
    </row>
    <row r="201" spans="1:11">
      <c r="A201" t="s">
        <v>1834</v>
      </c>
      <c r="B201" t="s">
        <v>1835</v>
      </c>
      <c r="C201" t="s">
        <v>15392</v>
      </c>
      <c r="D201">
        <v>200</v>
      </c>
      <c r="E201" t="str">
        <f t="shared" si="9"/>
        <v>E2_7_8_23</v>
      </c>
      <c r="F201" t="s">
        <v>8165</v>
      </c>
      <c r="G201" t="s">
        <v>8165</v>
      </c>
      <c r="H201" t="s">
        <v>10278</v>
      </c>
      <c r="I201" t="s">
        <v>12095</v>
      </c>
      <c r="J201" t="str">
        <f t="shared" si="10"/>
        <v>(${Variables:E2_7_8_23_kcat} * E2_7_8_23 * C06367 )/(${Variables:E2_7_8_23_km} + (E2_7_8_23 * C06367 ))</v>
      </c>
      <c r="K201" s="21" t="str">
        <f t="shared" si="11"/>
        <v>r200: C06367  -&gt; C06368 + C00011 | (${Variables:E2_7_8_23_kcat} * E2_7_8_23 * C06367 )/(${Variables:E2_7_8_23_km} + (E2_7_8_23 * C06367 ))</v>
      </c>
    </row>
    <row r="202" spans="1:11">
      <c r="A202" t="s">
        <v>1834</v>
      </c>
      <c r="B202" t="s">
        <v>1835</v>
      </c>
      <c r="C202" t="s">
        <v>15392</v>
      </c>
      <c r="D202">
        <v>201</v>
      </c>
      <c r="E202" t="str">
        <f t="shared" si="9"/>
        <v>E2_7_8_23</v>
      </c>
      <c r="F202" t="s">
        <v>10276</v>
      </c>
      <c r="G202" t="s">
        <v>10276</v>
      </c>
      <c r="H202" t="s">
        <v>10277</v>
      </c>
      <c r="I202" t="s">
        <v>10277</v>
      </c>
      <c r="J202" t="str">
        <f t="shared" si="10"/>
        <v>(${Variables:E2_7_8_23_kcat} * E2_7_8_23 * C06367)/(${Variables:E2_7_8_23_km} + (E2_7_8_23 * C06367))</v>
      </c>
      <c r="K202" s="21" t="str">
        <f t="shared" si="11"/>
        <v>r201: C06367 -&gt; C17946 | (${Variables:E2_7_8_23_kcat} * E2_7_8_23 * C06367)/(${Variables:E2_7_8_23_km} + (E2_7_8_23 * C06367))</v>
      </c>
    </row>
    <row r="203" spans="1:11">
      <c r="A203" t="s">
        <v>1834</v>
      </c>
      <c r="B203" t="s">
        <v>1835</v>
      </c>
      <c r="C203" t="s">
        <v>15392</v>
      </c>
      <c r="D203">
        <v>202</v>
      </c>
      <c r="E203" t="str">
        <f t="shared" si="9"/>
        <v>E2_7_8_23</v>
      </c>
      <c r="F203" t="s">
        <v>10277</v>
      </c>
      <c r="G203" t="s">
        <v>10277</v>
      </c>
      <c r="H203" t="s">
        <v>10278</v>
      </c>
      <c r="I203" t="s">
        <v>12095</v>
      </c>
      <c r="J203" t="str">
        <f t="shared" si="10"/>
        <v>(${Variables:E2_7_8_23_kcat} * E2_7_8_23 * C17946)/(${Variables:E2_7_8_23_km} + (E2_7_8_23 * C17946))</v>
      </c>
      <c r="K203" s="21" t="str">
        <f t="shared" si="11"/>
        <v>r202: C17946 -&gt; C06368 + C00011 | (${Variables:E2_7_8_23_kcat} * E2_7_8_23 * C17946)/(${Variables:E2_7_8_23_km} + (E2_7_8_23 * C17946))</v>
      </c>
    </row>
    <row r="204" spans="1:11">
      <c r="A204" t="s">
        <v>1842</v>
      </c>
      <c r="B204" t="s">
        <v>1843</v>
      </c>
      <c r="C204" t="s">
        <v>15393</v>
      </c>
      <c r="D204">
        <v>203</v>
      </c>
      <c r="E204" t="str">
        <f t="shared" si="9"/>
        <v>E6_4_1_7</v>
      </c>
      <c r="F204" t="s">
        <v>10598</v>
      </c>
      <c r="G204" t="s">
        <v>11408</v>
      </c>
      <c r="H204" s="3" t="s">
        <v>15960</v>
      </c>
      <c r="I204" s="3" t="s">
        <v>15961</v>
      </c>
      <c r="J204" t="str">
        <f t="shared" si="10"/>
        <v>(${Variables:E6_4_1_7_kcat} * E6_4_1_7 * C00002 * C00026 * C00288)/(${Variables:E6_4_1_7_km} + (E6_4_1_7 * C00002 * C00026 * C00288))</v>
      </c>
      <c r="K204" s="21" t="str">
        <f t="shared" si="11"/>
        <v>r203: C00002 + C00026 + C00288 -&gt; C00008 + C00009 + C05379 | (${Variables:E6_4_1_7_kcat} * E6_4_1_7 * C00002 * C00026 * C00288)/(${Variables:E6_4_1_7_km} + (E6_4_1_7 * C00002 * C00026 * C00288))</v>
      </c>
    </row>
    <row r="205" spans="1:11">
      <c r="A205" t="s">
        <v>1850</v>
      </c>
      <c r="B205" t="s">
        <v>1851</v>
      </c>
      <c r="C205" t="s">
        <v>15394</v>
      </c>
      <c r="D205">
        <v>204</v>
      </c>
      <c r="E205" t="str">
        <f t="shared" si="9"/>
        <v>E3_5_4_5</v>
      </c>
      <c r="F205" t="s">
        <v>10599</v>
      </c>
      <c r="G205" t="s">
        <v>11409</v>
      </c>
      <c r="H205" s="3" t="s">
        <v>15987</v>
      </c>
      <c r="I205" s="3" t="s">
        <v>15986</v>
      </c>
      <c r="J205" t="str">
        <f t="shared" si="10"/>
        <v>(${Variables:E3_5_4_5_kcat} * E3_5_4_5 * C00475 * C00001)/(${Variables:E3_5_4_5_km} + (E3_5_4_5 * C00475 * C00001))</v>
      </c>
      <c r="K205" s="21" t="str">
        <f t="shared" si="11"/>
        <v>r204: C00475 + C00001 -&gt; C00299 + C00014 | (${Variables:E3_5_4_5_kcat} * E3_5_4_5 * C00475 * C00001)/(${Variables:E3_5_4_5_km} + (E3_5_4_5 * C00475 * C00001))</v>
      </c>
    </row>
    <row r="206" spans="1:11">
      <c r="A206" t="s">
        <v>1850</v>
      </c>
      <c r="B206" t="s">
        <v>1851</v>
      </c>
      <c r="C206" t="s">
        <v>15394</v>
      </c>
      <c r="D206">
        <v>205</v>
      </c>
      <c r="E206" t="str">
        <f t="shared" si="9"/>
        <v>E3_5_4_5</v>
      </c>
      <c r="F206" t="s">
        <v>10279</v>
      </c>
      <c r="G206" t="s">
        <v>11410</v>
      </c>
      <c r="H206" s="3" t="s">
        <v>10280</v>
      </c>
      <c r="I206" s="3" t="s">
        <v>12096</v>
      </c>
      <c r="J206" t="str">
        <f t="shared" si="10"/>
        <v>(${Variables:E3_5_4_5_kcat} * E3_5_4_5 * C00881 * C00001)/(${Variables:E3_5_4_5_km} + (E3_5_4_5 * C00881 * C00001))</v>
      </c>
      <c r="K206" s="21" t="str">
        <f t="shared" si="11"/>
        <v>r205: C00881 + C00001 -&gt; C00526 + C00014 | (${Variables:E3_5_4_5_kcat} * E3_5_4_5 * C00881 * C00001)/(${Variables:E3_5_4_5_km} + (E3_5_4_5 * C00881 * C00001))</v>
      </c>
    </row>
    <row r="207" spans="1:11">
      <c r="A207" t="s">
        <v>1850</v>
      </c>
      <c r="B207" t="s">
        <v>1851</v>
      </c>
      <c r="C207" t="s">
        <v>15394</v>
      </c>
      <c r="D207">
        <v>206</v>
      </c>
      <c r="E207" t="str">
        <f t="shared" si="9"/>
        <v>E3_5_4_5</v>
      </c>
      <c r="F207" t="s">
        <v>10281</v>
      </c>
      <c r="G207" t="s">
        <v>11411</v>
      </c>
      <c r="H207" s="3" t="s">
        <v>10282</v>
      </c>
      <c r="I207" s="3" t="s">
        <v>12097</v>
      </c>
      <c r="J207" t="str">
        <f t="shared" si="10"/>
        <v>(${Variables:E3_5_4_5_kcat} * E3_5_4_5 * C16635 * C00001)/(${Variables:E3_5_4_5_km} + (E3_5_4_5 * C16635 * C00001))</v>
      </c>
      <c r="K207" s="21" t="str">
        <f t="shared" si="11"/>
        <v>r206: C16635 + C00001 -&gt; C12739 + C00014 | (${Variables:E3_5_4_5_kcat} * E3_5_4_5 * C16635 * C00001)/(${Variables:E3_5_4_5_km} + (E3_5_4_5 * C16635 * C00001))</v>
      </c>
    </row>
    <row r="208" spans="1:11">
      <c r="A208" t="s">
        <v>1854</v>
      </c>
      <c r="B208" t="s">
        <v>1855</v>
      </c>
      <c r="C208" t="s">
        <v>15395</v>
      </c>
      <c r="D208">
        <v>207</v>
      </c>
      <c r="E208" t="str">
        <f t="shared" si="9"/>
        <v>E2_4_2_2</v>
      </c>
      <c r="F208" t="s">
        <v>10600</v>
      </c>
      <c r="G208" t="s">
        <v>11412</v>
      </c>
      <c r="H208" s="3" t="s">
        <v>10601</v>
      </c>
      <c r="I208" s="3" t="s">
        <v>12098</v>
      </c>
      <c r="J208" t="str">
        <f t="shared" si="10"/>
        <v>(${Variables:E2_4_2_2_kcat} * E2_4_2_2 * C00214 * C00009 )/(${Variables:E2_4_2_2_km} + (E2_4_2_2 * C00214 * C00009 ))</v>
      </c>
      <c r="K208" s="21" t="str">
        <f t="shared" si="11"/>
        <v>r207: C00214 + C00009  -&gt; C00178 + C00672 | (${Variables:E2_4_2_2_kcat} * E2_4_2_2 * C00214 * C00009 )/(${Variables:E2_4_2_2_km} + (E2_4_2_2 * C00214 * C00009 ))</v>
      </c>
    </row>
    <row r="209" spans="1:11">
      <c r="A209" t="s">
        <v>1854</v>
      </c>
      <c r="B209" t="s">
        <v>1855</v>
      </c>
      <c r="C209" t="s">
        <v>15395</v>
      </c>
      <c r="D209">
        <v>208</v>
      </c>
      <c r="E209" t="str">
        <f t="shared" si="9"/>
        <v>E2_4_2_2</v>
      </c>
      <c r="F209" t="s">
        <v>10283</v>
      </c>
      <c r="G209" t="s">
        <v>11413</v>
      </c>
      <c r="H209" s="3" t="s">
        <v>10284</v>
      </c>
      <c r="I209" s="3" t="s">
        <v>12099</v>
      </c>
      <c r="J209" t="str">
        <f t="shared" si="10"/>
        <v>(${Variables:E2_4_2_2_kcat} * E2_4_2_2 * C00299 * C00009)/(${Variables:E2_4_2_2_km} + (E2_4_2_2 * C00299 * C00009))</v>
      </c>
      <c r="K209" s="21" t="str">
        <f t="shared" si="11"/>
        <v>r208: C00299 + C00009 -&gt; C00106 + C00620 | (${Variables:E2_4_2_2_kcat} * E2_4_2_2 * C00299 * C00009)/(${Variables:E2_4_2_2_km} + (E2_4_2_2 * C00299 * C00009))</v>
      </c>
    </row>
    <row r="210" spans="1:11">
      <c r="A210" t="s">
        <v>1854</v>
      </c>
      <c r="B210" t="s">
        <v>1855</v>
      </c>
      <c r="C210" t="s">
        <v>15395</v>
      </c>
      <c r="D210">
        <v>209</v>
      </c>
      <c r="E210" t="str">
        <f t="shared" si="9"/>
        <v>E2_4_2_2</v>
      </c>
      <c r="F210" t="s">
        <v>10285</v>
      </c>
      <c r="G210" t="s">
        <v>11414</v>
      </c>
      <c r="H210" s="3" t="s">
        <v>10286</v>
      </c>
      <c r="I210" s="3" t="s">
        <v>12100</v>
      </c>
      <c r="J210" t="str">
        <f t="shared" si="10"/>
        <v>(${Variables:E2_4_2_2_kcat} * E2_4_2_2 * C00475 * C00009)/(${Variables:E2_4_2_2_km} + (E2_4_2_2 * C00475 * C00009))</v>
      </c>
      <c r="K210" s="21" t="str">
        <f t="shared" si="11"/>
        <v>r209: C00475 + C00009 -&gt; C00380 + C00620 | (${Variables:E2_4_2_2_kcat} * E2_4_2_2 * C00475 * C00009)/(${Variables:E2_4_2_2_km} + (E2_4_2_2 * C00475 * C00009))</v>
      </c>
    </row>
    <row r="211" spans="1:11">
      <c r="A211" t="s">
        <v>1854</v>
      </c>
      <c r="B211" t="s">
        <v>1855</v>
      </c>
      <c r="C211" t="s">
        <v>15395</v>
      </c>
      <c r="D211">
        <v>210</v>
      </c>
      <c r="E211" t="str">
        <f t="shared" si="9"/>
        <v>E2_4_2_2</v>
      </c>
      <c r="F211" t="s">
        <v>10287</v>
      </c>
      <c r="G211" t="s">
        <v>11415</v>
      </c>
      <c r="H211" s="3" t="s">
        <v>10288</v>
      </c>
      <c r="I211" s="3" t="s">
        <v>12101</v>
      </c>
      <c r="J211" t="str">
        <f t="shared" si="10"/>
        <v>(${Variables:E2_4_2_2_kcat} * E2_4_2_2 * C00526 * C00009)/(${Variables:E2_4_2_2_km} + (E2_4_2_2 * C00526 * C00009))</v>
      </c>
      <c r="K211" s="21" t="str">
        <f t="shared" si="11"/>
        <v>r210: C00526 + C00009 -&gt; C00106 + C00672 | (${Variables:E2_4_2_2_kcat} * E2_4_2_2 * C00526 * C00009)/(${Variables:E2_4_2_2_km} + (E2_4_2_2 * C00526 * C00009))</v>
      </c>
    </row>
    <row r="212" spans="1:11">
      <c r="A212" t="s">
        <v>1854</v>
      </c>
      <c r="B212" t="s">
        <v>1855</v>
      </c>
      <c r="C212" t="s">
        <v>15395</v>
      </c>
      <c r="D212">
        <v>211</v>
      </c>
      <c r="E212" t="str">
        <f t="shared" si="9"/>
        <v>E2_4_2_2</v>
      </c>
      <c r="F212" t="s">
        <v>10289</v>
      </c>
      <c r="G212" t="s">
        <v>11416</v>
      </c>
      <c r="H212" s="3" t="s">
        <v>10290</v>
      </c>
      <c r="I212" s="3" t="s">
        <v>12102</v>
      </c>
      <c r="J212" t="str">
        <f t="shared" si="10"/>
        <v>(${Variables:E2_4_2_2_kcat} * E2_4_2_2 * C03169 * C00009)/(${Variables:E2_4_2_2_km} + (E2_4_2_2 * C03169 * C00009))</v>
      </c>
      <c r="K212" s="21" t="str">
        <f t="shared" si="11"/>
        <v>r211: C03169 + C00009 -&gt; C00396 + C00620 + C00080 | (${Variables:E2_4_2_2_kcat} * E2_4_2_2 * C03169 * C00009)/(${Variables:E2_4_2_2_km} + (E2_4_2_2 * C03169 * C00009))</v>
      </c>
    </row>
    <row r="213" spans="1:11">
      <c r="A213" t="s">
        <v>1874</v>
      </c>
      <c r="B213" t="s">
        <v>1875</v>
      </c>
      <c r="C213" t="s">
        <v>15396</v>
      </c>
      <c r="D213">
        <v>212</v>
      </c>
      <c r="E213" t="str">
        <f t="shared" si="9"/>
        <v>E2_8_1_1</v>
      </c>
      <c r="F213" t="s">
        <v>10602</v>
      </c>
      <c r="G213" t="s">
        <v>11417</v>
      </c>
      <c r="H213" t="s">
        <v>10603</v>
      </c>
      <c r="I213" t="s">
        <v>12103</v>
      </c>
      <c r="J213" t="str">
        <f t="shared" si="10"/>
        <v>(${Variables:E2_8_1_1_kcat} * E2_8_1_1 * C00320 * C00177)/(${Variables:E2_8_1_1_km} + (E2_8_1_1 * C00320 * C00177))</v>
      </c>
      <c r="K213" s="21" t="str">
        <f t="shared" si="11"/>
        <v>r212: C00320 + C00177 -&gt; C00094 + C01755 | (${Variables:E2_8_1_1_kcat} * E2_8_1_1 * C00320 * C00177)/(${Variables:E2_8_1_1_km} + (E2_8_1_1 * C00320 * C00177))</v>
      </c>
    </row>
    <row r="214" spans="1:11">
      <c r="A214" t="s">
        <v>1888</v>
      </c>
      <c r="B214" t="s">
        <v>1889</v>
      </c>
      <c r="C214" t="s">
        <v>15397</v>
      </c>
      <c r="D214">
        <v>213</v>
      </c>
      <c r="E214" t="str">
        <f t="shared" si="9"/>
        <v>E6_4_1_3</v>
      </c>
      <c r="F214" t="s">
        <v>10604</v>
      </c>
      <c r="G214" t="s">
        <v>11418</v>
      </c>
      <c r="H214" s="6" t="s">
        <v>10605</v>
      </c>
      <c r="I214" s="6" t="s">
        <v>12104</v>
      </c>
      <c r="J214" t="str">
        <f t="shared" si="10"/>
        <v>(${Variables:E6_4_1_3_kcat} * E6_4_1_3 * C00002 * C00100 * C00288)/(${Variables:E6_4_1_3_km} + (E6_4_1_3 * C00002 * C00100 * C00288))</v>
      </c>
      <c r="K214" s="21" t="str">
        <f t="shared" si="11"/>
        <v>r213: C00002 + C00100 + C00288 -&gt; C00008 + C00009 + C00683 | (${Variables:E6_4_1_3_kcat} * E6_4_1_3 * C00002 * C00100 * C00288)/(${Variables:E6_4_1_3_km} + (E6_4_1_3 * C00002 * C00100 * C00288))</v>
      </c>
    </row>
    <row r="215" spans="1:11">
      <c r="A215" t="s">
        <v>1888</v>
      </c>
      <c r="B215" t="s">
        <v>1889</v>
      </c>
      <c r="C215" t="s">
        <v>15397</v>
      </c>
      <c r="D215">
        <v>214</v>
      </c>
      <c r="E215" t="str">
        <f t="shared" si="9"/>
        <v>E6_4_1_3</v>
      </c>
      <c r="F215" s="4" t="s">
        <v>10473</v>
      </c>
      <c r="G215" s="4" t="s">
        <v>11419</v>
      </c>
      <c r="H215" s="4" t="s">
        <v>10474</v>
      </c>
      <c r="I215" s="4" t="s">
        <v>12105</v>
      </c>
      <c r="J215" t="str">
        <f t="shared" si="10"/>
        <v>(${Variables:E6_4_1_3_kcat} * E6_4_1_3 * C00002 * C00288 * C00136 * C00080)/(${Variables:E6_4_1_3_km} + (E6_4_1_3 * C00002 * C00288 * C00136 * C00080))</v>
      </c>
      <c r="K215" s="21" t="str">
        <f t="shared" si="11"/>
        <v>r214: C00002 + C00288 + C00136 + C00080 -&gt; C00008 + C00009 + C18026 | (${Variables:E6_4_1_3_kcat} * E6_4_1_3 * C00002 * C00288 * C00136 * C00080)/(${Variables:E6_4_1_3_km} + (E6_4_1_3 * C00002 * C00288 * C00136 * C00080))</v>
      </c>
    </row>
    <row r="216" spans="1:11">
      <c r="A216" t="s">
        <v>1898</v>
      </c>
      <c r="B216" t="s">
        <v>1899</v>
      </c>
      <c r="C216" t="s">
        <v>15398</v>
      </c>
      <c r="D216">
        <v>215</v>
      </c>
      <c r="E216" t="str">
        <f t="shared" si="9"/>
        <v>E3_2_1_1</v>
      </c>
      <c r="F216" t="s">
        <v>10606</v>
      </c>
      <c r="G216" t="s">
        <v>11420</v>
      </c>
      <c r="H216" t="s">
        <v>10607</v>
      </c>
      <c r="I216" t="s">
        <v>12106</v>
      </c>
      <c r="J216" t="str">
        <f t="shared" si="10"/>
        <v>(${Variables:E3_2_1_1_kcat} * E3_2_1_1 * C00369 * C00001)/(${Variables:E3_2_1_1_km} + (E3_2_1_1 * C00369 * C00001))</v>
      </c>
      <c r="K216" s="21" t="str">
        <f t="shared" si="11"/>
        <v>r215: C00369 + C00001 -&gt; C00721 + C00369 | (${Variables:E3_2_1_1_kcat} * E3_2_1_1 * C00369 * C00001)/(${Variables:E3_2_1_1_km} + (E3_2_1_1 * C00369 * C00001))</v>
      </c>
    </row>
    <row r="217" spans="1:11">
      <c r="A217" t="s">
        <v>1898</v>
      </c>
      <c r="B217" t="s">
        <v>1899</v>
      </c>
      <c r="C217" t="s">
        <v>15398</v>
      </c>
      <c r="D217">
        <v>216</v>
      </c>
      <c r="E217" t="str">
        <f t="shared" si="9"/>
        <v>E3_2_1_1</v>
      </c>
      <c r="F217" t="s">
        <v>10291</v>
      </c>
      <c r="G217" t="s">
        <v>10291</v>
      </c>
      <c r="H217" t="s">
        <v>10292</v>
      </c>
      <c r="I217" t="s">
        <v>12107</v>
      </c>
      <c r="J217" t="str">
        <f t="shared" si="10"/>
        <v>(${Variables:E3_2_1_1_kcat} * E3_2_1_1 * C00369)/(${Variables:E3_2_1_1_km} + (E3_2_1_1 * C00369))</v>
      </c>
      <c r="K217" s="21" t="str">
        <f t="shared" si="11"/>
        <v>r216: C00369 -&gt; C00721 + C00208 | (${Variables:E3_2_1_1_kcat} * E3_2_1_1 * C00369)/(${Variables:E3_2_1_1_km} + (E3_2_1_1 * C00369))</v>
      </c>
    </row>
    <row r="218" spans="1:11">
      <c r="A218" t="s">
        <v>1898</v>
      </c>
      <c r="B218" t="s">
        <v>1899</v>
      </c>
      <c r="C218" t="s">
        <v>15398</v>
      </c>
      <c r="D218">
        <v>217</v>
      </c>
      <c r="E218" t="str">
        <f t="shared" si="9"/>
        <v>E3_2_1_1</v>
      </c>
      <c r="F218" t="s">
        <v>12714</v>
      </c>
      <c r="G218" t="s">
        <v>12715</v>
      </c>
      <c r="H218" t="s">
        <v>12716</v>
      </c>
      <c r="I218" t="s">
        <v>12717</v>
      </c>
      <c r="J218" t="str">
        <f t="shared" si="10"/>
        <v>(${Variables:E3_2_1_1_kcat} * E3_2_1_1 * G10545 * C00001)/(${Variables:E3_2_1_1_km} + (E3_2_1_1 * G10545 * C00001))</v>
      </c>
      <c r="K218" s="21" t="str">
        <f t="shared" si="11"/>
        <v>r217: G10545 + C00001 -&gt; G10545 + G10545 | (${Variables:E3_2_1_1_kcat} * E3_2_1_1 * G10545 * C00001)/(${Variables:E3_2_1_1_km} + (E3_2_1_1 * G10545 * C00001))</v>
      </c>
    </row>
    <row r="219" spans="1:11">
      <c r="A219" t="s">
        <v>1898</v>
      </c>
      <c r="B219" t="s">
        <v>1899</v>
      </c>
      <c r="C219" t="s">
        <v>15398</v>
      </c>
      <c r="D219">
        <v>218</v>
      </c>
      <c r="E219" t="str">
        <f t="shared" si="9"/>
        <v>E3_2_1_1</v>
      </c>
      <c r="F219" t="s">
        <v>10295</v>
      </c>
      <c r="G219" t="s">
        <v>11421</v>
      </c>
      <c r="H219" t="s">
        <v>10296</v>
      </c>
      <c r="I219" t="s">
        <v>10296</v>
      </c>
      <c r="J219" t="str">
        <f t="shared" si="10"/>
        <v>(${Variables:E3_2_1_1_kcat} * E3_2_1_1 * C01935 * C00001)/(${Variables:E3_2_1_1_km} + (E3_2_1_1 * C01935 * C00001))</v>
      </c>
      <c r="K219" s="21" t="str">
        <f t="shared" si="11"/>
        <v>r218: C01935 + C00001 -&gt; C00208 | (${Variables:E3_2_1_1_kcat} * E3_2_1_1 * C01935 * C00001)/(${Variables:E3_2_1_1_km} + (E3_2_1_1 * C01935 * C00001))</v>
      </c>
    </row>
    <row r="220" spans="1:11">
      <c r="A220" t="s">
        <v>1920</v>
      </c>
      <c r="B220" t="s">
        <v>1921</v>
      </c>
      <c r="C220" t="s">
        <v>15399</v>
      </c>
      <c r="D220">
        <v>219</v>
      </c>
      <c r="E220" t="str">
        <f t="shared" si="9"/>
        <v>E6_3_4_15</v>
      </c>
      <c r="F220" t="s">
        <v>10608</v>
      </c>
      <c r="G220" t="s">
        <v>11422</v>
      </c>
      <c r="H220" t="s">
        <v>10609</v>
      </c>
      <c r="I220" t="s">
        <v>12108</v>
      </c>
      <c r="J220" t="str">
        <f t="shared" si="10"/>
        <v>(${Variables:E6_3_4_15_kcat} * E6_3_4_15 * C00002 * C00120 * C04735)/(${Variables:E6_3_4_15_km} + (E6_3_4_15 * C00002 * C00120 * C04735))</v>
      </c>
      <c r="K220" s="21" t="str">
        <f t="shared" si="11"/>
        <v>r219: C00002 + C00120 + C04735 -&gt; C00020 + C00013 + C04681 | (${Variables:E6_3_4_15_kcat} * E6_3_4_15 * C00002 * C00120 * C04735)/(${Variables:E6_3_4_15_km} + (E6_3_4_15 * C00002 * C00120 * C04735))</v>
      </c>
    </row>
    <row r="221" spans="1:11">
      <c r="A221" t="s">
        <v>1920</v>
      </c>
      <c r="B221" t="s">
        <v>1921</v>
      </c>
      <c r="C221" t="s">
        <v>15399</v>
      </c>
      <c r="D221">
        <v>220</v>
      </c>
      <c r="E221" t="str">
        <f t="shared" si="9"/>
        <v>E6_3_4_15</v>
      </c>
      <c r="F221" t="s">
        <v>10297</v>
      </c>
      <c r="G221" t="s">
        <v>11423</v>
      </c>
      <c r="H221" t="s">
        <v>10298</v>
      </c>
      <c r="I221" t="s">
        <v>12109</v>
      </c>
      <c r="J221" t="str">
        <f t="shared" si="10"/>
        <v>(${Variables:E6_3_4_15_kcat} * E6_3_4_15 * C00002 * C00120)/(${Variables:E6_3_4_15_km} + (E6_3_4_15 * C00002 * C00120))</v>
      </c>
      <c r="K221" s="21" t="str">
        <f t="shared" si="11"/>
        <v>r220: C00002 + C00120 -&gt; C00013 + C05921 | (${Variables:E6_3_4_15_kcat} * E6_3_4_15 * C00002 * C00120)/(${Variables:E6_3_4_15_km} + (E6_3_4_15 * C00002 * C00120))</v>
      </c>
    </row>
    <row r="222" spans="1:11">
      <c r="A222" t="s">
        <v>1920</v>
      </c>
      <c r="B222" t="s">
        <v>1921</v>
      </c>
      <c r="C222" t="s">
        <v>15399</v>
      </c>
      <c r="D222">
        <v>221</v>
      </c>
      <c r="E222" t="str">
        <f t="shared" si="9"/>
        <v>E6_3_4_15</v>
      </c>
      <c r="F222" t="s">
        <v>10299</v>
      </c>
      <c r="G222" t="s">
        <v>11424</v>
      </c>
      <c r="H222" t="s">
        <v>10300</v>
      </c>
      <c r="I222" t="s">
        <v>12110</v>
      </c>
      <c r="J222" t="str">
        <f t="shared" si="10"/>
        <v>(${Variables:E6_3_4_15_kcat} * E6_3_4_15 * C05921 * C06249)/(${Variables:E6_3_4_15_km} + (E6_3_4_15 * C05921 * C06249))</v>
      </c>
      <c r="K222" s="21" t="str">
        <f t="shared" si="11"/>
        <v>r221: C05921 + C06249 -&gt; C00020 + C06250 | (${Variables:E6_3_4_15_kcat} * E6_3_4_15 * C05921 * C06249)/(${Variables:E6_3_4_15_km} + (E6_3_4_15 * C05921 * C06249))</v>
      </c>
    </row>
    <row r="223" spans="1:11">
      <c r="A223" t="s">
        <v>1926</v>
      </c>
      <c r="B223" t="s">
        <v>1927</v>
      </c>
      <c r="C223" t="s">
        <v>15400</v>
      </c>
      <c r="D223">
        <v>222</v>
      </c>
      <c r="E223" t="str">
        <f t="shared" si="9"/>
        <v>E4_1_1_5</v>
      </c>
      <c r="F223" t="s">
        <v>8200</v>
      </c>
      <c r="G223" t="s">
        <v>8200</v>
      </c>
      <c r="H223" t="s">
        <v>10610</v>
      </c>
      <c r="I223" t="s">
        <v>12111</v>
      </c>
      <c r="J223" t="str">
        <f t="shared" si="10"/>
        <v>(${Variables:E4_1_1_5_kcat} * E4_1_1_5 * C06010)/(${Variables:E4_1_1_5_km} + (E4_1_1_5 * C06010))</v>
      </c>
      <c r="K223" s="21" t="str">
        <f t="shared" si="11"/>
        <v>r222: C06010 -&gt; C00810 + C00011 | (${Variables:E4_1_1_5_kcat} * E4_1_1_5 * C06010)/(${Variables:E4_1_1_5_km} + (E4_1_1_5 * C06010))</v>
      </c>
    </row>
    <row r="224" spans="1:11">
      <c r="A224" t="s">
        <v>1930</v>
      </c>
      <c r="B224" t="s">
        <v>1931</v>
      </c>
      <c r="C224" t="s">
        <v>15401</v>
      </c>
      <c r="D224">
        <v>223</v>
      </c>
      <c r="E224" t="str">
        <f t="shared" si="9"/>
        <v>E6_3_4_18</v>
      </c>
      <c r="F224" t="s">
        <v>10611</v>
      </c>
      <c r="G224" t="s">
        <v>11425</v>
      </c>
      <c r="H224" t="s">
        <v>10612</v>
      </c>
      <c r="I224" t="s">
        <v>12112</v>
      </c>
      <c r="J224" t="str">
        <f t="shared" si="10"/>
        <v>(${Variables:E6_3_4_18_kcat} * E6_3_4_18 * C00002 * C03373 * C00288)/(${Variables:E6_3_4_18_km} + (E6_3_4_18 * C00002 * C03373 * C00288))</v>
      </c>
      <c r="K224" s="21" t="str">
        <f t="shared" si="11"/>
        <v>r223: C00002 + C03373 + C00288 -&gt; C00008 + C00009 + C15667 | (${Variables:E6_3_4_18_kcat} * E6_3_4_18 * C00002 * C03373 * C00288)/(${Variables:E6_3_4_18_km} + (E6_3_4_18 * C00002 * C03373 * C00288))</v>
      </c>
    </row>
    <row r="225" spans="1:11">
      <c r="A225" t="s">
        <v>1940</v>
      </c>
      <c r="B225" t="s">
        <v>1941</v>
      </c>
      <c r="C225" t="s">
        <v>15402</v>
      </c>
      <c r="D225">
        <v>224</v>
      </c>
      <c r="E225" t="str">
        <f t="shared" si="9"/>
        <v>E2_7_1_15</v>
      </c>
      <c r="F225" t="s">
        <v>10613</v>
      </c>
      <c r="G225" t="s">
        <v>11426</v>
      </c>
      <c r="H225" t="s">
        <v>10614</v>
      </c>
      <c r="I225" t="s">
        <v>12113</v>
      </c>
      <c r="J225" t="str">
        <f t="shared" si="10"/>
        <v>(${Variables:E2_7_1_15_kcat} * E2_7_1_15 * C00002 * C00121)/(${Variables:E2_7_1_15_km} + (E2_7_1_15 * C00002 * C00121))</v>
      </c>
      <c r="K225" s="21" t="str">
        <f t="shared" si="11"/>
        <v>r224: C00002 + C00121 -&gt; C00008 + C00117 | (${Variables:E2_7_1_15_kcat} * E2_7_1_15 * C00002 * C00121)/(${Variables:E2_7_1_15_km} + (E2_7_1_15 * C00002 * C00121))</v>
      </c>
    </row>
    <row r="226" spans="1:11">
      <c r="A226" t="s">
        <v>1940</v>
      </c>
      <c r="B226" t="s">
        <v>1941</v>
      </c>
      <c r="C226" t="s">
        <v>15402</v>
      </c>
      <c r="D226">
        <v>225</v>
      </c>
      <c r="E226" t="str">
        <f t="shared" si="9"/>
        <v>E2_7_1_15</v>
      </c>
      <c r="F226" t="s">
        <v>10301</v>
      </c>
      <c r="G226" t="s">
        <v>11427</v>
      </c>
      <c r="H226" t="s">
        <v>10302</v>
      </c>
      <c r="I226" t="s">
        <v>12114</v>
      </c>
      <c r="J226" t="str">
        <f t="shared" si="10"/>
        <v>(${Variables:E2_7_1_15_kcat} * E2_7_1_15 * C00673 * C00008)/(${Variables:E2_7_1_15_km} + (E2_7_1_15 * C00673 * C00008))</v>
      </c>
      <c r="K226" s="21" t="str">
        <f t="shared" si="11"/>
        <v>r225: C00673 + C00008 -&gt; C01801 + C00002 | (${Variables:E2_7_1_15_kcat} * E2_7_1_15 * C00673 * C00008)/(${Variables:E2_7_1_15_km} + (E2_7_1_15 * C00673 * C00008))</v>
      </c>
    </row>
    <row r="227" spans="1:11">
      <c r="A227" t="s">
        <v>1962</v>
      </c>
      <c r="B227" t="s">
        <v>1963</v>
      </c>
      <c r="C227" t="s">
        <v>15403</v>
      </c>
      <c r="D227">
        <v>226</v>
      </c>
      <c r="E227" t="str">
        <f t="shared" si="9"/>
        <v>E5_1_3_3</v>
      </c>
      <c r="F227" t="s">
        <v>8212</v>
      </c>
      <c r="G227" t="s">
        <v>8212</v>
      </c>
      <c r="H227" t="s">
        <v>8213</v>
      </c>
      <c r="I227" t="s">
        <v>8213</v>
      </c>
      <c r="J227" t="str">
        <f t="shared" si="10"/>
        <v>(${Variables:E5_1_3_3_kcat} * E5_1_3_3 * C00267)/(${Variables:E5_1_3_3_km} + (E5_1_3_3 * C00267))</v>
      </c>
      <c r="K227" s="21" t="str">
        <f t="shared" si="11"/>
        <v>r226: C00267 -&gt; C00221 | (${Variables:E5_1_3_3_kcat} * E5_1_3_3 * C00267)/(${Variables:E5_1_3_3_km} + (E5_1_3_3 * C00267))</v>
      </c>
    </row>
    <row r="228" spans="1:11">
      <c r="A228" t="s">
        <v>1962</v>
      </c>
      <c r="B228" t="s">
        <v>1963</v>
      </c>
      <c r="C228" t="s">
        <v>15403</v>
      </c>
      <c r="D228">
        <v>227</v>
      </c>
      <c r="E228" t="str">
        <f t="shared" si="9"/>
        <v>E5_1_3_3</v>
      </c>
      <c r="F228" t="s">
        <v>10303</v>
      </c>
      <c r="G228" t="s">
        <v>10303</v>
      </c>
      <c r="H228" t="s">
        <v>10304</v>
      </c>
      <c r="I228" t="s">
        <v>10304</v>
      </c>
      <c r="J228" t="str">
        <f t="shared" si="10"/>
        <v>(${Variables:E5_1_3_3_kcat} * E5_1_3_3 * C00124)/(${Variables:E5_1_3_3_km} + (E5_1_3_3 * C00124))</v>
      </c>
      <c r="K228" s="21" t="str">
        <f t="shared" si="11"/>
        <v>r227: C00124 -&gt; C00984 | (${Variables:E5_1_3_3_kcat} * E5_1_3_3 * C00124)/(${Variables:E5_1_3_3_km} + (E5_1_3_3 * C00124))</v>
      </c>
    </row>
    <row r="229" spans="1:11">
      <c r="A229" t="s">
        <v>1972</v>
      </c>
      <c r="B229" t="s">
        <v>1973</v>
      </c>
      <c r="C229" t="s">
        <v>15404</v>
      </c>
      <c r="D229">
        <v>228</v>
      </c>
      <c r="E229" t="str">
        <f t="shared" si="9"/>
        <v>E2_7_7_12</v>
      </c>
      <c r="F229" t="s">
        <v>10615</v>
      </c>
      <c r="G229" t="s">
        <v>11428</v>
      </c>
      <c r="H229" t="s">
        <v>10616</v>
      </c>
      <c r="I229" t="s">
        <v>12115</v>
      </c>
      <c r="J229" t="str">
        <f t="shared" si="10"/>
        <v>(${Variables:E2_7_7_12_kcat} * E2_7_7_12 * C00029 * C00446)/(${Variables:E2_7_7_12_km} + (E2_7_7_12 * C00029 * C00446))</v>
      </c>
      <c r="K229" s="21" t="str">
        <f t="shared" si="11"/>
        <v>r228: C00029 + C00446 -&gt; C00103 + C00052 | (${Variables:E2_7_7_12_kcat} * E2_7_7_12 * C00029 * C00446)/(${Variables:E2_7_7_12_km} + (E2_7_7_12 * C00029 * C00446))</v>
      </c>
    </row>
    <row r="230" spans="1:11">
      <c r="A230" t="s">
        <v>1976</v>
      </c>
      <c r="B230" t="s">
        <v>1977</v>
      </c>
      <c r="C230" t="s">
        <v>15405</v>
      </c>
      <c r="D230">
        <v>229</v>
      </c>
      <c r="E230" t="str">
        <f t="shared" si="9"/>
        <v>E2_7_1_6</v>
      </c>
      <c r="F230" t="s">
        <v>10617</v>
      </c>
      <c r="G230" t="s">
        <v>11429</v>
      </c>
      <c r="H230" s="6" t="s">
        <v>10618</v>
      </c>
      <c r="I230" s="6" t="s">
        <v>12116</v>
      </c>
      <c r="J230" t="str">
        <f t="shared" si="10"/>
        <v>(${Variables:E2_7_1_6_kcat} * E2_7_1_6 * C00002 * C00984)/(${Variables:E2_7_1_6_km} + (E2_7_1_6 * C00002 * C00984))</v>
      </c>
      <c r="K230" s="21" t="str">
        <f t="shared" si="11"/>
        <v>r229: C00002 + C00984 -&gt; C00008 + C00446 | (${Variables:E2_7_1_6_kcat} * E2_7_1_6 * C00002 * C00984)/(${Variables:E2_7_1_6_km} + (E2_7_1_6 * C00002 * C00984))</v>
      </c>
    </row>
    <row r="231" spans="1:11">
      <c r="A231" t="s">
        <v>1997</v>
      </c>
      <c r="B231" t="s">
        <v>1998</v>
      </c>
      <c r="C231" t="s">
        <v>15406</v>
      </c>
      <c r="D231">
        <v>230</v>
      </c>
      <c r="E231" t="str">
        <f t="shared" si="9"/>
        <v>E6_3_4_14</v>
      </c>
      <c r="F231" s="6" t="s">
        <v>10619</v>
      </c>
      <c r="G231" s="6" t="s">
        <v>11430</v>
      </c>
      <c r="H231" s="3" t="s">
        <v>15968</v>
      </c>
      <c r="I231" s="3" t="s">
        <v>15969</v>
      </c>
      <c r="J231" t="str">
        <f t="shared" si="10"/>
        <v>(${Variables:E6_3_4_14_kcat} * E6_3_4_14 * C00002 * C06250 * C00288)/(${Variables:E6_3_4_14_km} + (E6_3_4_14 * C00002 * C06250 * C00288))</v>
      </c>
      <c r="K231" s="21" t="str">
        <f t="shared" si="11"/>
        <v>r230: C00002 + C06250 + C00288 -&gt; C00008 + C00009 + C04419 | (${Variables:E6_3_4_14_kcat} * E6_3_4_14 * C00002 * C06250 * C00288)/(${Variables:E6_3_4_14_km} + (E6_3_4_14 * C00002 * C06250 * C00288))</v>
      </c>
    </row>
    <row r="232" spans="1:11">
      <c r="A232" t="s">
        <v>2093</v>
      </c>
      <c r="B232" t="s">
        <v>2094</v>
      </c>
      <c r="C232" t="s">
        <v>15407</v>
      </c>
      <c r="D232">
        <v>231</v>
      </c>
      <c r="E232" t="str">
        <f t="shared" si="9"/>
        <v>E1_18_1_2</v>
      </c>
      <c r="F232" t="s">
        <v>15868</v>
      </c>
      <c r="G232" t="s">
        <v>15763</v>
      </c>
      <c r="H232" t="s">
        <v>15764</v>
      </c>
      <c r="I232" t="s">
        <v>15765</v>
      </c>
      <c r="J232" t="str">
        <f t="shared" si="10"/>
        <v>(${Variables:E1_18_1_2_kcat} * E1_18_1_2 * C00138 * C00006 * C00080)/(${Variables:E1_18_1_2_km} + (E1_18_1_2 * C00138 * C00006 * C00080))</v>
      </c>
      <c r="K232" s="21" t="str">
        <f t="shared" si="11"/>
        <v>r231: C00138 + C00006 + C00080 -&gt; C00139 + C00005 | (${Variables:E1_18_1_2_kcat} * E1_18_1_2 * C00138 * C00006 * C00080)/(${Variables:E1_18_1_2_km} + (E1_18_1_2 * C00138 * C00006 * C00080))</v>
      </c>
    </row>
    <row r="233" spans="1:11">
      <c r="A233" t="s">
        <v>2093</v>
      </c>
      <c r="B233" t="s">
        <v>2094</v>
      </c>
      <c r="C233" t="s">
        <v>15407</v>
      </c>
      <c r="D233">
        <v>232</v>
      </c>
      <c r="E233" t="str">
        <f t="shared" si="9"/>
        <v>E1_18_1_2</v>
      </c>
      <c r="F233" t="s">
        <v>15910</v>
      </c>
      <c r="G233" t="s">
        <v>15768</v>
      </c>
      <c r="H233" t="s">
        <v>15767</v>
      </c>
      <c r="I233" t="s">
        <v>15766</v>
      </c>
      <c r="J233" t="str">
        <f t="shared" si="10"/>
        <v>(${Variables:E1_18_1_2_kcat} * E1_18_1_2 * C00662 * C00006 * C00080)/(${Variables:E1_18_1_2_km} + (E1_18_1_2 * C00662 * C00006 * C00080))</v>
      </c>
      <c r="K233" s="21" t="str">
        <f t="shared" si="11"/>
        <v>r232:  C00662 + C00006 + C00080 -&gt; C00667 + C00005 | (${Variables:E1_18_1_2_kcat} * E1_18_1_2 * C00662 * C00006 * C00080)/(${Variables:E1_18_1_2_km} + (E1_18_1_2 * C00662 * C00006 * C00080))</v>
      </c>
    </row>
    <row r="234" spans="1:11">
      <c r="A234" t="s">
        <v>2107</v>
      </c>
      <c r="B234" t="s">
        <v>2108</v>
      </c>
      <c r="C234" t="s">
        <v>15361</v>
      </c>
      <c r="D234">
        <v>233</v>
      </c>
      <c r="E234" t="str">
        <f t="shared" si="9"/>
        <v>E2_1_1_107</v>
      </c>
      <c r="F234" t="s">
        <v>10238</v>
      </c>
      <c r="G234" t="s">
        <v>11371</v>
      </c>
      <c r="H234" t="s">
        <v>10241</v>
      </c>
      <c r="I234" t="s">
        <v>12059</v>
      </c>
      <c r="J234" t="str">
        <f t="shared" si="10"/>
        <v>(${Variables:E2_1_1_107_kcat} * E2_1_1_107 * C00019 * C01051)/(${Variables:E2_1_1_107_km} + (E2_1_1_107 * C00019 * C01051))</v>
      </c>
      <c r="K234" s="21" t="str">
        <f t="shared" si="11"/>
        <v>r233: C00019 + C01051 -&gt; C00021 + C02463 | (${Variables:E2_1_1_107_kcat} * E2_1_1_107 * C00019 * C01051)/(${Variables:E2_1_1_107_km} + (E2_1_1_107 * C00019 * C01051))</v>
      </c>
    </row>
    <row r="235" spans="1:11">
      <c r="A235" t="s">
        <v>2107</v>
      </c>
      <c r="B235" t="s">
        <v>2108</v>
      </c>
      <c r="C235" t="s">
        <v>15361</v>
      </c>
      <c r="D235">
        <v>234</v>
      </c>
      <c r="E235" t="str">
        <f t="shared" si="9"/>
        <v>E2_1_1_107</v>
      </c>
      <c r="F235" s="4" t="s">
        <v>10238</v>
      </c>
      <c r="G235" s="4" t="s">
        <v>11371</v>
      </c>
      <c r="H235" s="4" t="s">
        <v>10239</v>
      </c>
      <c r="I235" s="4" t="s">
        <v>12058</v>
      </c>
      <c r="J235" t="str">
        <f t="shared" si="10"/>
        <v>(${Variables:E2_1_1_107_kcat} * E2_1_1_107 * C00019 * C01051)/(${Variables:E2_1_1_107_km} + (E2_1_1_107 * C00019 * C01051))</v>
      </c>
      <c r="K235" s="21" t="str">
        <f t="shared" si="11"/>
        <v>r234: C00019 + C01051 -&gt; C00021 + C15527 | (${Variables:E2_1_1_107_kcat} * E2_1_1_107 * C00019 * C01051)/(${Variables:E2_1_1_107_km} + (E2_1_1_107 * C00019 * C01051))</v>
      </c>
    </row>
    <row r="236" spans="1:11">
      <c r="A236" t="s">
        <v>2107</v>
      </c>
      <c r="B236" t="s">
        <v>2108</v>
      </c>
      <c r="C236" t="s">
        <v>15361</v>
      </c>
      <c r="D236">
        <v>235</v>
      </c>
      <c r="E236" t="str">
        <f t="shared" si="9"/>
        <v>E2_1_1_107</v>
      </c>
      <c r="F236" s="4" t="s">
        <v>10240</v>
      </c>
      <c r="G236" s="4" t="s">
        <v>11372</v>
      </c>
      <c r="H236" s="4" t="s">
        <v>10241</v>
      </c>
      <c r="I236" s="4" t="s">
        <v>12059</v>
      </c>
      <c r="J236" t="str">
        <f t="shared" si="10"/>
        <v>(${Variables:E2_1_1_107_kcat} * E2_1_1_107 * C00019 * C15527 )/(${Variables:E2_1_1_107_km} + (E2_1_1_107 * C00019 * C15527 ))</v>
      </c>
      <c r="K236" s="21" t="str">
        <f t="shared" si="11"/>
        <v>r235: C00019 + C15527  -&gt; C00021 + C02463 | (${Variables:E2_1_1_107_kcat} * E2_1_1_107 * C00019 * C15527 )/(${Variables:E2_1_1_107_km} + (E2_1_1_107 * C00019 * C15527 ))</v>
      </c>
    </row>
    <row r="237" spans="1:11">
      <c r="A237" t="s">
        <v>2107</v>
      </c>
      <c r="B237" t="s">
        <v>2108</v>
      </c>
      <c r="C237" t="s">
        <v>15361</v>
      </c>
      <c r="D237">
        <v>236</v>
      </c>
      <c r="E237" t="str">
        <f t="shared" si="9"/>
        <v>E2_1_1_107</v>
      </c>
      <c r="F237" s="4" t="s">
        <v>15903</v>
      </c>
      <c r="G237" s="4" t="s">
        <v>15752</v>
      </c>
      <c r="H237" s="4" t="s">
        <v>15769</v>
      </c>
      <c r="I237" s="4" t="s">
        <v>15754</v>
      </c>
      <c r="J237" t="str">
        <f t="shared" si="10"/>
        <v>(${Variables:E2_1_1_107_kcat} * E2_1_1_107 * C00019 * C02469)/(${Variables:E2_1_1_107_km} + (E2_1_1_107 * C00019 * C02469))</v>
      </c>
      <c r="K237" s="21" t="str">
        <f t="shared" si="11"/>
        <v>r236: C00019 + C02469 -&gt; C00021 + C05778 | (${Variables:E2_1_1_107_kcat} * E2_1_1_107 * C00019 * C02469)/(${Variables:E2_1_1_107_km} + (E2_1_1_107 * C00019 * C02469))</v>
      </c>
    </row>
    <row r="238" spans="1:11">
      <c r="A238" t="s">
        <v>2158</v>
      </c>
      <c r="B238" t="s">
        <v>2159</v>
      </c>
      <c r="C238" t="s">
        <v>15408</v>
      </c>
      <c r="D238">
        <v>237</v>
      </c>
      <c r="E238" t="str">
        <f t="shared" si="9"/>
        <v>E2_5_1_19</v>
      </c>
      <c r="F238" t="s">
        <v>10620</v>
      </c>
      <c r="G238" t="s">
        <v>11431</v>
      </c>
      <c r="H238" t="s">
        <v>10621</v>
      </c>
      <c r="I238" t="s">
        <v>12117</v>
      </c>
      <c r="J238" t="str">
        <f t="shared" si="10"/>
        <v>(${Variables:E2_5_1_19_kcat} * E2_5_1_19 * C00074 * C03175)/(${Variables:E2_5_1_19_km} + (E2_5_1_19 * C00074 * C03175))</v>
      </c>
      <c r="K238" s="21" t="str">
        <f t="shared" si="11"/>
        <v>r237: C00074 + C03175 -&gt; C00009 + C01269 | (${Variables:E2_5_1_19_kcat} * E2_5_1_19 * C00074 * C03175)/(${Variables:E2_5_1_19_km} + (E2_5_1_19 * C00074 * C03175))</v>
      </c>
    </row>
    <row r="239" spans="1:11">
      <c r="A239" t="s">
        <v>2205</v>
      </c>
      <c r="B239" t="s">
        <v>2206</v>
      </c>
      <c r="C239" t="s">
        <v>15409</v>
      </c>
      <c r="D239">
        <v>238</v>
      </c>
      <c r="E239" t="str">
        <f t="shared" si="9"/>
        <v>E3_6_1_22</v>
      </c>
      <c r="F239" t="s">
        <v>10622</v>
      </c>
      <c r="G239" t="s">
        <v>11432</v>
      </c>
      <c r="H239" t="s">
        <v>9812</v>
      </c>
      <c r="I239" t="s">
        <v>12118</v>
      </c>
      <c r="J239" t="str">
        <f t="shared" si="10"/>
        <v>(${Variables:E3_6_1_22_kcat} * E3_6_1_22 * C00003 * C00001 )/(${Variables:E3_6_1_22_km} + (E3_6_1_22 * C00003 * C00001 ))</v>
      </c>
      <c r="K239" s="21" t="str">
        <f t="shared" si="11"/>
        <v>r238: C00003 + C00001  -&gt; C00020 + C00455 | (${Variables:E3_6_1_22_kcat} * E3_6_1_22 * C00003 * C00001 )/(${Variables:E3_6_1_22_km} + (E3_6_1_22 * C00003 * C00001 ))</v>
      </c>
    </row>
    <row r="240" spans="1:11">
      <c r="A240" t="s">
        <v>2205</v>
      </c>
      <c r="B240" t="s">
        <v>2206</v>
      </c>
      <c r="C240" t="s">
        <v>15409</v>
      </c>
      <c r="D240">
        <v>239</v>
      </c>
      <c r="E240" t="str">
        <f t="shared" si="9"/>
        <v>E3_6_1_22</v>
      </c>
      <c r="F240" t="s">
        <v>10305</v>
      </c>
      <c r="G240" t="s">
        <v>11433</v>
      </c>
      <c r="H240" t="s">
        <v>10306</v>
      </c>
      <c r="I240" t="s">
        <v>12119</v>
      </c>
      <c r="J240" t="str">
        <f t="shared" si="10"/>
        <v>(${Variables:E3_6_1_22_kcat} * E3_6_1_22 * C00004 * C00001)/(${Variables:E3_6_1_22_km} + (E3_6_1_22 * C00004 * C00001))</v>
      </c>
      <c r="K240" s="21" t="str">
        <f t="shared" si="11"/>
        <v>r239: C00004 + C00001 -&gt; C00020 + C21113 | (${Variables:E3_6_1_22_kcat} * E3_6_1_22 * C00004 * C00001)/(${Variables:E3_6_1_22_km} + (E3_6_1_22 * C00004 * C00001))</v>
      </c>
    </row>
    <row r="241" spans="1:11">
      <c r="A241" t="s">
        <v>2205</v>
      </c>
      <c r="B241" t="s">
        <v>2206</v>
      </c>
      <c r="C241" t="s">
        <v>15409</v>
      </c>
      <c r="D241">
        <v>240</v>
      </c>
      <c r="E241" t="str">
        <f t="shared" si="9"/>
        <v>E3_6_1_22</v>
      </c>
      <c r="F241" t="s">
        <v>9817</v>
      </c>
      <c r="G241" t="s">
        <v>11434</v>
      </c>
      <c r="H241" t="s">
        <v>9818</v>
      </c>
      <c r="I241" t="s">
        <v>12120</v>
      </c>
      <c r="J241" t="str">
        <f t="shared" si="10"/>
        <v>(${Variables:E3_6_1_22_kcat} * E3_6_1_22 * C00857 * C00001)/(${Variables:E3_6_1_22_km} + (E3_6_1_22 * C00857 * C00001))</v>
      </c>
      <c r="K241" s="21" t="str">
        <f t="shared" si="11"/>
        <v>r240: C00857 + C00001 -&gt; C00020 + C01185 | (${Variables:E3_6_1_22_kcat} * E3_6_1_22 * C00857 * C00001)/(${Variables:E3_6_1_22_km} + (E3_6_1_22 * C00857 * C00001))</v>
      </c>
    </row>
    <row r="242" spans="1:11">
      <c r="A242" t="s">
        <v>2269</v>
      </c>
      <c r="B242" t="s">
        <v>2270</v>
      </c>
      <c r="C242" t="s">
        <v>15410</v>
      </c>
      <c r="D242">
        <v>241</v>
      </c>
      <c r="E242" t="str">
        <f t="shared" si="9"/>
        <v>E3_1_3_15</v>
      </c>
      <c r="F242" t="s">
        <v>10623</v>
      </c>
      <c r="G242" t="s">
        <v>11435</v>
      </c>
      <c r="H242" t="s">
        <v>10624</v>
      </c>
      <c r="I242" t="s">
        <v>12121</v>
      </c>
      <c r="J242" t="str">
        <f t="shared" si="10"/>
        <v>(${Variables:E3_1_3_15_kcat} * E3_1_3_15 * C01100 * C00001 )/(${Variables:E3_1_3_15_km} + (E3_1_3_15 * C01100 * C00001 ))</v>
      </c>
      <c r="K242" s="21" t="str">
        <f t="shared" si="11"/>
        <v>r241: C01100 + C00001  -&gt; C00860 + C00009 | (${Variables:E3_1_3_15_kcat} * E3_1_3_15 * C01100 * C00001 )/(${Variables:E3_1_3_15_km} + (E3_1_3_15 * C01100 * C00001 ))</v>
      </c>
    </row>
    <row r="243" spans="1:11">
      <c r="A243" t="s">
        <v>2273</v>
      </c>
      <c r="B243" t="s">
        <v>2274</v>
      </c>
      <c r="C243" t="s">
        <v>15411</v>
      </c>
      <c r="D243">
        <v>242</v>
      </c>
      <c r="E243" t="str">
        <f t="shared" si="9"/>
        <v>E3_1_3_25</v>
      </c>
      <c r="F243" s="4" t="s">
        <v>10307</v>
      </c>
      <c r="G243" s="4" t="s">
        <v>11436</v>
      </c>
      <c r="H243" s="4" t="s">
        <v>10308</v>
      </c>
      <c r="I243" s="4" t="s">
        <v>12122</v>
      </c>
      <c r="J243" t="str">
        <f t="shared" si="10"/>
        <v>(${Variables:E3_1_3_25_kcat} * E3_1_3_25 * C15585 * C00001 )/(${Variables:E3_1_3_25_km} + (E3_1_3_25 * C15585 * C00001 ))</v>
      </c>
      <c r="K243" s="21" t="str">
        <f t="shared" si="11"/>
        <v>r242: C15585 + C00001  -&gt; C00137 + C00009 | (${Variables:E3_1_3_25_kcat} * E3_1_3_25 * C15585 * C00001 )/(${Variables:E3_1_3_25_km} + (E3_1_3_25 * C15585 * C00001 ))</v>
      </c>
    </row>
    <row r="244" spans="1:11">
      <c r="A244" t="s">
        <v>2273</v>
      </c>
      <c r="B244" t="s">
        <v>2274</v>
      </c>
      <c r="C244" t="s">
        <v>15411</v>
      </c>
      <c r="D244">
        <v>243</v>
      </c>
      <c r="E244" t="str">
        <f t="shared" si="9"/>
        <v>E3_1_3_25</v>
      </c>
      <c r="F244" s="4" t="s">
        <v>10309</v>
      </c>
      <c r="G244" s="4" t="s">
        <v>11437</v>
      </c>
      <c r="H244" s="4" t="s">
        <v>10308</v>
      </c>
      <c r="I244" s="4" t="s">
        <v>12122</v>
      </c>
      <c r="J244" t="str">
        <f t="shared" si="10"/>
        <v>(${Variables:E3_1_3_25_kcat} * E3_1_3_25 * C01177 * C00001)/(${Variables:E3_1_3_25_km} + (E3_1_3_25 * C01177 * C00001))</v>
      </c>
      <c r="K244" s="21" t="str">
        <f t="shared" si="11"/>
        <v>r243: C01177 + C00001 -&gt; C00137 + C00009 | (${Variables:E3_1_3_25_kcat} * E3_1_3_25 * C01177 * C00001)/(${Variables:E3_1_3_25_km} + (E3_1_3_25 * C01177 * C00001))</v>
      </c>
    </row>
    <row r="245" spans="1:11">
      <c r="A245" t="s">
        <v>2273</v>
      </c>
      <c r="B245" t="s">
        <v>2274</v>
      </c>
      <c r="C245" t="s">
        <v>15411</v>
      </c>
      <c r="D245">
        <v>244</v>
      </c>
      <c r="E245" t="str">
        <f t="shared" si="9"/>
        <v>E3_1_3_25</v>
      </c>
      <c r="F245" s="4" t="s">
        <v>10310</v>
      </c>
      <c r="G245" s="4" t="s">
        <v>11438</v>
      </c>
      <c r="H245" s="4" t="s">
        <v>10308</v>
      </c>
      <c r="I245" s="4" t="s">
        <v>12122</v>
      </c>
      <c r="J245" t="str">
        <f t="shared" si="10"/>
        <v>(${Variables:E3_1_3_25_kcat} * E3_1_3_25 * C03546 * C00001)/(${Variables:E3_1_3_25_km} + (E3_1_3_25 * C03546 * C00001))</v>
      </c>
      <c r="K245" s="21" t="str">
        <f t="shared" si="11"/>
        <v>r244: C03546 + C00001 -&gt; C00137 + C00009 | (${Variables:E3_1_3_25_kcat} * E3_1_3_25 * C03546 * C00001)/(${Variables:E3_1_3_25_km} + (E3_1_3_25 * C03546 * C00001))</v>
      </c>
    </row>
    <row r="246" spans="1:11">
      <c r="A246" t="s">
        <v>2273</v>
      </c>
      <c r="B246" t="s">
        <v>2274</v>
      </c>
      <c r="C246" t="s">
        <v>15411</v>
      </c>
      <c r="D246">
        <v>245</v>
      </c>
      <c r="E246" t="str">
        <f t="shared" si="9"/>
        <v>E3_1_3_25</v>
      </c>
      <c r="F246" s="4" t="s">
        <v>10311</v>
      </c>
      <c r="G246" s="4" t="s">
        <v>11439</v>
      </c>
      <c r="H246" s="4" t="s">
        <v>10311</v>
      </c>
      <c r="I246" s="4" t="s">
        <v>11439</v>
      </c>
      <c r="J246" t="str">
        <f t="shared" si="10"/>
        <v>(${Variables:E3_1_3_25_kcat} * E3_1_3_25 * C04006 * C00001)/(${Variables:E3_1_3_25_km} + (E3_1_3_25 * C04006 * C00001))</v>
      </c>
      <c r="K246" s="21" t="str">
        <f t="shared" si="11"/>
        <v>r245: C04006 + C00001 -&gt; C04006 + C00001 | (${Variables:E3_1_3_25_kcat} * E3_1_3_25 * C04006 * C00001)/(${Variables:E3_1_3_25_km} + (E3_1_3_25 * C04006 * C00001))</v>
      </c>
    </row>
    <row r="247" spans="1:11">
      <c r="A247" t="s">
        <v>2366</v>
      </c>
      <c r="B247" t="s">
        <v>2367</v>
      </c>
      <c r="C247" t="s">
        <v>15412</v>
      </c>
      <c r="D247">
        <v>246</v>
      </c>
      <c r="E247" t="str">
        <f t="shared" si="9"/>
        <v>E2_6_1_52</v>
      </c>
      <c r="F247" t="s">
        <v>10625</v>
      </c>
      <c r="G247" t="s">
        <v>11440</v>
      </c>
      <c r="H247" t="s">
        <v>10626</v>
      </c>
      <c r="I247" t="s">
        <v>12123</v>
      </c>
      <c r="J247" t="str">
        <f t="shared" si="10"/>
        <v>(${Variables:E2_6_1_52_kcat} * E2_6_1_52 * C01005 * C00026)/(${Variables:E2_6_1_52_km} + (E2_6_1_52 * C01005 * C00026))</v>
      </c>
      <c r="K247" s="21" t="str">
        <f t="shared" si="11"/>
        <v>r246: C01005 + C00026 -&gt; C03232 + C00025 | (${Variables:E2_6_1_52_kcat} * E2_6_1_52 * C01005 * C00026)/(${Variables:E2_6_1_52_km} + (E2_6_1_52 * C01005 * C00026))</v>
      </c>
    </row>
    <row r="248" spans="1:11">
      <c r="A248" t="s">
        <v>2366</v>
      </c>
      <c r="B248" t="s">
        <v>2367</v>
      </c>
      <c r="C248" t="s">
        <v>15412</v>
      </c>
      <c r="D248">
        <v>247</v>
      </c>
      <c r="E248" t="str">
        <f t="shared" si="9"/>
        <v>E2_6_1_52</v>
      </c>
      <c r="F248" t="s">
        <v>10312</v>
      </c>
      <c r="G248" t="s">
        <v>11441</v>
      </c>
      <c r="H248" t="s">
        <v>10313</v>
      </c>
      <c r="I248" t="s">
        <v>12124</v>
      </c>
      <c r="J248" t="str">
        <f t="shared" si="10"/>
        <v>(${Variables:E2_6_1_52_kcat} * E2_6_1_52 * C06055 * C00026)/(${Variables:E2_6_1_52_km} + (E2_6_1_52 * C06055 * C00026))</v>
      </c>
      <c r="K248" s="21" t="str">
        <f t="shared" si="11"/>
        <v>r247: C06055 + C00026 -&gt; C06054 + C00025 | (${Variables:E2_6_1_52_kcat} * E2_6_1_52 * C06055 * C00026)/(${Variables:E2_6_1_52_km} + (E2_6_1_52 * C06055 * C00026))</v>
      </c>
    </row>
    <row r="249" spans="1:11">
      <c r="A249" t="s">
        <v>2370</v>
      </c>
      <c r="B249" t="s">
        <v>2371</v>
      </c>
      <c r="C249" t="s">
        <v>15413</v>
      </c>
      <c r="D249">
        <v>248</v>
      </c>
      <c r="E249" t="str">
        <f t="shared" si="9"/>
        <v>E2_3_3_1</v>
      </c>
      <c r="F249" t="s">
        <v>10627</v>
      </c>
      <c r="G249" t="s">
        <v>11442</v>
      </c>
      <c r="H249" t="s">
        <v>10628</v>
      </c>
      <c r="I249" t="s">
        <v>12125</v>
      </c>
      <c r="J249" t="str">
        <f t="shared" si="10"/>
        <v>(${Variables:E2_3_3_1_kcat} * E2_3_3_1 * C00158 * C00010)/(${Variables:E2_3_3_1_km} + (E2_3_3_1 * C00158 * C00010))</v>
      </c>
      <c r="K249" s="21" t="str">
        <f t="shared" si="11"/>
        <v>r248: C00158 + C00010 -&gt; C00024 + C00001 + C00036 | (${Variables:E2_3_3_1_kcat} * E2_3_3_1 * C00158 * C00010)/(${Variables:E2_3_3_1_km} + (E2_3_3_1 * C00158 * C00010))</v>
      </c>
    </row>
    <row r="250" spans="1:11">
      <c r="A250" t="s">
        <v>2374</v>
      </c>
      <c r="B250" t="s">
        <v>2375</v>
      </c>
      <c r="C250" t="s">
        <v>15314</v>
      </c>
      <c r="D250">
        <v>249</v>
      </c>
      <c r="E250" t="str">
        <f t="shared" si="9"/>
        <v>E5_2_1_8</v>
      </c>
      <c r="F250" t="s">
        <v>7845</v>
      </c>
      <c r="G250" t="s">
        <v>7845</v>
      </c>
      <c r="H250" t="s">
        <v>7846</v>
      </c>
      <c r="I250" t="s">
        <v>7846</v>
      </c>
      <c r="J250" t="str">
        <f t="shared" si="10"/>
        <v>(${Variables:E5_2_1_8_kcat} * E5_2_1_8 * C03798)/(${Variables:E5_2_1_8_km} + (E5_2_1_8 * C03798))</v>
      </c>
      <c r="K250" s="21" t="str">
        <f t="shared" si="11"/>
        <v>r249: C03798 -&gt; C03633 | (${Variables:E5_2_1_8_kcat} * E5_2_1_8 * C03798)/(${Variables:E5_2_1_8_km} + (E5_2_1_8 * C03798))</v>
      </c>
    </row>
    <row r="251" spans="1:11">
      <c r="A251" t="s">
        <v>2442</v>
      </c>
      <c r="B251" t="s">
        <v>2443</v>
      </c>
      <c r="C251" t="s">
        <v>15414</v>
      </c>
      <c r="D251">
        <v>250</v>
      </c>
      <c r="E251" t="str">
        <f t="shared" si="9"/>
        <v>E1_5_1_3</v>
      </c>
      <c r="F251" t="s">
        <v>10629</v>
      </c>
      <c r="G251" t="s">
        <v>11443</v>
      </c>
      <c r="H251" t="s">
        <v>10630</v>
      </c>
      <c r="I251" t="s">
        <v>12126</v>
      </c>
      <c r="J251" t="str">
        <f t="shared" si="10"/>
        <v>(${Variables:E1_5_1_3_kcat} * E1_5_1_3 * C00101 * C00006 )/(${Variables:E1_5_1_3_km} + (E1_5_1_3 * C00101 * C00006 ))</v>
      </c>
      <c r="K251" s="21" t="str">
        <f t="shared" si="11"/>
        <v>r250: C00101 + C00006  -&gt; C00415 + C00005 + C00080 | (${Variables:E1_5_1_3_kcat} * E1_5_1_3 * C00101 * C00006 )/(${Variables:E1_5_1_3_km} + (E1_5_1_3 * C00101 * C00006 ))</v>
      </c>
    </row>
    <row r="252" spans="1:11">
      <c r="A252" t="s">
        <v>2442</v>
      </c>
      <c r="B252" t="s">
        <v>2443</v>
      </c>
      <c r="C252" t="s">
        <v>15414</v>
      </c>
      <c r="D252">
        <v>251</v>
      </c>
      <c r="E252" t="str">
        <f t="shared" si="9"/>
        <v>E1_5_1_3</v>
      </c>
      <c r="F252" t="s">
        <v>10314</v>
      </c>
      <c r="G252" t="s">
        <v>11444</v>
      </c>
      <c r="H252" t="s">
        <v>10315</v>
      </c>
      <c r="I252" t="s">
        <v>12127</v>
      </c>
      <c r="J252" t="str">
        <f t="shared" si="10"/>
        <v>(${Variables:E1_5_1_3_kcat} * E1_5_1_3 * C00101 * C00003)/(${Variables:E1_5_1_3_km} + (E1_5_1_3 * C00101 * C00003))</v>
      </c>
      <c r="K252" s="21" t="str">
        <f t="shared" si="11"/>
        <v>r251: C00101 + C00003 -&gt; C00415 + C00004 + C00080 | (${Variables:E1_5_1_3_kcat} * E1_5_1_3 * C00101 * C00003)/(${Variables:E1_5_1_3_km} + (E1_5_1_3 * C00101 * C00003))</v>
      </c>
    </row>
    <row r="253" spans="1:11">
      <c r="A253" t="s">
        <v>2442</v>
      </c>
      <c r="B253" t="s">
        <v>2443</v>
      </c>
      <c r="C253" t="s">
        <v>15414</v>
      </c>
      <c r="D253">
        <v>252</v>
      </c>
      <c r="E253" t="str">
        <f t="shared" si="9"/>
        <v>E1_5_1_3</v>
      </c>
      <c r="F253" t="s">
        <v>10314</v>
      </c>
      <c r="G253" t="s">
        <v>11444</v>
      </c>
      <c r="H253" t="s">
        <v>10321</v>
      </c>
      <c r="I253" t="s">
        <v>12128</v>
      </c>
      <c r="J253" t="str">
        <f t="shared" si="10"/>
        <v>(${Variables:E1_5_1_3_kcat} * E1_5_1_3 * C00101 * C00003)/(${Variables:E1_5_1_3_km} + (E1_5_1_3 * C00101 * C00003))</v>
      </c>
      <c r="K253" s="21" t="str">
        <f t="shared" si="11"/>
        <v>r252: C00101 + C00003 -&gt; C00504 + C00004 + C00080 | (${Variables:E1_5_1_3_kcat} * E1_5_1_3 * C00101 * C00003)/(${Variables:E1_5_1_3_km} + (E1_5_1_3 * C00101 * C00003))</v>
      </c>
    </row>
    <row r="254" spans="1:11">
      <c r="A254" t="s">
        <v>2442</v>
      </c>
      <c r="B254" t="s">
        <v>2443</v>
      </c>
      <c r="C254" t="s">
        <v>15414</v>
      </c>
      <c r="D254">
        <v>253</v>
      </c>
      <c r="E254" t="str">
        <f t="shared" si="9"/>
        <v>E1_5_1_3</v>
      </c>
      <c r="F254" t="s">
        <v>15911</v>
      </c>
      <c r="G254" t="s">
        <v>15770</v>
      </c>
      <c r="H254" t="s">
        <v>10323</v>
      </c>
      <c r="I254" t="s">
        <v>12129</v>
      </c>
      <c r="J254" t="str">
        <f t="shared" si="10"/>
        <v>(${Variables:E1_5_1_3_kcat} * E1_5_1_3 * C00101 * C00006)/(${Variables:E1_5_1_3_km} + (E1_5_1_3 * C00101 * C00006))</v>
      </c>
      <c r="K254" s="21" t="str">
        <f t="shared" si="11"/>
        <v>r253: C00101 + C00006 -&gt; C00504 + C00005 + C00080 | (${Variables:E1_5_1_3_kcat} * E1_5_1_3 * C00101 * C00006)/(${Variables:E1_5_1_3_km} + (E1_5_1_3 * C00101 * C00006))</v>
      </c>
    </row>
    <row r="255" spans="1:11">
      <c r="A255" t="s">
        <v>2442</v>
      </c>
      <c r="B255" t="s">
        <v>2443</v>
      </c>
      <c r="C255" t="s">
        <v>15414</v>
      </c>
      <c r="D255">
        <v>254</v>
      </c>
      <c r="E255" t="str">
        <f t="shared" si="9"/>
        <v>E1_5_1_3</v>
      </c>
      <c r="F255" t="s">
        <v>10320</v>
      </c>
      <c r="G255" t="s">
        <v>11445</v>
      </c>
      <c r="H255" t="s">
        <v>10321</v>
      </c>
      <c r="I255" t="s">
        <v>12128</v>
      </c>
      <c r="J255" t="str">
        <f t="shared" si="10"/>
        <v>(${Variables:E1_5_1_3_kcat} * E1_5_1_3 * C00415 * C00003)/(${Variables:E1_5_1_3_km} + (E1_5_1_3 * C00415 * C00003))</v>
      </c>
      <c r="K255" s="21" t="str">
        <f t="shared" si="11"/>
        <v>r254: C00415 + C00003 -&gt; C00504 + C00004 + C00080 | (${Variables:E1_5_1_3_kcat} * E1_5_1_3 * C00415 * C00003)/(${Variables:E1_5_1_3_km} + (E1_5_1_3 * C00415 * C00003))</v>
      </c>
    </row>
    <row r="256" spans="1:11">
      <c r="A256" t="s">
        <v>2442</v>
      </c>
      <c r="B256" t="s">
        <v>2443</v>
      </c>
      <c r="C256" t="s">
        <v>15414</v>
      </c>
      <c r="D256">
        <v>255</v>
      </c>
      <c r="E256" t="str">
        <f t="shared" si="9"/>
        <v>E1_5_1_3</v>
      </c>
      <c r="F256" t="s">
        <v>10322</v>
      </c>
      <c r="G256" t="s">
        <v>11446</v>
      </c>
      <c r="H256" t="s">
        <v>10323</v>
      </c>
      <c r="I256" t="s">
        <v>12129</v>
      </c>
      <c r="J256" t="str">
        <f t="shared" si="10"/>
        <v>(${Variables:E1_5_1_3_kcat} * E1_5_1_3 * C00415 * C00006)/(${Variables:E1_5_1_3_km} + (E1_5_1_3 * C00415 * C00006))</v>
      </c>
      <c r="K256" s="21" t="str">
        <f t="shared" si="11"/>
        <v>r255: C00415 + C00006 -&gt; C00504 + C00005 + C00080 | (${Variables:E1_5_1_3_kcat} * E1_5_1_3 * C00415 * C00006)/(${Variables:E1_5_1_3_km} + (E1_5_1_3 * C00415 * C00006))</v>
      </c>
    </row>
    <row r="257" spans="1:11">
      <c r="A257" t="s">
        <v>2442</v>
      </c>
      <c r="B257" t="s">
        <v>2443</v>
      </c>
      <c r="C257" t="s">
        <v>15414</v>
      </c>
      <c r="D257">
        <v>256</v>
      </c>
      <c r="E257" t="str">
        <f t="shared" si="9"/>
        <v>E1_5_1_3</v>
      </c>
      <c r="F257" t="s">
        <v>10324</v>
      </c>
      <c r="G257" t="s">
        <v>11447</v>
      </c>
      <c r="H257" t="s">
        <v>10325</v>
      </c>
      <c r="I257" t="s">
        <v>12130</v>
      </c>
      <c r="J257" t="str">
        <f t="shared" si="10"/>
        <v>(${Variables:E1_5_1_3_kcat} * E1_5_1_3 * C00272 * C00006)/(${Variables:E1_5_1_3_km} + (E1_5_1_3 * C00272 * C00006))</v>
      </c>
      <c r="K257" s="21" t="str">
        <f t="shared" si="11"/>
        <v>r256: C00272 + C00006 -&gt; C02953 + C00005 + C00080 | (${Variables:E1_5_1_3_kcat} * E1_5_1_3 * C00272 * C00006)/(${Variables:E1_5_1_3_km} + (E1_5_1_3 * C00272 * C00006))</v>
      </c>
    </row>
    <row r="258" spans="1:11">
      <c r="A258" t="s">
        <v>2446</v>
      </c>
      <c r="B258" t="s">
        <v>2447</v>
      </c>
      <c r="C258" t="s">
        <v>15415</v>
      </c>
      <c r="D258">
        <v>257</v>
      </c>
      <c r="E258" t="str">
        <f t="shared" si="9"/>
        <v>E2_1_1_45</v>
      </c>
      <c r="F258" t="s">
        <v>10631</v>
      </c>
      <c r="G258" t="s">
        <v>11448</v>
      </c>
      <c r="H258" t="s">
        <v>10632</v>
      </c>
      <c r="I258" t="s">
        <v>12131</v>
      </c>
      <c r="J258" t="str">
        <f t="shared" si="10"/>
        <v>(${Variables:E2_1_1_45_kcat} * E2_1_1_45 * C00365 * C00143)/(${Variables:E2_1_1_45_km} + (E2_1_1_45 * C00365 * C00143))</v>
      </c>
      <c r="K258" s="21" t="str">
        <f t="shared" si="11"/>
        <v>r257: C00365 + C00143 -&gt; C00415 + C00364 | (${Variables:E2_1_1_45_kcat} * E2_1_1_45 * C00365 * C00143)/(${Variables:E2_1_1_45_km} + (E2_1_1_45 * C00365 * C00143))</v>
      </c>
    </row>
    <row r="259" spans="1:11">
      <c r="A259" t="s">
        <v>2455</v>
      </c>
      <c r="B259" t="s">
        <v>2456</v>
      </c>
      <c r="C259" t="s">
        <v>15416</v>
      </c>
      <c r="D259">
        <v>258</v>
      </c>
      <c r="E259" t="str">
        <f t="shared" ref="E259:E322" si="12">"E" &amp; C259</f>
        <v>E3_1_3_7</v>
      </c>
      <c r="F259" t="s">
        <v>10326</v>
      </c>
      <c r="G259" t="s">
        <v>11449</v>
      </c>
      <c r="H259" t="s">
        <v>10327</v>
      </c>
      <c r="I259" t="s">
        <v>12132</v>
      </c>
      <c r="J259" t="str">
        <f t="shared" ref="J259:J322" si="13">CONCATENATE("(${Variables:",E259,"_kcat","} * ",E259," * ",G259,")","/(${Variables:",E259,"_km","} + (",E259," * ",G259,"))")</f>
        <v>(${Variables:E3_1_3_7_kcat} * E3_1_3_7 * C00054 * C00001)/(${Variables:E3_1_3_7_km} + (E3_1_3_7 * C00054 * C00001))</v>
      </c>
      <c r="K259" s="21" t="str">
        <f t="shared" ref="K259:K322" si="14">CONCATENATE("r",D259,": ",F259," -&gt; ",H259," | ",J259)</f>
        <v>r258: C00054 + C00001 -&gt; C00020 + C00009 | (${Variables:E3_1_3_7_kcat} * E3_1_3_7 * C00054 * C00001)/(${Variables:E3_1_3_7_km} + (E3_1_3_7 * C00054 * C00001))</v>
      </c>
    </row>
    <row r="260" spans="1:11">
      <c r="A260" t="s">
        <v>2455</v>
      </c>
      <c r="B260" t="s">
        <v>2456</v>
      </c>
      <c r="C260" t="s">
        <v>15416</v>
      </c>
      <c r="D260">
        <v>259</v>
      </c>
      <c r="E260" t="str">
        <f t="shared" si="12"/>
        <v>E3_1_3_7</v>
      </c>
      <c r="F260" t="s">
        <v>10328</v>
      </c>
      <c r="G260" t="s">
        <v>11450</v>
      </c>
      <c r="H260" t="s">
        <v>10329</v>
      </c>
      <c r="I260" t="s">
        <v>12133</v>
      </c>
      <c r="J260" t="str">
        <f t="shared" si="13"/>
        <v>(${Variables:E3_1_3_7_kcat} * E3_1_3_7 * C00053 * C00001)/(${Variables:E3_1_3_7_km} + (E3_1_3_7 * C00053 * C00001))</v>
      </c>
      <c r="K260" s="21" t="str">
        <f t="shared" si="14"/>
        <v>r259: C00053 + C00001 -&gt; C00224 + C00009 | (${Variables:E3_1_3_7_kcat} * E3_1_3_7 * C00053 * C00001)/(${Variables:E3_1_3_7_km} + (E3_1_3_7 * C00053 * C00001))</v>
      </c>
    </row>
    <row r="261" spans="1:11">
      <c r="A261" t="s">
        <v>2469</v>
      </c>
      <c r="B261" t="s">
        <v>2470</v>
      </c>
      <c r="C261" t="s">
        <v>15417</v>
      </c>
      <c r="D261">
        <v>260</v>
      </c>
      <c r="E261" t="str">
        <f t="shared" si="12"/>
        <v>E5_3_1_9</v>
      </c>
      <c r="F261" t="s">
        <v>8264</v>
      </c>
      <c r="G261" t="s">
        <v>8264</v>
      </c>
      <c r="H261" t="s">
        <v>8265</v>
      </c>
      <c r="I261" t="s">
        <v>8265</v>
      </c>
      <c r="J261" t="str">
        <f t="shared" si="13"/>
        <v>(${Variables:E5_3_1_9_kcat} * E5_3_1_9 * C00668)/(${Variables:E5_3_1_9_km} + (E5_3_1_9 * C00668))</v>
      </c>
      <c r="K261" s="21" t="str">
        <f t="shared" si="14"/>
        <v>r260: C00668 -&gt; C05345 | (${Variables:E5_3_1_9_kcat} * E5_3_1_9 * C00668)/(${Variables:E5_3_1_9_km} + (E5_3_1_9 * C00668))</v>
      </c>
    </row>
    <row r="262" spans="1:11">
      <c r="A262" t="s">
        <v>2469</v>
      </c>
      <c r="B262" t="s">
        <v>2470</v>
      </c>
      <c r="C262" t="s">
        <v>15417</v>
      </c>
      <c r="D262">
        <v>261</v>
      </c>
      <c r="E262" t="str">
        <f t="shared" si="12"/>
        <v>E5_3_1_9</v>
      </c>
      <c r="F262" t="s">
        <v>9563</v>
      </c>
      <c r="G262" t="s">
        <v>9563</v>
      </c>
      <c r="H262" t="s">
        <v>10330</v>
      </c>
      <c r="I262" t="s">
        <v>10330</v>
      </c>
      <c r="J262" t="str">
        <f t="shared" si="13"/>
        <v>(${Variables:E5_3_1_9_kcat} * E5_3_1_9 * C00092 )/(${Variables:E5_3_1_9_km} + (E5_3_1_9 * C00092 ))</v>
      </c>
      <c r="K262" s="21" t="str">
        <f t="shared" si="14"/>
        <v>r261: C00092  -&gt; C00085 | (${Variables:E5_3_1_9_kcat} * E5_3_1_9 * C00092 )/(${Variables:E5_3_1_9_km} + (E5_3_1_9 * C00092 ))</v>
      </c>
    </row>
    <row r="263" spans="1:11">
      <c r="A263" t="s">
        <v>2469</v>
      </c>
      <c r="B263" t="s">
        <v>2470</v>
      </c>
      <c r="C263" t="s">
        <v>15417</v>
      </c>
      <c r="D263">
        <v>262</v>
      </c>
      <c r="E263" t="str">
        <f t="shared" si="12"/>
        <v>E5_3_1_9</v>
      </c>
      <c r="F263" t="s">
        <v>8264</v>
      </c>
      <c r="G263" t="s">
        <v>8264</v>
      </c>
      <c r="H263" t="s">
        <v>10331</v>
      </c>
      <c r="I263" t="s">
        <v>10331</v>
      </c>
      <c r="J263" t="str">
        <f t="shared" si="13"/>
        <v>(${Variables:E5_3_1_9_kcat} * E5_3_1_9 * C00668)/(${Variables:E5_3_1_9_km} + (E5_3_1_9 * C00668))</v>
      </c>
      <c r="K263" s="21" t="str">
        <f t="shared" si="14"/>
        <v>r262: C00668 -&gt; C01172 | (${Variables:E5_3_1_9_kcat} * E5_3_1_9 * C00668)/(${Variables:E5_3_1_9_km} + (E5_3_1_9 * C00668))</v>
      </c>
    </row>
    <row r="264" spans="1:11">
      <c r="A264" t="s">
        <v>2469</v>
      </c>
      <c r="B264" t="s">
        <v>2470</v>
      </c>
      <c r="C264" t="s">
        <v>15417</v>
      </c>
      <c r="D264">
        <v>263</v>
      </c>
      <c r="E264" t="str">
        <f t="shared" si="12"/>
        <v>E5_3_1_9</v>
      </c>
      <c r="F264" t="s">
        <v>10331</v>
      </c>
      <c r="G264" t="s">
        <v>10331</v>
      </c>
      <c r="H264" t="s">
        <v>8265</v>
      </c>
      <c r="I264" t="s">
        <v>8265</v>
      </c>
      <c r="J264" t="str">
        <f t="shared" si="13"/>
        <v>(${Variables:E5_3_1_9_kcat} * E5_3_1_9 * C01172)/(${Variables:E5_3_1_9_km} + (E5_3_1_9 * C01172))</v>
      </c>
      <c r="K264" s="21" t="str">
        <f t="shared" si="14"/>
        <v>r263: C01172 -&gt; C05345 | (${Variables:E5_3_1_9_kcat} * E5_3_1_9 * C01172)/(${Variables:E5_3_1_9_km} + (E5_3_1_9 * C01172))</v>
      </c>
    </row>
    <row r="265" spans="1:11">
      <c r="A265" t="s">
        <v>2469</v>
      </c>
      <c r="B265" t="s">
        <v>2470</v>
      </c>
      <c r="C265" t="s">
        <v>15417</v>
      </c>
      <c r="D265">
        <v>264</v>
      </c>
      <c r="E265" t="str">
        <f t="shared" si="12"/>
        <v>E5_3_1_9</v>
      </c>
      <c r="F265" t="s">
        <v>8264</v>
      </c>
      <c r="G265" t="s">
        <v>8264</v>
      </c>
      <c r="H265" t="s">
        <v>10330</v>
      </c>
      <c r="I265" t="s">
        <v>10330</v>
      </c>
      <c r="J265" t="str">
        <f t="shared" si="13"/>
        <v>(${Variables:E5_3_1_9_kcat} * E5_3_1_9 * C00668)/(${Variables:E5_3_1_9_km} + (E5_3_1_9 * C00668))</v>
      </c>
      <c r="K265" s="21" t="str">
        <f t="shared" si="14"/>
        <v>r264: C00668 -&gt; C00085 | (${Variables:E5_3_1_9_kcat} * E5_3_1_9 * C00668)/(${Variables:E5_3_1_9_km} + (E5_3_1_9 * C00668))</v>
      </c>
    </row>
    <row r="266" spans="1:11">
      <c r="A266" t="s">
        <v>2475</v>
      </c>
      <c r="B266" t="s">
        <v>2476</v>
      </c>
      <c r="C266" t="s">
        <v>15418</v>
      </c>
      <c r="D266">
        <v>265</v>
      </c>
      <c r="E266" t="str">
        <f t="shared" si="12"/>
        <v>E5_4_99_5</v>
      </c>
      <c r="F266" t="s">
        <v>8268</v>
      </c>
      <c r="G266" t="s">
        <v>8268</v>
      </c>
      <c r="H266" t="s">
        <v>8269</v>
      </c>
      <c r="I266" t="s">
        <v>8269</v>
      </c>
      <c r="J266" t="str">
        <f t="shared" si="13"/>
        <v>(${Variables:E5_4_99_5_kcat} * E5_4_99_5 * C00251)/(${Variables:E5_4_99_5_km} + (E5_4_99_5 * C00251))</v>
      </c>
      <c r="K266" s="21" t="str">
        <f t="shared" si="14"/>
        <v>r265: C00251 -&gt; C00254 | (${Variables:E5_4_99_5_kcat} * E5_4_99_5 * C00251)/(${Variables:E5_4_99_5_km} + (E5_4_99_5 * C00251))</v>
      </c>
    </row>
    <row r="267" spans="1:11">
      <c r="A267" t="s">
        <v>2493</v>
      </c>
      <c r="B267" t="s">
        <v>2494</v>
      </c>
      <c r="C267" t="s">
        <v>15419</v>
      </c>
      <c r="D267">
        <v>266</v>
      </c>
      <c r="E267" t="str">
        <f t="shared" si="12"/>
        <v>E2_1_2_2</v>
      </c>
      <c r="F267" t="s">
        <v>10633</v>
      </c>
      <c r="G267" t="s">
        <v>11451</v>
      </c>
      <c r="H267" t="s">
        <v>10634</v>
      </c>
      <c r="I267" t="s">
        <v>12134</v>
      </c>
      <c r="J267" t="str">
        <f t="shared" si="13"/>
        <v>(${Variables:E2_1_2_2_kcat} * E2_1_2_2 * C00234 * C03838)/(${Variables:E2_1_2_2_km} + (E2_1_2_2 * C00234 * C03838))</v>
      </c>
      <c r="K267" s="21" t="str">
        <f t="shared" si="14"/>
        <v>r266: C00234 + C03838 -&gt; C00101 + C04376 | (${Variables:E2_1_2_2_kcat} * E2_1_2_2 * C00234 * C03838)/(${Variables:E2_1_2_2_km} + (E2_1_2_2 * C00234 * C03838))</v>
      </c>
    </row>
    <row r="268" spans="1:11">
      <c r="A268" t="s">
        <v>2493</v>
      </c>
      <c r="B268" t="s">
        <v>2494</v>
      </c>
      <c r="C268" t="s">
        <v>15419</v>
      </c>
      <c r="D268">
        <v>267</v>
      </c>
      <c r="E268" t="str">
        <f t="shared" si="12"/>
        <v>E2_1_2_2</v>
      </c>
      <c r="F268" t="s">
        <v>10332</v>
      </c>
      <c r="G268" t="s">
        <v>11452</v>
      </c>
      <c r="H268" t="s">
        <v>10333</v>
      </c>
      <c r="I268" t="s">
        <v>12135</v>
      </c>
      <c r="J268" t="str">
        <f t="shared" si="13"/>
        <v>(${Variables:E2_1_2_2_kcat} * E2_1_2_2 * C03838 * C00445 * C00001)/(${Variables:E2_1_2_2_km} + (E2_1_2_2 * C03838 * C00445 * C00001))</v>
      </c>
      <c r="K268" s="21" t="str">
        <f t="shared" si="14"/>
        <v>r267: C03838 + C00445 + C00001 -&gt; C04376 + C00101 | (${Variables:E2_1_2_2_kcat} * E2_1_2_2 * C03838 * C00445 * C00001)/(${Variables:E2_1_2_2_km} + (E2_1_2_2 * C03838 * C00445 * C00001))</v>
      </c>
    </row>
    <row r="269" spans="1:11">
      <c r="A269" t="s">
        <v>2559</v>
      </c>
      <c r="B269" t="s">
        <v>2560</v>
      </c>
      <c r="C269" t="s">
        <v>15420</v>
      </c>
      <c r="D269">
        <v>268</v>
      </c>
      <c r="E269" t="str">
        <f t="shared" si="12"/>
        <v>E5_5_1_2</v>
      </c>
      <c r="F269" s="5" t="s">
        <v>8278</v>
      </c>
      <c r="G269" s="5" t="s">
        <v>8278</v>
      </c>
      <c r="H269" t="s">
        <v>8279</v>
      </c>
      <c r="I269" t="s">
        <v>8279</v>
      </c>
      <c r="J269" t="str">
        <f t="shared" si="13"/>
        <v>(${Variables:E5_5_1_2_kcat} * E5_5_1_2 * C01278)/(${Variables:E5_5_1_2_km} + (E5_5_1_2 * C01278))</v>
      </c>
      <c r="K269" s="21" t="str">
        <f t="shared" si="14"/>
        <v>r268: C01278 -&gt; C01163 | (${Variables:E5_5_1_2_kcat} * E5_5_1_2 * C01278)/(${Variables:E5_5_1_2_km} + (E5_5_1_2 * C01278))</v>
      </c>
    </row>
    <row r="270" spans="1:11">
      <c r="A270" t="s">
        <v>2569</v>
      </c>
      <c r="B270" t="s">
        <v>2570</v>
      </c>
      <c r="C270" t="s">
        <v>15421</v>
      </c>
      <c r="D270">
        <v>269</v>
      </c>
      <c r="E270" t="str">
        <f t="shared" si="12"/>
        <v>E2_7_7_9</v>
      </c>
      <c r="F270" t="s">
        <v>10635</v>
      </c>
      <c r="G270" t="s">
        <v>11453</v>
      </c>
      <c r="H270" s="3" t="s">
        <v>10636</v>
      </c>
      <c r="I270" s="3" t="s">
        <v>12136</v>
      </c>
      <c r="J270" t="str">
        <f t="shared" si="13"/>
        <v>(${Variables:E2_7_7_9_kcat} * E2_7_7_9 * C00075 * C00103 )/(${Variables:E2_7_7_9_km} + (E2_7_7_9 * C00075 * C00103 ))</v>
      </c>
      <c r="K270" s="21" t="str">
        <f t="shared" si="14"/>
        <v>r269: C00075 + C00103  -&gt; C00013 + C00029 | (${Variables:E2_7_7_9_kcat} * E2_7_7_9 * C00075 * C00103 )/(${Variables:E2_7_7_9_km} + (E2_7_7_9 * C00075 * C00103 ))</v>
      </c>
    </row>
    <row r="271" spans="1:11">
      <c r="A271" t="s">
        <v>2572</v>
      </c>
      <c r="B271" t="s">
        <v>2573</v>
      </c>
      <c r="C271" t="s">
        <v>15333</v>
      </c>
      <c r="D271">
        <v>270</v>
      </c>
      <c r="E271" t="str">
        <f t="shared" si="12"/>
        <v>E2_10_1_1</v>
      </c>
      <c r="F271" t="s">
        <v>10637</v>
      </c>
      <c r="G271" t="s">
        <v>11454</v>
      </c>
      <c r="H271" t="s">
        <v>10515</v>
      </c>
      <c r="I271" t="s">
        <v>12022</v>
      </c>
      <c r="J271" t="str">
        <f t="shared" si="13"/>
        <v>(${Variables:E2_10_1_1_kcat} * E2_10_1_1 * C19848 * C06232)/(${Variables:E2_10_1_1_km} + (E2_10_1_1 * C19848 * C06232))</v>
      </c>
      <c r="K271" s="21" t="str">
        <f t="shared" si="14"/>
        <v>r270: C19848 + C06232 -&gt; C18237 + C00020 + C00001 | (${Variables:E2_10_1_1_kcat} * E2_10_1_1 * C19848 * C06232)/(${Variables:E2_10_1_1_km} + (E2_10_1_1 * C19848 * C06232))</v>
      </c>
    </row>
    <row r="272" spans="1:11">
      <c r="A272" t="s">
        <v>2592</v>
      </c>
      <c r="B272" t="s">
        <v>2593</v>
      </c>
      <c r="C272" t="s">
        <v>15422</v>
      </c>
      <c r="D272">
        <v>271</v>
      </c>
      <c r="E272" t="str">
        <f t="shared" si="12"/>
        <v>E2_4_1_109</v>
      </c>
      <c r="F272" t="s">
        <v>10638</v>
      </c>
      <c r="G272" t="s">
        <v>11455</v>
      </c>
      <c r="H272" t="s">
        <v>10639</v>
      </c>
      <c r="I272" t="s">
        <v>12137</v>
      </c>
      <c r="J272" t="str">
        <f t="shared" si="13"/>
        <v>(${Variables:E2_4_1_109_kcat} * E2_4_1_109 * C03862 * C02189 )/(${Variables:E2_4_1_109_km} + (E2_4_1_109 * C03862 * C02189 ))</v>
      </c>
      <c r="K272" s="21" t="str">
        <f t="shared" si="14"/>
        <v>r271: C03862 + C02189  -&gt; C00110 + C02863 | (${Variables:E2_4_1_109_kcat} * E2_4_1_109 * C03862 * C02189 )/(${Variables:E2_4_1_109_km} + (E2_4_1_109 * C03862 * C02189 ))</v>
      </c>
    </row>
    <row r="273" spans="1:11">
      <c r="A273" t="s">
        <v>2592</v>
      </c>
      <c r="B273" t="s">
        <v>2593</v>
      </c>
      <c r="C273" t="s">
        <v>15422</v>
      </c>
      <c r="D273">
        <v>272</v>
      </c>
      <c r="E273" t="str">
        <f t="shared" si="12"/>
        <v>E2_4_1_109</v>
      </c>
      <c r="F273" t="s">
        <v>10334</v>
      </c>
      <c r="G273" t="s">
        <v>11456</v>
      </c>
      <c r="H273" t="s">
        <v>10335</v>
      </c>
      <c r="I273" t="s">
        <v>12138</v>
      </c>
      <c r="J273" t="str">
        <f t="shared" si="13"/>
        <v>(${Variables:E2_4_1_109_kcat} * E2_4_1_109 * G10617 * C02189)/(${Variables:E2_4_1_109_km} + (E2_4_1_109 * G10617 * C02189))</v>
      </c>
      <c r="K273" s="21" t="str">
        <f t="shared" si="14"/>
        <v>r272: G10617 + C02189 -&gt; G10622 + G13027 | (${Variables:E2_4_1_109_kcat} * E2_4_1_109 * G10617 * C02189)/(${Variables:E2_4_1_109_km} + (E2_4_1_109 * G10617 * C02189))</v>
      </c>
    </row>
    <row r="274" spans="1:11">
      <c r="A274" t="s">
        <v>2592</v>
      </c>
      <c r="B274" t="s">
        <v>2593</v>
      </c>
      <c r="C274" t="s">
        <v>15422</v>
      </c>
      <c r="D274">
        <v>273</v>
      </c>
      <c r="E274" t="str">
        <f t="shared" si="12"/>
        <v>E2_4_1_109</v>
      </c>
      <c r="F274" t="s">
        <v>10336</v>
      </c>
      <c r="G274" t="s">
        <v>11457</v>
      </c>
      <c r="H274" t="s">
        <v>10337</v>
      </c>
      <c r="I274" t="s">
        <v>12139</v>
      </c>
      <c r="J274" t="str">
        <f t="shared" si="13"/>
        <v>(${Variables:E2_4_1_109_kcat} * E2_4_1_109 * C03862 * C19803 )/(${Variables:E2_4_1_109_km} + (E2_4_1_109 * C03862 * C19803 ))</v>
      </c>
      <c r="K274" s="21" t="str">
        <f t="shared" si="14"/>
        <v>r273: C03862 + C19803  -&gt; C00110 + C20722 | (${Variables:E2_4_1_109_kcat} * E2_4_1_109 * C03862 * C19803 )/(${Variables:E2_4_1_109_km} + (E2_4_1_109 * C03862 * C19803 ))</v>
      </c>
    </row>
    <row r="275" spans="1:11">
      <c r="A275" t="s">
        <v>2603</v>
      </c>
      <c r="B275" t="s">
        <v>2604</v>
      </c>
      <c r="C275" t="s">
        <v>15423</v>
      </c>
      <c r="D275">
        <v>274</v>
      </c>
      <c r="E275" t="str">
        <f t="shared" si="12"/>
        <v>E6_1_1_10</v>
      </c>
      <c r="F275" t="s">
        <v>10640</v>
      </c>
      <c r="G275" t="s">
        <v>11458</v>
      </c>
      <c r="H275" s="3" t="s">
        <v>15972</v>
      </c>
      <c r="I275" s="3" t="s">
        <v>15973</v>
      </c>
      <c r="J275" t="str">
        <f t="shared" si="13"/>
        <v>(${Variables:E6_1_1_10_kcat} * E6_1_1_10 * C00002 * C00073 * C01647)/(${Variables:E6_1_1_10_km} + (E6_1_1_10 * C00002 * C00073 * C01647))</v>
      </c>
      <c r="K275" s="21" t="str">
        <f t="shared" si="14"/>
        <v>r274: C00002 + C00073 + C01647 -&gt; C00020 + C00013 + C02430 | (${Variables:E6_1_1_10_kcat} * E6_1_1_10 * C00002 * C00073 * C01647)/(${Variables:E6_1_1_10_km} + (E6_1_1_10 * C00002 * C00073 * C01647))</v>
      </c>
    </row>
    <row r="276" spans="1:11">
      <c r="A276" t="s">
        <v>2603</v>
      </c>
      <c r="B276" t="s">
        <v>2604</v>
      </c>
      <c r="C276" t="s">
        <v>15423</v>
      </c>
      <c r="D276">
        <v>275</v>
      </c>
      <c r="E276" t="str">
        <f t="shared" si="12"/>
        <v>E6_1_1_10</v>
      </c>
      <c r="F276" t="s">
        <v>10338</v>
      </c>
      <c r="G276" t="s">
        <v>11459</v>
      </c>
      <c r="H276" s="3" t="s">
        <v>10339</v>
      </c>
      <c r="I276" s="3" t="s">
        <v>12140</v>
      </c>
      <c r="J276" t="str">
        <f t="shared" si="13"/>
        <v>(${Variables:E6_1_1_10_kcat} * E6_1_1_10 * C00002 * C05335 * C01647)/(${Variables:E6_1_1_10_km} + (E6_1_1_10 * C00002 * C05335 * C01647))</v>
      </c>
      <c r="K276" s="21" t="str">
        <f t="shared" si="14"/>
        <v>r275: C00002 + C05335 + C01647 -&gt; C00020 + C00013 + C05336 | (${Variables:E6_1_1_10_kcat} * E6_1_1_10 * C00002 * C05335 * C01647)/(${Variables:E6_1_1_10_km} + (E6_1_1_10 * C00002 * C05335 * C01647))</v>
      </c>
    </row>
    <row r="277" spans="1:11">
      <c r="A277" t="s">
        <v>2621</v>
      </c>
      <c r="B277" t="s">
        <v>2622</v>
      </c>
      <c r="C277" t="s">
        <v>15424</v>
      </c>
      <c r="D277">
        <v>276</v>
      </c>
      <c r="E277" t="str">
        <f t="shared" si="12"/>
        <v>E2_1_1_182</v>
      </c>
      <c r="F277" t="s">
        <v>15912</v>
      </c>
      <c r="G277" t="s">
        <v>15771</v>
      </c>
      <c r="H277" t="s">
        <v>15772</v>
      </c>
      <c r="I277" t="s">
        <v>15773</v>
      </c>
      <c r="J277" t="str">
        <f t="shared" si="13"/>
        <v>(${Variables:E2_1_1_182_kcat} * E2_1_1_182 * C00019 * C20648)/(${Variables:E2_1_1_182_km} + (E2_1_1_182 * C00019 * C20648))</v>
      </c>
      <c r="K277" s="21" t="str">
        <f t="shared" si="14"/>
        <v>r276: C00019 + C20648 -&gt; C00021 + C20796 | (${Variables:E2_1_1_182_kcat} * E2_1_1_182 * C00019 * C20648)/(${Variables:E2_1_1_182_km} + (E2_1_1_182 * C00019 * C20648))</v>
      </c>
    </row>
    <row r="278" spans="1:11">
      <c r="A278" t="s">
        <v>2625</v>
      </c>
      <c r="B278" t="s">
        <v>2626</v>
      </c>
      <c r="C278" t="s">
        <v>15425</v>
      </c>
      <c r="D278">
        <v>277</v>
      </c>
      <c r="E278" t="str">
        <f t="shared" si="12"/>
        <v>E2_7_1_148</v>
      </c>
      <c r="F278" t="s">
        <v>8300</v>
      </c>
      <c r="G278" t="s">
        <v>11460</v>
      </c>
      <c r="H278" t="s">
        <v>8301</v>
      </c>
      <c r="I278" t="s">
        <v>12141</v>
      </c>
      <c r="J278" t="str">
        <f t="shared" si="13"/>
        <v>(${Variables:E2_7_1_148_kcat} * E2_7_1_148 * C11435 * C00002)/(${Variables:E2_7_1_148_km} + (E2_7_1_148 * C11435 * C00002))</v>
      </c>
      <c r="K278" s="21" t="str">
        <f t="shared" si="14"/>
        <v>r277: C11435 + C00002 -&gt; C11436 + C00008 | (${Variables:E2_7_1_148_kcat} * E2_7_1_148 * C11435 * C00002)/(${Variables:E2_7_1_148_km} + (E2_7_1_148 * C11435 * C00002))</v>
      </c>
    </row>
    <row r="279" spans="1:11">
      <c r="A279" t="s">
        <v>2649</v>
      </c>
      <c r="B279" t="s">
        <v>2650</v>
      </c>
      <c r="C279" t="s">
        <v>15426</v>
      </c>
      <c r="D279">
        <v>278</v>
      </c>
      <c r="E279" t="str">
        <f t="shared" si="12"/>
        <v>E4_2_1_17</v>
      </c>
      <c r="F279" t="s">
        <v>8304</v>
      </c>
      <c r="G279" t="s">
        <v>8304</v>
      </c>
      <c r="H279" t="s">
        <v>8305</v>
      </c>
      <c r="I279" t="s">
        <v>12142</v>
      </c>
      <c r="J279" t="str">
        <f t="shared" si="13"/>
        <v>(${Variables:E4_2_1_17_kcat} * E4_2_1_17 * C00640)/(${Variables:E4_2_1_17_km} + (E4_2_1_17 * C00640))</v>
      </c>
      <c r="K279" s="21" t="str">
        <f t="shared" si="14"/>
        <v>r278: C00640 -&gt; C00658 + C00001 | (${Variables:E4_2_1_17_kcat} * E4_2_1_17 * C00640)/(${Variables:E4_2_1_17_km} + (E4_2_1_17 * C00640))</v>
      </c>
    </row>
    <row r="280" spans="1:11">
      <c r="A280" t="s">
        <v>2649</v>
      </c>
      <c r="B280" t="s">
        <v>2650</v>
      </c>
      <c r="C280" t="s">
        <v>15426</v>
      </c>
      <c r="D280">
        <v>279</v>
      </c>
      <c r="E280" t="str">
        <f t="shared" si="12"/>
        <v>E4_2_1_17</v>
      </c>
      <c r="F280" t="s">
        <v>10340</v>
      </c>
      <c r="G280" t="s">
        <v>10340</v>
      </c>
      <c r="H280" t="s">
        <v>10341</v>
      </c>
      <c r="I280" t="s">
        <v>11462</v>
      </c>
      <c r="J280" t="str">
        <f t="shared" si="13"/>
        <v>(${Variables:E4_2_1_17_kcat} * E4_2_1_17 * C01144)/(${Variables:E4_2_1_17_km} + (E4_2_1_17 * C01144))</v>
      </c>
      <c r="K280" s="21" t="str">
        <f t="shared" si="14"/>
        <v>r279: C01144 -&gt; C00877 + C00001 | (${Variables:E4_2_1_17_kcat} * E4_2_1_17 * C01144)/(${Variables:E4_2_1_17_km} + (E4_2_1_17 * C01144))</v>
      </c>
    </row>
    <row r="281" spans="1:11">
      <c r="A281" t="s">
        <v>2649</v>
      </c>
      <c r="B281" t="s">
        <v>2650</v>
      </c>
      <c r="C281" t="s">
        <v>15426</v>
      </c>
      <c r="D281">
        <v>280</v>
      </c>
      <c r="E281" t="str">
        <f t="shared" si="12"/>
        <v>E4_2_1_17</v>
      </c>
      <c r="F281" t="s">
        <v>10342</v>
      </c>
      <c r="G281" t="s">
        <v>10342</v>
      </c>
      <c r="H281" t="s">
        <v>10343</v>
      </c>
      <c r="I281" t="s">
        <v>12143</v>
      </c>
      <c r="J281" t="str">
        <f t="shared" si="13"/>
        <v>(${Variables:E4_2_1_17_kcat} * E4_2_1_17 * C05668)/(${Variables:E4_2_1_17_km} + (E4_2_1_17 * C05668))</v>
      </c>
      <c r="K281" s="21" t="str">
        <f t="shared" si="14"/>
        <v>r280: C05668 -&gt; C00894 + C00001 | (${Variables:E4_2_1_17_kcat} * E4_2_1_17 * C05668)/(${Variables:E4_2_1_17_km} + (E4_2_1_17 * C05668))</v>
      </c>
    </row>
    <row r="282" spans="1:11">
      <c r="A282" t="s">
        <v>2649</v>
      </c>
      <c r="B282" t="s">
        <v>2650</v>
      </c>
      <c r="C282" t="s">
        <v>15426</v>
      </c>
      <c r="D282">
        <v>281</v>
      </c>
      <c r="E282" t="str">
        <f t="shared" si="12"/>
        <v>E4_2_1_17</v>
      </c>
      <c r="F282" t="s">
        <v>10344</v>
      </c>
      <c r="G282" t="s">
        <v>10344</v>
      </c>
      <c r="H282" t="s">
        <v>10345</v>
      </c>
      <c r="I282" t="s">
        <v>12144</v>
      </c>
      <c r="J282" t="str">
        <f t="shared" si="13"/>
        <v>(${Variables:E4_2_1_17_kcat} * E4_2_1_17 * C05262)/(${Variables:E4_2_1_17_km} + (E4_2_1_17 * C05262))</v>
      </c>
      <c r="K282" s="21" t="str">
        <f t="shared" si="14"/>
        <v>r281: C05262 -&gt; C03221 + C00001 | (${Variables:E4_2_1_17_kcat} * E4_2_1_17 * C05262)/(${Variables:E4_2_1_17_km} + (E4_2_1_17 * C05262))</v>
      </c>
    </row>
    <row r="283" spans="1:11">
      <c r="A283" t="s">
        <v>2649</v>
      </c>
      <c r="B283" t="s">
        <v>2650</v>
      </c>
      <c r="C283" t="s">
        <v>15426</v>
      </c>
      <c r="D283">
        <v>282</v>
      </c>
      <c r="E283" t="str">
        <f t="shared" si="12"/>
        <v>E4_2_1_17</v>
      </c>
      <c r="F283" t="s">
        <v>10346</v>
      </c>
      <c r="G283" t="s">
        <v>10346</v>
      </c>
      <c r="H283" t="s">
        <v>10347</v>
      </c>
      <c r="I283" t="s">
        <v>12145</v>
      </c>
      <c r="J283" t="str">
        <f t="shared" si="13"/>
        <v>(${Variables:E4_2_1_17_kcat} * E4_2_1_17 * C04405 )/(${Variables:E4_2_1_17_km} + (E4_2_1_17 * C04405 ))</v>
      </c>
      <c r="K283" s="21" t="str">
        <f t="shared" si="14"/>
        <v>r282: C04405  -&gt; C03345 + C00001 | (${Variables:E4_2_1_17_kcat} * E4_2_1_17 * C04405 )/(${Variables:E4_2_1_17_km} + (E4_2_1_17 * C04405 ))</v>
      </c>
    </row>
    <row r="284" spans="1:11">
      <c r="A284" t="s">
        <v>2649</v>
      </c>
      <c r="B284" t="s">
        <v>2650</v>
      </c>
      <c r="C284" t="s">
        <v>15426</v>
      </c>
      <c r="D284">
        <v>283</v>
      </c>
      <c r="E284" t="str">
        <f t="shared" si="12"/>
        <v>E4_2_1_17</v>
      </c>
      <c r="F284" t="s">
        <v>10348</v>
      </c>
      <c r="G284" t="s">
        <v>11461</v>
      </c>
      <c r="H284" t="s">
        <v>10349</v>
      </c>
      <c r="I284" t="s">
        <v>10349</v>
      </c>
      <c r="J284" t="str">
        <f t="shared" si="13"/>
        <v>(${Variables:E4_2_1_17_kcat} * E4_2_1_17 * C03460 * C00001)/(${Variables:E4_2_1_17_km} + (E4_2_1_17 * C03460 * C00001))</v>
      </c>
      <c r="K284" s="21" t="str">
        <f t="shared" si="14"/>
        <v>r283: C03460 + C00001 -&gt; C06000 | (${Variables:E4_2_1_17_kcat} * E4_2_1_17 * C03460 * C00001)/(${Variables:E4_2_1_17_km} + (E4_2_1_17 * C03460 * C00001))</v>
      </c>
    </row>
    <row r="285" spans="1:11">
      <c r="A285" t="s">
        <v>2649</v>
      </c>
      <c r="B285" t="s">
        <v>2650</v>
      </c>
      <c r="C285" t="s">
        <v>15426</v>
      </c>
      <c r="D285">
        <v>284</v>
      </c>
      <c r="E285" t="str">
        <f t="shared" si="12"/>
        <v>E4_2_1_17</v>
      </c>
      <c r="F285" t="s">
        <v>10350</v>
      </c>
      <c r="G285" t="s">
        <v>10350</v>
      </c>
      <c r="H285" t="s">
        <v>10351</v>
      </c>
      <c r="I285" t="s">
        <v>12146</v>
      </c>
      <c r="J285" t="str">
        <f t="shared" si="13"/>
        <v>(${Variables:E4_2_1_17_kcat} * E4_2_1_17 * C05258)/(${Variables:E4_2_1_17_km} + (E4_2_1_17 * C05258))</v>
      </c>
      <c r="K285" s="21" t="str">
        <f t="shared" si="14"/>
        <v>r284: C05258 -&gt; C05272 + C00001 | (${Variables:E4_2_1_17_kcat} * E4_2_1_17 * C05258)/(${Variables:E4_2_1_17_km} + (E4_2_1_17 * C05258))</v>
      </c>
    </row>
    <row r="286" spans="1:11">
      <c r="A286" t="s">
        <v>2649</v>
      </c>
      <c r="B286" t="s">
        <v>2650</v>
      </c>
      <c r="C286" t="s">
        <v>15426</v>
      </c>
      <c r="D286">
        <v>285</v>
      </c>
      <c r="E286" t="str">
        <f t="shared" si="12"/>
        <v>E4_2_1_17</v>
      </c>
      <c r="F286" t="s">
        <v>10352</v>
      </c>
      <c r="G286" t="s">
        <v>10352</v>
      </c>
      <c r="H286" t="s">
        <v>10353</v>
      </c>
      <c r="I286" t="s">
        <v>12147</v>
      </c>
      <c r="J286" t="str">
        <f t="shared" si="13"/>
        <v>(${Variables:E4_2_1_17_kcat} * E4_2_1_17 * C05260)/(${Variables:E4_2_1_17_km} + (E4_2_1_17 * C05260))</v>
      </c>
      <c r="K286" s="21" t="str">
        <f t="shared" si="14"/>
        <v>r285: C05260 -&gt; C05273 + C00001 | (${Variables:E4_2_1_17_kcat} * E4_2_1_17 * C05260)/(${Variables:E4_2_1_17_km} + (E4_2_1_17 * C05260))</v>
      </c>
    </row>
    <row r="287" spans="1:11">
      <c r="A287" t="s">
        <v>2649</v>
      </c>
      <c r="B287" t="s">
        <v>2650</v>
      </c>
      <c r="C287" t="s">
        <v>15426</v>
      </c>
      <c r="D287">
        <v>286</v>
      </c>
      <c r="E287" t="str">
        <f t="shared" si="12"/>
        <v>E4_2_1_17</v>
      </c>
      <c r="F287" t="s">
        <v>10354</v>
      </c>
      <c r="G287" t="s">
        <v>10354</v>
      </c>
      <c r="H287" t="s">
        <v>10355</v>
      </c>
      <c r="I287" t="s">
        <v>12148</v>
      </c>
      <c r="J287" t="str">
        <f t="shared" si="13"/>
        <v>(${Variables:E4_2_1_17_kcat} * E4_2_1_17 * C05264 )/(${Variables:E4_2_1_17_km} + (E4_2_1_17 * C05264 ))</v>
      </c>
      <c r="K287" s="21" t="str">
        <f t="shared" si="14"/>
        <v>r286: C05264  -&gt; C05275 + C00001 | (${Variables:E4_2_1_17_kcat} * E4_2_1_17 * C05264 )/(${Variables:E4_2_1_17_km} + (E4_2_1_17 * C05264 ))</v>
      </c>
    </row>
    <row r="288" spans="1:11">
      <c r="A288" t="s">
        <v>2649</v>
      </c>
      <c r="B288" t="s">
        <v>2650</v>
      </c>
      <c r="C288" t="s">
        <v>15426</v>
      </c>
      <c r="D288">
        <v>287</v>
      </c>
      <c r="E288" t="str">
        <f t="shared" si="12"/>
        <v>E4_2_1_17</v>
      </c>
      <c r="F288" t="s">
        <v>10356</v>
      </c>
      <c r="G288" t="s">
        <v>10356</v>
      </c>
      <c r="H288" t="s">
        <v>10357</v>
      </c>
      <c r="I288" t="s">
        <v>12149</v>
      </c>
      <c r="J288" t="str">
        <f t="shared" si="13"/>
        <v>(${Variables:E4_2_1_17_kcat} * E4_2_1_17 * C05266)/(${Variables:E4_2_1_17_km} + (E4_2_1_17 * C05266))</v>
      </c>
      <c r="K288" s="21" t="str">
        <f t="shared" si="14"/>
        <v>r287: C05266 -&gt; C05276 + C00001 | (${Variables:E4_2_1_17_kcat} * E4_2_1_17 * C05266)/(${Variables:E4_2_1_17_km} + (E4_2_1_17 * C05266))</v>
      </c>
    </row>
    <row r="289" spans="1:11">
      <c r="A289" t="s">
        <v>2649</v>
      </c>
      <c r="B289" t="s">
        <v>2650</v>
      </c>
      <c r="C289" t="s">
        <v>15426</v>
      </c>
      <c r="D289">
        <v>288</v>
      </c>
      <c r="E289" t="str">
        <f t="shared" si="12"/>
        <v>E4_2_1_17</v>
      </c>
      <c r="F289" t="s">
        <v>10358</v>
      </c>
      <c r="G289" t="s">
        <v>10358</v>
      </c>
      <c r="H289" t="s">
        <v>10359</v>
      </c>
      <c r="I289" t="s">
        <v>12150</v>
      </c>
      <c r="J289" t="str">
        <f t="shared" si="13"/>
        <v>(${Variables:E4_2_1_17_kcat} * E4_2_1_17 * C05268)/(${Variables:E4_2_1_17_km} + (E4_2_1_17 * C05268))</v>
      </c>
      <c r="K289" s="21" t="str">
        <f t="shared" si="14"/>
        <v>r288: C05268 -&gt; C05271 + C00001 | (${Variables:E4_2_1_17_kcat} * E4_2_1_17 * C05268)/(${Variables:E4_2_1_17_km} + (E4_2_1_17 * C05268))</v>
      </c>
    </row>
    <row r="290" spans="1:11">
      <c r="A290" t="s">
        <v>2649</v>
      </c>
      <c r="B290" t="s">
        <v>2650</v>
      </c>
      <c r="C290" t="s">
        <v>15426</v>
      </c>
      <c r="D290">
        <v>289</v>
      </c>
      <c r="E290" t="str">
        <f t="shared" si="12"/>
        <v>E4_2_1_17</v>
      </c>
      <c r="F290" t="s">
        <v>10360</v>
      </c>
      <c r="G290" t="s">
        <v>10360</v>
      </c>
      <c r="H290" t="s">
        <v>10361</v>
      </c>
      <c r="I290" t="s">
        <v>12151</v>
      </c>
      <c r="J290" t="str">
        <f t="shared" si="13"/>
        <v>(${Variables:E4_2_1_17_kcat} * E4_2_1_17 * C16329)/(${Variables:E4_2_1_17_km} + (E4_2_1_17 * C16329))</v>
      </c>
      <c r="K290" s="21" t="str">
        <f t="shared" si="14"/>
        <v>r289: C16329 -&gt; C16328 + C00001 | (${Variables:E4_2_1_17_kcat} * E4_2_1_17 * C16329)/(${Variables:E4_2_1_17_km} + (E4_2_1_17 * C16329))</v>
      </c>
    </row>
    <row r="291" spans="1:11">
      <c r="A291" t="s">
        <v>2649</v>
      </c>
      <c r="B291" t="s">
        <v>2650</v>
      </c>
      <c r="C291" t="s">
        <v>15426</v>
      </c>
      <c r="D291">
        <v>290</v>
      </c>
      <c r="E291" t="str">
        <f t="shared" si="12"/>
        <v>E4_2_1_17</v>
      </c>
      <c r="F291" t="s">
        <v>10362</v>
      </c>
      <c r="G291" t="s">
        <v>10362</v>
      </c>
      <c r="H291" t="s">
        <v>10363</v>
      </c>
      <c r="I291" t="s">
        <v>12152</v>
      </c>
      <c r="J291" t="str">
        <f t="shared" si="13"/>
        <v>(${Variables:E4_2_1_17_kcat} * E4_2_1_17 * C16333)/(${Variables:E4_2_1_17_km} + (E4_2_1_17 * C16333))</v>
      </c>
      <c r="K291" s="21" t="str">
        <f t="shared" si="14"/>
        <v>r290: C16333 -&gt; C16332 + C00001 | (${Variables:E4_2_1_17_kcat} * E4_2_1_17 * C16333)/(${Variables:E4_2_1_17_km} + (E4_2_1_17 * C16333))</v>
      </c>
    </row>
    <row r="292" spans="1:11">
      <c r="A292" t="s">
        <v>2649</v>
      </c>
      <c r="B292" t="s">
        <v>2650</v>
      </c>
      <c r="C292" t="s">
        <v>15426</v>
      </c>
      <c r="D292">
        <v>291</v>
      </c>
      <c r="E292" t="str">
        <f t="shared" si="12"/>
        <v>E4_2_1_17</v>
      </c>
      <c r="F292" t="s">
        <v>10364</v>
      </c>
      <c r="G292" t="s">
        <v>10364</v>
      </c>
      <c r="H292" t="s">
        <v>10365</v>
      </c>
      <c r="I292" t="s">
        <v>12153</v>
      </c>
      <c r="J292" t="str">
        <f t="shared" si="13"/>
        <v>(${Variables:E4_2_1_17_kcat} * E4_2_1_17 * C16337)/(${Variables:E4_2_1_17_km} + (E4_2_1_17 * C16337))</v>
      </c>
      <c r="K292" s="21" t="str">
        <f t="shared" si="14"/>
        <v>r291: C16337 -&gt; C16336 + C00001 | (${Variables:E4_2_1_17_kcat} * E4_2_1_17 * C16337)/(${Variables:E4_2_1_17_km} + (E4_2_1_17 * C16337))</v>
      </c>
    </row>
    <row r="293" spans="1:11">
      <c r="A293" t="s">
        <v>2649</v>
      </c>
      <c r="B293" t="s">
        <v>2650</v>
      </c>
      <c r="C293" t="s">
        <v>15426</v>
      </c>
      <c r="D293">
        <v>292</v>
      </c>
      <c r="E293" t="str">
        <f t="shared" si="12"/>
        <v>E4_2_1_17</v>
      </c>
      <c r="F293" t="s">
        <v>8304</v>
      </c>
      <c r="G293" t="s">
        <v>8304</v>
      </c>
      <c r="H293" t="s">
        <v>10366</v>
      </c>
      <c r="I293" t="s">
        <v>12154</v>
      </c>
      <c r="J293" t="str">
        <f t="shared" si="13"/>
        <v>(${Variables:E4_2_1_17_kcat} * E4_2_1_17 * C00640)/(${Variables:E4_2_1_17_km} + (E4_2_1_17 * C00640))</v>
      </c>
      <c r="K293" s="21" t="str">
        <f t="shared" si="14"/>
        <v>r292: C00640 -&gt; C05067 + C00001 | (${Variables:E4_2_1_17_kcat} * E4_2_1_17 * C00640)/(${Variables:E4_2_1_17_km} + (E4_2_1_17 * C00640))</v>
      </c>
    </row>
    <row r="294" spans="1:11">
      <c r="A294" t="s">
        <v>2649</v>
      </c>
      <c r="B294" t="s">
        <v>2650</v>
      </c>
      <c r="C294" t="s">
        <v>15426</v>
      </c>
      <c r="D294">
        <v>293</v>
      </c>
      <c r="E294" t="str">
        <f t="shared" si="12"/>
        <v>E4_2_1_17</v>
      </c>
      <c r="F294" t="s">
        <v>10367</v>
      </c>
      <c r="G294" t="s">
        <v>10367</v>
      </c>
      <c r="H294" t="s">
        <v>10368</v>
      </c>
      <c r="I294" t="s">
        <v>12155</v>
      </c>
      <c r="J294" t="str">
        <f t="shared" si="13"/>
        <v>(${Variables:E4_2_1_17_kcat} * E4_2_1_17 * C01086)/(${Variables:E4_2_1_17_km} + (E4_2_1_17 * C01086))</v>
      </c>
      <c r="K294" s="21" t="str">
        <f t="shared" si="14"/>
        <v>r293: C01086 -&gt; C01122 + C00001 | (${Variables:E4_2_1_17_kcat} * E4_2_1_17 * C01086)/(${Variables:E4_2_1_17_km} + (E4_2_1_17 * C01086))</v>
      </c>
    </row>
    <row r="295" spans="1:11">
      <c r="A295" t="s">
        <v>2649</v>
      </c>
      <c r="B295" t="s">
        <v>2650</v>
      </c>
      <c r="C295" t="s">
        <v>15426</v>
      </c>
      <c r="D295">
        <v>294</v>
      </c>
      <c r="E295" t="str">
        <f t="shared" si="12"/>
        <v>E4_2_1_17</v>
      </c>
      <c r="F295" t="s">
        <v>10369</v>
      </c>
      <c r="G295" t="s">
        <v>10369</v>
      </c>
      <c r="H295" t="s">
        <v>10370</v>
      </c>
      <c r="I295" t="s">
        <v>12156</v>
      </c>
      <c r="J295" t="str">
        <f t="shared" si="13"/>
        <v>(${Variables:E4_2_1_17_kcat} * E4_2_1_17 * C05998)/(${Variables:E4_2_1_17_km} + (E4_2_1_17 * C05998))</v>
      </c>
      <c r="K295" s="21" t="str">
        <f t="shared" si="14"/>
        <v>r294: C05998 -&gt; C03069 + C00001 | (${Variables:E4_2_1_17_kcat} * E4_2_1_17 * C05998)/(${Variables:E4_2_1_17_km} + (E4_2_1_17 * C05998))</v>
      </c>
    </row>
    <row r="296" spans="1:11">
      <c r="A296" t="s">
        <v>2649</v>
      </c>
      <c r="B296" t="s">
        <v>2650</v>
      </c>
      <c r="C296" t="s">
        <v>15426</v>
      </c>
      <c r="D296">
        <v>295</v>
      </c>
      <c r="E296" t="str">
        <f t="shared" si="12"/>
        <v>E4_2_1_17</v>
      </c>
      <c r="F296" t="s">
        <v>10341</v>
      </c>
      <c r="G296" t="s">
        <v>11462</v>
      </c>
      <c r="H296" t="s">
        <v>10371</v>
      </c>
      <c r="I296" t="s">
        <v>10371</v>
      </c>
      <c r="J296" t="str">
        <f t="shared" si="13"/>
        <v>(${Variables:E4_2_1_17_kcat} * E4_2_1_17 * C00877 * C00001)/(${Variables:E4_2_1_17_km} + (E4_2_1_17 * C00877 * C00001))</v>
      </c>
      <c r="K296" s="21" t="str">
        <f t="shared" si="14"/>
        <v>r295: C00877 + C00001 -&gt; C05116 | (${Variables:E4_2_1_17_kcat} * E4_2_1_17 * C00877 * C00001)/(${Variables:E4_2_1_17_km} + (E4_2_1_17 * C00877 * C00001))</v>
      </c>
    </row>
    <row r="297" spans="1:11">
      <c r="A297" t="s">
        <v>2649</v>
      </c>
      <c r="B297" t="s">
        <v>2650</v>
      </c>
      <c r="C297" t="s">
        <v>15426</v>
      </c>
      <c r="D297">
        <v>296</v>
      </c>
      <c r="E297" t="str">
        <f t="shared" si="12"/>
        <v>E4_2_1_17</v>
      </c>
      <c r="F297" t="s">
        <v>10372</v>
      </c>
      <c r="G297" t="s">
        <v>11463</v>
      </c>
      <c r="H297" t="s">
        <v>10373</v>
      </c>
      <c r="I297" t="s">
        <v>10373</v>
      </c>
      <c r="J297" t="str">
        <f t="shared" si="13"/>
        <v>(${Variables:E4_2_1_17_kcat} * E4_2_1_17 * C11946 * C00001)/(${Variables:E4_2_1_17_km} + (E4_2_1_17 * C11946 * C00001))</v>
      </c>
      <c r="K297" s="21" t="str">
        <f t="shared" si="14"/>
        <v>r296: C11946 + C00001 -&gt; C11947 | (${Variables:E4_2_1_17_kcat} * E4_2_1_17 * C11946 * C00001)/(${Variables:E4_2_1_17_km} + (E4_2_1_17 * C11946 * C00001))</v>
      </c>
    </row>
    <row r="298" spans="1:11">
      <c r="A298" t="s">
        <v>2649</v>
      </c>
      <c r="B298" t="s">
        <v>2650</v>
      </c>
      <c r="C298" t="s">
        <v>15426</v>
      </c>
      <c r="D298">
        <v>297</v>
      </c>
      <c r="E298" t="str">
        <f t="shared" si="12"/>
        <v>E4_2_1_17</v>
      </c>
      <c r="F298" t="s">
        <v>10374</v>
      </c>
      <c r="G298" t="s">
        <v>11464</v>
      </c>
      <c r="H298" t="s">
        <v>10373</v>
      </c>
      <c r="I298" t="s">
        <v>10373</v>
      </c>
      <c r="J298" t="str">
        <f t="shared" si="13"/>
        <v>(${Variables:E4_2_1_17_kcat} * E4_2_1_17 * C11945 * C00001)/(${Variables:E4_2_1_17_km} + (E4_2_1_17 * C11945 * C00001))</v>
      </c>
      <c r="K298" s="21" t="str">
        <f t="shared" si="14"/>
        <v>r297: C11945 + C00001 -&gt; C11947 | (${Variables:E4_2_1_17_kcat} * E4_2_1_17 * C11945 * C00001)/(${Variables:E4_2_1_17_km} + (E4_2_1_17 * C11945 * C00001))</v>
      </c>
    </row>
    <row r="299" spans="1:11">
      <c r="A299" t="s">
        <v>2649</v>
      </c>
      <c r="B299" t="s">
        <v>2650</v>
      </c>
      <c r="C299" t="s">
        <v>15426</v>
      </c>
      <c r="D299">
        <v>298</v>
      </c>
      <c r="E299" t="str">
        <f t="shared" si="12"/>
        <v>E4_2_1_17</v>
      </c>
      <c r="F299" t="s">
        <v>10375</v>
      </c>
      <c r="G299" t="s">
        <v>11465</v>
      </c>
      <c r="H299" t="s">
        <v>10376</v>
      </c>
      <c r="I299" t="s">
        <v>10376</v>
      </c>
      <c r="J299" t="str">
        <f t="shared" si="13"/>
        <v>(${Variables:E4_2_1_17_kcat} * E4_2_1_17 * C14144 * C00001)/(${Variables:E4_2_1_17_km} + (E4_2_1_17 * C14144 * C00001))</v>
      </c>
      <c r="K299" s="21" t="str">
        <f t="shared" si="14"/>
        <v>r298: C14144 + C00001 -&gt; C14145 | (${Variables:E4_2_1_17_kcat} * E4_2_1_17 * C14144 * C00001)/(${Variables:E4_2_1_17_km} + (E4_2_1_17 * C14144 * C00001))</v>
      </c>
    </row>
    <row r="300" spans="1:11">
      <c r="A300" t="s">
        <v>2649</v>
      </c>
      <c r="B300" t="s">
        <v>2650</v>
      </c>
      <c r="C300" t="s">
        <v>15426</v>
      </c>
      <c r="D300">
        <v>299</v>
      </c>
      <c r="E300" t="str">
        <f t="shared" si="12"/>
        <v>E4_2_1_17</v>
      </c>
      <c r="F300" t="s">
        <v>10377</v>
      </c>
      <c r="G300" t="s">
        <v>11466</v>
      </c>
      <c r="H300" t="s">
        <v>10378</v>
      </c>
      <c r="I300" t="s">
        <v>10378</v>
      </c>
      <c r="J300" t="str">
        <f t="shared" si="13"/>
        <v>(${Variables:E4_2_1_17_kcat} * E4_2_1_17 * C16468 * C00001 )/(${Variables:E4_2_1_17_km} + (E4_2_1_17 * C16468 * C00001 ))</v>
      </c>
      <c r="K300" s="21" t="str">
        <f t="shared" si="14"/>
        <v>r299: C16468 + C00001  -&gt; C16469 | (${Variables:E4_2_1_17_kcat} * E4_2_1_17 * C16468 * C00001 )/(${Variables:E4_2_1_17_km} + (E4_2_1_17 * C16468 * C00001 ))</v>
      </c>
    </row>
    <row r="301" spans="1:11">
      <c r="A301" t="s">
        <v>2677</v>
      </c>
      <c r="B301" t="s">
        <v>2678</v>
      </c>
      <c r="C301" t="s">
        <v>15427</v>
      </c>
      <c r="D301">
        <v>300</v>
      </c>
      <c r="E301" t="str">
        <f t="shared" si="12"/>
        <v>E1_1_1_100</v>
      </c>
      <c r="F301" s="3" t="s">
        <v>9741</v>
      </c>
      <c r="G301" s="3" t="s">
        <v>11467</v>
      </c>
      <c r="H301" t="s">
        <v>9742</v>
      </c>
      <c r="I301" t="s">
        <v>12157</v>
      </c>
      <c r="J301" t="str">
        <f t="shared" si="13"/>
        <v>(${Variables:E1_1_1_100_kcat} * E1_1_1_100 * C01271 * C00006)/(${Variables:E1_1_1_100_km} + (E1_1_1_100 * C01271 * C00006))</v>
      </c>
      <c r="K301" s="21" t="str">
        <f t="shared" si="14"/>
        <v>r300: C01271 + C00006 -&gt; C00685 + C00005 + C00080 | (${Variables:E1_1_1_100_kcat} * E1_1_1_100 * C01271 * C00006)/(${Variables:E1_1_1_100_km} + (E1_1_1_100 * C01271 * C00006))</v>
      </c>
    </row>
    <row r="302" spans="1:11">
      <c r="A302" t="s">
        <v>2677</v>
      </c>
      <c r="B302" t="s">
        <v>2678</v>
      </c>
      <c r="C302" t="s">
        <v>15427</v>
      </c>
      <c r="D302">
        <v>301</v>
      </c>
      <c r="E302" t="str">
        <f t="shared" si="12"/>
        <v>E1_1_1_100</v>
      </c>
      <c r="F302" s="3" t="s">
        <v>9743</v>
      </c>
      <c r="G302" s="3" t="s">
        <v>11468</v>
      </c>
      <c r="H302" t="s">
        <v>9744</v>
      </c>
      <c r="I302" t="s">
        <v>12158</v>
      </c>
      <c r="J302" t="str">
        <f t="shared" si="13"/>
        <v>(${Variables:E1_1_1_100_kcat} * E1_1_1_100 * C04618 * C00006 )/(${Variables:E1_1_1_100_km} + (E1_1_1_100 * C04618 * C00006 ))</v>
      </c>
      <c r="K302" s="21" t="str">
        <f t="shared" si="14"/>
        <v>r301: C04618 + C00006  -&gt; C05744 + C00005 + C00080 | (${Variables:E1_1_1_100_kcat} * E1_1_1_100 * C04618 * C00006 )/(${Variables:E1_1_1_100_km} + (E1_1_1_100 * C04618 * C00006 ))</v>
      </c>
    </row>
    <row r="303" spans="1:11">
      <c r="A303" t="s">
        <v>2677</v>
      </c>
      <c r="B303" t="s">
        <v>2678</v>
      </c>
      <c r="C303" t="s">
        <v>15427</v>
      </c>
      <c r="D303">
        <v>302</v>
      </c>
      <c r="E303" t="str">
        <f t="shared" si="12"/>
        <v>E1_1_1_100</v>
      </c>
      <c r="F303" s="3" t="s">
        <v>9745</v>
      </c>
      <c r="G303" s="3" t="s">
        <v>11469</v>
      </c>
      <c r="H303" t="s">
        <v>9746</v>
      </c>
      <c r="I303" t="s">
        <v>12159</v>
      </c>
      <c r="J303" t="str">
        <f t="shared" si="13"/>
        <v>(${Variables:E1_1_1_100_kcat} * E1_1_1_100 * C04619 * C00006)/(${Variables:E1_1_1_100_km} + (E1_1_1_100 * C04619 * C00006))</v>
      </c>
      <c r="K303" s="21" t="str">
        <f t="shared" si="14"/>
        <v>r302: C04619 + C00006 -&gt; C05753 + C00005 | (${Variables:E1_1_1_100_kcat} * E1_1_1_100 * C04619 * C00006)/(${Variables:E1_1_1_100_km} + (E1_1_1_100 * C04619 * C00006))</v>
      </c>
    </row>
    <row r="304" spans="1:11">
      <c r="A304" t="s">
        <v>2677</v>
      </c>
      <c r="B304" t="s">
        <v>2678</v>
      </c>
      <c r="C304" t="s">
        <v>15427</v>
      </c>
      <c r="D304">
        <v>303</v>
      </c>
      <c r="E304" t="str">
        <f t="shared" si="12"/>
        <v>E1_1_1_100</v>
      </c>
      <c r="F304" s="3" t="s">
        <v>9747</v>
      </c>
      <c r="G304" s="3" t="s">
        <v>11470</v>
      </c>
      <c r="H304" t="s">
        <v>9748</v>
      </c>
      <c r="I304" t="s">
        <v>12160</v>
      </c>
      <c r="J304" t="str">
        <f t="shared" si="13"/>
        <v>(${Variables:E1_1_1_100_kcat} * E1_1_1_100 * C04620 * C00006 )/(${Variables:E1_1_1_100_km} + (E1_1_1_100 * C04620 * C00006 ))</v>
      </c>
      <c r="K304" s="21" t="str">
        <f t="shared" si="14"/>
        <v>r303: C04620 + C00006  -&gt; C05750 + C00005 + C00080 | (${Variables:E1_1_1_100_kcat} * E1_1_1_100 * C04620 * C00006 )/(${Variables:E1_1_1_100_km} + (E1_1_1_100 * C04620 * C00006 ))</v>
      </c>
    </row>
    <row r="305" spans="1:11">
      <c r="A305" t="s">
        <v>2677</v>
      </c>
      <c r="B305" t="s">
        <v>2678</v>
      </c>
      <c r="C305" t="s">
        <v>15427</v>
      </c>
      <c r="D305">
        <v>304</v>
      </c>
      <c r="E305" t="str">
        <f t="shared" si="12"/>
        <v>E1_1_1_100</v>
      </c>
      <c r="F305" s="3" t="s">
        <v>9749</v>
      </c>
      <c r="G305" s="3" t="s">
        <v>11471</v>
      </c>
      <c r="H305" t="s">
        <v>9750</v>
      </c>
      <c r="I305" t="s">
        <v>12161</v>
      </c>
      <c r="J305" t="str">
        <f t="shared" si="13"/>
        <v>(${Variables:E1_1_1_100_kcat} * E1_1_1_100 * C04633 * C00006 )/(${Variables:E1_1_1_100_km} + (E1_1_1_100 * C04633 * C00006 ))</v>
      </c>
      <c r="K305" s="21" t="str">
        <f t="shared" si="14"/>
        <v>r304: C04633 + C00006  -&gt; C05762 + C00005 + C00080 | (${Variables:E1_1_1_100_kcat} * E1_1_1_100 * C04633 * C00006 )/(${Variables:E1_1_1_100_km} + (E1_1_1_100 * C04633 * C00006 ))</v>
      </c>
    </row>
    <row r="306" spans="1:11">
      <c r="A306" t="s">
        <v>2677</v>
      </c>
      <c r="B306" t="s">
        <v>2678</v>
      </c>
      <c r="C306" t="s">
        <v>15427</v>
      </c>
      <c r="D306">
        <v>305</v>
      </c>
      <c r="E306" t="str">
        <f t="shared" si="12"/>
        <v>E1_1_1_100</v>
      </c>
      <c r="F306" s="3" t="s">
        <v>9751</v>
      </c>
      <c r="G306" s="3" t="s">
        <v>11472</v>
      </c>
      <c r="H306" t="s">
        <v>9752</v>
      </c>
      <c r="I306" t="s">
        <v>12162</v>
      </c>
      <c r="J306" t="str">
        <f t="shared" si="13"/>
        <v>(${Variables:E1_1_1_100_kcat} * E1_1_1_100 * C04688 * C00006)/(${Variables:E1_1_1_100_km} + (E1_1_1_100 * C04688 * C00006))</v>
      </c>
      <c r="K306" s="21" t="str">
        <f t="shared" si="14"/>
        <v>r305: C04688 + C00006 -&gt; C05759 + C00005 + C00080 | (${Variables:E1_1_1_100_kcat} * E1_1_1_100 * C04688 * C00006)/(${Variables:E1_1_1_100_km} + (E1_1_1_100 * C04688 * C00006))</v>
      </c>
    </row>
    <row r="307" spans="1:11">
      <c r="A307" t="s">
        <v>2677</v>
      </c>
      <c r="B307" t="s">
        <v>2678</v>
      </c>
      <c r="C307" t="s">
        <v>15427</v>
      </c>
      <c r="D307">
        <v>306</v>
      </c>
      <c r="E307" t="str">
        <f t="shared" si="12"/>
        <v>E1_1_1_100</v>
      </c>
      <c r="F307" s="3" t="s">
        <v>9753</v>
      </c>
      <c r="G307" s="3" t="s">
        <v>11473</v>
      </c>
      <c r="H307" t="s">
        <v>9754</v>
      </c>
      <c r="I307" t="s">
        <v>12163</v>
      </c>
      <c r="J307" t="str">
        <f t="shared" si="13"/>
        <v>(${Variables:E1_1_1_100_kcat} * E1_1_1_100 * C05747 * C00006 )/(${Variables:E1_1_1_100_km} + (E1_1_1_100 * C05747 * C00006 ))</v>
      </c>
      <c r="K307" s="21" t="str">
        <f t="shared" si="14"/>
        <v>r306: C05747 + C00006  -&gt;  C05746 + C00005 + C00080 | (${Variables:E1_1_1_100_kcat} * E1_1_1_100 * C05747 * C00006 )/(${Variables:E1_1_1_100_km} + (E1_1_1_100 * C05747 * C00006 ))</v>
      </c>
    </row>
    <row r="308" spans="1:11">
      <c r="A308" t="s">
        <v>2677</v>
      </c>
      <c r="B308" t="s">
        <v>2678</v>
      </c>
      <c r="C308" t="s">
        <v>15427</v>
      </c>
      <c r="D308">
        <v>307</v>
      </c>
      <c r="E308" t="str">
        <f t="shared" si="12"/>
        <v>E1_1_1_100</v>
      </c>
      <c r="F308" s="3" t="s">
        <v>9755</v>
      </c>
      <c r="G308" s="3" t="s">
        <v>11474</v>
      </c>
      <c r="H308" t="s">
        <v>9756</v>
      </c>
      <c r="I308" t="s">
        <v>12164</v>
      </c>
      <c r="J308" t="str">
        <f t="shared" si="13"/>
        <v>(${Variables:E1_1_1_100_kcat} * E1_1_1_100 * C05757 * C00006 )/(${Variables:E1_1_1_100_km} + (E1_1_1_100 * C05757 * C00006 ))</v>
      </c>
      <c r="K308" s="21" t="str">
        <f t="shared" si="14"/>
        <v>r307: C05757 + C00006  -&gt; C05756 + C00005 + C00080 | (${Variables:E1_1_1_100_kcat} * E1_1_1_100 * C05757 * C00006 )/(${Variables:E1_1_1_100_km} + (E1_1_1_100 * C05757 * C00006 ))</v>
      </c>
    </row>
    <row r="309" spans="1:11">
      <c r="A309" t="s">
        <v>2677</v>
      </c>
      <c r="B309" t="s">
        <v>2678</v>
      </c>
      <c r="C309" t="s">
        <v>15427</v>
      </c>
      <c r="D309">
        <v>308</v>
      </c>
      <c r="E309" t="str">
        <f t="shared" si="12"/>
        <v>E1_1_1_100</v>
      </c>
      <c r="F309" s="3" t="s">
        <v>9757</v>
      </c>
      <c r="G309" s="3" t="s">
        <v>11475</v>
      </c>
      <c r="H309" t="s">
        <v>9758</v>
      </c>
      <c r="I309" t="s">
        <v>12165</v>
      </c>
      <c r="J309" t="str">
        <f t="shared" si="13"/>
        <v>(${Variables:E1_1_1_100_kcat} * E1_1_1_100 * C16219 * C00005 * C00080 )/(${Variables:E1_1_1_100_km} + (E1_1_1_100 * C16219 * C00005 * C00080 ))</v>
      </c>
      <c r="K309" s="21" t="str">
        <f t="shared" si="14"/>
        <v>r308: C16219 + C00005 + C00080  -&gt; C16220 + C00006 | (${Variables:E1_1_1_100_kcat} * E1_1_1_100 * C16219 * C00005 * C00080 )/(${Variables:E1_1_1_100_km} + (E1_1_1_100 * C16219 * C00005 * C00080 ))</v>
      </c>
    </row>
    <row r="310" spans="1:11">
      <c r="A310" t="s">
        <v>2677</v>
      </c>
      <c r="B310" t="s">
        <v>2678</v>
      </c>
      <c r="C310" t="s">
        <v>15427</v>
      </c>
      <c r="D310">
        <v>309</v>
      </c>
      <c r="E310" t="str">
        <f t="shared" si="12"/>
        <v>E1_1_1_100</v>
      </c>
      <c r="F310" s="3" t="s">
        <v>9759</v>
      </c>
      <c r="G310" s="3" t="s">
        <v>11476</v>
      </c>
      <c r="H310" t="s">
        <v>9760</v>
      </c>
      <c r="I310" t="s">
        <v>12166</v>
      </c>
      <c r="J310" t="str">
        <f t="shared" si="13"/>
        <v>(${Variables:E1_1_1_100_kcat} * E1_1_1_100 * C20372 * C00005 * C00080)/(${Variables:E1_1_1_100_km} + (E1_1_1_100 * C20372 * C00005 * C00080))</v>
      </c>
      <c r="K310" s="21" t="str">
        <f t="shared" si="14"/>
        <v>r309: C20372 + C00005 + C00080 -&gt; C20373 + C00006 | (${Variables:E1_1_1_100_kcat} * E1_1_1_100 * C20372 * C00005 * C00080)/(${Variables:E1_1_1_100_km} + (E1_1_1_100 * C20372 * C00005 * C00080))</v>
      </c>
    </row>
    <row r="311" spans="1:11">
      <c r="A311" t="s">
        <v>2677</v>
      </c>
      <c r="B311" t="s">
        <v>2678</v>
      </c>
      <c r="C311" t="s">
        <v>15427</v>
      </c>
      <c r="D311">
        <v>310</v>
      </c>
      <c r="E311" t="str">
        <f t="shared" si="12"/>
        <v>E1_1_1_100</v>
      </c>
      <c r="F311" s="3" t="s">
        <v>9761</v>
      </c>
      <c r="G311" s="3" t="s">
        <v>11477</v>
      </c>
      <c r="H311" t="s">
        <v>9762</v>
      </c>
      <c r="I311" t="s">
        <v>12167</v>
      </c>
      <c r="J311" t="str">
        <f t="shared" si="13"/>
        <v>(${Variables:E1_1_1_100_kcat} * E1_1_1_100 * C20376 * C00005 * C00080)/(${Variables:E1_1_1_100_km} + (E1_1_1_100 * C20376 * C00005 * C00080))</v>
      </c>
      <c r="K311" s="21" t="str">
        <f t="shared" si="14"/>
        <v>r310: C20376 + C00005 + C00080 -&gt; C20377 + C00006 | (${Variables:E1_1_1_100_kcat} * E1_1_1_100 * C20376 * C00005 * C00080)/(${Variables:E1_1_1_100_km} + (E1_1_1_100 * C20376 * C00005 * C00080))</v>
      </c>
    </row>
    <row r="312" spans="1:11">
      <c r="A312" t="s">
        <v>2689</v>
      </c>
      <c r="B312" t="s">
        <v>2690</v>
      </c>
      <c r="C312" t="s">
        <v>15428</v>
      </c>
      <c r="D312">
        <v>311</v>
      </c>
      <c r="E312" t="str">
        <f t="shared" si="12"/>
        <v>E3_1_1_29</v>
      </c>
      <c r="F312" t="s">
        <v>10641</v>
      </c>
      <c r="G312" t="s">
        <v>11478</v>
      </c>
      <c r="H312" t="s">
        <v>10642</v>
      </c>
      <c r="I312" t="s">
        <v>12168</v>
      </c>
      <c r="J312" t="str">
        <f t="shared" si="13"/>
        <v>(${Variables:E3_1_1_29_kcat} * E3_1_1_29 * C03880 * C00001)/(${Variables:E3_1_1_29_km} + (E3_1_1_29 * C03880 * C00001))</v>
      </c>
      <c r="K312" s="21" t="str">
        <f t="shared" si="14"/>
        <v>r311: C03880 + C00001 -&gt; C03523 + C00066 | (${Variables:E3_1_1_29_kcat} * E3_1_1_29 * C03880 * C00001)/(${Variables:E3_1_1_29_km} + (E3_1_1_29 * C03880 * C00001))</v>
      </c>
    </row>
    <row r="313" spans="1:11">
      <c r="A313" t="s">
        <v>2696</v>
      </c>
      <c r="B313" t="s">
        <v>2697</v>
      </c>
      <c r="C313" t="s">
        <v>15429</v>
      </c>
      <c r="D313">
        <v>312</v>
      </c>
      <c r="E313" t="str">
        <f t="shared" si="12"/>
        <v>E1_2_1_12</v>
      </c>
      <c r="F313" t="s">
        <v>10643</v>
      </c>
      <c r="G313" t="s">
        <v>11479</v>
      </c>
      <c r="H313" t="s">
        <v>10644</v>
      </c>
      <c r="I313" t="s">
        <v>12169</v>
      </c>
      <c r="J313" t="str">
        <f t="shared" si="13"/>
        <v>(${Variables:E1_2_1_12_kcat} * E1_2_1_12 * C00118 * C00009 * C00003)/(${Variables:E1_2_1_12_km} + (E1_2_1_12 * C00118 * C00009 * C00003))</v>
      </c>
      <c r="K313" s="21" t="str">
        <f t="shared" si="14"/>
        <v>r312: C00118 + C00009 + C00003 -&gt; C00236 + C00004 + C00080 | (${Variables:E1_2_1_12_kcat} * E1_2_1_12 * C00118 * C00009 * C00003)/(${Variables:E1_2_1_12_km} + (E1_2_1_12 * C00118 * C00009 * C00003))</v>
      </c>
    </row>
    <row r="314" spans="1:11">
      <c r="A314" t="s">
        <v>2720</v>
      </c>
      <c r="B314" t="s">
        <v>2721</v>
      </c>
      <c r="C314" t="s">
        <v>15430</v>
      </c>
      <c r="D314">
        <v>313</v>
      </c>
      <c r="E314" t="str">
        <f t="shared" si="12"/>
        <v>E4_3_2_3</v>
      </c>
      <c r="F314" t="s">
        <v>8315</v>
      </c>
      <c r="G314" t="s">
        <v>8315</v>
      </c>
      <c r="H314" t="s">
        <v>8316</v>
      </c>
      <c r="I314" t="s">
        <v>12170</v>
      </c>
      <c r="J314" t="str">
        <f t="shared" si="13"/>
        <v>(${Variables:E4_3_2_3_kcat} * E4_3_2_3 * C00603)/(${Variables:E4_3_2_3_km} + (E4_3_2_3 * C00603))</v>
      </c>
      <c r="K314" s="21" t="str">
        <f t="shared" si="14"/>
        <v>r313: C00603 -&gt; C00048 + C00086 | (${Variables:E4_3_2_3_kcat} * E4_3_2_3 * C00603)/(${Variables:E4_3_2_3_km} + (E4_3_2_3 * C00603))</v>
      </c>
    </row>
    <row r="315" spans="1:11">
      <c r="A315" t="s">
        <v>2723</v>
      </c>
      <c r="B315" t="s">
        <v>2724</v>
      </c>
      <c r="C315" t="s">
        <v>15428</v>
      </c>
      <c r="D315">
        <v>314</v>
      </c>
      <c r="E315" t="str">
        <f t="shared" si="12"/>
        <v>E3_1_1_29</v>
      </c>
      <c r="F315" t="s">
        <v>10641</v>
      </c>
      <c r="G315" t="s">
        <v>11478</v>
      </c>
      <c r="H315" s="3" t="s">
        <v>15954</v>
      </c>
      <c r="I315" s="3" t="s">
        <v>15955</v>
      </c>
      <c r="J315" t="str">
        <f t="shared" si="13"/>
        <v>(${Variables:E3_1_1_29_kcat} * E3_1_1_29 * C03880 * C00001)/(${Variables:E3_1_1_29_km} + (E3_1_1_29 * C03880 * C00001))</v>
      </c>
      <c r="K315" s="21" t="str">
        <f t="shared" si="14"/>
        <v>r314: C03880 + C00001 -&gt; C03523 + C00066 | (${Variables:E3_1_1_29_kcat} * E3_1_1_29 * C03880 * C00001)/(${Variables:E3_1_1_29_km} + (E3_1_1_29 * C03880 * C00001))</v>
      </c>
    </row>
    <row r="316" spans="1:11">
      <c r="A316" t="s">
        <v>2733</v>
      </c>
      <c r="B316" t="s">
        <v>2734</v>
      </c>
      <c r="C316" t="s">
        <v>15431</v>
      </c>
      <c r="D316">
        <v>315</v>
      </c>
      <c r="E316" t="str">
        <f t="shared" si="12"/>
        <v>E2_7_6_1</v>
      </c>
      <c r="F316" t="s">
        <v>10645</v>
      </c>
      <c r="G316" t="s">
        <v>11480</v>
      </c>
      <c r="H316" t="s">
        <v>10646</v>
      </c>
      <c r="I316" t="s">
        <v>12171</v>
      </c>
      <c r="J316" t="str">
        <f t="shared" si="13"/>
        <v>(${Variables:E2_7_6_1_kcat} * E2_7_6_1 * C00002 * C00117)/(${Variables:E2_7_6_1_km} + (E2_7_6_1 * C00002 * C00117))</v>
      </c>
      <c r="K316" s="21" t="str">
        <f t="shared" si="14"/>
        <v>r315: C00002 + C00117 -&gt;  C00020 + C00119 | (${Variables:E2_7_6_1_kcat} * E2_7_6_1 * C00002 * C00117)/(${Variables:E2_7_6_1_km} + (E2_7_6_1 * C00002 * C00117))</v>
      </c>
    </row>
    <row r="317" spans="1:11">
      <c r="A317" t="s">
        <v>2772</v>
      </c>
      <c r="B317" t="s">
        <v>2773</v>
      </c>
      <c r="C317" t="s">
        <v>15432</v>
      </c>
      <c r="D317">
        <v>316</v>
      </c>
      <c r="E317" t="str">
        <f t="shared" si="12"/>
        <v>E2_4_2_19</v>
      </c>
      <c r="F317" t="s">
        <v>10647</v>
      </c>
      <c r="G317" t="s">
        <v>11481</v>
      </c>
      <c r="H317" t="s">
        <v>10648</v>
      </c>
      <c r="I317" t="s">
        <v>12172</v>
      </c>
      <c r="J317" t="str">
        <f t="shared" si="13"/>
        <v>(${Variables:E2_4_2_19_kcat} * E2_4_2_19 * C01185 * C00013 * C00011)/(${Variables:E2_4_2_19_km} + (E2_4_2_19 * C01185 * C00013 * C00011))</v>
      </c>
      <c r="K317" s="21" t="str">
        <f t="shared" si="14"/>
        <v>r316: C01185 + C00013 + C00011 -&gt; C03722 + C00119 | (${Variables:E2_4_2_19_kcat} * E2_4_2_19 * C01185 * C00013 * C00011)/(${Variables:E2_4_2_19_km} + (E2_4_2_19 * C01185 * C00013 * C00011))</v>
      </c>
    </row>
    <row r="318" spans="1:11">
      <c r="A318" t="s">
        <v>2776</v>
      </c>
      <c r="B318" t="s">
        <v>2777</v>
      </c>
      <c r="C318" t="s">
        <v>15433</v>
      </c>
      <c r="D318">
        <v>317</v>
      </c>
      <c r="E318" t="str">
        <f t="shared" si="12"/>
        <v>E2_5_1_72</v>
      </c>
      <c r="F318" t="s">
        <v>15913</v>
      </c>
      <c r="G318" t="s">
        <v>15914</v>
      </c>
      <c r="H318" t="s">
        <v>10649</v>
      </c>
      <c r="I318" t="s">
        <v>12173</v>
      </c>
      <c r="J318" t="str">
        <f t="shared" si="13"/>
        <v>(${Variables:E2_5_1_72_kcat} * E2_5_1_72 * C03722 * C00001 * C00009 )/(${Variables:E2_5_1_72_km} + (E2_5_1_72 * C03722 * C00001 * C00009 ))</v>
      </c>
      <c r="K318" s="21" t="str">
        <f t="shared" si="14"/>
        <v>r317: C03722 + C00001 + C00009  -&gt; C05840 + C00111 | (${Variables:E2_5_1_72_kcat} * E2_5_1_72 * C03722 * C00001 * C00009 )/(${Variables:E2_5_1_72_km} + (E2_5_1_72 * C03722 * C00001 * C00009 ))</v>
      </c>
    </row>
    <row r="319" spans="1:11">
      <c r="A319" t="s">
        <v>2784</v>
      </c>
      <c r="B319" t="s">
        <v>2785</v>
      </c>
      <c r="C319" t="s">
        <v>15434</v>
      </c>
      <c r="D319">
        <v>318</v>
      </c>
      <c r="E319" t="str">
        <f t="shared" si="12"/>
        <v>E3_6_1_8</v>
      </c>
      <c r="F319" t="s">
        <v>9801</v>
      </c>
      <c r="G319" t="s">
        <v>11482</v>
      </c>
      <c r="H319" t="s">
        <v>9802</v>
      </c>
      <c r="I319" t="s">
        <v>11609</v>
      </c>
      <c r="J319" t="str">
        <f t="shared" si="13"/>
        <v>(${Variables:E3_6_1_8_kcat} * E3_6_1_8 * C00002 * C00001)/(${Variables:E3_6_1_8_km} + (E3_6_1_8 * C00002 * C00001))</v>
      </c>
      <c r="K319" s="21" t="str">
        <f t="shared" si="14"/>
        <v>r318: C00002 + C00001 -&gt; C00020 + C00013 | (${Variables:E3_6_1_8_kcat} * E3_6_1_8 * C00002 * C00001)/(${Variables:E3_6_1_8_km} + (E3_6_1_8 * C00002 * C00001))</v>
      </c>
    </row>
    <row r="320" spans="1:11">
      <c r="A320" t="s">
        <v>2784</v>
      </c>
      <c r="B320" t="s">
        <v>2785</v>
      </c>
      <c r="C320" t="s">
        <v>15434</v>
      </c>
      <c r="D320">
        <v>319</v>
      </c>
      <c r="E320" t="str">
        <f t="shared" si="12"/>
        <v>E3_6_1_8</v>
      </c>
      <c r="F320" t="s">
        <v>10379</v>
      </c>
      <c r="G320" t="s">
        <v>11483</v>
      </c>
      <c r="H320" t="s">
        <v>10380</v>
      </c>
      <c r="I320" t="s">
        <v>12174</v>
      </c>
      <c r="J320" t="str">
        <f t="shared" si="13"/>
        <v>(${Variables:E3_6_1_8_kcat} * E3_6_1_8 * C00002 * C00001 )/(${Variables:E3_6_1_8_km} + (E3_6_1_8 * C00002 * C00001 ))</v>
      </c>
      <c r="K320" s="21" t="str">
        <f t="shared" si="14"/>
        <v>r319: C00002 + C00001  -&gt; C00008 + C00009 | (${Variables:E3_6_1_8_kcat} * E3_6_1_8 * C00002 * C00001 )/(${Variables:E3_6_1_8_km} + (E3_6_1_8 * C00002 * C00001 ))</v>
      </c>
    </row>
    <row r="321" spans="1:11">
      <c r="A321" t="s">
        <v>2790</v>
      </c>
      <c r="B321" t="s">
        <v>2791</v>
      </c>
      <c r="C321" t="s">
        <v>15435</v>
      </c>
      <c r="D321">
        <v>320</v>
      </c>
      <c r="E321" t="str">
        <f t="shared" si="12"/>
        <v>E4_2_1_11</v>
      </c>
      <c r="F321" t="s">
        <v>8335</v>
      </c>
      <c r="G321" t="s">
        <v>8335</v>
      </c>
      <c r="H321" t="s">
        <v>10650</v>
      </c>
      <c r="I321" t="s">
        <v>12175</v>
      </c>
      <c r="J321" t="str">
        <f t="shared" si="13"/>
        <v>(${Variables:E4_2_1_11_kcat} * E4_2_1_11 * C00631)/(${Variables:E4_2_1_11_km} + (E4_2_1_11 * C00631))</v>
      </c>
      <c r="K321" s="21" t="str">
        <f t="shared" si="14"/>
        <v>r320: C00631 -&gt; C00074 + C00001 | (${Variables:E4_2_1_11_kcat} * E4_2_1_11 * C00631)/(${Variables:E4_2_1_11_km} + (E4_2_1_11 * C00631))</v>
      </c>
    </row>
    <row r="322" spans="1:11">
      <c r="A322" t="s">
        <v>2790</v>
      </c>
      <c r="B322" t="s">
        <v>2791</v>
      </c>
      <c r="C322" t="s">
        <v>15435</v>
      </c>
      <c r="D322">
        <v>321</v>
      </c>
      <c r="E322" t="str">
        <f t="shared" si="12"/>
        <v>E4_2_1_11</v>
      </c>
      <c r="F322" t="s">
        <v>10381</v>
      </c>
      <c r="G322" t="s">
        <v>10381</v>
      </c>
      <c r="H322" t="s">
        <v>10382</v>
      </c>
      <c r="I322" t="s">
        <v>12176</v>
      </c>
      <c r="J322" t="str">
        <f t="shared" si="13"/>
        <v>(${Variables:E4_2_1_11_kcat} * E4_2_1_11 * C03356)/(${Variables:E4_2_1_11_km} + (E4_2_1_11 * C03356))</v>
      </c>
      <c r="K322" s="21" t="str">
        <f t="shared" si="14"/>
        <v>r321: C03356 -&gt; C04309 + C00001 | (${Variables:E4_2_1_11_kcat} * E4_2_1_11 * C03356)/(${Variables:E4_2_1_11_km} + (E4_2_1_11 * C03356))</v>
      </c>
    </row>
    <row r="323" spans="1:11">
      <c r="A323" t="s">
        <v>2800</v>
      </c>
      <c r="B323" t="s">
        <v>2801</v>
      </c>
      <c r="C323" t="s">
        <v>15436</v>
      </c>
      <c r="D323">
        <v>322</v>
      </c>
      <c r="E323" t="str">
        <f t="shared" ref="E323:E386" si="15">"E" &amp; C323</f>
        <v>E3_6_1_40</v>
      </c>
      <c r="F323" t="s">
        <v>10230</v>
      </c>
      <c r="G323" t="s">
        <v>11363</v>
      </c>
      <c r="H323" t="s">
        <v>10231</v>
      </c>
      <c r="I323" t="s">
        <v>12050</v>
      </c>
      <c r="J323" t="str">
        <f t="shared" ref="J323:J386" si="16">CONCATENATE("(${Variables:",E323,"_kcat","} * ",E323," * ",G323,")","/(${Variables:",E323,"_km","} + (",E323," * ",G323,"))")</f>
        <v>(${Variables:E3_6_1_40_kcat} * E3_6_1_40 * C04494 * C00001)/(${Variables:E3_6_1_40_km} + (E3_6_1_40 * C04494 * C00001))</v>
      </c>
      <c r="K323" s="21" t="str">
        <f t="shared" ref="K323:K386" si="17">CONCATENATE("r",D323,": ",F323," -&gt; ",H323," | ",J323)</f>
        <v>r322: C04494 + C00001 -&gt; C01228 + C00009 | (${Variables:E3_6_1_40_kcat} * E3_6_1_40 * C04494 * C00001)/(${Variables:E3_6_1_40_km} + (E3_6_1_40 * C04494 * C00001))</v>
      </c>
    </row>
    <row r="324" spans="1:11">
      <c r="A324" t="s">
        <v>2821</v>
      </c>
      <c r="B324" t="s">
        <v>2822</v>
      </c>
      <c r="C324" t="s">
        <v>15437</v>
      </c>
      <c r="D324">
        <v>323</v>
      </c>
      <c r="E324" t="str">
        <f t="shared" si="15"/>
        <v>E3_5_1_115</v>
      </c>
      <c r="F324" t="s">
        <v>10651</v>
      </c>
      <c r="G324" t="s">
        <v>11484</v>
      </c>
      <c r="H324" t="s">
        <v>10652</v>
      </c>
      <c r="I324" t="s">
        <v>12177</v>
      </c>
      <c r="J324" t="str">
        <f t="shared" si="16"/>
        <v>(${Variables:E3_5_1_115_kcat} * E3_5_1_115 * C20732 * C00001)/(${Variables:E3_5_1_115_km} + (E3_5_1_115 * C20732 * C00001))</v>
      </c>
      <c r="K324" s="21" t="str">
        <f t="shared" si="17"/>
        <v>r323: C20732 + C00001 -&gt; C05727 + C19702 | (${Variables:E3_5_1_115_kcat} * E3_5_1_115 * C20732 * C00001)/(${Variables:E3_5_1_115_km} + (E3_5_1_115 * C20732 * C00001))</v>
      </c>
    </row>
    <row r="325" spans="1:11">
      <c r="A325" t="s">
        <v>2826</v>
      </c>
      <c r="B325" t="s">
        <v>2827</v>
      </c>
      <c r="C325" t="s">
        <v>15438</v>
      </c>
      <c r="D325">
        <v>324</v>
      </c>
      <c r="E325" t="str">
        <f t="shared" si="15"/>
        <v>E2_5_1_68</v>
      </c>
      <c r="F325" t="s">
        <v>10653</v>
      </c>
      <c r="G325" t="s">
        <v>11485</v>
      </c>
      <c r="H325" t="s">
        <v>10654</v>
      </c>
      <c r="I325" t="s">
        <v>12178</v>
      </c>
      <c r="J325" t="str">
        <f t="shared" si="16"/>
        <v>(${Variables:E2_5_1_68_kcat} * E2_5_1_68 * C00341 * C00129)/(${Variables:E2_5_1_68_km} + (E2_5_1_68 * C00341 * C00129))</v>
      </c>
      <c r="K325" s="21" t="str">
        <f t="shared" si="17"/>
        <v>r324: C00341 + C00129 -&gt; C16826 + C00013 | (${Variables:E2_5_1_68_kcat} * E2_5_1_68 * C00341 * C00129)/(${Variables:E2_5_1_68_km} + (E2_5_1_68 * C00341 * C00129))</v>
      </c>
    </row>
    <row r="326" spans="1:11">
      <c r="A326" t="s">
        <v>2830</v>
      </c>
      <c r="B326" t="s">
        <v>2831</v>
      </c>
      <c r="C326" t="s">
        <v>15439</v>
      </c>
      <c r="D326">
        <v>325</v>
      </c>
      <c r="E326" t="str">
        <f t="shared" si="15"/>
        <v>E2_7_1_33</v>
      </c>
      <c r="F326" t="s">
        <v>10655</v>
      </c>
      <c r="G326" t="s">
        <v>11486</v>
      </c>
      <c r="H326" t="s">
        <v>10656</v>
      </c>
      <c r="I326" t="s">
        <v>12179</v>
      </c>
      <c r="J326" t="str">
        <f t="shared" si="16"/>
        <v>(${Variables:E2_7_1_33_kcat} * E2_7_1_33 * C00002 * C00864)/(${Variables:E2_7_1_33_km} + (E2_7_1_33 * C00002 * C00864))</v>
      </c>
      <c r="K326" s="21" t="str">
        <f t="shared" si="17"/>
        <v>r325: C00002 + C00864 -&gt; C00008 + C03492 | (${Variables:E2_7_1_33_kcat} * E2_7_1_33 * C00002 * C00864)/(${Variables:E2_7_1_33_km} + (E2_7_1_33 * C00002 * C00864))</v>
      </c>
    </row>
    <row r="327" spans="1:11">
      <c r="A327" t="s">
        <v>2830</v>
      </c>
      <c r="B327" t="s">
        <v>2831</v>
      </c>
      <c r="C327" t="s">
        <v>15439</v>
      </c>
      <c r="D327">
        <v>326</v>
      </c>
      <c r="E327" t="str">
        <f t="shared" si="15"/>
        <v>E2_7_1_33</v>
      </c>
      <c r="F327" t="s">
        <v>10383</v>
      </c>
      <c r="G327" t="s">
        <v>11487</v>
      </c>
      <c r="H327" t="s">
        <v>10384</v>
      </c>
      <c r="I327" t="s">
        <v>12180</v>
      </c>
      <c r="J327" t="str">
        <f t="shared" si="16"/>
        <v>(${Variables:E2_7_1_33_kcat} * E2_7_1_33 * C00002 * C00831)/(${Variables:E2_7_1_33_km} + (E2_7_1_33 * C00002 * C00831))</v>
      </c>
      <c r="K327" s="21" t="str">
        <f t="shared" si="17"/>
        <v>r326: C00002 + C00831 -&gt; C00008 + C01134 | (${Variables:E2_7_1_33_kcat} * E2_7_1_33 * C00002 * C00831)/(${Variables:E2_7_1_33_km} + (E2_7_1_33 * C00002 * C00831))</v>
      </c>
    </row>
    <row r="328" spans="1:11">
      <c r="A328" t="s">
        <v>2830</v>
      </c>
      <c r="B328" t="s">
        <v>2831</v>
      </c>
      <c r="C328" t="s">
        <v>15439</v>
      </c>
      <c r="D328">
        <v>327</v>
      </c>
      <c r="E328" t="str">
        <f t="shared" si="15"/>
        <v>E2_7_1_33</v>
      </c>
      <c r="F328" t="s">
        <v>10385</v>
      </c>
      <c r="G328" t="s">
        <v>11488</v>
      </c>
      <c r="H328" t="s">
        <v>10386</v>
      </c>
      <c r="I328" t="s">
        <v>12181</v>
      </c>
      <c r="J328" t="str">
        <f t="shared" si="16"/>
        <v>(${Variables:E2_7_1_33_kcat} * E2_7_1_33 * C00002 * C04079)/(${Variables:E2_7_1_33_km} + (E2_7_1_33 * C00002 * C04079))</v>
      </c>
      <c r="K328" s="21" t="str">
        <f t="shared" si="17"/>
        <v>r327: C00002 + C04079 -&gt; C00008 + C04352 | (${Variables:E2_7_1_33_kcat} * E2_7_1_33 * C00002 * C04079)/(${Variables:E2_7_1_33_km} + (E2_7_1_33 * C00002 * C04079))</v>
      </c>
    </row>
    <row r="329" spans="1:11">
      <c r="A329" t="s">
        <v>2834</v>
      </c>
      <c r="B329" t="s">
        <v>2835</v>
      </c>
      <c r="C329" t="s">
        <v>15440</v>
      </c>
      <c r="D329">
        <v>328</v>
      </c>
      <c r="E329" t="str">
        <f t="shared" si="15"/>
        <v>E2_1_2_1</v>
      </c>
      <c r="F329" t="s">
        <v>10657</v>
      </c>
      <c r="G329" t="s">
        <v>11489</v>
      </c>
      <c r="H329" t="s">
        <v>10658</v>
      </c>
      <c r="I329" t="s">
        <v>12182</v>
      </c>
      <c r="J329" t="str">
        <f t="shared" si="16"/>
        <v>(${Variables:E2_1_2_1_kcat} * E2_1_2_1 * C00143 * C00037 * C00001 )/(${Variables:E2_1_2_1_km} + (E2_1_2_1 * C00143 * C00037 * C00001 ))</v>
      </c>
      <c r="K329" s="21" t="str">
        <f t="shared" si="17"/>
        <v>r328: C00143 + C00037 + C00001  -&gt; C00101 + C00065 | (${Variables:E2_1_2_1_kcat} * E2_1_2_1 * C00143 * C00037 * C00001 )/(${Variables:E2_1_2_1_km} + (E2_1_2_1 * C00143 * C00037 * C00001 ))</v>
      </c>
    </row>
    <row r="330" spans="1:11">
      <c r="A330" t="s">
        <v>2834</v>
      </c>
      <c r="B330" t="s">
        <v>2835</v>
      </c>
      <c r="C330" t="s">
        <v>15440</v>
      </c>
      <c r="D330">
        <v>329</v>
      </c>
      <c r="E330" t="str">
        <f t="shared" si="15"/>
        <v>E2_1_2_1</v>
      </c>
      <c r="F330" t="s">
        <v>10387</v>
      </c>
      <c r="G330" t="s">
        <v>11490</v>
      </c>
      <c r="H330" t="s">
        <v>10388</v>
      </c>
      <c r="I330" t="s">
        <v>12183</v>
      </c>
      <c r="J330" t="str">
        <f t="shared" si="16"/>
        <v>(${Variables:E2_1_2_1_kcat} * E2_1_2_1 * C00065 * C01217 )/(${Variables:E2_1_2_1_km} + (E2_1_2_1 * C00065 * C01217 ))</v>
      </c>
      <c r="K330" s="21" t="str">
        <f t="shared" si="17"/>
        <v>r329: C00065 + C01217  -&gt; C04377 + C00037 + C00001 | (${Variables:E2_1_2_1_kcat} * E2_1_2_1 * C00065 * C01217 )/(${Variables:E2_1_2_1_km} + (E2_1_2_1 * C00065 * C01217 ))</v>
      </c>
    </row>
    <row r="331" spans="1:11">
      <c r="A331" t="s">
        <v>2860</v>
      </c>
      <c r="B331" t="s">
        <v>2861</v>
      </c>
      <c r="C331" t="s">
        <v>15441</v>
      </c>
      <c r="D331">
        <v>330</v>
      </c>
      <c r="E331" t="str">
        <f t="shared" si="15"/>
        <v>E4_2_1_2</v>
      </c>
      <c r="F331" t="s">
        <v>8359</v>
      </c>
      <c r="G331" t="s">
        <v>8359</v>
      </c>
      <c r="H331" t="s">
        <v>10659</v>
      </c>
      <c r="I331" t="s">
        <v>12184</v>
      </c>
      <c r="J331" t="str">
        <f t="shared" si="16"/>
        <v>(${Variables:E4_2_1_2_kcat} * E4_2_1_2 * C00149)/(${Variables:E4_2_1_2_km} + (E4_2_1_2 * C00149))</v>
      </c>
      <c r="K331" s="21" t="str">
        <f t="shared" si="17"/>
        <v>r330: C00149 -&gt; C00122 + C00001 | (${Variables:E4_2_1_2_kcat} * E4_2_1_2 * C00149)/(${Variables:E4_2_1_2_km} + (E4_2_1_2 * C00149))</v>
      </c>
    </row>
    <row r="332" spans="1:11">
      <c r="A332" t="s">
        <v>2864</v>
      </c>
      <c r="B332" t="s">
        <v>2865</v>
      </c>
      <c r="C332" t="s">
        <v>15442</v>
      </c>
      <c r="D332">
        <v>331</v>
      </c>
      <c r="E332" t="str">
        <f t="shared" si="15"/>
        <v>E3_1_3_11</v>
      </c>
      <c r="F332" t="s">
        <v>10660</v>
      </c>
      <c r="G332" t="s">
        <v>11491</v>
      </c>
      <c r="H332" t="s">
        <v>10661</v>
      </c>
      <c r="I332" t="s">
        <v>12185</v>
      </c>
      <c r="J332" t="str">
        <f t="shared" si="16"/>
        <v>(${Variables:E3_1_3_11_kcat} * E3_1_3_11 * C00354 * C00001)/(${Variables:E3_1_3_11_km} + (E3_1_3_11 * C00354 * C00001))</v>
      </c>
      <c r="K332" s="21" t="str">
        <f t="shared" si="17"/>
        <v>r331: C00354 + C00001 -&gt; C00085 + C00009 | (${Variables:E3_1_3_11_kcat} * E3_1_3_11 * C00354 * C00001)/(${Variables:E3_1_3_11_km} + (E3_1_3_11 * C00354 * C00001))</v>
      </c>
    </row>
    <row r="333" spans="1:11">
      <c r="A333" t="s">
        <v>2864</v>
      </c>
      <c r="B333" t="s">
        <v>2865</v>
      </c>
      <c r="C333" t="s">
        <v>15442</v>
      </c>
      <c r="D333">
        <v>332</v>
      </c>
      <c r="E333" t="str">
        <f t="shared" si="15"/>
        <v>E3_1_3_11</v>
      </c>
      <c r="F333" t="s">
        <v>10389</v>
      </c>
      <c r="G333" t="s">
        <v>11492</v>
      </c>
      <c r="H333" t="s">
        <v>10390</v>
      </c>
      <c r="I333" t="s">
        <v>12186</v>
      </c>
      <c r="J333" t="str">
        <f t="shared" si="16"/>
        <v>(${Variables:E3_1_3_11_kcat} * E3_1_3_11 * C05378 * C00001)/(${Variables:E3_1_3_11_km} + (E3_1_3_11 * C05378 * C00001))</v>
      </c>
      <c r="K333" s="21" t="str">
        <f t="shared" si="17"/>
        <v>r332: C05378 + C00001 -&gt; C05345 + C00009 | (${Variables:E3_1_3_11_kcat} * E3_1_3_11 * C05378 * C00001)/(${Variables:E3_1_3_11_km} + (E3_1_3_11 * C05378 * C00001))</v>
      </c>
    </row>
    <row r="334" spans="1:11">
      <c r="A334" t="s">
        <v>2864</v>
      </c>
      <c r="B334" t="s">
        <v>2865</v>
      </c>
      <c r="C334" t="s">
        <v>15442</v>
      </c>
      <c r="D334">
        <v>333</v>
      </c>
      <c r="E334" t="str">
        <f t="shared" si="15"/>
        <v>E3_1_3_11</v>
      </c>
      <c r="F334" t="s">
        <v>10391</v>
      </c>
      <c r="G334" t="s">
        <v>11493</v>
      </c>
      <c r="H334" t="s">
        <v>10392</v>
      </c>
      <c r="I334" t="s">
        <v>12187</v>
      </c>
      <c r="J334" t="str">
        <f t="shared" si="16"/>
        <v>(${Variables:E3_1_3_11_kcat} * E3_1_3_11 * C00447 * C00001)/(${Variables:E3_1_3_11_km} + (E3_1_3_11 * C00447 * C00001))</v>
      </c>
      <c r="K334" s="21" t="str">
        <f t="shared" si="17"/>
        <v>r333: C00447 + C00001 -&gt; C05382 + C00009 | (${Variables:E3_1_3_11_kcat} * E3_1_3_11 * C00447 * C00001)/(${Variables:E3_1_3_11_km} + (E3_1_3_11 * C00447 * C00001))</v>
      </c>
    </row>
    <row r="335" spans="1:11">
      <c r="A335" t="s">
        <v>2879</v>
      </c>
      <c r="B335" t="s">
        <v>2880</v>
      </c>
      <c r="C335" t="s">
        <v>15443</v>
      </c>
      <c r="D335">
        <v>334</v>
      </c>
      <c r="E335" t="str">
        <f t="shared" si="15"/>
        <v>E1_17_7_4</v>
      </c>
      <c r="F335" t="s">
        <v>15956</v>
      </c>
      <c r="G335" t="s">
        <v>15775</v>
      </c>
      <c r="H335" t="s">
        <v>15776</v>
      </c>
      <c r="I335" t="s">
        <v>15778</v>
      </c>
      <c r="J335" t="str">
        <f t="shared" si="16"/>
        <v>(${Variables:E1_17_7_4_kcat} * E1_17_7_4 * C11811 * C00138 * C00080)/(${Variables:E1_17_7_4_km} + (E1_17_7_4 * C11811 * C00138 * C00080))</v>
      </c>
      <c r="K335" s="21" t="str">
        <f t="shared" si="17"/>
        <v>r334: C11811 +  C00138 +  C00080 -&gt; C00129 + C00139 + C00001 | (${Variables:E1_17_7_4_kcat} * E1_17_7_4 * C11811 * C00138 * C00080)/(${Variables:E1_17_7_4_km} + (E1_17_7_4 * C11811 * C00138 * C00080))</v>
      </c>
    </row>
    <row r="336" spans="1:11">
      <c r="A336" t="s">
        <v>2879</v>
      </c>
      <c r="B336" t="s">
        <v>2880</v>
      </c>
      <c r="C336" t="s">
        <v>15443</v>
      </c>
      <c r="D336">
        <v>335</v>
      </c>
      <c r="E336" t="str">
        <f t="shared" si="15"/>
        <v>E1_17_7_4</v>
      </c>
      <c r="F336" t="s">
        <v>15915</v>
      </c>
      <c r="G336" t="s">
        <v>15774</v>
      </c>
      <c r="H336" t="s">
        <v>15777</v>
      </c>
      <c r="I336" t="s">
        <v>15775</v>
      </c>
      <c r="J336" t="str">
        <f t="shared" si="16"/>
        <v>(${Variables:E1_17_7_4_kcat} * E1_17_7_4 * C00235 * C00139 * C00001)/(${Variables:E1_17_7_4_km} + (E1_17_7_4 * C00235 * C00139 * C00001))</v>
      </c>
      <c r="K336" s="21" t="str">
        <f t="shared" si="17"/>
        <v>r335: C00235 + C00139 + C00001 -&gt; C11811 + C00138 + C00080 | (${Variables:E1_17_7_4_kcat} * E1_17_7_4 * C00235 * C00139 * C00001)/(${Variables:E1_17_7_4_km} + (E1_17_7_4 * C00235 * C00139 * C00001))</v>
      </c>
    </row>
    <row r="337" spans="1:11">
      <c r="A337" t="s">
        <v>2917</v>
      </c>
      <c r="B337" t="s">
        <v>2918</v>
      </c>
      <c r="C337" t="s">
        <v>15444</v>
      </c>
      <c r="D337">
        <v>336</v>
      </c>
      <c r="E337" t="str">
        <f t="shared" si="15"/>
        <v>E1_17_1_9</v>
      </c>
      <c r="F337" t="s">
        <v>10662</v>
      </c>
      <c r="G337" t="s">
        <v>11494</v>
      </c>
      <c r="H337" t="s">
        <v>10663</v>
      </c>
      <c r="I337" t="s">
        <v>12188</v>
      </c>
      <c r="J337" t="str">
        <f t="shared" si="16"/>
        <v>(${Variables:E1_17_1_9_kcat} * E1_17_1_9 * C00058 * C00003 )/(${Variables:E1_17_1_9_km} + (E1_17_1_9 * C00058 * C00003 ))</v>
      </c>
      <c r="K337" s="21" t="str">
        <f t="shared" si="17"/>
        <v>r336: C00058 + C00003  -&gt; C00080 + C00011 + C00004 | (${Variables:E1_17_1_9_kcat} * E1_17_1_9 * C00058 * C00003 )/(${Variables:E1_17_1_9_km} + (E1_17_1_9 * C00058 * C00003 ))</v>
      </c>
    </row>
    <row r="338" spans="1:11">
      <c r="A338" t="s">
        <v>2921</v>
      </c>
      <c r="B338" t="s">
        <v>2922</v>
      </c>
      <c r="C338" t="s">
        <v>15445</v>
      </c>
      <c r="D338">
        <v>337</v>
      </c>
      <c r="E338" t="str">
        <f t="shared" si="15"/>
        <v>E1_17_5_3</v>
      </c>
      <c r="F338" t="s">
        <v>10664</v>
      </c>
      <c r="G338" t="s">
        <v>11495</v>
      </c>
      <c r="H338" t="s">
        <v>10665</v>
      </c>
      <c r="I338" t="s">
        <v>12189</v>
      </c>
      <c r="J338" t="str">
        <f t="shared" si="16"/>
        <v>(${Variables:E1_17_5_3_kcat} * E1_17_5_3 * C00058 * C15602)/(${Variables:E1_17_5_3_km} + (E1_17_5_3 * C00058 * C15602))</v>
      </c>
      <c r="K338" s="21" t="str">
        <f t="shared" si="17"/>
        <v>r337: C00058 + C15602 -&gt; C00011 + C15603 | (${Variables:E1_17_5_3_kcat} * E1_17_5_3 * C00058 * C15602)/(${Variables:E1_17_5_3_km} + (E1_17_5_3 * C00058 * C15602))</v>
      </c>
    </row>
    <row r="339" spans="1:11">
      <c r="A339" t="s">
        <v>2934</v>
      </c>
      <c r="B339" t="s">
        <v>2935</v>
      </c>
      <c r="C339" t="s">
        <v>15446</v>
      </c>
      <c r="D339">
        <v>338</v>
      </c>
      <c r="E339" t="str">
        <f t="shared" si="15"/>
        <v>E2_7_9_3</v>
      </c>
      <c r="F339" t="s">
        <v>10666</v>
      </c>
      <c r="G339" t="s">
        <v>11496</v>
      </c>
      <c r="H339" s="3" t="s">
        <v>10667</v>
      </c>
      <c r="I339" s="3" t="s">
        <v>15957</v>
      </c>
      <c r="J339" t="str">
        <f t="shared" si="16"/>
        <v>(${Variables:E2_7_9_3_kcat} * E2_7_9_3 * C00002 * C01528 * C00001 )/(${Variables:E2_7_9_3_km} + (E2_7_9_3 * C00002 * C01528 * C00001 ))</v>
      </c>
      <c r="K339" s="21" t="str">
        <f t="shared" si="17"/>
        <v>r338: C00002 + C01528 + C00001  -&gt; C00020 + C05172 + C00009 | (${Variables:E2_7_9_3_kcat} * E2_7_9_3 * C00002 * C01528 * C00001 )/(${Variables:E2_7_9_3_km} + (E2_7_9_3 * C00002 * C01528 * C00001 ))</v>
      </c>
    </row>
    <row r="340" spans="1:11">
      <c r="A340" t="s">
        <v>2940</v>
      </c>
      <c r="B340" t="s">
        <v>2941</v>
      </c>
      <c r="C340" t="s">
        <v>15447</v>
      </c>
      <c r="D340">
        <v>339</v>
      </c>
      <c r="E340" t="str">
        <f t="shared" si="15"/>
        <v>E2_9_1_1</v>
      </c>
      <c r="F340" t="s">
        <v>10668</v>
      </c>
      <c r="G340" t="s">
        <v>11497</v>
      </c>
      <c r="H340" t="s">
        <v>10669</v>
      </c>
      <c r="I340" t="s">
        <v>12190</v>
      </c>
      <c r="J340" t="str">
        <f t="shared" si="16"/>
        <v>(${Variables:E2_9_1_1_kcat} * E2_9_1_1 * C06481 * C05172)/(${Variables:E2_9_1_1_km} + (E2_9_1_1 * C06481 * C05172))</v>
      </c>
      <c r="K340" s="21" t="str">
        <f t="shared" si="17"/>
        <v>r339: C06481 + C05172 -&gt; C06482 + C00009 | (${Variables:E2_9_1_1_kcat} * E2_9_1_1 * C06481 * C05172)/(${Variables:E2_9_1_1_km} + (E2_9_1_1 * C06481 * C05172))</v>
      </c>
    </row>
    <row r="341" spans="1:11">
      <c r="A341" t="s">
        <v>2973</v>
      </c>
      <c r="B341" t="s">
        <v>2974</v>
      </c>
      <c r="C341" t="s">
        <v>15448</v>
      </c>
      <c r="D341">
        <v>340</v>
      </c>
      <c r="E341" t="str">
        <f t="shared" si="15"/>
        <v>E3_5_1_103</v>
      </c>
      <c r="F341" t="s">
        <v>10670</v>
      </c>
      <c r="G341" t="s">
        <v>11498</v>
      </c>
      <c r="H341" t="s">
        <v>10671</v>
      </c>
      <c r="I341" t="s">
        <v>12191</v>
      </c>
      <c r="J341" t="str">
        <f t="shared" si="16"/>
        <v>(${Variables:E3_5_1_103_kcat} * E3_5_1_103 * C19784 * C00001)/(${Variables:E3_5_1_103_km} + (E3_5_1_103 * C19784 * C00001))</v>
      </c>
      <c r="K341" s="21" t="str">
        <f t="shared" si="17"/>
        <v>r340: C19784 + C00001 -&gt; C19702 + C00033 | (${Variables:E3_5_1_103_kcat} * E3_5_1_103 * C19784 * C00001)/(${Variables:E3_5_1_103_km} + (E3_5_1_103 * C19784 * C00001))</v>
      </c>
    </row>
    <row r="342" spans="1:11">
      <c r="A342" t="s">
        <v>2983</v>
      </c>
      <c r="B342" t="s">
        <v>2984</v>
      </c>
      <c r="C342" t="s">
        <v>15449</v>
      </c>
      <c r="D342">
        <v>341</v>
      </c>
      <c r="E342" t="str">
        <f t="shared" si="15"/>
        <v>E2_6_1_83</v>
      </c>
      <c r="F342" t="s">
        <v>10672</v>
      </c>
      <c r="G342" t="s">
        <v>11499</v>
      </c>
      <c r="H342" t="s">
        <v>10673</v>
      </c>
      <c r="I342" t="s">
        <v>12192</v>
      </c>
      <c r="J342" t="str">
        <f t="shared" si="16"/>
        <v>(${Variables:E2_6_1_83_kcat} * E2_6_1_83 * C00666 * C00026)/(${Variables:E2_6_1_83_km} + (E2_6_1_83 * C00666 * C00026))</v>
      </c>
      <c r="K342" s="21" t="str">
        <f t="shared" si="17"/>
        <v>r341: C00666 + C00026 -&gt; C03972 + C00025 + C00001 | (${Variables:E2_6_1_83_kcat} * E2_6_1_83 * C00666 * C00026)/(${Variables:E2_6_1_83_km} + (E2_6_1_83 * C00666 * C00026))</v>
      </c>
    </row>
    <row r="343" spans="1:11">
      <c r="A343" t="s">
        <v>3003</v>
      </c>
      <c r="B343" t="s">
        <v>3004</v>
      </c>
      <c r="C343" t="s">
        <v>15450</v>
      </c>
      <c r="D343">
        <v>342</v>
      </c>
      <c r="E343" t="str">
        <f t="shared" si="15"/>
        <v>E2_3_1_117</v>
      </c>
      <c r="F343" t="s">
        <v>10674</v>
      </c>
      <c r="G343" t="s">
        <v>11500</v>
      </c>
      <c r="H343" t="s">
        <v>10674</v>
      </c>
      <c r="I343" t="s">
        <v>11500</v>
      </c>
      <c r="J343" t="str">
        <f t="shared" si="16"/>
        <v>(${Variables:E2_3_1_117_kcat} * E2_3_1_117 * C00091 * C03972 * C00001)/(${Variables:E2_3_1_117_km} + (E2_3_1_117 * C00091 * C03972 * C00001))</v>
      </c>
      <c r="K343" s="21" t="str">
        <f t="shared" si="17"/>
        <v>r342: C00091 + C03972 + C00001 -&gt; C00091 + C03972 + C00001 | (${Variables:E2_3_1_117_kcat} * E2_3_1_117 * C00091 * C03972 * C00001)/(${Variables:E2_3_1_117_km} + (E2_3_1_117 * C00091 * C03972 * C00001))</v>
      </c>
    </row>
    <row r="344" spans="1:11">
      <c r="A344" t="s">
        <v>3010</v>
      </c>
      <c r="B344" t="s">
        <v>3011</v>
      </c>
      <c r="C344" t="s">
        <v>15319</v>
      </c>
      <c r="D344">
        <v>343</v>
      </c>
      <c r="E344" t="str">
        <f t="shared" si="15"/>
        <v>E3_5_1_18</v>
      </c>
      <c r="F344" t="s">
        <v>10675</v>
      </c>
      <c r="G344" t="s">
        <v>11501</v>
      </c>
      <c r="H344" t="s">
        <v>10500</v>
      </c>
      <c r="I344" t="s">
        <v>12008</v>
      </c>
      <c r="J344" t="str">
        <f t="shared" si="16"/>
        <v>(${Variables:E3_5_1_18_kcat} * E3_5_1_18 * C04421 * C00001)/(${Variables:E3_5_1_18_km} + (E3_5_1_18 * C04421 * C00001))</v>
      </c>
      <c r="K344" s="21" t="str">
        <f t="shared" si="17"/>
        <v>r343: C04421 + C00001 -&gt; C00042 + C00666 | (${Variables:E3_5_1_18_kcat} * E3_5_1_18 * C04421 * C00001)/(${Variables:E3_5_1_18_km} + (E3_5_1_18 * C04421 * C00001))</v>
      </c>
    </row>
    <row r="345" spans="1:11">
      <c r="A345" t="s">
        <v>3030</v>
      </c>
      <c r="B345" t="s">
        <v>3031</v>
      </c>
      <c r="C345" t="s">
        <v>15451</v>
      </c>
      <c r="D345">
        <v>344</v>
      </c>
      <c r="E345" t="str">
        <f t="shared" si="15"/>
        <v>E2_1_1_188</v>
      </c>
      <c r="F345" t="s">
        <v>10676</v>
      </c>
      <c r="G345" t="s">
        <v>11502</v>
      </c>
      <c r="H345" t="s">
        <v>10677</v>
      </c>
      <c r="I345" t="s">
        <v>12193</v>
      </c>
      <c r="J345" t="str">
        <f t="shared" si="16"/>
        <v>(${Variables:E2_1_1_188_kcat} * E2_1_1_188 * C00019 * C00240 )/(${Variables:E2_1_1_188_km} + (E2_1_1_188 * C00019 * C00240 ))</v>
      </c>
      <c r="K345" s="21" t="str">
        <f t="shared" si="17"/>
        <v>r344: C00019 + C00240  -&gt; C00021 + C04152 | (${Variables:E2_1_1_188_kcat} * E2_1_1_188 * C00019 * C00240 )/(${Variables:E2_1_1_188_km} + (E2_1_1_188 * C00019 * C00240 ))</v>
      </c>
    </row>
    <row r="346" spans="1:11">
      <c r="A346" t="s">
        <v>3034</v>
      </c>
      <c r="B346" t="s">
        <v>3035</v>
      </c>
      <c r="C346" t="s">
        <v>15452</v>
      </c>
      <c r="D346">
        <v>345</v>
      </c>
      <c r="E346" t="str">
        <f t="shared" si="15"/>
        <v>E3_2_1_26</v>
      </c>
      <c r="F346" t="s">
        <v>10395</v>
      </c>
      <c r="G346" t="s">
        <v>11503</v>
      </c>
      <c r="H346" t="s">
        <v>10404</v>
      </c>
      <c r="I346" t="s">
        <v>12194</v>
      </c>
      <c r="J346" t="str">
        <f t="shared" si="16"/>
        <v>(${Variables:E3_2_1_26_kcat} * E3_2_1_26 * C00089 * C00001)/(${Variables:E3_2_1_26_km} + (E3_2_1_26 * C00089 * C00001))</v>
      </c>
      <c r="K346" s="21" t="str">
        <f t="shared" si="17"/>
        <v>r345: C00089 + C00001 -&gt; C00095 + C00031 | (${Variables:E3_2_1_26_kcat} * E3_2_1_26 * C00089 * C00001)/(${Variables:E3_2_1_26_km} + (E3_2_1_26 * C00089 * C00001))</v>
      </c>
    </row>
    <row r="347" spans="1:11">
      <c r="A347" t="s">
        <v>3034</v>
      </c>
      <c r="B347" t="s">
        <v>3035</v>
      </c>
      <c r="C347" t="s">
        <v>15452</v>
      </c>
      <c r="D347">
        <v>346</v>
      </c>
      <c r="E347" t="str">
        <f t="shared" si="15"/>
        <v>E3_2_1_26</v>
      </c>
      <c r="F347" t="s">
        <v>10395</v>
      </c>
      <c r="G347" t="s">
        <v>11503</v>
      </c>
      <c r="H347" t="s">
        <v>10396</v>
      </c>
      <c r="I347" t="s">
        <v>12195</v>
      </c>
      <c r="J347" t="str">
        <f t="shared" si="16"/>
        <v>(${Variables:E3_2_1_26_kcat} * E3_2_1_26 * C00089 * C00001)/(${Variables:E3_2_1_26_km} + (E3_2_1_26 * C00089 * C00001))</v>
      </c>
      <c r="K347" s="21" t="str">
        <f t="shared" si="17"/>
        <v>r346: C00089 + C00001 -&gt; C02336 + C00267 | (${Variables:E3_2_1_26_kcat} * E3_2_1_26 * C00089 * C00001)/(${Variables:E3_2_1_26_km} + (E3_2_1_26 * C00089 * C00001))</v>
      </c>
    </row>
    <row r="348" spans="1:11">
      <c r="A348" t="s">
        <v>3034</v>
      </c>
      <c r="B348" t="s">
        <v>3035</v>
      </c>
      <c r="C348" t="s">
        <v>15452</v>
      </c>
      <c r="D348">
        <v>347</v>
      </c>
      <c r="E348" t="str">
        <f t="shared" si="15"/>
        <v>E3_2_1_26</v>
      </c>
      <c r="F348" t="s">
        <v>10397</v>
      </c>
      <c r="G348" t="s">
        <v>11504</v>
      </c>
      <c r="H348" t="s">
        <v>10398</v>
      </c>
      <c r="I348" t="s">
        <v>12196</v>
      </c>
      <c r="J348" t="str">
        <f t="shared" si="16"/>
        <v>(${Variables:E3_2_1_26_kcat} * E3_2_1_26 * C00492 * C00001)/(${Variables:E3_2_1_26_km} + (E3_2_1_26 * C00492 * C00001))</v>
      </c>
      <c r="K348" s="21" t="str">
        <f t="shared" si="17"/>
        <v>r347: C00492 + C00001 -&gt; C05402 + C00095 | (${Variables:E3_2_1_26_kcat} * E3_2_1_26 * C00492 * C00001)/(${Variables:E3_2_1_26_km} + (E3_2_1_26 * C00492 * C00001))</v>
      </c>
    </row>
    <row r="349" spans="1:11">
      <c r="A349" t="s">
        <v>3034</v>
      </c>
      <c r="B349" t="s">
        <v>3035</v>
      </c>
      <c r="C349" t="s">
        <v>15452</v>
      </c>
      <c r="D349">
        <v>348</v>
      </c>
      <c r="E349" t="str">
        <f t="shared" si="15"/>
        <v>E3_2_1_26</v>
      </c>
      <c r="F349" t="s">
        <v>10399</v>
      </c>
      <c r="G349" t="s">
        <v>11505</v>
      </c>
      <c r="H349" t="s">
        <v>10400</v>
      </c>
      <c r="I349" t="s">
        <v>12197</v>
      </c>
      <c r="J349" t="str">
        <f t="shared" si="16"/>
        <v>(${Variables:E3_2_1_26_kcat} * E3_2_1_26 * C01613 * C00001)/(${Variables:E3_2_1_26_km} + (E3_2_1_26 * C01613 * C00001))</v>
      </c>
      <c r="K349" s="21" t="str">
        <f t="shared" si="17"/>
        <v>r348: C01613 + C00001 -&gt; C05404 + C00095 | (${Variables:E3_2_1_26_kcat} * E3_2_1_26 * C01613 * C00001)/(${Variables:E3_2_1_26_km} + (E3_2_1_26 * C01613 * C00001))</v>
      </c>
    </row>
    <row r="350" spans="1:11">
      <c r="A350" t="s">
        <v>3034</v>
      </c>
      <c r="B350" t="s">
        <v>3035</v>
      </c>
      <c r="C350" t="s">
        <v>15452</v>
      </c>
      <c r="D350">
        <v>349</v>
      </c>
      <c r="E350" t="str">
        <f t="shared" si="15"/>
        <v>E3_2_1_26</v>
      </c>
      <c r="F350" t="s">
        <v>10401</v>
      </c>
      <c r="G350" t="s">
        <v>11506</v>
      </c>
      <c r="H350" t="s">
        <v>10402</v>
      </c>
      <c r="I350" t="s">
        <v>12198</v>
      </c>
      <c r="J350" t="str">
        <f t="shared" si="16"/>
        <v>(${Variables:E3_2_1_26_kcat} * E3_2_1_26 * C16688 * C00001)/(${Variables:E3_2_1_26_km} + (E3_2_1_26 * C16688 * C00001))</v>
      </c>
      <c r="K350" s="21" t="str">
        <f t="shared" si="17"/>
        <v>r349: C16688 + C00001 -&gt; C00095 + C00092 | (${Variables:E3_2_1_26_kcat} * E3_2_1_26 * C16688 * C00001)/(${Variables:E3_2_1_26_km} + (E3_2_1_26 * C16688 * C00001))</v>
      </c>
    </row>
    <row r="351" spans="1:11">
      <c r="A351" t="s">
        <v>3034</v>
      </c>
      <c r="B351" t="s">
        <v>3035</v>
      </c>
      <c r="C351" t="s">
        <v>15452</v>
      </c>
      <c r="D351">
        <v>350</v>
      </c>
      <c r="E351" t="str">
        <f t="shared" si="15"/>
        <v>E3_2_1_26</v>
      </c>
      <c r="F351" t="s">
        <v>10403</v>
      </c>
      <c r="G351" t="s">
        <v>11507</v>
      </c>
      <c r="H351" t="s">
        <v>10404</v>
      </c>
      <c r="I351" t="s">
        <v>12194</v>
      </c>
      <c r="J351" t="str">
        <f t="shared" si="16"/>
        <v>(${Variables:E3_2_1_26_kcat} * E3_2_1_26 * G00370 * C00001 )/(${Variables:E3_2_1_26_km} + (E3_2_1_26 * G00370 * C00001 ))</v>
      </c>
      <c r="K351" s="21" t="str">
        <f t="shared" si="17"/>
        <v>r350: G00370 + C00001  -&gt; C00095 + C00031 | (${Variables:E3_2_1_26_kcat} * E3_2_1_26 * G00370 * C00001 )/(${Variables:E3_2_1_26_km} + (E3_2_1_26 * G00370 * C00001 ))</v>
      </c>
    </row>
    <row r="352" spans="1:11">
      <c r="A352" t="s">
        <v>3034</v>
      </c>
      <c r="B352" t="s">
        <v>3035</v>
      </c>
      <c r="C352" t="s">
        <v>15452</v>
      </c>
      <c r="D352">
        <v>351</v>
      </c>
      <c r="E352" t="str">
        <f t="shared" si="15"/>
        <v>E3_2_1_26</v>
      </c>
      <c r="F352" t="s">
        <v>10405</v>
      </c>
      <c r="G352" t="s">
        <v>11508</v>
      </c>
      <c r="H352" t="s">
        <v>10396</v>
      </c>
      <c r="I352" t="s">
        <v>12195</v>
      </c>
      <c r="J352" t="str">
        <f t="shared" si="16"/>
        <v>(${Variables:E3_2_1_26_kcat} * E3_2_1_26 * G00370 * C00001)/(${Variables:E3_2_1_26_km} + (E3_2_1_26 * G00370 * C00001))</v>
      </c>
      <c r="K352" s="21" t="str">
        <f t="shared" si="17"/>
        <v>r351: G00370 + C00001 -&gt; C02336 + C00267 | (${Variables:E3_2_1_26_kcat} * E3_2_1_26 * G00370 * C00001)/(${Variables:E3_2_1_26_km} + (E3_2_1_26 * G00370 * C00001))</v>
      </c>
    </row>
    <row r="353" spans="1:11">
      <c r="A353" t="s">
        <v>3034</v>
      </c>
      <c r="B353" t="s">
        <v>3035</v>
      </c>
      <c r="C353" t="s">
        <v>15452</v>
      </c>
      <c r="D353">
        <v>352</v>
      </c>
      <c r="E353" t="str">
        <f t="shared" si="15"/>
        <v>E3_2_1_26</v>
      </c>
      <c r="F353" t="s">
        <v>10406</v>
      </c>
      <c r="G353" t="s">
        <v>11509</v>
      </c>
      <c r="H353" t="s">
        <v>10407</v>
      </c>
      <c r="I353" t="s">
        <v>12199</v>
      </c>
      <c r="J353" t="str">
        <f t="shared" si="16"/>
        <v>(${Variables:E3_2_1_26_kcat} * E3_2_1_26 * G00249 * C00001 )/(${Variables:E3_2_1_26_km} + (E3_2_1_26 * G00249 * C00001 ))</v>
      </c>
      <c r="K353" s="21" t="str">
        <f t="shared" si="17"/>
        <v>r352: G00249 + C00001  -&gt; G01275 + C00095 | (${Variables:E3_2_1_26_kcat} * E3_2_1_26 * G00249 * C00001 )/(${Variables:E3_2_1_26_km} + (E3_2_1_26 * G00249 * C00001 ))</v>
      </c>
    </row>
    <row r="354" spans="1:11">
      <c r="A354" t="s">
        <v>3034</v>
      </c>
      <c r="B354" t="s">
        <v>3035</v>
      </c>
      <c r="C354" t="s">
        <v>15452</v>
      </c>
      <c r="D354">
        <v>353</v>
      </c>
      <c r="E354" t="str">
        <f t="shared" si="15"/>
        <v>E3_2_1_26</v>
      </c>
      <c r="F354" t="s">
        <v>10408</v>
      </c>
      <c r="G354" t="s">
        <v>11510</v>
      </c>
      <c r="H354" t="s">
        <v>10409</v>
      </c>
      <c r="I354" t="s">
        <v>12200</v>
      </c>
      <c r="J354" t="str">
        <f t="shared" si="16"/>
        <v>(${Variables:E3_2_1_26_kcat} * E3_2_1_26 * G00278 * C00001)/(${Variables:E3_2_1_26_km} + (E3_2_1_26 * G00278 * C00001))</v>
      </c>
      <c r="K354" s="21" t="str">
        <f t="shared" si="17"/>
        <v>r353: G00278 + C00001 -&gt; G00501 + C00095 | (${Variables:E3_2_1_26_kcat} * E3_2_1_26 * G00278 * C00001)/(${Variables:E3_2_1_26_km} + (E3_2_1_26 * G00278 * C00001))</v>
      </c>
    </row>
    <row r="355" spans="1:11">
      <c r="A355" t="s">
        <v>3034</v>
      </c>
      <c r="B355" t="s">
        <v>3035</v>
      </c>
      <c r="C355" t="s">
        <v>15452</v>
      </c>
      <c r="D355">
        <v>354</v>
      </c>
      <c r="E355" t="str">
        <f t="shared" si="15"/>
        <v>E3_2_1_26</v>
      </c>
      <c r="F355" t="s">
        <v>10410</v>
      </c>
      <c r="G355" t="s">
        <v>11511</v>
      </c>
      <c r="H355" t="s">
        <v>10411</v>
      </c>
      <c r="I355" t="s">
        <v>12201</v>
      </c>
      <c r="J355" t="str">
        <f t="shared" si="16"/>
        <v>(${Variables:E3_2_1_26_kcat} * E3_2_1_26 * G10508 * C00001)/(${Variables:E3_2_1_26_km} + (E3_2_1_26 * G10508 * C00001))</v>
      </c>
      <c r="K355" s="21" t="str">
        <f t="shared" si="17"/>
        <v>r354: G10508 + C00001 -&gt; C02336 + C00668 | (${Variables:E3_2_1_26_kcat} * E3_2_1_26 * G10508 * C00001)/(${Variables:E3_2_1_26_km} + (E3_2_1_26 * G10508 * C00001))</v>
      </c>
    </row>
    <row r="356" spans="1:11">
      <c r="A356" t="s">
        <v>3084</v>
      </c>
      <c r="B356" t="s">
        <v>3085</v>
      </c>
      <c r="C356" t="s">
        <v>15453</v>
      </c>
      <c r="D356">
        <v>355</v>
      </c>
      <c r="E356" t="str">
        <f t="shared" si="15"/>
        <v>E3_6_1_65</v>
      </c>
      <c r="F356" t="s">
        <v>10678</v>
      </c>
      <c r="G356" t="s">
        <v>11512</v>
      </c>
      <c r="H356" t="s">
        <v>9806</v>
      </c>
      <c r="I356" t="s">
        <v>12202</v>
      </c>
      <c r="J356" t="str">
        <f t="shared" si="16"/>
        <v>(${Variables:E3_6_1_65_kcat} * E3_6_1_65 * C00063 * C00001)/(${Variables:E3_6_1_65_km} + (E3_6_1_65 * C00063 * C00001))</v>
      </c>
      <c r="K356" s="21" t="str">
        <f t="shared" si="17"/>
        <v>r355: C00063 + C00001 -&gt; C00055 + C00013 | (${Variables:E3_6_1_65_kcat} * E3_6_1_65 * C00063 * C00001)/(${Variables:E3_6_1_65_km} + (E3_6_1_65 * C00063 * C00001))</v>
      </c>
    </row>
    <row r="357" spans="1:11">
      <c r="A357" t="s">
        <v>3084</v>
      </c>
      <c r="B357" t="s">
        <v>3085</v>
      </c>
      <c r="C357" t="s">
        <v>15453</v>
      </c>
      <c r="D357">
        <v>356</v>
      </c>
      <c r="E357" t="str">
        <f t="shared" si="15"/>
        <v>E3_6_1_65</v>
      </c>
      <c r="F357" t="s">
        <v>10412</v>
      </c>
      <c r="G357" t="s">
        <v>11513</v>
      </c>
      <c r="H357" t="s">
        <v>10413</v>
      </c>
      <c r="I357" t="s">
        <v>12203</v>
      </c>
      <c r="J357" t="str">
        <f t="shared" si="16"/>
        <v>(${Variables:E3_6_1_65_kcat} * E3_6_1_65 * C00458 * C00001)/(${Variables:E3_6_1_65_km} + (E3_6_1_65 * C00458 * C00001))</v>
      </c>
      <c r="K357" s="21" t="str">
        <f t="shared" si="17"/>
        <v>r356: C00458 + C00001 -&gt; C00239 + C00013 | (${Variables:E3_6_1_65_kcat} * E3_6_1_65 * C00458 * C00001)/(${Variables:E3_6_1_65_km} + (E3_6_1_65 * C00458 * C00001))</v>
      </c>
    </row>
    <row r="358" spans="1:11">
      <c r="A358" t="s">
        <v>3091</v>
      </c>
      <c r="B358" t="s">
        <v>3092</v>
      </c>
      <c r="C358" t="s">
        <v>15454</v>
      </c>
      <c r="D358">
        <v>357</v>
      </c>
      <c r="E358" t="str">
        <f t="shared" si="15"/>
        <v>E3_5_3_8</v>
      </c>
      <c r="F358" t="s">
        <v>10679</v>
      </c>
      <c r="G358" t="s">
        <v>11514</v>
      </c>
      <c r="H358" t="s">
        <v>10680</v>
      </c>
      <c r="I358" t="s">
        <v>12204</v>
      </c>
      <c r="J358" t="str">
        <f t="shared" si="16"/>
        <v>(${Variables:E3_5_3_8_kcat} * E3_5_3_8 * C00439 * C00001)/(${Variables:E3_5_3_8_km} + (E3_5_3_8 * C00439 * C00001))</v>
      </c>
      <c r="K358" s="21" t="str">
        <f t="shared" si="17"/>
        <v>r357: C00439 + C00001 -&gt; C00025 + C00488 | (${Variables:E3_5_3_8_kcat} * E3_5_3_8 * C00439 * C00001)/(${Variables:E3_5_3_8_km} + (E3_5_3_8 * C00439 * C00001))</v>
      </c>
    </row>
    <row r="359" spans="1:11">
      <c r="A359" t="s">
        <v>3099</v>
      </c>
      <c r="B359" t="s">
        <v>3100</v>
      </c>
      <c r="C359" t="s">
        <v>15455</v>
      </c>
      <c r="D359">
        <v>358</v>
      </c>
      <c r="E359" t="str">
        <f t="shared" si="15"/>
        <v>E4_3_1_3</v>
      </c>
      <c r="F359" t="s">
        <v>8417</v>
      </c>
      <c r="G359" t="s">
        <v>8417</v>
      </c>
      <c r="H359" t="s">
        <v>10681</v>
      </c>
      <c r="I359" t="s">
        <v>12205</v>
      </c>
      <c r="J359" t="str">
        <f t="shared" si="16"/>
        <v>(${Variables:E4_3_1_3_kcat} * E4_3_1_3 * C00135)/(${Variables:E4_3_1_3_km} + (E4_3_1_3 * C00135))</v>
      </c>
      <c r="K359" s="21" t="str">
        <f t="shared" si="17"/>
        <v>r358: C00135 -&gt; C00785 + C00014 | (${Variables:E4_3_1_3_kcat} * E4_3_1_3 * C00135)/(${Variables:E4_3_1_3_km} + (E4_3_1_3 * C00135))</v>
      </c>
    </row>
    <row r="360" spans="1:11">
      <c r="A360" t="s">
        <v>3099</v>
      </c>
      <c r="B360" t="s">
        <v>3100</v>
      </c>
      <c r="C360" t="s">
        <v>15455</v>
      </c>
      <c r="D360">
        <v>359</v>
      </c>
      <c r="E360" t="str">
        <f t="shared" si="15"/>
        <v>E4_3_1_3</v>
      </c>
      <c r="F360" t="s">
        <v>8794</v>
      </c>
      <c r="G360" t="s">
        <v>8794</v>
      </c>
      <c r="H360" t="s">
        <v>10414</v>
      </c>
      <c r="I360" t="s">
        <v>12206</v>
      </c>
      <c r="J360" t="str">
        <f t="shared" si="16"/>
        <v>(${Variables:E4_3_1_3_kcat} * E4_3_1_3 * C05167)/(${Variables:E4_3_1_3_km} + (E4_3_1_3 * C05167))</v>
      </c>
      <c r="K360" s="21" t="str">
        <f t="shared" si="17"/>
        <v>r359: C05167 -&gt; C11823 + C00014 | (${Variables:E4_3_1_3_kcat} * E4_3_1_3 * C05167)/(${Variables:E4_3_1_3_km} + (E4_3_1_3 * C05167))</v>
      </c>
    </row>
    <row r="361" spans="1:11">
      <c r="A361" t="s">
        <v>3106</v>
      </c>
      <c r="B361" t="s">
        <v>3107</v>
      </c>
      <c r="C361" t="s">
        <v>15456</v>
      </c>
      <c r="D361">
        <v>360</v>
      </c>
      <c r="E361" t="str">
        <f t="shared" si="15"/>
        <v>E4_2_1_49</v>
      </c>
      <c r="F361" t="s">
        <v>8421</v>
      </c>
      <c r="G361" t="s">
        <v>8421</v>
      </c>
      <c r="H361" t="s">
        <v>10682</v>
      </c>
      <c r="I361" t="s">
        <v>12207</v>
      </c>
      <c r="J361" t="str">
        <f t="shared" si="16"/>
        <v>(${Variables:E4_2_1_49_kcat} * E4_2_1_49 * C03680)/(${Variables:E4_2_1_49_km} + (E4_2_1_49 * C03680))</v>
      </c>
      <c r="K361" s="21" t="str">
        <f t="shared" si="17"/>
        <v>r360: C03680 -&gt; C00785 + C00001 | (${Variables:E4_2_1_49_kcat} * E4_2_1_49 * C03680)/(${Variables:E4_2_1_49_km} + (E4_2_1_49 * C03680))</v>
      </c>
    </row>
    <row r="362" spans="1:11">
      <c r="A362" t="s">
        <v>3110</v>
      </c>
      <c r="B362" t="s">
        <v>3111</v>
      </c>
      <c r="C362" t="s">
        <v>15457</v>
      </c>
      <c r="D362">
        <v>361</v>
      </c>
      <c r="E362" t="str">
        <f t="shared" si="15"/>
        <v>E3_5_2_7</v>
      </c>
      <c r="F362" t="s">
        <v>10683</v>
      </c>
      <c r="G362" t="s">
        <v>11515</v>
      </c>
      <c r="H362" t="s">
        <v>8426</v>
      </c>
      <c r="I362" t="s">
        <v>8426</v>
      </c>
      <c r="J362" t="str">
        <f t="shared" si="16"/>
        <v>(${Variables:E3_5_2_7_kcat} * E3_5_2_7 * C03680 * C00001)/(${Variables:E3_5_2_7_km} + (E3_5_2_7 * C03680 * C00001))</v>
      </c>
      <c r="K362" s="21" t="str">
        <f t="shared" si="17"/>
        <v>r361: C03680 + C00001 -&gt; C00439 | (${Variables:E3_5_2_7_kcat} * E3_5_2_7 * C03680 * C00001)/(${Variables:E3_5_2_7_km} + (E3_5_2_7 * C03680 * C00001))</v>
      </c>
    </row>
    <row r="363" spans="1:11">
      <c r="A363" t="s">
        <v>3174</v>
      </c>
      <c r="B363" t="s">
        <v>3175</v>
      </c>
      <c r="C363" t="s">
        <v>15458</v>
      </c>
      <c r="D363">
        <v>362</v>
      </c>
      <c r="E363" t="str">
        <f t="shared" si="15"/>
        <v>E6_1_1_19</v>
      </c>
      <c r="F363" t="s">
        <v>10684</v>
      </c>
      <c r="G363" t="s">
        <v>11516</v>
      </c>
      <c r="H363" t="s">
        <v>10685</v>
      </c>
      <c r="I363" t="s">
        <v>12208</v>
      </c>
      <c r="J363" t="str">
        <f t="shared" si="16"/>
        <v>(${Variables:E6_1_1_19_kcat} * E6_1_1_19 * C00002 * C00062 * C01636)/(${Variables:E6_1_1_19_km} + (E6_1_1_19 * C00002 * C00062 * C01636))</v>
      </c>
      <c r="K363" s="21" t="str">
        <f t="shared" si="17"/>
        <v>r362: C00002 + C00062 + C01636 -&gt; C00020 + C00013 + C02163 | (${Variables:E6_1_1_19_kcat} * E6_1_1_19 * C00002 * C00062 * C01636)/(${Variables:E6_1_1_19_km} + (E6_1_1_19 * C00002 * C00062 * C01636))</v>
      </c>
    </row>
    <row r="364" spans="1:11">
      <c r="A364" t="s">
        <v>3178</v>
      </c>
      <c r="B364" t="s">
        <v>3179</v>
      </c>
      <c r="C364" t="s">
        <v>15459</v>
      </c>
      <c r="D364">
        <v>363</v>
      </c>
      <c r="E364" t="str">
        <f t="shared" si="15"/>
        <v>E4_1_1_20</v>
      </c>
      <c r="F364" t="s">
        <v>8433</v>
      </c>
      <c r="G364" t="s">
        <v>8433</v>
      </c>
      <c r="H364" t="s">
        <v>15958</v>
      </c>
      <c r="I364" t="s">
        <v>15916</v>
      </c>
      <c r="J364" t="str">
        <f t="shared" si="16"/>
        <v>(${Variables:E4_1_1_20_kcat} * E4_1_1_20 * C00680)/(${Variables:E4_1_1_20_km} + (E4_1_1_20 * C00680))</v>
      </c>
      <c r="K364" s="21" t="str">
        <f t="shared" si="17"/>
        <v>r363: C00680 -&gt; C00047 + C00011 | (${Variables:E4_1_1_20_kcat} * E4_1_1_20 * C00680)/(${Variables:E4_1_1_20_km} + (E4_1_1_20 * C00680))</v>
      </c>
    </row>
    <row r="365" spans="1:11">
      <c r="A365" t="s">
        <v>3182</v>
      </c>
      <c r="B365" t="s">
        <v>3183</v>
      </c>
      <c r="C365" t="s">
        <v>15460</v>
      </c>
      <c r="D365">
        <v>364</v>
      </c>
      <c r="E365" t="str">
        <f t="shared" si="15"/>
        <v>E1_1_1_3</v>
      </c>
      <c r="F365" t="s">
        <v>10686</v>
      </c>
      <c r="G365" t="s">
        <v>11517</v>
      </c>
      <c r="H365" t="s">
        <v>10687</v>
      </c>
      <c r="I365" t="s">
        <v>12209</v>
      </c>
      <c r="J365" t="str">
        <f t="shared" si="16"/>
        <v>(${Variables:E1_1_1_3_kcat} * E1_1_1_3 * C00263 * C00003)/(${Variables:E1_1_1_3_km} + (E1_1_1_3 * C00263 * C00003))</v>
      </c>
      <c r="K365" s="21" t="str">
        <f t="shared" si="17"/>
        <v>r364: C00263 + C00003 -&gt; C00441 + C00004 + C00080 | (${Variables:E1_1_1_3_kcat} * E1_1_1_3 * C00263 * C00003)/(${Variables:E1_1_1_3_km} + (E1_1_1_3 * C00263 * C00003))</v>
      </c>
    </row>
    <row r="366" spans="1:11">
      <c r="A366" t="s">
        <v>3182</v>
      </c>
      <c r="B366" t="s">
        <v>3183</v>
      </c>
      <c r="C366" t="s">
        <v>15460</v>
      </c>
      <c r="D366">
        <v>365</v>
      </c>
      <c r="E366" t="str">
        <f t="shared" si="15"/>
        <v>E1_1_1_3</v>
      </c>
      <c r="F366" t="s">
        <v>10415</v>
      </c>
      <c r="G366" t="s">
        <v>11518</v>
      </c>
      <c r="H366" t="s">
        <v>10416</v>
      </c>
      <c r="I366" t="s">
        <v>12210</v>
      </c>
      <c r="J366" t="str">
        <f t="shared" si="16"/>
        <v>(${Variables:E1_1_1_3_kcat} * E1_1_1_3 * C00263 * C00006)/(${Variables:E1_1_1_3_km} + (E1_1_1_3 * C00263 * C00006))</v>
      </c>
      <c r="K366" s="21" t="str">
        <f t="shared" si="17"/>
        <v>r365: C00263 + C00006 -&gt; C00441 + C00005 + C00080 | (${Variables:E1_1_1_3_kcat} * E1_1_1_3 * C00263 * C00006)/(${Variables:E1_1_1_3_km} + (E1_1_1_3 * C00263 * C00006))</v>
      </c>
    </row>
    <row r="367" spans="1:11">
      <c r="A367" t="s">
        <v>3186</v>
      </c>
      <c r="B367" t="s">
        <v>3187</v>
      </c>
      <c r="C367" t="s">
        <v>15461</v>
      </c>
      <c r="D367">
        <v>366</v>
      </c>
      <c r="E367" t="str">
        <f t="shared" si="15"/>
        <v>E2_7_1_39</v>
      </c>
      <c r="F367" t="s">
        <v>10688</v>
      </c>
      <c r="G367" t="s">
        <v>11519</v>
      </c>
      <c r="H367" t="s">
        <v>10689</v>
      </c>
      <c r="I367" t="s">
        <v>12211</v>
      </c>
      <c r="J367" t="str">
        <f t="shared" si="16"/>
        <v>(${Variables:E2_7_1_39_kcat} * E2_7_1_39 * C00002 * C00263)/(${Variables:E2_7_1_39_km} + (E2_7_1_39 * C00002 * C00263))</v>
      </c>
      <c r="K367" s="21" t="str">
        <f t="shared" si="17"/>
        <v>r366: C00002 + C00263 -&gt; C00008 + C01102 | (${Variables:E2_7_1_39_kcat} * E2_7_1_39 * C00002 * C00263)/(${Variables:E2_7_1_39_km} + (E2_7_1_39 * C00002 * C00263))</v>
      </c>
    </row>
    <row r="368" spans="1:11">
      <c r="A368" t="s">
        <v>3206</v>
      </c>
      <c r="B368" t="s">
        <v>3207</v>
      </c>
      <c r="C368" t="s">
        <v>15462</v>
      </c>
      <c r="D368">
        <v>367</v>
      </c>
      <c r="E368" t="str">
        <f t="shared" si="15"/>
        <v>E1_7_2_1</v>
      </c>
      <c r="F368" t="s">
        <v>10690</v>
      </c>
      <c r="G368" t="s">
        <v>11520</v>
      </c>
      <c r="H368" t="s">
        <v>10691</v>
      </c>
      <c r="I368" t="s">
        <v>12212</v>
      </c>
      <c r="J368" t="str">
        <f t="shared" si="16"/>
        <v>(${Variables:E1_7_2_1_kcat} * E1_7_2_1 * C00533 * C00001 * C00125)/(${Variables:E1_7_2_1_km} + (E1_7_2_1 * C00533 * C00001 * C00125))</v>
      </c>
      <c r="K368" s="21" t="str">
        <f t="shared" si="17"/>
        <v>r367: C00533 + C00001 + C00125 -&gt; C00088 + C00126 + C00080 | (${Variables:E1_7_2_1_kcat} * E1_7_2_1 * C00533 * C00001 * C00125)/(${Variables:E1_7_2_1_km} + (E1_7_2_1 * C00533 * C00001 * C00125))</v>
      </c>
    </row>
    <row r="369" spans="1:11">
      <c r="A369" t="s">
        <v>3206</v>
      </c>
      <c r="B369" t="s">
        <v>3207</v>
      </c>
      <c r="C369" t="s">
        <v>15462</v>
      </c>
      <c r="D369">
        <v>368</v>
      </c>
      <c r="E369" t="str">
        <f t="shared" si="15"/>
        <v>E1_7_2_1</v>
      </c>
      <c r="F369" t="s">
        <v>10417</v>
      </c>
      <c r="G369" t="s">
        <v>11521</v>
      </c>
      <c r="H369" t="s">
        <v>10418</v>
      </c>
      <c r="I369" t="s">
        <v>12213</v>
      </c>
      <c r="J369" t="str">
        <f t="shared" si="16"/>
        <v>(${Variables:E1_7_2_1_kcat} * E1_7_2_1 * C00533 * C00001 * C00997)/(${Variables:E1_7_2_1_km} + (E1_7_2_1 * C00533 * C00001 * C00997))</v>
      </c>
      <c r="K369" s="21" t="str">
        <f t="shared" si="17"/>
        <v>r368: C00533 + C00001 + C00997 -&gt; C00088 + C01000 + C00080 | (${Variables:E1_7_2_1_kcat} * E1_7_2_1 * C00533 * C00001 * C00997)/(${Variables:E1_7_2_1_km} + (E1_7_2_1 * C00533 * C00001 * C00997))</v>
      </c>
    </row>
    <row r="370" spans="1:11">
      <c r="A370" t="s">
        <v>3206</v>
      </c>
      <c r="B370" t="s">
        <v>3207</v>
      </c>
      <c r="C370" t="s">
        <v>15462</v>
      </c>
      <c r="D370">
        <v>369</v>
      </c>
      <c r="E370" t="str">
        <f t="shared" si="15"/>
        <v>E1_7_2_1</v>
      </c>
      <c r="F370" t="s">
        <v>15779</v>
      </c>
      <c r="G370" t="s">
        <v>15780</v>
      </c>
      <c r="H370" t="s">
        <v>15781</v>
      </c>
      <c r="I370" t="s">
        <v>15782</v>
      </c>
      <c r="J370" t="str">
        <f t="shared" si="16"/>
        <v>(${Variables:E1_7_2_1_kcat} * E1_7_2_1 * C00028 * C00533 * C00001)/(${Variables:E1_7_2_1_km} + (E1_7_2_1 * C00028 * C00533 * C00001))</v>
      </c>
      <c r="K370" s="21" t="str">
        <f t="shared" si="17"/>
        <v>r369: C00028 + C00533 + C00001 -&gt; C00030 + C00088 | (${Variables:E1_7_2_1_kcat} * E1_7_2_1 * C00028 * C00533 * C00001)/(${Variables:E1_7_2_1_km} + (E1_7_2_1 * C00028 * C00533 * C00001))</v>
      </c>
    </row>
    <row r="371" spans="1:11">
      <c r="A371" t="s">
        <v>3206</v>
      </c>
      <c r="B371" t="s">
        <v>3207</v>
      </c>
      <c r="C371" t="s">
        <v>15462</v>
      </c>
      <c r="D371">
        <v>370</v>
      </c>
      <c r="E371" t="str">
        <f t="shared" si="15"/>
        <v>E1_7_2_1</v>
      </c>
      <c r="F371" t="s">
        <v>10421</v>
      </c>
      <c r="G371" t="s">
        <v>11522</v>
      </c>
      <c r="H371" t="s">
        <v>10422</v>
      </c>
      <c r="I371" t="s">
        <v>12214</v>
      </c>
      <c r="J371" t="str">
        <f t="shared" si="16"/>
        <v>(${Variables:E1_7_2_1_kcat} * E1_7_2_1 * C00533 * C00001 * C05357)/(${Variables:E1_7_2_1_km} + (E1_7_2_1 * C00533 * C00001 * C05357))</v>
      </c>
      <c r="K371" s="21" t="str">
        <f t="shared" si="17"/>
        <v>r370: C00533 + C00001 + C05357 -&gt; C00088 + C05358 + C00080 | (${Variables:E1_7_2_1_kcat} * E1_7_2_1 * C00533 * C00001 * C05357)/(${Variables:E1_7_2_1_km} + (E1_7_2_1 * C00533 * C00001 * C05357))</v>
      </c>
    </row>
    <row r="372" spans="1:11">
      <c r="A372" t="s">
        <v>3238</v>
      </c>
      <c r="B372" t="s">
        <v>3239</v>
      </c>
      <c r="C372" t="s">
        <v>15333</v>
      </c>
      <c r="D372">
        <v>371</v>
      </c>
      <c r="E372" t="str">
        <f t="shared" si="15"/>
        <v>E2_10_1_1</v>
      </c>
      <c r="F372" t="s">
        <v>10637</v>
      </c>
      <c r="G372" t="s">
        <v>11454</v>
      </c>
      <c r="H372" t="s">
        <v>10515</v>
      </c>
      <c r="I372" t="s">
        <v>12022</v>
      </c>
      <c r="J372" t="str">
        <f t="shared" si="16"/>
        <v>(${Variables:E2_10_1_1_kcat} * E2_10_1_1 * C19848 * C06232)/(${Variables:E2_10_1_1_km} + (E2_10_1_1 * C19848 * C06232))</v>
      </c>
      <c r="K372" s="21" t="str">
        <f t="shared" si="17"/>
        <v>r371: C19848 + C06232 -&gt; C18237 + C00020 + C00001 | (${Variables:E2_10_1_1_kcat} * E2_10_1_1 * C19848 * C06232)/(${Variables:E2_10_1_1_km} + (E2_10_1_1 * C19848 * C06232))</v>
      </c>
    </row>
    <row r="373" spans="1:11">
      <c r="A373" t="s">
        <v>3244</v>
      </c>
      <c r="B373" t="s">
        <v>3245</v>
      </c>
      <c r="C373" t="s">
        <v>15344</v>
      </c>
      <c r="D373">
        <v>372</v>
      </c>
      <c r="E373" t="str">
        <f t="shared" si="15"/>
        <v>E6_2_1_3</v>
      </c>
      <c r="F373" t="s">
        <v>10529</v>
      </c>
      <c r="G373" t="s">
        <v>11347</v>
      </c>
      <c r="H373" t="s">
        <v>10692</v>
      </c>
      <c r="I373" t="s">
        <v>12215</v>
      </c>
      <c r="J373" t="str">
        <f t="shared" si="16"/>
        <v>(${Variables:E6_2_1_3_kcat} * E6_2_1_3 * C00002 * C00638 * C00010)/(${Variables:E6_2_1_3_km} + (E6_2_1_3 * C00002 * C00638 * C00010))</v>
      </c>
      <c r="K373" s="21" t="str">
        <f t="shared" si="17"/>
        <v>r372: C00002 + C00638 + C00010 -&gt; C00020 + C00013 + C02843 | (${Variables:E6_2_1_3_kcat} * E6_2_1_3 * C00002 * C00638 * C00010)/(${Variables:E6_2_1_3_km} + (E6_2_1_3 * C00002 * C00638 * C00010))</v>
      </c>
    </row>
    <row r="374" spans="1:11">
      <c r="A374" t="s">
        <v>3244</v>
      </c>
      <c r="B374" t="s">
        <v>3245</v>
      </c>
      <c r="C374" t="s">
        <v>15344</v>
      </c>
      <c r="D374">
        <v>373</v>
      </c>
      <c r="E374" t="str">
        <f t="shared" si="15"/>
        <v>E6_2_1_3</v>
      </c>
      <c r="F374" t="s">
        <v>10156</v>
      </c>
      <c r="G374" t="s">
        <v>11348</v>
      </c>
      <c r="H374" t="s">
        <v>10157</v>
      </c>
      <c r="I374" t="s">
        <v>12032</v>
      </c>
      <c r="J374" t="str">
        <f t="shared" si="16"/>
        <v>(${Variables:E6_2_1_3_kcat} * E6_2_1_3 * C00002 * C00249 * C00010)/(${Variables:E6_2_1_3_km} + (E6_2_1_3 * C00002 * C00249 * C00010))</v>
      </c>
      <c r="K374" s="21" t="str">
        <f t="shared" si="17"/>
        <v>r373: C00002 + C00249 + C00010 -&gt; C00020 + C00154 + C00013 | (${Variables:E6_2_1_3_kcat} * E6_2_1_3 * C00002 * C00249 * C00010)/(${Variables:E6_2_1_3_km} + (E6_2_1_3 * C00002 * C00249 * C00010))</v>
      </c>
    </row>
    <row r="375" spans="1:11">
      <c r="A375" t="s">
        <v>3258</v>
      </c>
      <c r="B375" t="s">
        <v>3259</v>
      </c>
      <c r="C375" t="s">
        <v>15463</v>
      </c>
      <c r="D375">
        <v>374</v>
      </c>
      <c r="E375" t="str">
        <f t="shared" si="15"/>
        <v>E2_7_7_87</v>
      </c>
      <c r="F375" t="s">
        <v>10693</v>
      </c>
      <c r="G375" t="s">
        <v>11523</v>
      </c>
      <c r="H375" t="s">
        <v>10694</v>
      </c>
      <c r="I375" t="s">
        <v>12216</v>
      </c>
      <c r="J375" t="str">
        <f t="shared" si="16"/>
        <v>(${Variables:E2_7_7_87_kcat} * E2_7_7_87 * C00188 * C00002 * C00288 * C00080)/(${Variables:E2_7_7_87_km} + (E2_7_7_87 * C00188 * C00002 * C00288 * C00080))</v>
      </c>
      <c r="K375" s="21" t="str">
        <f t="shared" si="17"/>
        <v>r374: C00188 + C00002 + C00288 + C00080 -&gt; C20641 + C00013 + C00001 | (${Variables:E2_7_7_87_kcat} * E2_7_7_87 * C00188 * C00002 * C00288 * C00080)/(${Variables:E2_7_7_87_km} + (E2_7_7_87 * C00188 * C00002 * C00288 * C00080))</v>
      </c>
    </row>
    <row r="376" spans="1:11">
      <c r="A376" t="s">
        <v>3284</v>
      </c>
      <c r="B376" t="s">
        <v>3285</v>
      </c>
      <c r="C376" t="s">
        <v>15464</v>
      </c>
      <c r="D376">
        <v>375</v>
      </c>
      <c r="E376" t="str">
        <f t="shared" si="15"/>
        <v>E7_1_2_2</v>
      </c>
      <c r="F376" t="s">
        <v>9801</v>
      </c>
      <c r="G376" t="s">
        <v>11482</v>
      </c>
      <c r="H376" t="s">
        <v>10380</v>
      </c>
      <c r="I376" t="s">
        <v>12174</v>
      </c>
      <c r="J376" t="str">
        <f t="shared" si="16"/>
        <v>(${Variables:E7_1_2_2_kcat} * E7_1_2_2 * C00002 * C00001)/(${Variables:E7_1_2_2_km} + (E7_1_2_2 * C00002 * C00001))</v>
      </c>
      <c r="K376" s="21" t="str">
        <f t="shared" si="17"/>
        <v>r375: C00002 + C00001 -&gt; C00008 + C00009 | (${Variables:E7_1_2_2_kcat} * E7_1_2_2 * C00002 * C00001)/(${Variables:E7_1_2_2_km} + (E7_1_2_2 * C00002 * C00001))</v>
      </c>
    </row>
    <row r="377" spans="1:11">
      <c r="A377" t="s">
        <v>3292</v>
      </c>
      <c r="B377" t="s">
        <v>3293</v>
      </c>
      <c r="C377" t="s">
        <v>15464</v>
      </c>
      <c r="D377">
        <v>376</v>
      </c>
      <c r="E377" t="str">
        <f t="shared" si="15"/>
        <v>E7_1_2_2</v>
      </c>
      <c r="F377" t="s">
        <v>9801</v>
      </c>
      <c r="G377" t="s">
        <v>11482</v>
      </c>
      <c r="H377" t="s">
        <v>10380</v>
      </c>
      <c r="I377" t="s">
        <v>12174</v>
      </c>
      <c r="J377" t="str">
        <f t="shared" si="16"/>
        <v>(${Variables:E7_1_2_2_kcat} * E7_1_2_2 * C00002 * C00001)/(${Variables:E7_1_2_2_km} + (E7_1_2_2 * C00002 * C00001))</v>
      </c>
      <c r="K377" s="21" t="str">
        <f t="shared" si="17"/>
        <v>r376: C00002 + C00001 -&gt; C00008 + C00009 | (${Variables:E7_1_2_2_kcat} * E7_1_2_2 * C00002 * C00001)/(${Variables:E7_1_2_2_km} + (E7_1_2_2 * C00002 * C00001))</v>
      </c>
    </row>
    <row r="378" spans="1:11">
      <c r="A378" t="s">
        <v>3327</v>
      </c>
      <c r="B378" t="s">
        <v>3328</v>
      </c>
      <c r="C378" t="s">
        <v>15465</v>
      </c>
      <c r="D378">
        <v>377</v>
      </c>
      <c r="E378" t="str">
        <f t="shared" si="15"/>
        <v>E2_8_1_7</v>
      </c>
      <c r="F378" t="s">
        <v>10695</v>
      </c>
      <c r="G378" t="s">
        <v>11524</v>
      </c>
      <c r="H378" t="s">
        <v>10696</v>
      </c>
      <c r="I378" t="s">
        <v>12217</v>
      </c>
      <c r="J378" t="str">
        <f t="shared" si="16"/>
        <v>(${Variables:E2_8_1_7_kcat} * E2_8_1_7 * C15811 * C00097)/(${Variables:E2_8_1_7_km} + (E2_8_1_7 * C15811 * C00097))</v>
      </c>
      <c r="K378" s="21" t="str">
        <f t="shared" si="17"/>
        <v>r377: C15811 + C00097 -&gt; C15812 + C00041 | (${Variables:E2_8_1_7_kcat} * E2_8_1_7 * C15811 * C00097)/(${Variables:E2_8_1_7_km} + (E2_8_1_7 * C15811 * C00097))</v>
      </c>
    </row>
    <row r="379" spans="1:11">
      <c r="A379" t="s">
        <v>3327</v>
      </c>
      <c r="B379" t="s">
        <v>3328</v>
      </c>
      <c r="C379" t="s">
        <v>15465</v>
      </c>
      <c r="D379">
        <v>378</v>
      </c>
      <c r="E379" t="str">
        <f t="shared" si="15"/>
        <v>E2_8_1_7</v>
      </c>
      <c r="F379" t="s">
        <v>10423</v>
      </c>
      <c r="G379" t="s">
        <v>11525</v>
      </c>
      <c r="H379" t="s">
        <v>10424</v>
      </c>
      <c r="I379" t="s">
        <v>12218</v>
      </c>
      <c r="J379" t="str">
        <f t="shared" si="16"/>
        <v>(${Variables:E2_8_1_7_kcat} * E2_8_1_7 * C00097 * C02743)/(${Variables:E2_8_1_7_km} + (E2_8_1_7 * C00097 * C02743))</v>
      </c>
      <c r="K379" s="21" t="str">
        <f t="shared" si="17"/>
        <v>r378: C00097 + C02743 -&gt; C00041 + C21440 | (${Variables:E2_8_1_7_kcat} * E2_8_1_7 * C00097 * C02743)/(${Variables:E2_8_1_7_km} + (E2_8_1_7 * C00097 * C02743))</v>
      </c>
    </row>
    <row r="380" spans="1:11">
      <c r="A380" t="s">
        <v>3327</v>
      </c>
      <c r="B380" t="s">
        <v>3328</v>
      </c>
      <c r="C380" t="s">
        <v>15465</v>
      </c>
      <c r="D380">
        <v>379</v>
      </c>
      <c r="E380" t="str">
        <f t="shared" si="15"/>
        <v>E2_8_1_7</v>
      </c>
      <c r="F380" t="s">
        <v>10425</v>
      </c>
      <c r="G380" t="s">
        <v>11526</v>
      </c>
      <c r="H380" t="s">
        <v>10426</v>
      </c>
      <c r="I380" t="s">
        <v>12219</v>
      </c>
      <c r="J380" t="str">
        <f t="shared" si="16"/>
        <v>(${Variables:E2_8_1_7_kcat} * E2_8_1_7 * C15812 * C02743)/(${Variables:E2_8_1_7_km} + (E2_8_1_7 * C15812 * C02743))</v>
      </c>
      <c r="K380" s="21" t="str">
        <f t="shared" si="17"/>
        <v>r379: C15812 + C02743 -&gt; C15811 + C21440 | (${Variables:E2_8_1_7_kcat} * E2_8_1_7 * C15812 * C02743)/(${Variables:E2_8_1_7_km} + (E2_8_1_7 * C15812 * C02743))</v>
      </c>
    </row>
    <row r="381" spans="1:11">
      <c r="A381" t="s">
        <v>3355</v>
      </c>
      <c r="B381" t="s">
        <v>3356</v>
      </c>
      <c r="C381" t="s">
        <v>15311</v>
      </c>
      <c r="D381">
        <v>380</v>
      </c>
      <c r="E381" t="str">
        <f t="shared" si="15"/>
        <v>E2_7_7_7</v>
      </c>
      <c r="F381" t="s">
        <v>12706</v>
      </c>
      <c r="G381" t="s">
        <v>12705</v>
      </c>
      <c r="H381" s="3" t="s">
        <v>10163</v>
      </c>
      <c r="I381" s="3" t="s">
        <v>11305</v>
      </c>
      <c r="J381" t="str">
        <f t="shared" si="16"/>
        <v>(${Variables:E2_7_7_7_kcat} * E2_7_7_7 * C00677 * C00039)/(${Variables:E2_7_7_7_km} + (E2_7_7_7 * C00677 * C00039))</v>
      </c>
      <c r="K381" s="21" t="str">
        <f t="shared" si="17"/>
        <v>r380: C00677 + C00039 -&gt; C00013 + C00039 | (${Variables:E2_7_7_7_kcat} * E2_7_7_7 * C00677 * C00039)/(${Variables:E2_7_7_7_km} + (E2_7_7_7 * C00677 * C00039))</v>
      </c>
    </row>
    <row r="382" spans="1:11">
      <c r="A382" t="s">
        <v>3355</v>
      </c>
      <c r="B382" t="s">
        <v>3356</v>
      </c>
      <c r="C382" t="s">
        <v>15311</v>
      </c>
      <c r="D382">
        <v>381</v>
      </c>
      <c r="E382" t="str">
        <f t="shared" si="15"/>
        <v>E2_7_7_7</v>
      </c>
      <c r="F382" t="s">
        <v>10162</v>
      </c>
      <c r="G382" t="s">
        <v>11301</v>
      </c>
      <c r="H382" s="3" t="s">
        <v>10163</v>
      </c>
      <c r="I382" s="3" t="s">
        <v>11305</v>
      </c>
      <c r="J382" t="str">
        <f t="shared" si="16"/>
        <v>(${Variables:E2_7_7_7_kcat} * E2_7_7_7 * C00131 * C00039)/(${Variables:E2_7_7_7_km} + (E2_7_7_7 * C00131 * C00039))</v>
      </c>
      <c r="K382" s="21" t="str">
        <f t="shared" si="17"/>
        <v>r381: C00131 + C00039 -&gt; C00013 + C00039 | (${Variables:E2_7_7_7_kcat} * E2_7_7_7 * C00131 * C00039)/(${Variables:E2_7_7_7_km} + (E2_7_7_7 * C00131 * C00039))</v>
      </c>
    </row>
    <row r="383" spans="1:11">
      <c r="A383" t="s">
        <v>3355</v>
      </c>
      <c r="B383" t="s">
        <v>3356</v>
      </c>
      <c r="C383" t="s">
        <v>15311</v>
      </c>
      <c r="D383">
        <v>382</v>
      </c>
      <c r="E383" t="str">
        <f t="shared" si="15"/>
        <v>E2_7_7_7</v>
      </c>
      <c r="F383" t="s">
        <v>10164</v>
      </c>
      <c r="G383" t="s">
        <v>11302</v>
      </c>
      <c r="H383" s="3" t="s">
        <v>10163</v>
      </c>
      <c r="I383" s="3" t="s">
        <v>11305</v>
      </c>
      <c r="J383" t="str">
        <f t="shared" si="16"/>
        <v>(${Variables:E2_7_7_7_kcat} * E2_7_7_7 * C00286 * C00039 )/(${Variables:E2_7_7_7_km} + (E2_7_7_7 * C00286 * C00039 ))</v>
      </c>
      <c r="K383" s="21" t="str">
        <f t="shared" si="17"/>
        <v>r382: C00286 + C00039  -&gt; C00013 + C00039 | (${Variables:E2_7_7_7_kcat} * E2_7_7_7 * C00286 * C00039 )/(${Variables:E2_7_7_7_km} + (E2_7_7_7 * C00286 * C00039 ))</v>
      </c>
    </row>
    <row r="384" spans="1:11">
      <c r="A384" t="s">
        <v>3355</v>
      </c>
      <c r="B384" t="s">
        <v>3356</v>
      </c>
      <c r="C384" t="s">
        <v>15311</v>
      </c>
      <c r="D384">
        <v>383</v>
      </c>
      <c r="E384" t="str">
        <f t="shared" si="15"/>
        <v>E2_7_7_7</v>
      </c>
      <c r="F384" t="s">
        <v>10165</v>
      </c>
      <c r="G384" t="s">
        <v>11303</v>
      </c>
      <c r="H384" s="3" t="s">
        <v>10163</v>
      </c>
      <c r="I384" s="3" t="s">
        <v>11305</v>
      </c>
      <c r="J384" t="str">
        <f t="shared" si="16"/>
        <v>(${Variables:E2_7_7_7_kcat} * E2_7_7_7 * C00458 * C00039)/(${Variables:E2_7_7_7_km} + (E2_7_7_7 * C00458 * C00039))</v>
      </c>
      <c r="K384" s="21" t="str">
        <f t="shared" si="17"/>
        <v>r383: C00458 + C00039 -&gt; C00013 + C00039 | (${Variables:E2_7_7_7_kcat} * E2_7_7_7 * C00458 * C00039)/(${Variables:E2_7_7_7_km} + (E2_7_7_7 * C00458 * C00039))</v>
      </c>
    </row>
    <row r="385" spans="1:11">
      <c r="A385" t="s">
        <v>3355</v>
      </c>
      <c r="B385" t="s">
        <v>3356</v>
      </c>
      <c r="C385" t="s">
        <v>15311</v>
      </c>
      <c r="D385">
        <v>384</v>
      </c>
      <c r="E385" t="str">
        <f t="shared" si="15"/>
        <v>E2_7_7_7</v>
      </c>
      <c r="F385" t="s">
        <v>10166</v>
      </c>
      <c r="G385" t="s">
        <v>11304</v>
      </c>
      <c r="H385" s="3" t="s">
        <v>10163</v>
      </c>
      <c r="I385" s="3" t="s">
        <v>11305</v>
      </c>
      <c r="J385" t="str">
        <f t="shared" si="16"/>
        <v>(${Variables:E2_7_7_7_kcat} * E2_7_7_7 * C00459 * C00039 )/(${Variables:E2_7_7_7_km} + (E2_7_7_7 * C00459 * C00039 ))</v>
      </c>
      <c r="K385" s="21" t="str">
        <f t="shared" si="17"/>
        <v>r384: C00459 + C00039  -&gt; C00013 + C00039 | (${Variables:E2_7_7_7_kcat} * E2_7_7_7 * C00459 * C00039 )/(${Variables:E2_7_7_7_km} + (E2_7_7_7 * C00459 * C00039 ))</v>
      </c>
    </row>
    <row r="386" spans="1:11">
      <c r="A386" t="s">
        <v>3355</v>
      </c>
      <c r="B386" t="s">
        <v>3356</v>
      </c>
      <c r="C386" t="s">
        <v>15311</v>
      </c>
      <c r="D386">
        <v>385</v>
      </c>
      <c r="E386" t="str">
        <f t="shared" si="15"/>
        <v>E2_7_7_7</v>
      </c>
      <c r="F386" t="s">
        <v>10167</v>
      </c>
      <c r="G386" t="s">
        <v>10167</v>
      </c>
      <c r="H386" s="3" t="s">
        <v>10168</v>
      </c>
      <c r="I386" s="3" t="s">
        <v>10168</v>
      </c>
      <c r="J386" t="str">
        <f t="shared" si="16"/>
        <v>(${Variables:E2_7_7_7_kcat} * E2_7_7_7 * C11039)/(${Variables:E2_7_7_7_km} + (E2_7_7_7 * C11039))</v>
      </c>
      <c r="K386" s="21" t="str">
        <f t="shared" si="17"/>
        <v>r385: C11039 -&gt; C21031 | (${Variables:E2_7_7_7_kcat} * E2_7_7_7 * C11039)/(${Variables:E2_7_7_7_km} + (E2_7_7_7 * C11039))</v>
      </c>
    </row>
    <row r="387" spans="1:11">
      <c r="A387" t="s">
        <v>3359</v>
      </c>
      <c r="B387" t="s">
        <v>3360</v>
      </c>
      <c r="C387" t="s">
        <v>15466</v>
      </c>
      <c r="D387">
        <v>386</v>
      </c>
      <c r="E387" t="str">
        <f t="shared" ref="E387:E450" si="18">"E" &amp; C387</f>
        <v>E6_5_1_2</v>
      </c>
      <c r="F387" t="s">
        <v>12718</v>
      </c>
      <c r="G387" t="s">
        <v>12719</v>
      </c>
      <c r="H387" t="s">
        <v>12720</v>
      </c>
      <c r="I387" t="s">
        <v>12721</v>
      </c>
      <c r="J387" t="str">
        <f t="shared" ref="J387:J450" si="19">CONCATENATE("(${Variables:",E387,"_kcat","} * ",E387," * ",G387,")","/(${Variables:",E387,"_km","} + (",E387," * ",G387,"))")</f>
        <v>(${Variables:E6_5_1_2_kcat} * E6_5_1_2 * C00003 * C00039 * C02128)/(${Variables:E6_5_1_2_km} + (E6_5_1_2 * C00003 * C00039 * C02128))</v>
      </c>
      <c r="K387" s="21" t="str">
        <f t="shared" ref="K387:K450" si="20">CONCATENATE("r",D387,": ",F387," -&gt; ",H387," | ",J387)</f>
        <v>r386: C00003 + C00039 + C02128 -&gt; C00020 + C00455 + C00039 | (${Variables:E6_5_1_2_kcat} * E6_5_1_2 * C00003 * C00039 * C02128)/(${Variables:E6_5_1_2_km} + (E6_5_1_2 * C00003 * C00039 * C02128))</v>
      </c>
    </row>
    <row r="388" spans="1:11">
      <c r="A388" t="s">
        <v>3381</v>
      </c>
      <c r="B388" t="s">
        <v>3382</v>
      </c>
      <c r="C388" t="s">
        <v>15467</v>
      </c>
      <c r="D388">
        <v>387</v>
      </c>
      <c r="E388" t="str">
        <f t="shared" si="18"/>
        <v>E2_7_1_11</v>
      </c>
      <c r="F388" t="s">
        <v>10697</v>
      </c>
      <c r="G388" t="s">
        <v>11527</v>
      </c>
      <c r="H388" t="s">
        <v>10698</v>
      </c>
      <c r="I388" t="s">
        <v>12220</v>
      </c>
      <c r="J388" t="str">
        <f t="shared" si="19"/>
        <v>(${Variables:E2_7_1_11_kcat} * E2_7_1_11 * C00002 * C05345)/(${Variables:E2_7_1_11_km} + (E2_7_1_11 * C00002 * C05345))</v>
      </c>
      <c r="K388" s="21" t="str">
        <f t="shared" si="20"/>
        <v>r387: C00002 + C05345 -&gt; C00008 + C05378 | (${Variables:E2_7_1_11_kcat} * E2_7_1_11 * C00002 * C05345)/(${Variables:E2_7_1_11_km} + (E2_7_1_11 * C00002 * C05345))</v>
      </c>
    </row>
    <row r="389" spans="1:11">
      <c r="A389" t="s">
        <v>3381</v>
      </c>
      <c r="B389" t="s">
        <v>3382</v>
      </c>
      <c r="C389" t="s">
        <v>15467</v>
      </c>
      <c r="D389">
        <v>388</v>
      </c>
      <c r="E389" t="str">
        <f t="shared" si="18"/>
        <v>E2_7_1_11</v>
      </c>
      <c r="F389" t="s">
        <v>10427</v>
      </c>
      <c r="G389" t="s">
        <v>11528</v>
      </c>
      <c r="H389" t="s">
        <v>10428</v>
      </c>
      <c r="I389" t="s">
        <v>12221</v>
      </c>
      <c r="J389" t="str">
        <f t="shared" si="19"/>
        <v>(${Variables:E2_7_1_11_kcat} * E2_7_1_11 * C00002 * C00085)/(${Variables:E2_7_1_11_km} + (E2_7_1_11 * C00002 * C00085))</v>
      </c>
      <c r="K389" s="21" t="str">
        <f t="shared" si="20"/>
        <v>r388: C00002 + C00085 -&gt; C00008 + C00354 | (${Variables:E2_7_1_11_kcat} * E2_7_1_11 * C00002 * C00085)/(${Variables:E2_7_1_11_km} + (E2_7_1_11 * C00002 * C00085))</v>
      </c>
    </row>
    <row r="390" spans="1:11">
      <c r="A390" t="s">
        <v>3381</v>
      </c>
      <c r="B390" t="s">
        <v>3382</v>
      </c>
      <c r="C390" t="s">
        <v>15467</v>
      </c>
      <c r="D390">
        <v>389</v>
      </c>
      <c r="E390" t="str">
        <f t="shared" si="18"/>
        <v>E2_7_1_11</v>
      </c>
      <c r="F390" t="s">
        <v>10429</v>
      </c>
      <c r="G390" t="s">
        <v>11529</v>
      </c>
      <c r="H390" t="s">
        <v>10430</v>
      </c>
      <c r="I390" t="s">
        <v>12222</v>
      </c>
      <c r="J390" t="str">
        <f t="shared" si="19"/>
        <v>(${Variables:E2_7_1_11_kcat} * E2_7_1_11 * C00063 * C00085)/(${Variables:E2_7_1_11_km} + (E2_7_1_11 * C00063 * C00085))</v>
      </c>
      <c r="K390" s="21" t="str">
        <f t="shared" si="20"/>
        <v>r389: C00063 + C00085 -&gt; C00112 + C00354 | (${Variables:E2_7_1_11_kcat} * E2_7_1_11 * C00063 * C00085)/(${Variables:E2_7_1_11_km} + (E2_7_1_11 * C00063 * C00085))</v>
      </c>
    </row>
    <row r="391" spans="1:11">
      <c r="A391" t="s">
        <v>3381</v>
      </c>
      <c r="B391" t="s">
        <v>3382</v>
      </c>
      <c r="C391" t="s">
        <v>15467</v>
      </c>
      <c r="D391">
        <v>390</v>
      </c>
      <c r="E391" t="str">
        <f t="shared" si="18"/>
        <v>E2_7_1_11</v>
      </c>
      <c r="F391" t="s">
        <v>10431</v>
      </c>
      <c r="G391" t="s">
        <v>11530</v>
      </c>
      <c r="H391" t="s">
        <v>10432</v>
      </c>
      <c r="I391" t="s">
        <v>12223</v>
      </c>
      <c r="J391" t="str">
        <f t="shared" si="19"/>
        <v>(${Variables:E2_7_1_11_kcat} * E2_7_1_11 * C00075 * C00085)/(${Variables:E2_7_1_11_km} + (E2_7_1_11 * C00075 * C00085))</v>
      </c>
      <c r="K391" s="21" t="str">
        <f t="shared" si="20"/>
        <v>r390: C00075 + C00085 -&gt; C00015 + C00354 | (${Variables:E2_7_1_11_kcat} * E2_7_1_11 * C00075 * C00085)/(${Variables:E2_7_1_11_km} + (E2_7_1_11 * C00075 * C00085))</v>
      </c>
    </row>
    <row r="392" spans="1:11">
      <c r="A392" t="s">
        <v>3381</v>
      </c>
      <c r="B392" t="s">
        <v>3382</v>
      </c>
      <c r="C392" t="s">
        <v>15467</v>
      </c>
      <c r="D392">
        <v>391</v>
      </c>
      <c r="E392" t="str">
        <f t="shared" si="18"/>
        <v>E2_7_1_11</v>
      </c>
      <c r="F392" t="s">
        <v>10433</v>
      </c>
      <c r="G392" t="s">
        <v>11531</v>
      </c>
      <c r="H392" t="s">
        <v>10434</v>
      </c>
      <c r="I392" t="s">
        <v>12224</v>
      </c>
      <c r="J392" t="str">
        <f t="shared" si="19"/>
        <v>(${Variables:E2_7_1_11_kcat} * E2_7_1_11 * C00081 * C00085 )/(${Variables:E2_7_1_11_km} + (E2_7_1_11 * C00081 * C00085 ))</v>
      </c>
      <c r="K392" s="21" t="str">
        <f t="shared" si="20"/>
        <v>r391: C00081 + C00085  -&gt; C00104 + C00354 | (${Variables:E2_7_1_11_kcat} * E2_7_1_11 * C00081 * C00085 )/(${Variables:E2_7_1_11_km} + (E2_7_1_11 * C00081 * C00085 ))</v>
      </c>
    </row>
    <row r="393" spans="1:11">
      <c r="A393" t="s">
        <v>3381</v>
      </c>
      <c r="B393" t="s">
        <v>3382</v>
      </c>
      <c r="C393" t="s">
        <v>15467</v>
      </c>
      <c r="D393">
        <v>392</v>
      </c>
      <c r="E393" t="str">
        <f t="shared" si="18"/>
        <v>E2_7_1_11</v>
      </c>
      <c r="F393" t="s">
        <v>10435</v>
      </c>
      <c r="G393" t="s">
        <v>11532</v>
      </c>
      <c r="H393" t="s">
        <v>10436</v>
      </c>
      <c r="I393" t="s">
        <v>12225</v>
      </c>
      <c r="J393" t="str">
        <f t="shared" si="19"/>
        <v>(${Variables:E2_7_1_11_kcat} * E2_7_1_11 * C00002 * C05382)/(${Variables:E2_7_1_11_km} + (E2_7_1_11 * C00002 * C05382))</v>
      </c>
      <c r="K393" s="21" t="str">
        <f t="shared" si="20"/>
        <v>r392: C00002 + C05382 -&gt; C00008 + C00447 | (${Variables:E2_7_1_11_kcat} * E2_7_1_11 * C00002 * C05382)/(${Variables:E2_7_1_11_km} + (E2_7_1_11 * C00002 * C05382))</v>
      </c>
    </row>
    <row r="394" spans="1:11">
      <c r="A394" t="s">
        <v>3381</v>
      </c>
      <c r="B394" t="s">
        <v>3382</v>
      </c>
      <c r="C394" t="s">
        <v>15467</v>
      </c>
      <c r="D394">
        <v>393</v>
      </c>
      <c r="E394" t="str">
        <f t="shared" si="18"/>
        <v>E2_7_1_11</v>
      </c>
      <c r="F394" t="s">
        <v>10437</v>
      </c>
      <c r="G394" t="s">
        <v>11533</v>
      </c>
      <c r="H394" t="s">
        <v>10438</v>
      </c>
      <c r="I394" t="s">
        <v>12226</v>
      </c>
      <c r="J394" t="str">
        <f t="shared" si="19"/>
        <v>(${Variables:E2_7_1_11_kcat} * E2_7_1_11 * C01097 * C00002)/(${Variables:E2_7_1_11_km} + (E2_7_1_11 * C01097 * C00002))</v>
      </c>
      <c r="K394" s="21" t="str">
        <f t="shared" si="20"/>
        <v>r393: C01097 + C00002 -&gt; C03785 + C00008 | (${Variables:E2_7_1_11_kcat} * E2_7_1_11 * C01097 * C00002)/(${Variables:E2_7_1_11_km} + (E2_7_1_11 * C01097 * C00002))</v>
      </c>
    </row>
    <row r="395" spans="1:11">
      <c r="A395" t="s">
        <v>3381</v>
      </c>
      <c r="B395" t="s">
        <v>3382</v>
      </c>
      <c r="C395" t="s">
        <v>15467</v>
      </c>
      <c r="D395">
        <v>394</v>
      </c>
      <c r="E395" t="str">
        <f t="shared" si="18"/>
        <v>E2_7_1_11</v>
      </c>
      <c r="F395" t="s">
        <v>10439</v>
      </c>
      <c r="G395" t="s">
        <v>11534</v>
      </c>
      <c r="H395" t="s">
        <v>10440</v>
      </c>
      <c r="I395" t="s">
        <v>12227</v>
      </c>
      <c r="J395" t="str">
        <f t="shared" si="19"/>
        <v>(${Variables:E2_7_1_11_kcat} * E2_7_1_11 * C00063 * C01097)/(${Variables:E2_7_1_11_km} + (E2_7_1_11 * C00063 * C01097))</v>
      </c>
      <c r="K395" s="21" t="str">
        <f t="shared" si="20"/>
        <v>r394: C00063 + C01097 -&gt; C00112 + C03785 | (${Variables:E2_7_1_11_kcat} * E2_7_1_11 * C00063 * C01097)/(${Variables:E2_7_1_11_km} + (E2_7_1_11 * C00063 * C01097))</v>
      </c>
    </row>
    <row r="396" spans="1:11">
      <c r="A396" t="s">
        <v>3381</v>
      </c>
      <c r="B396" t="s">
        <v>3382</v>
      </c>
      <c r="C396" t="s">
        <v>15467</v>
      </c>
      <c r="D396">
        <v>395</v>
      </c>
      <c r="E396" t="str">
        <f t="shared" si="18"/>
        <v>E2_7_1_11</v>
      </c>
      <c r="F396" t="s">
        <v>10441</v>
      </c>
      <c r="G396" t="s">
        <v>11535</v>
      </c>
      <c r="H396" t="s">
        <v>10442</v>
      </c>
      <c r="I396" t="s">
        <v>12228</v>
      </c>
      <c r="J396" t="str">
        <f t="shared" si="19"/>
        <v>(${Variables:E2_7_1_11_kcat} * E2_7_1_11 * C00075 * C01097)/(${Variables:E2_7_1_11_km} + (E2_7_1_11 * C00075 * C01097))</v>
      </c>
      <c r="K396" s="21" t="str">
        <f t="shared" si="20"/>
        <v>r395: C00075 + C01097 -&gt; C00015 + C03785 | (${Variables:E2_7_1_11_kcat} * E2_7_1_11 * C00075 * C01097)/(${Variables:E2_7_1_11_km} + (E2_7_1_11 * C00075 * C01097))</v>
      </c>
    </row>
    <row r="397" spans="1:11">
      <c r="A397" t="s">
        <v>3381</v>
      </c>
      <c r="B397" t="s">
        <v>3382</v>
      </c>
      <c r="C397" t="s">
        <v>15467</v>
      </c>
      <c r="D397">
        <v>396</v>
      </c>
      <c r="E397" t="str">
        <f t="shared" si="18"/>
        <v>E2_7_1_11</v>
      </c>
      <c r="F397" t="s">
        <v>10443</v>
      </c>
      <c r="G397" t="s">
        <v>11536</v>
      </c>
      <c r="H397" t="s">
        <v>10444</v>
      </c>
      <c r="I397" t="s">
        <v>12229</v>
      </c>
      <c r="J397" t="str">
        <f t="shared" si="19"/>
        <v>(${Variables:E2_7_1_11_kcat} * E2_7_1_11 * C00081 * C01097)/(${Variables:E2_7_1_11_km} + (E2_7_1_11 * C00081 * C01097))</v>
      </c>
      <c r="K397" s="21" t="str">
        <f t="shared" si="20"/>
        <v>r396: C00081 + C01097 -&gt; C00104 + C03785 | (${Variables:E2_7_1_11_kcat} * E2_7_1_11 * C00081 * C01097)/(${Variables:E2_7_1_11_km} + (E2_7_1_11 * C00081 * C01097))</v>
      </c>
    </row>
    <row r="398" spans="1:11">
      <c r="A398" t="s">
        <v>3420</v>
      </c>
      <c r="B398" t="s">
        <v>3421</v>
      </c>
      <c r="C398" t="s">
        <v>15468</v>
      </c>
      <c r="D398">
        <v>397</v>
      </c>
      <c r="E398" t="str">
        <f t="shared" si="18"/>
        <v>E4_2_1_9</v>
      </c>
      <c r="F398" t="s">
        <v>8471</v>
      </c>
      <c r="G398" t="s">
        <v>8471</v>
      </c>
      <c r="H398" t="s">
        <v>10446</v>
      </c>
      <c r="I398" t="s">
        <v>12230</v>
      </c>
      <c r="J398" t="str">
        <f t="shared" si="19"/>
        <v>(${Variables:E4_2_1_9_kcat} * E4_2_1_9 * C04039)/(${Variables:E4_2_1_9_km} + (E4_2_1_9 * C04039))</v>
      </c>
      <c r="K398" s="21" t="str">
        <f t="shared" si="20"/>
        <v>r397: C04039 -&gt; C00141 + C00001 | (${Variables:E4_2_1_9_kcat} * E4_2_1_9 * C04039)/(${Variables:E4_2_1_9_km} + (E4_2_1_9 * C04039))</v>
      </c>
    </row>
    <row r="399" spans="1:11">
      <c r="A399" t="s">
        <v>3420</v>
      </c>
      <c r="B399" t="s">
        <v>3421</v>
      </c>
      <c r="C399" t="s">
        <v>15468</v>
      </c>
      <c r="D399">
        <v>398</v>
      </c>
      <c r="E399" t="str">
        <f t="shared" si="18"/>
        <v>E4_2_1_9</v>
      </c>
      <c r="F399" t="s">
        <v>10445</v>
      </c>
      <c r="G399" t="s">
        <v>10445</v>
      </c>
      <c r="H399" t="s">
        <v>10446</v>
      </c>
      <c r="I399" t="s">
        <v>12230</v>
      </c>
      <c r="J399" t="str">
        <f t="shared" si="19"/>
        <v>(${Variables:E4_2_1_9_kcat} * E4_2_1_9 * C04272)/(${Variables:E4_2_1_9_km} + (E4_2_1_9 * C04272))</v>
      </c>
      <c r="K399" s="21" t="str">
        <f t="shared" si="20"/>
        <v>r398: C04272 -&gt; C00141 + C00001 | (${Variables:E4_2_1_9_kcat} * E4_2_1_9 * C04272)/(${Variables:E4_2_1_9_km} + (E4_2_1_9 * C04272))</v>
      </c>
    </row>
    <row r="400" spans="1:11">
      <c r="A400" t="s">
        <v>3420</v>
      </c>
      <c r="B400" t="s">
        <v>3421</v>
      </c>
      <c r="C400" t="s">
        <v>15468</v>
      </c>
      <c r="D400">
        <v>399</v>
      </c>
      <c r="E400" t="str">
        <f t="shared" si="18"/>
        <v>E4_2_1_9</v>
      </c>
      <c r="F400" t="s">
        <v>10447</v>
      </c>
      <c r="G400" t="s">
        <v>10447</v>
      </c>
      <c r="H400" t="s">
        <v>10448</v>
      </c>
      <c r="I400" t="s">
        <v>12231</v>
      </c>
      <c r="J400" t="str">
        <f t="shared" si="19"/>
        <v>(${Variables:E4_2_1_9_kcat} * E4_2_1_9 * C06007)/(${Variables:E4_2_1_9_km} + (E4_2_1_9 * C06007))</v>
      </c>
      <c r="K400" s="21" t="str">
        <f t="shared" si="20"/>
        <v>r399: C06007 -&gt; C00671 + C00001 | (${Variables:E4_2_1_9_kcat} * E4_2_1_9 * C06007)/(${Variables:E4_2_1_9_km} + (E4_2_1_9 * C06007))</v>
      </c>
    </row>
    <row r="401" spans="1:11">
      <c r="A401" t="s">
        <v>3428</v>
      </c>
      <c r="B401" t="s">
        <v>3429</v>
      </c>
      <c r="C401" t="s">
        <v>15328</v>
      </c>
      <c r="D401">
        <v>400</v>
      </c>
      <c r="E401" t="str">
        <f t="shared" si="18"/>
        <v>E2_2_1_6</v>
      </c>
      <c r="F401" s="3" t="s">
        <v>15977</v>
      </c>
      <c r="G401" s="3" t="s">
        <v>15978</v>
      </c>
      <c r="H401" t="s">
        <v>13222</v>
      </c>
      <c r="I401" t="s">
        <v>13222</v>
      </c>
      <c r="J401" t="str">
        <f t="shared" si="19"/>
        <v>(${Variables:E2_2_1_6_kcat} * E2_2_1_6 * C00900 * C00011)/(${Variables:E2_2_1_6_km} + (E2_2_1_6 * C00900 * C00011))</v>
      </c>
      <c r="K401" s="21" t="str">
        <f t="shared" si="20"/>
        <v>r400: C00900 + C00011 -&gt; C00022 | (${Variables:E2_2_1_6_kcat} * E2_2_1_6 * C00900 * C00011)/(${Variables:E2_2_1_6_km} + (E2_2_1_6 * C00900 * C00011))</v>
      </c>
    </row>
    <row r="402" spans="1:11">
      <c r="A402" t="s">
        <v>3428</v>
      </c>
      <c r="B402" t="s">
        <v>3429</v>
      </c>
      <c r="C402" t="s">
        <v>15328</v>
      </c>
      <c r="D402">
        <v>401</v>
      </c>
      <c r="E402" t="str">
        <f t="shared" si="18"/>
        <v>E2_2_1_6</v>
      </c>
      <c r="F402" s="3" t="s">
        <v>10175</v>
      </c>
      <c r="G402" s="3" t="s">
        <v>11323</v>
      </c>
      <c r="H402" t="s">
        <v>13222</v>
      </c>
      <c r="I402" t="s">
        <v>13222</v>
      </c>
      <c r="J402" t="str">
        <f t="shared" si="19"/>
        <v>(${Variables:E2_2_1_6_kcat} * E2_2_1_6 * C06010 * C00011)/(${Variables:E2_2_1_6_km} + (E2_2_1_6 * C06010 * C00011))</v>
      </c>
      <c r="K402" s="21" t="str">
        <f t="shared" si="20"/>
        <v>r401: C06010 + C00011 -&gt; C00022 | (${Variables:E2_2_1_6_kcat} * E2_2_1_6 * C06010 * C00011)/(${Variables:E2_2_1_6_km} + (E2_2_1_6 * C06010 * C00011))</v>
      </c>
    </row>
    <row r="403" spans="1:11">
      <c r="A403" t="s">
        <v>3428</v>
      </c>
      <c r="B403" t="s">
        <v>3429</v>
      </c>
      <c r="C403" t="s">
        <v>15328</v>
      </c>
      <c r="D403">
        <v>402</v>
      </c>
      <c r="E403" t="str">
        <f t="shared" si="18"/>
        <v>E2_2_1_6</v>
      </c>
      <c r="F403" s="3" t="s">
        <v>10176</v>
      </c>
      <c r="G403" s="3" t="s">
        <v>11324</v>
      </c>
      <c r="H403" t="s">
        <v>10177</v>
      </c>
      <c r="I403" t="s">
        <v>12014</v>
      </c>
      <c r="J403" t="str">
        <f t="shared" si="19"/>
        <v>(${Variables:E2_2_1_6_kcat} * E2_2_1_6 * C00022 * C00068)/(${Variables:E2_2_1_6_km} + (E2_2_1_6 * C00022 * C00068))</v>
      </c>
      <c r="K403" s="21" t="str">
        <f t="shared" si="20"/>
        <v>r402: C00022 + C00068 -&gt; C05125 + C00011 | (${Variables:E2_2_1_6_kcat} * E2_2_1_6 * C00022 * C00068)/(${Variables:E2_2_1_6_km} + (E2_2_1_6 * C00022 * C00068))</v>
      </c>
    </row>
    <row r="404" spans="1:11">
      <c r="A404" t="s">
        <v>3428</v>
      </c>
      <c r="B404" t="s">
        <v>3429</v>
      </c>
      <c r="C404" t="s">
        <v>15328</v>
      </c>
      <c r="D404">
        <v>403</v>
      </c>
      <c r="E404" t="str">
        <f t="shared" si="18"/>
        <v>E2_2_1_6</v>
      </c>
      <c r="F404" s="3" t="s">
        <v>10178</v>
      </c>
      <c r="G404" s="3" t="s">
        <v>11325</v>
      </c>
      <c r="H404" t="s">
        <v>10179</v>
      </c>
      <c r="I404" t="s">
        <v>12015</v>
      </c>
      <c r="J404" t="str">
        <f t="shared" si="19"/>
        <v>(${Variables:E2_2_1_6_kcat} * E2_2_1_6 * C00900 * C00068)/(${Variables:E2_2_1_6_km} + (E2_2_1_6 * C00900 * C00068))</v>
      </c>
      <c r="K404" s="21" t="str">
        <f t="shared" si="20"/>
        <v>r403: C00900 + C00068 -&gt; C05125 + C00022 | (${Variables:E2_2_1_6_kcat} * E2_2_1_6 * C00900 * C00068)/(${Variables:E2_2_1_6_km} + (E2_2_1_6 * C00900 * C00068))</v>
      </c>
    </row>
    <row r="405" spans="1:11">
      <c r="A405" t="s">
        <v>3428</v>
      </c>
      <c r="B405" t="s">
        <v>3429</v>
      </c>
      <c r="C405" t="s">
        <v>15328</v>
      </c>
      <c r="D405">
        <v>404</v>
      </c>
      <c r="E405" t="str">
        <f t="shared" si="18"/>
        <v>E2_2_1_6</v>
      </c>
      <c r="F405" s="3" t="s">
        <v>10180</v>
      </c>
      <c r="G405" s="3" t="s">
        <v>11326</v>
      </c>
      <c r="H405" t="s">
        <v>10179</v>
      </c>
      <c r="I405" t="s">
        <v>12015</v>
      </c>
      <c r="J405" t="str">
        <f t="shared" si="19"/>
        <v>(${Variables:E2_2_1_6_kcat} * E2_2_1_6 * C06010 * C00068)/(${Variables:E2_2_1_6_km} + (E2_2_1_6 * C06010 * C00068))</v>
      </c>
      <c r="K405" s="21" t="str">
        <f t="shared" si="20"/>
        <v>r404: C06010 + C00068 -&gt; C05125 + C00022 | (${Variables:E2_2_1_6_kcat} * E2_2_1_6 * C06010 * C00068)/(${Variables:E2_2_1_6_km} + (E2_2_1_6 * C06010 * C00068))</v>
      </c>
    </row>
    <row r="406" spans="1:11">
      <c r="A406" t="s">
        <v>3428</v>
      </c>
      <c r="B406" t="s">
        <v>3429</v>
      </c>
      <c r="C406" t="s">
        <v>15328</v>
      </c>
      <c r="D406">
        <v>405</v>
      </c>
      <c r="E406" t="str">
        <f t="shared" si="18"/>
        <v>E2_2_1_6</v>
      </c>
      <c r="F406" s="3" t="s">
        <v>10181</v>
      </c>
      <c r="G406" s="3" t="s">
        <v>11327</v>
      </c>
      <c r="H406" t="s">
        <v>10182</v>
      </c>
      <c r="I406" t="s">
        <v>12016</v>
      </c>
      <c r="J406" t="str">
        <f t="shared" si="19"/>
        <v>(${Variables:E2_2_1_6_kcat} * E2_2_1_6 * C00109 * C05125)/(${Variables:E2_2_1_6_km} + (E2_2_1_6 * C00109 * C05125))</v>
      </c>
      <c r="K406" s="21" t="str">
        <f t="shared" si="20"/>
        <v>r405: C00109 + C05125 -&gt; C06006 + C00068 | (${Variables:E2_2_1_6_kcat} * E2_2_1_6 * C00109 * C05125)/(${Variables:E2_2_1_6_km} + (E2_2_1_6 * C00109 * C05125))</v>
      </c>
    </row>
    <row r="407" spans="1:11">
      <c r="A407" t="s">
        <v>3428</v>
      </c>
      <c r="B407" t="s">
        <v>3429</v>
      </c>
      <c r="C407" t="s">
        <v>15328</v>
      </c>
      <c r="D407">
        <v>406</v>
      </c>
      <c r="E407" t="str">
        <f t="shared" si="18"/>
        <v>E2_2_1_6</v>
      </c>
      <c r="F407" s="3" t="s">
        <v>10183</v>
      </c>
      <c r="G407" s="3" t="s">
        <v>11328</v>
      </c>
      <c r="H407" t="s">
        <v>10184</v>
      </c>
      <c r="I407" t="s">
        <v>12017</v>
      </c>
      <c r="J407" t="str">
        <f t="shared" si="19"/>
        <v>(${Variables:E2_2_1_6_kcat} * E2_2_1_6 * C00022 * C00109)/(${Variables:E2_2_1_6_km} + (E2_2_1_6 * C00022 * C00109))</v>
      </c>
      <c r="K407" s="21" t="str">
        <f t="shared" si="20"/>
        <v>r406: C00022 + C00109 -&gt; C06006 + C00011 | (${Variables:E2_2_1_6_kcat} * E2_2_1_6 * C00022 * C00109)/(${Variables:E2_2_1_6_km} + (E2_2_1_6 * C00022 * C00109))</v>
      </c>
    </row>
    <row r="408" spans="1:11">
      <c r="A408" t="s">
        <v>3432</v>
      </c>
      <c r="B408" t="s">
        <v>3433</v>
      </c>
      <c r="C408" t="s">
        <v>15328</v>
      </c>
      <c r="D408">
        <v>407</v>
      </c>
      <c r="E408" t="str">
        <f t="shared" si="18"/>
        <v>E2_2_1_6</v>
      </c>
      <c r="F408" s="3" t="s">
        <v>15977</v>
      </c>
      <c r="G408" s="3" t="s">
        <v>15978</v>
      </c>
      <c r="H408" t="s">
        <v>13222</v>
      </c>
      <c r="I408" t="s">
        <v>13222</v>
      </c>
      <c r="J408" t="str">
        <f t="shared" si="19"/>
        <v>(${Variables:E2_2_1_6_kcat} * E2_2_1_6 * C00900 * C00011)/(${Variables:E2_2_1_6_km} + (E2_2_1_6 * C00900 * C00011))</v>
      </c>
      <c r="K408" s="21" t="str">
        <f t="shared" si="20"/>
        <v>r407: C00900 + C00011 -&gt; C00022 | (${Variables:E2_2_1_6_kcat} * E2_2_1_6 * C00900 * C00011)/(${Variables:E2_2_1_6_km} + (E2_2_1_6 * C00900 * C00011))</v>
      </c>
    </row>
    <row r="409" spans="1:11">
      <c r="A409" t="s">
        <v>3432</v>
      </c>
      <c r="B409" t="s">
        <v>3433</v>
      </c>
      <c r="C409" t="s">
        <v>15328</v>
      </c>
      <c r="D409">
        <v>408</v>
      </c>
      <c r="E409" t="str">
        <f t="shared" si="18"/>
        <v>E2_2_1_6</v>
      </c>
      <c r="F409" s="3" t="s">
        <v>10175</v>
      </c>
      <c r="G409" s="3" t="s">
        <v>11323</v>
      </c>
      <c r="H409" t="s">
        <v>13222</v>
      </c>
      <c r="I409" t="s">
        <v>13222</v>
      </c>
      <c r="J409" t="str">
        <f t="shared" si="19"/>
        <v>(${Variables:E2_2_1_6_kcat} * E2_2_1_6 * C06010 * C00011)/(${Variables:E2_2_1_6_km} + (E2_2_1_6 * C06010 * C00011))</v>
      </c>
      <c r="K409" s="21" t="str">
        <f t="shared" si="20"/>
        <v>r408: C06010 + C00011 -&gt; C00022 | (${Variables:E2_2_1_6_kcat} * E2_2_1_6 * C06010 * C00011)/(${Variables:E2_2_1_6_km} + (E2_2_1_6 * C06010 * C00011))</v>
      </c>
    </row>
    <row r="410" spans="1:11">
      <c r="A410" t="s">
        <v>3432</v>
      </c>
      <c r="B410" t="s">
        <v>3433</v>
      </c>
      <c r="C410" t="s">
        <v>15328</v>
      </c>
      <c r="D410">
        <v>409</v>
      </c>
      <c r="E410" t="str">
        <f t="shared" si="18"/>
        <v>E2_2_1_6</v>
      </c>
      <c r="F410" s="3" t="s">
        <v>10176</v>
      </c>
      <c r="G410" s="3" t="s">
        <v>11324</v>
      </c>
      <c r="H410" t="s">
        <v>10177</v>
      </c>
      <c r="I410" t="s">
        <v>12014</v>
      </c>
      <c r="J410" t="str">
        <f t="shared" si="19"/>
        <v>(${Variables:E2_2_1_6_kcat} * E2_2_1_6 * C00022 * C00068)/(${Variables:E2_2_1_6_km} + (E2_2_1_6 * C00022 * C00068))</v>
      </c>
      <c r="K410" s="21" t="str">
        <f t="shared" si="20"/>
        <v>r409: C00022 + C00068 -&gt; C05125 + C00011 | (${Variables:E2_2_1_6_kcat} * E2_2_1_6 * C00022 * C00068)/(${Variables:E2_2_1_6_km} + (E2_2_1_6 * C00022 * C00068))</v>
      </c>
    </row>
    <row r="411" spans="1:11">
      <c r="A411" t="s">
        <v>3432</v>
      </c>
      <c r="B411" t="s">
        <v>3433</v>
      </c>
      <c r="C411" t="s">
        <v>15328</v>
      </c>
      <c r="D411">
        <v>410</v>
      </c>
      <c r="E411" t="str">
        <f t="shared" si="18"/>
        <v>E2_2_1_6</v>
      </c>
      <c r="F411" s="3" t="s">
        <v>10178</v>
      </c>
      <c r="G411" s="3" t="s">
        <v>11325</v>
      </c>
      <c r="H411" t="s">
        <v>10179</v>
      </c>
      <c r="I411" t="s">
        <v>12015</v>
      </c>
      <c r="J411" t="str">
        <f t="shared" si="19"/>
        <v>(${Variables:E2_2_1_6_kcat} * E2_2_1_6 * C00900 * C00068)/(${Variables:E2_2_1_6_km} + (E2_2_1_6 * C00900 * C00068))</v>
      </c>
      <c r="K411" s="21" t="str">
        <f t="shared" si="20"/>
        <v>r410: C00900 + C00068 -&gt; C05125 + C00022 | (${Variables:E2_2_1_6_kcat} * E2_2_1_6 * C00900 * C00068)/(${Variables:E2_2_1_6_km} + (E2_2_1_6 * C00900 * C00068))</v>
      </c>
    </row>
    <row r="412" spans="1:11">
      <c r="A412" t="s">
        <v>3432</v>
      </c>
      <c r="B412" t="s">
        <v>3433</v>
      </c>
      <c r="C412" t="s">
        <v>15328</v>
      </c>
      <c r="D412">
        <v>411</v>
      </c>
      <c r="E412" t="str">
        <f t="shared" si="18"/>
        <v>E2_2_1_6</v>
      </c>
      <c r="F412" s="3" t="s">
        <v>10180</v>
      </c>
      <c r="G412" s="3" t="s">
        <v>11326</v>
      </c>
      <c r="H412" t="s">
        <v>10179</v>
      </c>
      <c r="I412" t="s">
        <v>12015</v>
      </c>
      <c r="J412" t="str">
        <f t="shared" si="19"/>
        <v>(${Variables:E2_2_1_6_kcat} * E2_2_1_6 * C06010 * C00068)/(${Variables:E2_2_1_6_km} + (E2_2_1_6 * C06010 * C00068))</v>
      </c>
      <c r="K412" s="21" t="str">
        <f t="shared" si="20"/>
        <v>r411: C06010 + C00068 -&gt; C05125 + C00022 | (${Variables:E2_2_1_6_kcat} * E2_2_1_6 * C06010 * C00068)/(${Variables:E2_2_1_6_km} + (E2_2_1_6 * C06010 * C00068))</v>
      </c>
    </row>
    <row r="413" spans="1:11">
      <c r="A413" t="s">
        <v>3432</v>
      </c>
      <c r="B413" t="s">
        <v>3433</v>
      </c>
      <c r="C413" t="s">
        <v>15328</v>
      </c>
      <c r="D413">
        <v>412</v>
      </c>
      <c r="E413" t="str">
        <f t="shared" si="18"/>
        <v>E2_2_1_6</v>
      </c>
      <c r="F413" s="3" t="s">
        <v>10181</v>
      </c>
      <c r="G413" s="3" t="s">
        <v>11327</v>
      </c>
      <c r="H413" t="s">
        <v>10182</v>
      </c>
      <c r="I413" t="s">
        <v>12016</v>
      </c>
      <c r="J413" t="str">
        <f t="shared" si="19"/>
        <v>(${Variables:E2_2_1_6_kcat} * E2_2_1_6 * C00109 * C05125)/(${Variables:E2_2_1_6_km} + (E2_2_1_6 * C00109 * C05125))</v>
      </c>
      <c r="K413" s="21" t="str">
        <f t="shared" si="20"/>
        <v>r412: C00109 + C05125 -&gt; C06006 + C00068 | (${Variables:E2_2_1_6_kcat} * E2_2_1_6 * C00109 * C05125)/(${Variables:E2_2_1_6_km} + (E2_2_1_6 * C00109 * C05125))</v>
      </c>
    </row>
    <row r="414" spans="1:11">
      <c r="A414" t="s">
        <v>3432</v>
      </c>
      <c r="B414" t="s">
        <v>3433</v>
      </c>
      <c r="C414" t="s">
        <v>15328</v>
      </c>
      <c r="D414">
        <v>413</v>
      </c>
      <c r="E414" t="str">
        <f t="shared" si="18"/>
        <v>E2_2_1_6</v>
      </c>
      <c r="F414" s="3" t="s">
        <v>10183</v>
      </c>
      <c r="G414" s="3" t="s">
        <v>11328</v>
      </c>
      <c r="H414" t="s">
        <v>10184</v>
      </c>
      <c r="I414" t="s">
        <v>12017</v>
      </c>
      <c r="J414" t="str">
        <f t="shared" si="19"/>
        <v>(${Variables:E2_2_1_6_kcat} * E2_2_1_6 * C00022 * C00109)/(${Variables:E2_2_1_6_km} + (E2_2_1_6 * C00022 * C00109))</v>
      </c>
      <c r="K414" s="21" t="str">
        <f t="shared" si="20"/>
        <v>r413: C00022 + C00109 -&gt; C06006 + C00011 | (${Variables:E2_2_1_6_kcat} * E2_2_1_6 * C00022 * C00109)/(${Variables:E2_2_1_6_km} + (E2_2_1_6 * C00022 * C00109))</v>
      </c>
    </row>
    <row r="415" spans="1:11">
      <c r="A415" t="s">
        <v>3436</v>
      </c>
      <c r="B415" t="s">
        <v>3437</v>
      </c>
      <c r="C415" t="s">
        <v>15469</v>
      </c>
      <c r="D415">
        <v>414</v>
      </c>
      <c r="E415" t="str">
        <f t="shared" si="18"/>
        <v>E1_1_1_86</v>
      </c>
      <c r="F415" t="s">
        <v>10699</v>
      </c>
      <c r="G415" t="s">
        <v>11537</v>
      </c>
      <c r="H415" s="5" t="s">
        <v>10700</v>
      </c>
      <c r="I415" s="5" t="s">
        <v>12232</v>
      </c>
      <c r="J415" t="str">
        <f t="shared" si="19"/>
        <v>(${Variables:E1_1_1_86_kcat} * E1_1_1_86 * C04272 * C00006 )/(${Variables:E1_1_1_86_km} + (E1_1_1_86 * C04272 * C00006 ))</v>
      </c>
      <c r="K415" s="21" t="str">
        <f t="shared" si="20"/>
        <v>r414: C04272 + C00006  -&gt; C06010 + C00005 + C00080 | (${Variables:E1_1_1_86_kcat} * E1_1_1_86 * C04272 * C00006 )/(${Variables:E1_1_1_86_km} + (E1_1_1_86 * C04272 * C00006 ))</v>
      </c>
    </row>
    <row r="416" spans="1:11">
      <c r="A416" t="s">
        <v>3436</v>
      </c>
      <c r="B416" t="s">
        <v>3437</v>
      </c>
      <c r="C416" t="s">
        <v>15469</v>
      </c>
      <c r="D416">
        <v>415</v>
      </c>
      <c r="E416" t="str">
        <f t="shared" si="18"/>
        <v>E1_1_1_86</v>
      </c>
      <c r="F416" t="s">
        <v>10449</v>
      </c>
      <c r="G416" t="s">
        <v>11538</v>
      </c>
      <c r="H416" s="5" t="s">
        <v>10450</v>
      </c>
      <c r="I416" s="5" t="s">
        <v>12233</v>
      </c>
      <c r="J416" t="str">
        <f t="shared" si="19"/>
        <v>(${Variables:E1_1_1_86_kcat} * E1_1_1_86 * C00900 * C00005 * C00080)/(${Variables:E1_1_1_86_km} + (E1_1_1_86 * C00900 * C00005 * C00080))</v>
      </c>
      <c r="K416" s="21" t="str">
        <f t="shared" si="20"/>
        <v>r415: C00900 + C00005 + C00080 -&gt; C04039 + C00006 | (${Variables:E1_1_1_86_kcat} * E1_1_1_86 * C00900 * C00005 * C00080)/(${Variables:E1_1_1_86_km} + (E1_1_1_86 * C00900 * C00005 * C00080))</v>
      </c>
    </row>
    <row r="417" spans="1:11">
      <c r="A417" t="s">
        <v>3436</v>
      </c>
      <c r="B417" t="s">
        <v>3437</v>
      </c>
      <c r="C417" t="s">
        <v>15469</v>
      </c>
      <c r="D417">
        <v>416</v>
      </c>
      <c r="E417" t="str">
        <f t="shared" si="18"/>
        <v>E1_1_1_86</v>
      </c>
      <c r="F417" t="s">
        <v>10451</v>
      </c>
      <c r="G417" t="s">
        <v>11539</v>
      </c>
      <c r="H417" s="5" t="s">
        <v>10452</v>
      </c>
      <c r="I417" s="5" t="s">
        <v>12234</v>
      </c>
      <c r="J417" t="str">
        <f t="shared" si="19"/>
        <v>(${Variables:E1_1_1_86_kcat} * E1_1_1_86 * C04272 * C00006)/(${Variables:E1_1_1_86_km} + (E1_1_1_86 * C04272 * C00006))</v>
      </c>
      <c r="K417" s="21" t="str">
        <f t="shared" si="20"/>
        <v>r416: C04272 + C00006 -&gt; C04181 + C00005 + C00080 | (${Variables:E1_1_1_86_kcat} * E1_1_1_86 * C04272 * C00006)/(${Variables:E1_1_1_86_km} + (E1_1_1_86 * C04272 * C00006))</v>
      </c>
    </row>
    <row r="418" spans="1:11">
      <c r="A418" t="s">
        <v>3436</v>
      </c>
      <c r="B418" t="s">
        <v>3437</v>
      </c>
      <c r="C418" t="s">
        <v>15469</v>
      </c>
      <c r="D418">
        <v>417</v>
      </c>
      <c r="E418" t="str">
        <f t="shared" si="18"/>
        <v>E1_1_1_86</v>
      </c>
      <c r="F418" t="s">
        <v>10453</v>
      </c>
      <c r="G418" t="s">
        <v>11540</v>
      </c>
      <c r="H418" s="5" t="s">
        <v>10454</v>
      </c>
      <c r="I418" s="5" t="s">
        <v>12235</v>
      </c>
      <c r="J418" t="str">
        <f t="shared" si="19"/>
        <v>(${Variables:E1_1_1_86_kcat} * E1_1_1_86 * C06007 * C00006 )/(${Variables:E1_1_1_86_km} + (E1_1_1_86 * C06007 * C00006 ))</v>
      </c>
      <c r="K418" s="21" t="str">
        <f t="shared" si="20"/>
        <v>r417: C06007 + C00006  -&gt; C14463 + C00005 + C00080 | (${Variables:E1_1_1_86_kcat} * E1_1_1_86 * C06007 * C00006 )/(${Variables:E1_1_1_86_km} + (E1_1_1_86 * C06007 * C00006 ))</v>
      </c>
    </row>
    <row r="419" spans="1:11">
      <c r="A419" t="s">
        <v>3436</v>
      </c>
      <c r="B419" t="s">
        <v>3437</v>
      </c>
      <c r="C419" t="s">
        <v>15469</v>
      </c>
      <c r="D419">
        <v>418</v>
      </c>
      <c r="E419" t="str">
        <f t="shared" si="18"/>
        <v>E1_1_1_86</v>
      </c>
      <c r="F419" t="s">
        <v>10455</v>
      </c>
      <c r="G419" t="s">
        <v>10455</v>
      </c>
      <c r="H419" s="5" t="s">
        <v>10456</v>
      </c>
      <c r="I419" s="5" t="s">
        <v>10456</v>
      </c>
      <c r="J419" t="str">
        <f t="shared" si="19"/>
        <v>(${Variables:E1_1_1_86_kcat} * E1_1_1_86 * C06006)/(${Variables:E1_1_1_86_km} + (E1_1_1_86 * C06006))</v>
      </c>
      <c r="K419" s="21" t="str">
        <f t="shared" si="20"/>
        <v>r418: C06006 -&gt; C14463 | (${Variables:E1_1_1_86_kcat} * E1_1_1_86 * C06006)/(${Variables:E1_1_1_86_km} + (E1_1_1_86 * C06006))</v>
      </c>
    </row>
    <row r="420" spans="1:11">
      <c r="A420" t="s">
        <v>3436</v>
      </c>
      <c r="B420" t="s">
        <v>3437</v>
      </c>
      <c r="C420" t="s">
        <v>15469</v>
      </c>
      <c r="D420">
        <v>419</v>
      </c>
      <c r="E420" t="str">
        <f t="shared" si="18"/>
        <v>E1_1_1_86</v>
      </c>
      <c r="F420" t="s">
        <v>8200</v>
      </c>
      <c r="G420" t="s">
        <v>8200</v>
      </c>
      <c r="H420" s="5" t="s">
        <v>10457</v>
      </c>
      <c r="I420" s="5" t="s">
        <v>10457</v>
      </c>
      <c r="J420" t="str">
        <f t="shared" si="19"/>
        <v>(${Variables:E1_1_1_86_kcat} * E1_1_1_86 * C06010)/(${Variables:E1_1_1_86_km} + (E1_1_1_86 * C06010))</v>
      </c>
      <c r="K420" s="21" t="str">
        <f t="shared" si="20"/>
        <v>r419: C06010 -&gt; C04181 | (${Variables:E1_1_1_86_kcat} * E1_1_1_86 * C06010)/(${Variables:E1_1_1_86_km} + (E1_1_1_86 * C06010))</v>
      </c>
    </row>
    <row r="421" spans="1:11">
      <c r="A421" t="s">
        <v>3444</v>
      </c>
      <c r="B421" t="s">
        <v>3445</v>
      </c>
      <c r="C421" t="s">
        <v>15470</v>
      </c>
      <c r="D421">
        <v>420</v>
      </c>
      <c r="E421" t="str">
        <f t="shared" si="18"/>
        <v>E1_1_1_95</v>
      </c>
      <c r="F421" t="s">
        <v>10701</v>
      </c>
      <c r="G421" t="s">
        <v>11541</v>
      </c>
      <c r="H421" t="s">
        <v>10702</v>
      </c>
      <c r="I421" t="s">
        <v>12236</v>
      </c>
      <c r="J421" t="str">
        <f t="shared" si="19"/>
        <v>(${Variables:E1_1_1_95_kcat} * E1_1_1_95 * C00197 * C00003)/(${Variables:E1_1_1_95_km} + (E1_1_1_95 * C00197 * C00003))</v>
      </c>
      <c r="K421" s="21" t="str">
        <f t="shared" si="20"/>
        <v>r420: C00197 + C00003 -&gt; C03232 + C00004 + C00080 | (${Variables:E1_1_1_95_kcat} * E1_1_1_95 * C00197 * C00003)/(${Variables:E1_1_1_95_km} + (E1_1_1_95 * C00197 * C00003))</v>
      </c>
    </row>
    <row r="422" spans="1:11">
      <c r="A422" t="s">
        <v>3444</v>
      </c>
      <c r="B422" t="s">
        <v>3445</v>
      </c>
      <c r="C422" t="s">
        <v>15470</v>
      </c>
      <c r="D422">
        <v>421</v>
      </c>
      <c r="E422" t="str">
        <f t="shared" si="18"/>
        <v>E1_1_1_95</v>
      </c>
      <c r="F422" t="s">
        <v>10458</v>
      </c>
      <c r="G422" t="s">
        <v>11542</v>
      </c>
      <c r="H422" t="s">
        <v>10459</v>
      </c>
      <c r="I422" t="s">
        <v>12237</v>
      </c>
      <c r="J422" t="str">
        <f t="shared" si="19"/>
        <v>(${Variables:E1_1_1_95_kcat} * E1_1_1_95 * C02630 * C00003)/(${Variables:E1_1_1_95_km} + (E1_1_1_95 * C02630 * C00003))</v>
      </c>
      <c r="K422" s="21" t="str">
        <f t="shared" si="20"/>
        <v>r421: C02630 + C00003 -&gt; C00026 + C00004 + C00080 | (${Variables:E1_1_1_95_kcat} * E1_1_1_95 * C02630 * C00003)/(${Variables:E1_1_1_95_km} + (E1_1_1_95 * C02630 * C00003))</v>
      </c>
    </row>
    <row r="423" spans="1:11">
      <c r="A423" t="s">
        <v>3448</v>
      </c>
      <c r="B423" t="s">
        <v>3449</v>
      </c>
      <c r="C423" t="s">
        <v>15471</v>
      </c>
      <c r="D423">
        <v>422</v>
      </c>
      <c r="E423" t="str">
        <f t="shared" si="18"/>
        <v>E1_1_1_85</v>
      </c>
      <c r="F423" t="s">
        <v>10703</v>
      </c>
      <c r="G423" t="s">
        <v>11543</v>
      </c>
      <c r="H423" t="s">
        <v>8484</v>
      </c>
      <c r="I423" t="s">
        <v>8484</v>
      </c>
      <c r="J423" t="str">
        <f t="shared" si="19"/>
        <v>(${Variables:E1_1_1_85_kcat} * E1_1_1_85 * C00233 * C00011)/(${Variables:E1_1_1_85_km} + (E1_1_1_85 * C00233 * C00011))</v>
      </c>
      <c r="K423" s="21" t="str">
        <f t="shared" si="20"/>
        <v>r422: C00233 + C00011 -&gt; C04236 | (${Variables:E1_1_1_85_kcat} * E1_1_1_85 * C00233 * C00011)/(${Variables:E1_1_1_85_km} + (E1_1_1_85 * C00233 * C00011))</v>
      </c>
    </row>
    <row r="424" spans="1:11">
      <c r="A424" t="s">
        <v>3448</v>
      </c>
      <c r="B424" t="s">
        <v>3449</v>
      </c>
      <c r="C424" t="s">
        <v>15471</v>
      </c>
      <c r="D424">
        <v>423</v>
      </c>
      <c r="E424" t="str">
        <f t="shared" si="18"/>
        <v>E1_1_1_85</v>
      </c>
      <c r="F424" t="s">
        <v>10460</v>
      </c>
      <c r="G424" t="s">
        <v>11544</v>
      </c>
      <c r="H424" t="s">
        <v>10461</v>
      </c>
      <c r="I424" t="s">
        <v>12238</v>
      </c>
      <c r="J424" t="str">
        <f t="shared" si="19"/>
        <v>(${Variables:E1_1_1_85_kcat} * E1_1_1_85 * C04411 * C00003)/(${Variables:E1_1_1_85_km} + (E1_1_1_85 * C04411 * C00003))</v>
      </c>
      <c r="K424" s="21" t="str">
        <f t="shared" si="20"/>
        <v>r423: C04411 + C00003 -&gt; C04236 + C00004 + C00080 | (${Variables:E1_1_1_85_kcat} * E1_1_1_85 * C04411 * C00003)/(${Variables:E1_1_1_85_km} + (E1_1_1_85 * C04411 * C00003))</v>
      </c>
    </row>
    <row r="425" spans="1:11">
      <c r="A425" t="s">
        <v>3448</v>
      </c>
      <c r="B425" t="s">
        <v>3449</v>
      </c>
      <c r="C425" t="s">
        <v>15471</v>
      </c>
      <c r="D425">
        <v>424</v>
      </c>
      <c r="E425" t="str">
        <f t="shared" si="18"/>
        <v>E1_1_1_85</v>
      </c>
      <c r="F425" t="s">
        <v>10460</v>
      </c>
      <c r="G425" t="s">
        <v>11544</v>
      </c>
      <c r="H425" t="s">
        <v>10462</v>
      </c>
      <c r="I425" t="s">
        <v>12239</v>
      </c>
      <c r="J425" t="str">
        <f t="shared" si="19"/>
        <v>(${Variables:E1_1_1_85_kcat} * E1_1_1_85 * C04411 * C00003)/(${Variables:E1_1_1_85_km} + (E1_1_1_85 * C04411 * C00003))</v>
      </c>
      <c r="K425" s="21" t="str">
        <f t="shared" si="20"/>
        <v>r424: C04411 + C00003 -&gt; C00233 + C00011 + C00004 + C00080 | (${Variables:E1_1_1_85_kcat} * E1_1_1_85 * C04411 * C00003)/(${Variables:E1_1_1_85_km} + (E1_1_1_85 * C04411 * C00003))</v>
      </c>
    </row>
    <row r="426" spans="1:11">
      <c r="A426" t="s">
        <v>3448</v>
      </c>
      <c r="B426" t="s">
        <v>3449</v>
      </c>
      <c r="C426" t="s">
        <v>15471</v>
      </c>
      <c r="D426">
        <v>425</v>
      </c>
      <c r="E426" t="str">
        <f t="shared" si="18"/>
        <v>E1_1_1_85</v>
      </c>
      <c r="F426" t="s">
        <v>10463</v>
      </c>
      <c r="G426" t="s">
        <v>11545</v>
      </c>
      <c r="H426" t="s">
        <v>10464</v>
      </c>
      <c r="I426" t="s">
        <v>12240</v>
      </c>
      <c r="J426" t="str">
        <f t="shared" si="19"/>
        <v>(${Variables:E1_1_1_85_kcat} * E1_1_1_85 * C00109 * C00011 * C00004 * C00080)/(${Variables:E1_1_1_85_km} + (E1_1_1_85 * C00109 * C00011 * C00004 * C00080))</v>
      </c>
      <c r="K426" s="21" t="str">
        <f t="shared" si="20"/>
        <v>r425: C00109 + C00011 + C00004 + C00080 -&gt; C06032 + C00003 | (${Variables:E1_1_1_85_kcat} * E1_1_1_85 * C00109 * C00011 * C00004 * C00080)/(${Variables:E1_1_1_85_km} + (E1_1_1_85 * C00109 * C00011 * C00004 * C00080))</v>
      </c>
    </row>
    <row r="427" spans="1:11">
      <c r="A427" t="s">
        <v>3450</v>
      </c>
      <c r="B427" t="s">
        <v>3451</v>
      </c>
      <c r="C427" t="s">
        <v>15430</v>
      </c>
      <c r="D427">
        <v>426</v>
      </c>
      <c r="E427" t="str">
        <f t="shared" si="18"/>
        <v>E4_3_2_3</v>
      </c>
      <c r="F427" t="s">
        <v>8315</v>
      </c>
      <c r="G427" t="s">
        <v>8315</v>
      </c>
      <c r="H427" t="s">
        <v>8316</v>
      </c>
      <c r="I427" t="s">
        <v>12170</v>
      </c>
      <c r="J427" t="str">
        <f t="shared" si="19"/>
        <v>(${Variables:E4_3_2_3_kcat} * E4_3_2_3 * C00603)/(${Variables:E4_3_2_3_km} + (E4_3_2_3 * C00603))</v>
      </c>
      <c r="K427" s="21" t="str">
        <f t="shared" si="20"/>
        <v>r426: C00603 -&gt; C00048 + C00086 | (${Variables:E4_3_2_3_kcat} * E4_3_2_3 * C00603)/(${Variables:E4_3_2_3_km} + (E4_3_2_3 * C00603))</v>
      </c>
    </row>
    <row r="428" spans="1:11">
      <c r="A428" t="s">
        <v>3457</v>
      </c>
      <c r="B428" t="s">
        <v>3458</v>
      </c>
      <c r="C428" t="s">
        <v>15472</v>
      </c>
      <c r="D428">
        <v>427</v>
      </c>
      <c r="E428" t="str">
        <f t="shared" si="18"/>
        <v>E5_4_4_2</v>
      </c>
      <c r="F428" t="s">
        <v>8268</v>
      </c>
      <c r="G428" t="s">
        <v>8268</v>
      </c>
      <c r="H428" t="s">
        <v>8487</v>
      </c>
      <c r="I428" t="s">
        <v>8487</v>
      </c>
      <c r="J428" t="str">
        <f t="shared" si="19"/>
        <v>(${Variables:E5_4_4_2_kcat} * E5_4_4_2 * C00251)/(${Variables:E5_4_4_2_km} + (E5_4_4_2 * C00251))</v>
      </c>
      <c r="K428" s="21" t="str">
        <f t="shared" si="20"/>
        <v>r427: C00251 -&gt; C00885 | (${Variables:E5_4_4_2_kcat} * E5_4_4_2 * C00251)/(${Variables:E5_4_4_2_km} + (E5_4_4_2 * C00251))</v>
      </c>
    </row>
    <row r="429" spans="1:11">
      <c r="A429" t="s">
        <v>3484</v>
      </c>
      <c r="B429" t="s">
        <v>3485</v>
      </c>
      <c r="C429" t="s">
        <v>15473</v>
      </c>
      <c r="D429">
        <v>428</v>
      </c>
      <c r="E429" t="str">
        <f t="shared" si="18"/>
        <v>E6_1_1_17</v>
      </c>
      <c r="F429" t="s">
        <v>10704</v>
      </c>
      <c r="G429" t="s">
        <v>11546</v>
      </c>
      <c r="H429" t="s">
        <v>10705</v>
      </c>
      <c r="I429" t="s">
        <v>12241</v>
      </c>
      <c r="J429" t="str">
        <f t="shared" si="19"/>
        <v>(${Variables:E6_1_1_17_kcat} * E6_1_1_17 * C01641 * C00025 * C00002 )/(${Variables:E6_1_1_17_km} + (E6_1_1_17 * C01641 * C00025 * C00002 ))</v>
      </c>
      <c r="K429" s="21" t="str">
        <f t="shared" si="20"/>
        <v>r428: C01641 + C00025 + C00002  -&gt; C02987 + C00013 + C00020 | (${Variables:E6_1_1_17_kcat} * E6_1_1_17 * C01641 * C00025 * C00002 )/(${Variables:E6_1_1_17_km} + (E6_1_1_17 * C01641 * C00025 * C00002 ))</v>
      </c>
    </row>
    <row r="430" spans="1:11">
      <c r="A430" t="s">
        <v>3514</v>
      </c>
      <c r="B430" t="s">
        <v>3515</v>
      </c>
      <c r="C430" t="s">
        <v>15474</v>
      </c>
      <c r="D430">
        <v>429</v>
      </c>
      <c r="E430" t="str">
        <f t="shared" si="18"/>
        <v>E4_2_1_33</v>
      </c>
      <c r="F430" t="s">
        <v>8494</v>
      </c>
      <c r="G430" t="s">
        <v>8494</v>
      </c>
      <c r="H430" t="s">
        <v>10466</v>
      </c>
      <c r="I430" t="s">
        <v>12242</v>
      </c>
      <c r="J430" t="str">
        <f t="shared" si="19"/>
        <v>(${Variables:E4_2_1_33_kcat} * E4_2_1_33 * C02504)/(${Variables:E4_2_1_33_km} + (E4_2_1_33 * C02504))</v>
      </c>
      <c r="K430" s="21" t="str">
        <f t="shared" si="20"/>
        <v>r429: C02504 -&gt; C02631 + C00001 | (${Variables:E4_2_1_33_kcat} * E4_2_1_33 * C02504)/(${Variables:E4_2_1_33_km} + (E4_2_1_33 * C02504))</v>
      </c>
    </row>
    <row r="431" spans="1:11">
      <c r="A431" t="s">
        <v>3514</v>
      </c>
      <c r="B431" t="s">
        <v>3515</v>
      </c>
      <c r="C431" t="s">
        <v>15474</v>
      </c>
      <c r="D431">
        <v>430</v>
      </c>
      <c r="E431" t="str">
        <f t="shared" si="18"/>
        <v>E4_2_1_33</v>
      </c>
      <c r="F431" t="s">
        <v>10465</v>
      </c>
      <c r="G431" t="s">
        <v>10465</v>
      </c>
      <c r="H431" t="s">
        <v>10466</v>
      </c>
      <c r="I431" t="s">
        <v>12242</v>
      </c>
      <c r="J431" t="str">
        <f t="shared" si="19"/>
        <v>(${Variables:E4_2_1_33_kcat} * E4_2_1_33 * C04411)/(${Variables:E4_2_1_33_km} + (E4_2_1_33 * C04411))</v>
      </c>
      <c r="K431" s="21" t="str">
        <f t="shared" si="20"/>
        <v>r430: C04411 -&gt; C02631 + C00001 | (${Variables:E4_2_1_33_kcat} * E4_2_1_33 * C04411)/(${Variables:E4_2_1_33_km} + (E4_2_1_33 * C04411))</v>
      </c>
    </row>
    <row r="432" spans="1:11">
      <c r="A432" t="s">
        <v>3514</v>
      </c>
      <c r="B432" t="s">
        <v>3515</v>
      </c>
      <c r="C432" t="s">
        <v>15474</v>
      </c>
      <c r="D432">
        <v>431</v>
      </c>
      <c r="E432" t="str">
        <f t="shared" si="18"/>
        <v>E4_2_1_33</v>
      </c>
      <c r="F432" t="s">
        <v>10465</v>
      </c>
      <c r="G432" t="s">
        <v>10465</v>
      </c>
      <c r="H432" t="s">
        <v>8494</v>
      </c>
      <c r="I432" t="s">
        <v>8494</v>
      </c>
      <c r="J432" t="str">
        <f t="shared" si="19"/>
        <v>(${Variables:E4_2_1_33_kcat} * E4_2_1_33 * C04411)/(${Variables:E4_2_1_33_km} + (E4_2_1_33 * C04411))</v>
      </c>
      <c r="K432" s="21" t="str">
        <f t="shared" si="20"/>
        <v>r431: C04411 -&gt; C02504 | (${Variables:E4_2_1_33_kcat} * E4_2_1_33 * C04411)/(${Variables:E4_2_1_33_km} + (E4_2_1_33 * C04411))</v>
      </c>
    </row>
    <row r="433" spans="1:11">
      <c r="A433" t="s">
        <v>3518</v>
      </c>
      <c r="B433" t="s">
        <v>3519</v>
      </c>
      <c r="C433" t="s">
        <v>15474</v>
      </c>
      <c r="D433">
        <v>432</v>
      </c>
      <c r="E433" t="str">
        <f t="shared" si="18"/>
        <v>E4_2_1_33</v>
      </c>
      <c r="F433" t="s">
        <v>8494</v>
      </c>
      <c r="G433" t="s">
        <v>8494</v>
      </c>
      <c r="H433" t="s">
        <v>10466</v>
      </c>
      <c r="I433" t="s">
        <v>12242</v>
      </c>
      <c r="J433" t="str">
        <f t="shared" si="19"/>
        <v>(${Variables:E4_2_1_33_kcat} * E4_2_1_33 * C02504)/(${Variables:E4_2_1_33_km} + (E4_2_1_33 * C02504))</v>
      </c>
      <c r="K433" s="21" t="str">
        <f t="shared" si="20"/>
        <v>r432: C02504 -&gt; C02631 + C00001 | (${Variables:E4_2_1_33_kcat} * E4_2_1_33 * C02504)/(${Variables:E4_2_1_33_km} + (E4_2_1_33 * C02504))</v>
      </c>
    </row>
    <row r="434" spans="1:11">
      <c r="A434" t="s">
        <v>3518</v>
      </c>
      <c r="B434" t="s">
        <v>3519</v>
      </c>
      <c r="C434" t="s">
        <v>15474</v>
      </c>
      <c r="D434">
        <v>433</v>
      </c>
      <c r="E434" t="str">
        <f t="shared" si="18"/>
        <v>E4_2_1_33</v>
      </c>
      <c r="F434" t="s">
        <v>10465</v>
      </c>
      <c r="G434" t="s">
        <v>10465</v>
      </c>
      <c r="H434" t="s">
        <v>10466</v>
      </c>
      <c r="I434" t="s">
        <v>12242</v>
      </c>
      <c r="J434" t="str">
        <f t="shared" si="19"/>
        <v>(${Variables:E4_2_1_33_kcat} * E4_2_1_33 * C04411)/(${Variables:E4_2_1_33_km} + (E4_2_1_33 * C04411))</v>
      </c>
      <c r="K434" s="21" t="str">
        <f t="shared" si="20"/>
        <v>r433: C04411 -&gt; C02631 + C00001 | (${Variables:E4_2_1_33_kcat} * E4_2_1_33 * C04411)/(${Variables:E4_2_1_33_km} + (E4_2_1_33 * C04411))</v>
      </c>
    </row>
    <row r="435" spans="1:11">
      <c r="A435" t="s">
        <v>3518</v>
      </c>
      <c r="B435" t="s">
        <v>3519</v>
      </c>
      <c r="C435" t="s">
        <v>15474</v>
      </c>
      <c r="D435">
        <v>434</v>
      </c>
      <c r="E435" t="str">
        <f t="shared" si="18"/>
        <v>E4_2_1_33</v>
      </c>
      <c r="F435" t="s">
        <v>10465</v>
      </c>
      <c r="G435" t="s">
        <v>10465</v>
      </c>
      <c r="H435" t="s">
        <v>8494</v>
      </c>
      <c r="I435" t="s">
        <v>8494</v>
      </c>
      <c r="J435" t="str">
        <f t="shared" si="19"/>
        <v>(${Variables:E4_2_1_33_kcat} * E4_2_1_33 * C04411)/(${Variables:E4_2_1_33_km} + (E4_2_1_33 * C04411))</v>
      </c>
      <c r="K435" s="21" t="str">
        <f t="shared" si="20"/>
        <v>r434: C04411 -&gt; C02504 | (${Variables:E4_2_1_33_kcat} * E4_2_1_33 * C04411)/(${Variables:E4_2_1_33_km} + (E4_2_1_33 * C04411))</v>
      </c>
    </row>
    <row r="436" spans="1:11">
      <c r="A436" t="s">
        <v>3528</v>
      </c>
      <c r="B436" t="s">
        <v>3529</v>
      </c>
      <c r="C436" t="s">
        <v>15475</v>
      </c>
      <c r="D436">
        <v>435</v>
      </c>
      <c r="E436" t="str">
        <f t="shared" si="18"/>
        <v>E1_1_1_94</v>
      </c>
      <c r="F436" t="s">
        <v>10706</v>
      </c>
      <c r="G436" t="s">
        <v>11547</v>
      </c>
      <c r="H436" t="s">
        <v>10707</v>
      </c>
      <c r="I436" t="s">
        <v>12243</v>
      </c>
      <c r="J436" t="str">
        <f t="shared" si="19"/>
        <v>(${Variables:E1_1_1_94_kcat} * E1_1_1_94 * C00093 * C00003)/(${Variables:E1_1_1_94_km} + (E1_1_1_94 * C00093 * C00003))</v>
      </c>
      <c r="K436" s="21" t="str">
        <f t="shared" si="20"/>
        <v>r435: C00093 + C00003 -&gt; C00111 + C00004 + C00080 | (${Variables:E1_1_1_94_kcat} * E1_1_1_94 * C00093 * C00003)/(${Variables:E1_1_1_94_km} + (E1_1_1_94 * C00093 * C00003))</v>
      </c>
    </row>
    <row r="437" spans="1:11">
      <c r="A437" t="s">
        <v>3528</v>
      </c>
      <c r="B437" t="s">
        <v>3529</v>
      </c>
      <c r="C437" t="s">
        <v>15475</v>
      </c>
      <c r="D437">
        <v>436</v>
      </c>
      <c r="E437" t="str">
        <f t="shared" si="18"/>
        <v>E1_1_1_94</v>
      </c>
      <c r="F437" t="s">
        <v>10467</v>
      </c>
      <c r="G437" t="s">
        <v>11548</v>
      </c>
      <c r="H437" t="s">
        <v>10468</v>
      </c>
      <c r="I437" t="s">
        <v>12244</v>
      </c>
      <c r="J437" t="str">
        <f t="shared" si="19"/>
        <v>(${Variables:E1_1_1_94_kcat} * E1_1_1_94 * C00093 * C00006 )/(${Variables:E1_1_1_94_km} + (E1_1_1_94 * C00093 * C00006 ))</v>
      </c>
      <c r="K437" s="21" t="str">
        <f t="shared" si="20"/>
        <v>r436: C00093 + C00006  -&gt; C00111 + C00005 + C00080 | (${Variables:E1_1_1_94_kcat} * E1_1_1_94 * C00093 * C00006 )/(${Variables:E1_1_1_94_km} + (E1_1_1_94 * C00093 * C00006 ))</v>
      </c>
    </row>
    <row r="438" spans="1:11">
      <c r="A438" t="s">
        <v>3532</v>
      </c>
      <c r="B438" t="s">
        <v>3533</v>
      </c>
      <c r="C438" t="s">
        <v>15476</v>
      </c>
      <c r="D438">
        <v>437</v>
      </c>
      <c r="E438" t="str">
        <f t="shared" si="18"/>
        <v>E6_3_2_4</v>
      </c>
      <c r="F438" t="s">
        <v>15917</v>
      </c>
      <c r="G438" t="s">
        <v>15918</v>
      </c>
      <c r="H438" t="s">
        <v>10708</v>
      </c>
      <c r="I438" t="s">
        <v>12245</v>
      </c>
      <c r="J438" t="str">
        <f t="shared" si="19"/>
        <v>(${Variables:E6_3_2_4_kcat} * E6_3_2_4 * C00002 * C00133)/(${Variables:E6_3_2_4_km} + (E6_3_2_4 * C00002 * C00133))</v>
      </c>
      <c r="K438" s="21" t="str">
        <f t="shared" si="20"/>
        <v>r437: C00002 + C00133 -&gt; C00008 + C00009 + C00993 | (${Variables:E6_3_2_4_kcat} * E6_3_2_4 * C00002 * C00133)/(${Variables:E6_3_2_4_km} + (E6_3_2_4 * C00002 * C00133))</v>
      </c>
    </row>
    <row r="439" spans="1:11">
      <c r="A439" t="s">
        <v>3538</v>
      </c>
      <c r="B439" t="s">
        <v>3539</v>
      </c>
      <c r="C439" t="s">
        <v>15477</v>
      </c>
      <c r="D439">
        <v>438</v>
      </c>
      <c r="E439" t="str">
        <f t="shared" si="18"/>
        <v>E2_7_4_16</v>
      </c>
      <c r="F439" t="s">
        <v>10709</v>
      </c>
      <c r="G439" t="s">
        <v>11549</v>
      </c>
      <c r="H439" t="s">
        <v>10710</v>
      </c>
      <c r="I439" t="s">
        <v>12246</v>
      </c>
      <c r="J439" t="str">
        <f t="shared" si="19"/>
        <v>(${Variables:E2_7_4_16_kcat} * E2_7_4_16 * C00002 * C01081)/(${Variables:E2_7_4_16_km} + (E2_7_4_16 * C00002 * C01081))</v>
      </c>
      <c r="K439" s="21" t="str">
        <f t="shared" si="20"/>
        <v>r438: C00002 + C01081 -&gt; C00008 + C00068 | (${Variables:E2_7_4_16_kcat} * E2_7_4_16 * C00002 * C01081)/(${Variables:E2_7_4_16_km} + (E2_7_4_16 * C00002 * C01081))</v>
      </c>
    </row>
    <row r="440" spans="1:11">
      <c r="A440" t="s">
        <v>3557</v>
      </c>
      <c r="B440" t="s">
        <v>3558</v>
      </c>
      <c r="C440" t="s">
        <v>15478</v>
      </c>
      <c r="D440">
        <v>439</v>
      </c>
      <c r="E440" t="str">
        <f t="shared" si="18"/>
        <v>E2_1_1_171</v>
      </c>
      <c r="F440" t="s">
        <v>10676</v>
      </c>
      <c r="G440" t="s">
        <v>11502</v>
      </c>
      <c r="H440" t="s">
        <v>10711</v>
      </c>
      <c r="I440" t="s">
        <v>12247</v>
      </c>
      <c r="J440" t="str">
        <f t="shared" si="19"/>
        <v>(${Variables:E2_1_1_171_kcat} * E2_1_1_171 * C00019 * C00240 )/(${Variables:E2_1_1_171_km} + (E2_1_1_171 * C00019 * C00240 ))</v>
      </c>
      <c r="K440" s="21" t="str">
        <f t="shared" si="20"/>
        <v>r439: C00019 + C00240  -&gt; C00021 + C04153 | (${Variables:E2_1_1_171_kcat} * E2_1_1_171 * C00019 * C00240 )/(${Variables:E2_1_1_171_km} + (E2_1_1_171 * C00019 * C00240 ))</v>
      </c>
    </row>
    <row r="441" spans="1:11">
      <c r="A441" t="s">
        <v>3561</v>
      </c>
      <c r="B441" t="s">
        <v>3562</v>
      </c>
      <c r="C441" t="s">
        <v>15479</v>
      </c>
      <c r="D441">
        <v>440</v>
      </c>
      <c r="E441" t="str">
        <f t="shared" si="18"/>
        <v>E2_7_7_3</v>
      </c>
      <c r="F441" t="s">
        <v>10712</v>
      </c>
      <c r="G441" t="s">
        <v>11550</v>
      </c>
      <c r="H441" t="s">
        <v>10713</v>
      </c>
      <c r="I441" t="s">
        <v>12248</v>
      </c>
      <c r="J441" t="str">
        <f t="shared" si="19"/>
        <v>(${Variables:E2_7_7_3_kcat} * E2_7_7_3 * C00002 * C01134)/(${Variables:E2_7_7_3_km} + (E2_7_7_3 * C00002 * C01134))</v>
      </c>
      <c r="K441" s="21" t="str">
        <f t="shared" si="20"/>
        <v>r440: C00002 + C01134 -&gt; C00013 + C00882 | (${Variables:E2_7_7_3_kcat} * E2_7_7_3 * C00002 * C01134)/(${Variables:E2_7_7_3_km} + (E2_7_7_3 * C00002 * C01134))</v>
      </c>
    </row>
    <row r="442" spans="1:11">
      <c r="A442" t="s">
        <v>3582</v>
      </c>
      <c r="B442" t="s">
        <v>3583</v>
      </c>
      <c r="C442" t="s">
        <v>15311</v>
      </c>
      <c r="D442">
        <v>441</v>
      </c>
      <c r="E442" t="str">
        <f t="shared" si="18"/>
        <v>E2_7_7_7</v>
      </c>
      <c r="F442" t="s">
        <v>12706</v>
      </c>
      <c r="G442" t="s">
        <v>12705</v>
      </c>
      <c r="H442" s="3" t="s">
        <v>10163</v>
      </c>
      <c r="I442" s="3" t="s">
        <v>11305</v>
      </c>
      <c r="J442" t="str">
        <f t="shared" si="19"/>
        <v>(${Variables:E2_7_7_7_kcat} * E2_7_7_7 * C00677 * C00039)/(${Variables:E2_7_7_7_km} + (E2_7_7_7 * C00677 * C00039))</v>
      </c>
      <c r="K442" s="21" t="str">
        <f t="shared" si="20"/>
        <v>r441: C00677 + C00039 -&gt; C00013 + C00039 | (${Variables:E2_7_7_7_kcat} * E2_7_7_7 * C00677 * C00039)/(${Variables:E2_7_7_7_km} + (E2_7_7_7 * C00677 * C00039))</v>
      </c>
    </row>
    <row r="443" spans="1:11">
      <c r="A443" t="s">
        <v>3582</v>
      </c>
      <c r="B443" t="s">
        <v>3583</v>
      </c>
      <c r="C443" t="s">
        <v>15311</v>
      </c>
      <c r="D443">
        <v>442</v>
      </c>
      <c r="E443" t="str">
        <f t="shared" si="18"/>
        <v>E2_7_7_7</v>
      </c>
      <c r="F443" t="s">
        <v>10162</v>
      </c>
      <c r="G443" t="s">
        <v>11301</v>
      </c>
      <c r="H443" s="3" t="s">
        <v>10163</v>
      </c>
      <c r="I443" s="3" t="s">
        <v>11305</v>
      </c>
      <c r="J443" t="str">
        <f t="shared" si="19"/>
        <v>(${Variables:E2_7_7_7_kcat} * E2_7_7_7 * C00131 * C00039)/(${Variables:E2_7_7_7_km} + (E2_7_7_7 * C00131 * C00039))</v>
      </c>
      <c r="K443" s="21" t="str">
        <f t="shared" si="20"/>
        <v>r442: C00131 + C00039 -&gt; C00013 + C00039 | (${Variables:E2_7_7_7_kcat} * E2_7_7_7 * C00131 * C00039)/(${Variables:E2_7_7_7_km} + (E2_7_7_7 * C00131 * C00039))</v>
      </c>
    </row>
    <row r="444" spans="1:11">
      <c r="A444" t="s">
        <v>3582</v>
      </c>
      <c r="B444" t="s">
        <v>3583</v>
      </c>
      <c r="C444" t="s">
        <v>15311</v>
      </c>
      <c r="D444">
        <v>443</v>
      </c>
      <c r="E444" t="str">
        <f t="shared" si="18"/>
        <v>E2_7_7_7</v>
      </c>
      <c r="F444" t="s">
        <v>10164</v>
      </c>
      <c r="G444" t="s">
        <v>11302</v>
      </c>
      <c r="H444" s="3" t="s">
        <v>10163</v>
      </c>
      <c r="I444" s="3" t="s">
        <v>11305</v>
      </c>
      <c r="J444" t="str">
        <f t="shared" si="19"/>
        <v>(${Variables:E2_7_7_7_kcat} * E2_7_7_7 * C00286 * C00039 )/(${Variables:E2_7_7_7_km} + (E2_7_7_7 * C00286 * C00039 ))</v>
      </c>
      <c r="K444" s="21" t="str">
        <f t="shared" si="20"/>
        <v>r443: C00286 + C00039  -&gt; C00013 + C00039 | (${Variables:E2_7_7_7_kcat} * E2_7_7_7 * C00286 * C00039 )/(${Variables:E2_7_7_7_km} + (E2_7_7_7 * C00286 * C00039 ))</v>
      </c>
    </row>
    <row r="445" spans="1:11">
      <c r="A445" t="s">
        <v>3582</v>
      </c>
      <c r="B445" t="s">
        <v>3583</v>
      </c>
      <c r="C445" t="s">
        <v>15311</v>
      </c>
      <c r="D445">
        <v>444</v>
      </c>
      <c r="E445" t="str">
        <f t="shared" si="18"/>
        <v>E2_7_7_7</v>
      </c>
      <c r="F445" t="s">
        <v>10165</v>
      </c>
      <c r="G445" t="s">
        <v>11303</v>
      </c>
      <c r="H445" s="3" t="s">
        <v>10163</v>
      </c>
      <c r="I445" s="3" t="s">
        <v>11305</v>
      </c>
      <c r="J445" t="str">
        <f t="shared" si="19"/>
        <v>(${Variables:E2_7_7_7_kcat} * E2_7_7_7 * C00458 * C00039)/(${Variables:E2_7_7_7_km} + (E2_7_7_7 * C00458 * C00039))</v>
      </c>
      <c r="K445" s="21" t="str">
        <f t="shared" si="20"/>
        <v>r444: C00458 + C00039 -&gt; C00013 + C00039 | (${Variables:E2_7_7_7_kcat} * E2_7_7_7 * C00458 * C00039)/(${Variables:E2_7_7_7_km} + (E2_7_7_7 * C00458 * C00039))</v>
      </c>
    </row>
    <row r="446" spans="1:11">
      <c r="A446" t="s">
        <v>3582</v>
      </c>
      <c r="B446" t="s">
        <v>3583</v>
      </c>
      <c r="C446" t="s">
        <v>15311</v>
      </c>
      <c r="D446">
        <v>445</v>
      </c>
      <c r="E446" t="str">
        <f t="shared" si="18"/>
        <v>E2_7_7_7</v>
      </c>
      <c r="F446" t="s">
        <v>10166</v>
      </c>
      <c r="G446" t="s">
        <v>11304</v>
      </c>
      <c r="H446" s="3" t="s">
        <v>10163</v>
      </c>
      <c r="I446" s="3" t="s">
        <v>11305</v>
      </c>
      <c r="J446" t="str">
        <f t="shared" si="19"/>
        <v>(${Variables:E2_7_7_7_kcat} * E2_7_7_7 * C00459 * C00039 )/(${Variables:E2_7_7_7_km} + (E2_7_7_7 * C00459 * C00039 ))</v>
      </c>
      <c r="K446" s="21" t="str">
        <f t="shared" si="20"/>
        <v>r445: C00459 + C00039  -&gt; C00013 + C00039 | (${Variables:E2_7_7_7_kcat} * E2_7_7_7 * C00459 * C00039 )/(${Variables:E2_7_7_7_km} + (E2_7_7_7 * C00459 * C00039 ))</v>
      </c>
    </row>
    <row r="447" spans="1:11">
      <c r="A447" t="s">
        <v>3582</v>
      </c>
      <c r="B447" t="s">
        <v>3583</v>
      </c>
      <c r="C447" t="s">
        <v>15311</v>
      </c>
      <c r="D447">
        <v>446</v>
      </c>
      <c r="E447" t="str">
        <f t="shared" si="18"/>
        <v>E2_7_7_7</v>
      </c>
      <c r="F447" t="s">
        <v>10167</v>
      </c>
      <c r="G447" t="s">
        <v>10167</v>
      </c>
      <c r="H447" s="3" t="s">
        <v>10168</v>
      </c>
      <c r="I447" s="3" t="s">
        <v>10168</v>
      </c>
      <c r="J447" t="str">
        <f t="shared" si="19"/>
        <v>(${Variables:E2_7_7_7_kcat} * E2_7_7_7 * C11039)/(${Variables:E2_7_7_7_km} + (E2_7_7_7 * C11039))</v>
      </c>
      <c r="K447" s="21" t="str">
        <f t="shared" si="20"/>
        <v>r446: C11039 -&gt; C21031 | (${Variables:E2_7_7_7_kcat} * E2_7_7_7 * C11039)/(${Variables:E2_7_7_7_km} + (E2_7_7_7 * C11039))</v>
      </c>
    </row>
    <row r="448" spans="1:11">
      <c r="A448" t="s">
        <v>3603</v>
      </c>
      <c r="B448" t="s">
        <v>3604</v>
      </c>
      <c r="C448" t="s">
        <v>15480</v>
      </c>
      <c r="D448">
        <v>447</v>
      </c>
      <c r="E448" t="str">
        <f t="shared" si="18"/>
        <v>E2_7_1_24</v>
      </c>
      <c r="F448" t="s">
        <v>10714</v>
      </c>
      <c r="G448" t="s">
        <v>11551</v>
      </c>
      <c r="H448" t="s">
        <v>10715</v>
      </c>
      <c r="I448" t="s">
        <v>12249</v>
      </c>
      <c r="J448" t="str">
        <f t="shared" si="19"/>
        <v>(${Variables:E2_7_1_24_kcat} * E2_7_1_24 * C00002 * C00882)/(${Variables:E2_7_1_24_km} + (E2_7_1_24 * C00002 * C00882))</v>
      </c>
      <c r="K448" s="21" t="str">
        <f t="shared" si="20"/>
        <v>r447: C00002 + C00882 -&gt; C00008 + C00010 | (${Variables:E2_7_1_24_kcat} * E2_7_1_24 * C00002 * C00882)/(${Variables:E2_7_1_24_km} + (E2_7_1_24 * C00002 * C00882))</v>
      </c>
    </row>
    <row r="449" spans="1:11">
      <c r="A449" t="s">
        <v>3650</v>
      </c>
      <c r="B449" t="s">
        <v>3651</v>
      </c>
      <c r="C449" t="s">
        <v>15481</v>
      </c>
      <c r="D449">
        <v>448</v>
      </c>
      <c r="E449" t="str">
        <f t="shared" si="18"/>
        <v>E6_1_1_20</v>
      </c>
      <c r="F449" t="s">
        <v>10716</v>
      </c>
      <c r="G449" t="s">
        <v>11552</v>
      </c>
      <c r="H449" t="s">
        <v>10717</v>
      </c>
      <c r="I449" t="s">
        <v>12250</v>
      </c>
      <c r="J449" t="str">
        <f t="shared" si="19"/>
        <v>(${Variables:E6_1_1_20_kcat} * E6_1_1_20 * C00002 * C00079 * C01648)/(${Variables:E6_1_1_20_km} + (E6_1_1_20 * C00002 * C00079 * C01648))</v>
      </c>
      <c r="K449" s="21" t="str">
        <f t="shared" si="20"/>
        <v>r448: C00002 + C00079 + C01648 -&gt; C00020 + C00013 + C03511 | (${Variables:E6_1_1_20_kcat} * E6_1_1_20 * C00002 * C00079 * C01648)/(${Variables:E6_1_1_20_km} + (E6_1_1_20 * C00002 * C00079 * C01648))</v>
      </c>
    </row>
    <row r="450" spans="1:11">
      <c r="A450" t="s">
        <v>3654</v>
      </c>
      <c r="B450" t="s">
        <v>3655</v>
      </c>
      <c r="C450" t="s">
        <v>15481</v>
      </c>
      <c r="D450">
        <v>449</v>
      </c>
      <c r="E450" t="str">
        <f t="shared" si="18"/>
        <v>E6_1_1_20</v>
      </c>
      <c r="F450" t="s">
        <v>10716</v>
      </c>
      <c r="G450" t="s">
        <v>11552</v>
      </c>
      <c r="H450" s="3" t="s">
        <v>10717</v>
      </c>
      <c r="I450" s="3" t="s">
        <v>12250</v>
      </c>
      <c r="J450" t="str">
        <f t="shared" si="19"/>
        <v>(${Variables:E6_1_1_20_kcat} * E6_1_1_20 * C00002 * C00079 * C01648)/(${Variables:E6_1_1_20_km} + (E6_1_1_20 * C00002 * C00079 * C01648))</v>
      </c>
      <c r="K450" s="21" t="str">
        <f t="shared" si="20"/>
        <v>r449: C00002 + C00079 + C01648 -&gt; C00020 + C00013 + C03511 | (${Variables:E6_1_1_20_kcat} * E6_1_1_20 * C00002 * C00079 * C01648)/(${Variables:E6_1_1_20_km} + (E6_1_1_20 * C00002 * C00079 * C01648))</v>
      </c>
    </row>
    <row r="451" spans="1:11">
      <c r="A451" t="s">
        <v>3658</v>
      </c>
      <c r="B451" t="s">
        <v>3659</v>
      </c>
      <c r="C451" t="s">
        <v>15482</v>
      </c>
      <c r="D451">
        <v>450</v>
      </c>
      <c r="E451" t="str">
        <f t="shared" ref="E451:E514" si="21">"E" &amp; C451</f>
        <v>E1_2_1_38</v>
      </c>
      <c r="F451" t="s">
        <v>10718</v>
      </c>
      <c r="G451" t="s">
        <v>11553</v>
      </c>
      <c r="H451" t="s">
        <v>10719</v>
      </c>
      <c r="I451" t="s">
        <v>12251</v>
      </c>
      <c r="J451" t="str">
        <f t="shared" ref="J451:J514" si="22">CONCATENATE("(${Variables:",E451,"_kcat","} * ",E451," * ",G451,")","/(${Variables:",E451,"_km","} + (",E451," * ",G451,"))")</f>
        <v>(${Variables:E1_2_1_38_kcat} * E1_2_1_38 * C01250 * C00009 * C00006)/(${Variables:E1_2_1_38_km} + (E1_2_1_38 * C01250 * C00009 * C00006))</v>
      </c>
      <c r="K451" s="21" t="str">
        <f t="shared" ref="K451:K514" si="23">CONCATENATE("r",D451,": ",F451," -&gt; ",H451," | ",J451)</f>
        <v>r450: C01250 + C00009 + C00006 -&gt; C04133 + C00005 + C00080 | (${Variables:E1_2_1_38_kcat} * E1_2_1_38 * C01250 * C00009 * C00006)/(${Variables:E1_2_1_38_km} + (E1_2_1_38 * C01250 * C00009 * C00006))</v>
      </c>
    </row>
    <row r="452" spans="1:11">
      <c r="A452" t="s">
        <v>3666</v>
      </c>
      <c r="B452" t="s">
        <v>3667</v>
      </c>
      <c r="C452" t="s">
        <v>15483</v>
      </c>
      <c r="D452">
        <v>451</v>
      </c>
      <c r="E452" t="str">
        <f t="shared" si="21"/>
        <v>E2_7_2_8</v>
      </c>
      <c r="F452" t="s">
        <v>10720</v>
      </c>
      <c r="G452" t="s">
        <v>11554</v>
      </c>
      <c r="H452" t="s">
        <v>10721</v>
      </c>
      <c r="I452" t="s">
        <v>12252</v>
      </c>
      <c r="J452" t="str">
        <f t="shared" si="22"/>
        <v>(${Variables:E2_7_2_8_kcat} * E2_7_2_8 * C00002 * C00624)/(${Variables:E2_7_2_8_km} + (E2_7_2_8 * C00002 * C00624))</v>
      </c>
      <c r="K452" s="21" t="str">
        <f t="shared" si="23"/>
        <v>r451: C00002 + C00624 -&gt; C00008 + C04133 | (${Variables:E2_7_2_8_kcat} * E2_7_2_8 * C00002 * C00624)/(${Variables:E2_7_2_8_km} + (E2_7_2_8 * C00002 * C00624))</v>
      </c>
    </row>
    <row r="453" spans="1:11">
      <c r="A453" t="s">
        <v>3670</v>
      </c>
      <c r="B453" t="s">
        <v>3671</v>
      </c>
      <c r="C453" t="s">
        <v>15484</v>
      </c>
      <c r="D453">
        <v>452</v>
      </c>
      <c r="E453" t="str">
        <f t="shared" si="21"/>
        <v>E2_6_1_11</v>
      </c>
      <c r="F453" t="s">
        <v>10722</v>
      </c>
      <c r="G453" t="s">
        <v>11555</v>
      </c>
      <c r="H453" t="s">
        <v>10723</v>
      </c>
      <c r="I453" t="s">
        <v>12253</v>
      </c>
      <c r="J453" t="str">
        <f t="shared" si="22"/>
        <v>(${Variables:E2_6_1_11_kcat} * E2_6_1_11 * C00437 * C00026)/(${Variables:E2_6_1_11_km} + (E2_6_1_11 * C00437 * C00026))</v>
      </c>
      <c r="K453" s="21" t="str">
        <f t="shared" si="23"/>
        <v>r452: C00437 + C00026 -&gt; C01250 + C00025 | (${Variables:E2_6_1_11_kcat} * E2_6_1_11 * C00437 * C00026)/(${Variables:E2_6_1_11_km} + (E2_6_1_11 * C00437 * C00026))</v>
      </c>
    </row>
    <row r="454" spans="1:11">
      <c r="A454" t="s">
        <v>3674</v>
      </c>
      <c r="B454" t="s">
        <v>3675</v>
      </c>
      <c r="C454" t="s">
        <v>15485</v>
      </c>
      <c r="D454">
        <v>453</v>
      </c>
      <c r="E454" t="str">
        <f t="shared" si="21"/>
        <v>E2_1_3_3</v>
      </c>
      <c r="F454" t="s">
        <v>10724</v>
      </c>
      <c r="G454" t="s">
        <v>11556</v>
      </c>
      <c r="H454" t="s">
        <v>10725</v>
      </c>
      <c r="I454" t="s">
        <v>12254</v>
      </c>
      <c r="J454" t="str">
        <f t="shared" si="22"/>
        <v>(${Variables:E2_1_3_3_kcat} * E2_1_3_3 * C00169 * C00077)/(${Variables:E2_1_3_3_km} + (E2_1_3_3 * C00169 * C00077))</v>
      </c>
      <c r="K454" s="21" t="str">
        <f t="shared" si="23"/>
        <v>r453: C00169 + C00077 -&gt; C00009 + C00327 | (${Variables:E2_1_3_3_kcat} * E2_1_3_3 * C00169 * C00077)/(${Variables:E2_1_3_3_km} + (E2_1_3_3 * C00169 * C00077))</v>
      </c>
    </row>
    <row r="455" spans="1:11">
      <c r="A455" t="s">
        <v>3682</v>
      </c>
      <c r="B455" t="s">
        <v>3683</v>
      </c>
      <c r="C455" t="s">
        <v>15486</v>
      </c>
      <c r="D455">
        <v>454</v>
      </c>
      <c r="E455" t="str">
        <f t="shared" si="21"/>
        <v>E6_3_4_5</v>
      </c>
      <c r="F455" t="s">
        <v>10726</v>
      </c>
      <c r="G455" t="s">
        <v>11557</v>
      </c>
      <c r="H455" t="s">
        <v>10727</v>
      </c>
      <c r="I455" t="s">
        <v>12255</v>
      </c>
      <c r="J455" t="str">
        <f t="shared" si="22"/>
        <v>(${Variables:E6_3_4_5_kcat} * E6_3_4_5 * C00002 * C00327 * C00049)/(${Variables:E6_3_4_5_km} + (E6_3_4_5 * C00002 * C00327 * C00049))</v>
      </c>
      <c r="K455" s="21" t="str">
        <f t="shared" si="23"/>
        <v>r454: C00002 + C00327 + C00049 -&gt; C00020 + C00013 + C03406 | (${Variables:E6_3_4_5_kcat} * E6_3_4_5 * C00002 * C00327 * C00049)/(${Variables:E6_3_4_5_km} + (E6_3_4_5 * C00002 * C00327 * C00049))</v>
      </c>
    </row>
    <row r="456" spans="1:11">
      <c r="A456" t="s">
        <v>3686</v>
      </c>
      <c r="B456" t="s">
        <v>3687</v>
      </c>
      <c r="C456" t="s">
        <v>15487</v>
      </c>
      <c r="D456">
        <v>455</v>
      </c>
      <c r="E456" t="str">
        <f t="shared" si="21"/>
        <v>E4_3_2_1</v>
      </c>
      <c r="F456" t="s">
        <v>8545</v>
      </c>
      <c r="G456" t="s">
        <v>8545</v>
      </c>
      <c r="H456" t="s">
        <v>10728</v>
      </c>
      <c r="I456" t="s">
        <v>12256</v>
      </c>
      <c r="J456" t="str">
        <f t="shared" si="22"/>
        <v>(${Variables:E4_3_2_1_kcat} * E4_3_2_1 * C03406)/(${Variables:E4_3_2_1_km} + (E4_3_2_1 * C03406))</v>
      </c>
      <c r="K456" s="21" t="str">
        <f t="shared" si="23"/>
        <v>r455: C03406 -&gt; C00122 + C00062 | (${Variables:E4_3_2_1_kcat} * E4_3_2_1 * C03406)/(${Variables:E4_3_2_1_km} + (E4_3_2_1 * C03406))</v>
      </c>
    </row>
    <row r="457" spans="1:11">
      <c r="A457" t="s">
        <v>3694</v>
      </c>
      <c r="B457" t="s">
        <v>3695</v>
      </c>
      <c r="C457" t="s">
        <v>15488</v>
      </c>
      <c r="D457">
        <v>456</v>
      </c>
      <c r="E457" t="str">
        <f t="shared" si="21"/>
        <v>E4_3_1_28</v>
      </c>
      <c r="F457" t="s">
        <v>8549</v>
      </c>
      <c r="G457" t="s">
        <v>8549</v>
      </c>
      <c r="H457" t="s">
        <v>10729</v>
      </c>
      <c r="I457" t="s">
        <v>12257</v>
      </c>
      <c r="J457" t="str">
        <f t="shared" si="22"/>
        <v>(${Variables:E4_3_1_28_kcat} * E4_3_1_28 * C00047)/(${Variables:E4_3_1_28_km} + (E4_3_1_28 * C00047))</v>
      </c>
      <c r="K457" s="21" t="str">
        <f t="shared" si="23"/>
        <v>r456: C00047 -&gt; C00408 + C00014 | (${Variables:E4_3_1_28_kcat} * E4_3_1_28 * C00047)/(${Variables:E4_3_1_28_km} + (E4_3_1_28 * C00047))</v>
      </c>
    </row>
    <row r="458" spans="1:11">
      <c r="A458" t="s">
        <v>3701</v>
      </c>
      <c r="B458" t="s">
        <v>3702</v>
      </c>
      <c r="C458" t="s">
        <v>15489</v>
      </c>
      <c r="D458">
        <v>457</v>
      </c>
      <c r="E458" t="str">
        <f t="shared" si="21"/>
        <v>E2_8_1_10</v>
      </c>
      <c r="F458" t="s">
        <v>10730</v>
      </c>
      <c r="G458" t="s">
        <v>11558</v>
      </c>
      <c r="H458" t="s">
        <v>15788</v>
      </c>
      <c r="I458" t="s">
        <v>15789</v>
      </c>
      <c r="J458" t="str">
        <f t="shared" si="22"/>
        <v>(${Variables:E2_8_1_10_kcat} * E2_8_1_10 * C11437 * C15809 * C15814)/(${Variables:E2_8_1_10_km} + (E2_8_1_10 * C11437 * C15809 * C15814))</v>
      </c>
      <c r="K458" s="21" t="str">
        <f t="shared" si="23"/>
        <v>r457: C11437 + C15809 + C15814 -&gt; C20246 + C15810 + C00001 | (${Variables:E2_8_1_10_kcat} * E2_8_1_10 * C11437 * C15809 * C15814)/(${Variables:E2_8_1_10_km} + (E2_8_1_10 * C11437 * C15809 * C15814))</v>
      </c>
    </row>
    <row r="459" spans="1:11">
      <c r="A459" t="s">
        <v>3708</v>
      </c>
      <c r="B459" t="s">
        <v>3709</v>
      </c>
      <c r="C459" t="s">
        <v>15490</v>
      </c>
      <c r="D459">
        <v>458</v>
      </c>
      <c r="E459" t="str">
        <f t="shared" si="21"/>
        <v>E1_4_99_5</v>
      </c>
      <c r="F459" t="s">
        <v>15783</v>
      </c>
      <c r="G459" t="s">
        <v>15785</v>
      </c>
      <c r="H459" t="s">
        <v>15787</v>
      </c>
      <c r="I459" t="s">
        <v>15790</v>
      </c>
      <c r="J459" t="str">
        <f t="shared" si="22"/>
        <v>(${Variables:E1_4_99_5_kcat} * E1_4_99_5 * C00037 * C00028)/(${Variables:E1_4_99_5_km} + (E1_4_99_5 * C00037 * C00028))</v>
      </c>
      <c r="K459" s="21" t="str">
        <f t="shared" si="23"/>
        <v>r458: C00037 + C00028 -&gt; C01326 + C00011 + C00030 | (${Variables:E1_4_99_5_kcat} * E1_4_99_5 * C00037 * C00028)/(${Variables:E1_4_99_5_km} + (E1_4_99_5 * C00037 * C00028))</v>
      </c>
    </row>
    <row r="460" spans="1:11">
      <c r="A460" t="s">
        <v>3708</v>
      </c>
      <c r="B460" t="s">
        <v>3709</v>
      </c>
      <c r="C460" t="s">
        <v>15490</v>
      </c>
      <c r="D460">
        <v>459</v>
      </c>
      <c r="E460" t="str">
        <f t="shared" si="21"/>
        <v>E1_4_99_5</v>
      </c>
      <c r="F460" t="s">
        <v>15784</v>
      </c>
      <c r="G460" t="s">
        <v>15786</v>
      </c>
      <c r="H460" t="s">
        <v>15791</v>
      </c>
      <c r="I460" t="s">
        <v>15792</v>
      </c>
      <c r="J460" t="str">
        <f t="shared" si="22"/>
        <v>(${Variables:E1_4_99_5_kcat} * E1_4_99_5 * C00037 * C00028 )/(${Variables:E1_4_99_5_km} + (E1_4_99_5 * C00037 * C00028 ))</v>
      </c>
      <c r="K460" s="21" t="str">
        <f t="shared" si="23"/>
        <v>r459: C00037 + C00028  -&gt; C00177 + C00011 + C00030 + C00080 | (${Variables:E1_4_99_5_kcat} * E1_4_99_5 * C00037 * C00028 )/(${Variables:E1_4_99_5_km} + (E1_4_99_5 * C00037 * C00028 ))</v>
      </c>
    </row>
    <row r="461" spans="1:11">
      <c r="A461" t="s">
        <v>3716</v>
      </c>
      <c r="B461" t="s">
        <v>3717</v>
      </c>
      <c r="C461" t="s">
        <v>15491</v>
      </c>
      <c r="D461">
        <v>460</v>
      </c>
      <c r="E461" t="str">
        <f t="shared" si="21"/>
        <v>E4_1_99_17</v>
      </c>
      <c r="F461" t="s">
        <v>10731</v>
      </c>
      <c r="G461" t="s">
        <v>11559</v>
      </c>
      <c r="H461" t="s">
        <v>10732</v>
      </c>
      <c r="I461" t="s">
        <v>12258</v>
      </c>
      <c r="J461" t="str">
        <f t="shared" si="22"/>
        <v>(${Variables:E4_1_99_17_kcat} * E4_1_99_17 * C03373 * C00019)/(${Variables:E4_1_99_17_km} + (E4_1_99_17 * C03373 * C00019))</v>
      </c>
      <c r="K461" s="21" t="str">
        <f t="shared" si="23"/>
        <v>r460: C03373 + C00019 -&gt; C04556 + C05198 + C00073 + C00058 + C00237 | (${Variables:E4_1_99_17_kcat} * E4_1_99_17 * C03373 * C00019)/(${Variables:E4_1_99_17_km} + (E4_1_99_17 * C03373 * C00019))</v>
      </c>
    </row>
    <row r="462" spans="1:11">
      <c r="A462" t="s">
        <v>3722</v>
      </c>
      <c r="B462" t="s">
        <v>3723</v>
      </c>
      <c r="C462" t="s">
        <v>15492</v>
      </c>
      <c r="D462">
        <v>461</v>
      </c>
      <c r="E462" t="str">
        <f t="shared" si="21"/>
        <v>E6_1_1_1</v>
      </c>
      <c r="F462" t="s">
        <v>10733</v>
      </c>
      <c r="G462" t="s">
        <v>11560</v>
      </c>
      <c r="H462" t="s">
        <v>10734</v>
      </c>
      <c r="I462" t="s">
        <v>12259</v>
      </c>
      <c r="J462" t="str">
        <f t="shared" si="22"/>
        <v>(${Variables:E6_1_1_1_kcat} * E6_1_1_1 * C00002 * C00082 * C00787)/(${Variables:E6_1_1_1_km} + (E6_1_1_1 * C00002 * C00082 * C00787))</v>
      </c>
      <c r="K462" s="21" t="str">
        <f t="shared" si="23"/>
        <v>r461: C00002 + C00082 + C00787 -&gt; C00020 + C00013 + C02839 | (${Variables:E6_1_1_1_kcat} * E6_1_1_1 * C00002 * C00082 * C00787)/(${Variables:E6_1_1_1_km} + (E6_1_1_1 * C00002 * C00082 * C00787))</v>
      </c>
    </row>
    <row r="463" spans="1:11">
      <c r="A463" t="s">
        <v>3756</v>
      </c>
      <c r="B463" t="s">
        <v>3757</v>
      </c>
      <c r="C463" t="s">
        <v>15493</v>
      </c>
      <c r="D463">
        <v>462</v>
      </c>
      <c r="E463" t="str">
        <f t="shared" si="21"/>
        <v>E2_7_1_23</v>
      </c>
      <c r="F463" t="s">
        <v>10735</v>
      </c>
      <c r="G463" t="s">
        <v>11561</v>
      </c>
      <c r="H463" t="s">
        <v>10736</v>
      </c>
      <c r="I463" t="s">
        <v>12260</v>
      </c>
      <c r="J463" t="str">
        <f t="shared" si="22"/>
        <v>(${Variables:E2_7_1_23_kcat} * E2_7_1_23 * C00002 * C00003)/(${Variables:E2_7_1_23_km} + (E2_7_1_23 * C00002 * C00003))</v>
      </c>
      <c r="K463" s="21" t="str">
        <f t="shared" si="23"/>
        <v>r462: C00002 + C00003 -&gt; C00008 + C00006 | (${Variables:E2_7_1_23_kcat} * E2_7_1_23 * C00002 * C00003)/(${Variables:E2_7_1_23_km} + (E2_7_1_23 * C00002 * C00003))</v>
      </c>
    </row>
    <row r="464" spans="1:11">
      <c r="A464" t="s">
        <v>3770</v>
      </c>
      <c r="B464" t="s">
        <v>3771</v>
      </c>
      <c r="C464" t="s">
        <v>15494</v>
      </c>
      <c r="D464">
        <v>463</v>
      </c>
      <c r="E464" t="str">
        <f t="shared" si="21"/>
        <v>E3_6_1_13</v>
      </c>
      <c r="F464" t="s">
        <v>10737</v>
      </c>
      <c r="G464" t="s">
        <v>11562</v>
      </c>
      <c r="H464" t="s">
        <v>10738</v>
      </c>
      <c r="I464" t="s">
        <v>12261</v>
      </c>
      <c r="J464" t="str">
        <f t="shared" si="22"/>
        <v>(${Variables:E3_6_1_13_kcat} * E3_6_1_13 * C00301 * C00001)/(${Variables:E3_6_1_13_km} + (E3_6_1_13 * C00301 * C00001))</v>
      </c>
      <c r="K464" s="21" t="str">
        <f t="shared" si="23"/>
        <v>r463: C00301 + C00001 -&gt; C00020 + C00117 | (${Variables:E3_6_1_13_kcat} * E3_6_1_13 * C00301 * C00001)/(${Variables:E3_6_1_13_km} + (E3_6_1_13 * C00301 * C00001))</v>
      </c>
    </row>
    <row r="465" spans="1:11">
      <c r="A465" t="s">
        <v>3794</v>
      </c>
      <c r="B465" t="s">
        <v>3795</v>
      </c>
      <c r="C465" t="s">
        <v>15495</v>
      </c>
      <c r="D465">
        <v>464</v>
      </c>
      <c r="E465" t="str">
        <f t="shared" si="21"/>
        <v>E2_7_4_25</v>
      </c>
      <c r="F465" t="s">
        <v>10739</v>
      </c>
      <c r="G465" t="s">
        <v>11563</v>
      </c>
      <c r="H465" t="s">
        <v>10740</v>
      </c>
      <c r="I465" t="s">
        <v>12262</v>
      </c>
      <c r="J465" t="str">
        <f t="shared" si="22"/>
        <v>(${Variables:E2_7_4_25_kcat} * E2_7_4_25 * C00002 * C00055 )/(${Variables:E2_7_4_25_km} + (E2_7_4_25 * C00002 * C00055 ))</v>
      </c>
      <c r="K465" s="21" t="str">
        <f t="shared" si="23"/>
        <v>r464: C00002 + C00055  -&gt; C00008 + C00112 | (${Variables:E2_7_4_25_kcat} * E2_7_4_25 * C00002 * C00055 )/(${Variables:E2_7_4_25_km} + (E2_7_4_25 * C00002 * C00055 ))</v>
      </c>
    </row>
    <row r="466" spans="1:11">
      <c r="A466" t="s">
        <v>3794</v>
      </c>
      <c r="B466" t="s">
        <v>3795</v>
      </c>
      <c r="C466" t="s">
        <v>15495</v>
      </c>
      <c r="D466">
        <v>465</v>
      </c>
      <c r="E466" t="str">
        <f t="shared" si="21"/>
        <v>E2_7_4_25</v>
      </c>
      <c r="F466" t="s">
        <v>10471</v>
      </c>
      <c r="G466" t="s">
        <v>11564</v>
      </c>
      <c r="H466" t="s">
        <v>10472</v>
      </c>
      <c r="I466" t="s">
        <v>12263</v>
      </c>
      <c r="J466" t="str">
        <f t="shared" si="22"/>
        <v>(${Variables:E2_7_4_25_kcat} * E2_7_4_25 * C00002 * C00239)/(${Variables:E2_7_4_25_km} + (E2_7_4_25 * C00002 * C00239))</v>
      </c>
      <c r="K466" s="21" t="str">
        <f t="shared" si="23"/>
        <v>r465: C00002 + C00239 -&gt; C00008 + C00705 | (${Variables:E2_7_4_25_kcat} * E2_7_4_25 * C00002 * C00239)/(${Variables:E2_7_4_25_km} + (E2_7_4_25 * C00002 * C00239))</v>
      </c>
    </row>
    <row r="467" spans="1:11">
      <c r="A467" t="s">
        <v>3872</v>
      </c>
      <c r="B467" t="s">
        <v>3873</v>
      </c>
      <c r="C467" t="s">
        <v>15496</v>
      </c>
      <c r="D467">
        <v>466</v>
      </c>
      <c r="E467" t="str">
        <f t="shared" si="21"/>
        <v>E1_1_1_44</v>
      </c>
      <c r="F467" t="s">
        <v>10741</v>
      </c>
      <c r="G467" t="s">
        <v>11565</v>
      </c>
      <c r="H467" t="s">
        <v>15794</v>
      </c>
      <c r="I467" t="s">
        <v>15793</v>
      </c>
      <c r="J467" t="str">
        <f t="shared" si="22"/>
        <v>(${Variables:E1_1_1_44_kcat} * E1_1_1_44 * C00345 * C00006)/(${Variables:E1_1_1_44_km} + (E1_1_1_44 * C00345 * C00006))</v>
      </c>
      <c r="K467" s="21" t="str">
        <f t="shared" si="23"/>
        <v>r466: C00345 + C00006 -&gt; C00199 + C00011 + C00005 + C00080 | (${Variables:E1_1_1_44_kcat} * E1_1_1_44 * C00345 * C00006)/(${Variables:E1_1_1_44_km} + (E1_1_1_44 * C00345 * C00006))</v>
      </c>
    </row>
    <row r="468" spans="1:11">
      <c r="A468" t="s">
        <v>3882</v>
      </c>
      <c r="B468" t="s">
        <v>3883</v>
      </c>
      <c r="C468" t="s">
        <v>15497</v>
      </c>
      <c r="D468">
        <v>467</v>
      </c>
      <c r="E468" t="str">
        <f t="shared" si="21"/>
        <v>E2_1_1_11</v>
      </c>
      <c r="F468" t="s">
        <v>10742</v>
      </c>
      <c r="G468" t="s">
        <v>11566</v>
      </c>
      <c r="H468" t="s">
        <v>10743</v>
      </c>
      <c r="I468" t="s">
        <v>12264</v>
      </c>
      <c r="J468" t="str">
        <f t="shared" si="22"/>
        <v>(${Variables:E2_1_1_11_kcat} * E2_1_1_11 * C00019 * C03516)/(${Variables:E2_1_1_11_km} + (E2_1_1_11 * C00019 * C03516))</v>
      </c>
      <c r="K468" s="21" t="str">
        <f t="shared" si="23"/>
        <v>r467: C00019 + C03516 -&gt; C00021 + C04536 | (${Variables:E2_1_1_11_kcat} * E2_1_1_11 * C00019 * C03516)/(${Variables:E2_1_1_11_km} + (E2_1_1_11 * C00019 * C03516))</v>
      </c>
    </row>
    <row r="469" spans="1:11">
      <c r="A469" t="s">
        <v>3886</v>
      </c>
      <c r="B469" t="s">
        <v>3887</v>
      </c>
      <c r="C469" t="s">
        <v>15498</v>
      </c>
      <c r="D469">
        <v>468</v>
      </c>
      <c r="E469" t="str">
        <f t="shared" si="21"/>
        <v>E2_7_1_49</v>
      </c>
      <c r="F469" t="s">
        <v>10744</v>
      </c>
      <c r="G469" t="s">
        <v>11567</v>
      </c>
      <c r="H469" t="s">
        <v>10745</v>
      </c>
      <c r="I469" t="s">
        <v>12265</v>
      </c>
      <c r="J469" t="str">
        <f t="shared" si="22"/>
        <v>(${Variables:E2_7_1_49_kcat} * E2_7_1_49 * C00002 * C01279 )/(${Variables:E2_7_1_49_km} + (E2_7_1_49 * C00002 * C01279 ))</v>
      </c>
      <c r="K469" s="21" t="str">
        <f t="shared" si="23"/>
        <v>r468: C00002 + C01279  -&gt; C00008 + C04556 | (${Variables:E2_7_1_49_kcat} * E2_7_1_49 * C00002 * C01279 )/(${Variables:E2_7_1_49_km} + (E2_7_1_49 * C00002 * C01279 ))</v>
      </c>
    </row>
    <row r="470" spans="1:11">
      <c r="A470" t="s">
        <v>3893</v>
      </c>
      <c r="B470" t="s">
        <v>3894</v>
      </c>
      <c r="C470" t="s">
        <v>15499</v>
      </c>
      <c r="D470">
        <v>469</v>
      </c>
      <c r="E470" t="str">
        <f t="shared" si="21"/>
        <v>E2_7_1_50</v>
      </c>
      <c r="F470" t="s">
        <v>10746</v>
      </c>
      <c r="G470" t="s">
        <v>11568</v>
      </c>
      <c r="H470" t="s">
        <v>10747</v>
      </c>
      <c r="I470" t="s">
        <v>12266</v>
      </c>
      <c r="J470" t="str">
        <f t="shared" si="22"/>
        <v>(${Variables:E2_7_1_50_kcat} * E2_7_1_50 * C00002 * C04294 )/(${Variables:E2_7_1_50_km} + (E2_7_1_50 * C00002 * C04294 ))</v>
      </c>
      <c r="K470" s="21" t="str">
        <f t="shared" si="23"/>
        <v>r469: C00002 + C04294  -&gt; C00008 + C04327 | (${Variables:E2_7_1_50_kcat} * E2_7_1_50 * C00002 * C04294 )/(${Variables:E2_7_1_50_km} + (E2_7_1_50 * C00002 * C04294 ))</v>
      </c>
    </row>
    <row r="471" spans="1:11">
      <c r="A471" t="s">
        <v>3915</v>
      </c>
      <c r="B471" t="s">
        <v>3916</v>
      </c>
      <c r="C471" t="s">
        <v>15500</v>
      </c>
      <c r="D471">
        <v>470</v>
      </c>
      <c r="E471" t="str">
        <f t="shared" si="21"/>
        <v>E2_4_1_54</v>
      </c>
      <c r="F471" t="s">
        <v>10748</v>
      </c>
      <c r="G471" t="s">
        <v>11569</v>
      </c>
      <c r="H471" t="s">
        <v>10749</v>
      </c>
      <c r="I471" t="s">
        <v>12267</v>
      </c>
      <c r="J471" t="str">
        <f t="shared" si="22"/>
        <v>(${Variables:E2_4_1_54_kcat} * E2_4_1_54 * C00096 * C17556)/(${Variables:E2_4_1_54_km} + (E2_4_1_54 * C00096 * C17556))</v>
      </c>
      <c r="K471" s="21" t="str">
        <f t="shared" si="23"/>
        <v>r470: C00096 + C17556 -&gt; C00035 + C15542 | (${Variables:E2_4_1_54_kcat} * E2_4_1_54 * C00096 * C17556)/(${Variables:E2_4_1_54_km} + (E2_4_1_54 * C00096 * C17556))</v>
      </c>
    </row>
    <row r="472" spans="1:11">
      <c r="A472" t="s">
        <v>3976</v>
      </c>
      <c r="B472" t="s">
        <v>3977</v>
      </c>
      <c r="C472" t="s">
        <v>15501</v>
      </c>
      <c r="D472">
        <v>471</v>
      </c>
      <c r="E472" t="str">
        <f t="shared" si="21"/>
        <v>E6_3_4_3</v>
      </c>
      <c r="F472" t="s">
        <v>10750</v>
      </c>
      <c r="G472" t="s">
        <v>11570</v>
      </c>
      <c r="H472" t="s">
        <v>10751</v>
      </c>
      <c r="I472" t="s">
        <v>12268</v>
      </c>
      <c r="J472" t="str">
        <f t="shared" si="22"/>
        <v>(${Variables:E6_3_4_3_kcat} * E6_3_4_3 * C00101 * C00058 * C00002)/(${Variables:E6_3_4_3_km} + (E6_3_4_3 * C00101 * C00058 * C00002))</v>
      </c>
      <c r="K472" s="21" t="str">
        <f t="shared" si="23"/>
        <v>r471: C00101 + C00058 + C00002 -&gt; C00008 + C00009 + C00234 | (${Variables:E6_3_4_3_kcat} * E6_3_4_3 * C00101 * C00058 * C00002)/(${Variables:E6_3_4_3_km} + (E6_3_4_3 * C00101 * C00058 * C00002))</v>
      </c>
    </row>
    <row r="473" spans="1:11">
      <c r="A473" t="s">
        <v>3984</v>
      </c>
      <c r="B473" t="s">
        <v>3985</v>
      </c>
      <c r="C473" t="s">
        <v>15502</v>
      </c>
      <c r="D473">
        <v>472</v>
      </c>
      <c r="E473" t="str">
        <f t="shared" si="21"/>
        <v>E4_3_1_1</v>
      </c>
      <c r="F473" t="s">
        <v>8610</v>
      </c>
      <c r="G473" t="s">
        <v>8610</v>
      </c>
      <c r="H473" t="s">
        <v>10752</v>
      </c>
      <c r="I473" t="s">
        <v>12269</v>
      </c>
      <c r="J473" t="str">
        <f t="shared" si="22"/>
        <v>(${Variables:E4_3_1_1_kcat} * E4_3_1_1 * C00049)/(${Variables:E4_3_1_1_km} + (E4_3_1_1 * C00049))</v>
      </c>
      <c r="K473" s="21" t="str">
        <f t="shared" si="23"/>
        <v>r472: C00049 -&gt; C00122 + C00014 | (${Variables:E4_3_1_1_kcat} * E4_3_1_1 * C00049)/(${Variables:E4_3_1_1_km} + (E4_3_1_1 * C00049))</v>
      </c>
    </row>
    <row r="474" spans="1:11">
      <c r="A474" t="s">
        <v>3988</v>
      </c>
      <c r="B474" t="s">
        <v>3989</v>
      </c>
      <c r="C474" t="s">
        <v>15503</v>
      </c>
      <c r="D474">
        <v>473</v>
      </c>
      <c r="E474" t="str">
        <f t="shared" si="21"/>
        <v>E2_4_2_17</v>
      </c>
      <c r="F474" t="s">
        <v>10753</v>
      </c>
      <c r="G474" t="s">
        <v>11571</v>
      </c>
      <c r="H474" t="s">
        <v>10754</v>
      </c>
      <c r="I474" t="s">
        <v>12270</v>
      </c>
      <c r="J474" t="str">
        <f t="shared" si="22"/>
        <v>(${Variables:E2_4_2_17_kcat} * E2_4_2_17 * C02739 * C00013)/(${Variables:E2_4_2_17_km} + (E2_4_2_17 * C02739 * C00013))</v>
      </c>
      <c r="K474" s="21" t="str">
        <f t="shared" si="23"/>
        <v>r473: C02739 + C00013 -&gt; C00002 + C00119 | (${Variables:E2_4_2_17_kcat} * E2_4_2_17 * C02739 * C00013)/(${Variables:E2_4_2_17_km} + (E2_4_2_17 * C02739 * C00013))</v>
      </c>
    </row>
    <row r="475" spans="1:11">
      <c r="A475" t="s">
        <v>4001</v>
      </c>
      <c r="B475" t="s">
        <v>4002</v>
      </c>
      <c r="C475" t="s">
        <v>15504</v>
      </c>
      <c r="D475">
        <v>474</v>
      </c>
      <c r="E475" t="str">
        <f t="shared" si="21"/>
        <v>E6_3_1_13</v>
      </c>
      <c r="F475" t="s">
        <v>10755</v>
      </c>
      <c r="G475" t="s">
        <v>11572</v>
      </c>
      <c r="H475" t="s">
        <v>10756</v>
      </c>
      <c r="I475" t="s">
        <v>12271</v>
      </c>
      <c r="J475" t="str">
        <f t="shared" si="22"/>
        <v>(${Variables:E6_3_1_13_kcat} * E6_3_1_13 * C19702 * C00097 * C00002)/(${Variables:E6_3_1_13_km} + (E6_3_1_13 * C19702 * C00097 * C00002))</v>
      </c>
      <c r="K475" s="21" t="str">
        <f t="shared" si="23"/>
        <v>r474: C19702 + C00097 + C00002 -&gt; C19703 + C00020 + C00013 | (${Variables:E6_3_1_13_kcat} * E6_3_1_13 * C19702 * C00097 * C00002)/(${Variables:E6_3_1_13_km} + (E6_3_1_13 * C19702 * C00097 * C00002))</v>
      </c>
    </row>
    <row r="476" spans="1:11">
      <c r="A476" t="s">
        <v>4005</v>
      </c>
      <c r="B476" t="s">
        <v>4006</v>
      </c>
      <c r="C476" t="s">
        <v>15505</v>
      </c>
      <c r="D476">
        <v>475</v>
      </c>
      <c r="E476" t="str">
        <f t="shared" si="21"/>
        <v>E3_6_1_27</v>
      </c>
      <c r="F476" t="s">
        <v>10757</v>
      </c>
      <c r="G476" t="s">
        <v>11573</v>
      </c>
      <c r="H476" t="s">
        <v>10758</v>
      </c>
      <c r="I476" t="s">
        <v>12272</v>
      </c>
      <c r="J476" t="str">
        <f t="shared" si="22"/>
        <v>(${Variables:E3_6_1_27_kcat} * E3_6_1_27 * C04574 * C00001)/(${Variables:E3_6_1_27_km} + (E3_6_1_27 * C04574 * C00001))</v>
      </c>
      <c r="K476" s="21" t="str">
        <f t="shared" si="23"/>
        <v>r475: C04574 + C00001 -&gt; C17556 + C00009 | (${Variables:E3_6_1_27_kcat} * E3_6_1_27 * C04574 * C00001)/(${Variables:E3_6_1_27_km} + (E3_6_1_27 * C04574 * C00001))</v>
      </c>
    </row>
    <row r="477" spans="1:11">
      <c r="A477" t="s">
        <v>4011</v>
      </c>
      <c r="B477" t="s">
        <v>4012</v>
      </c>
      <c r="C477" t="s">
        <v>15506</v>
      </c>
      <c r="D477">
        <v>476</v>
      </c>
      <c r="E477" t="str">
        <f t="shared" si="21"/>
        <v>E1_3_5_2</v>
      </c>
      <c r="F477" t="s">
        <v>10759</v>
      </c>
      <c r="G477" t="s">
        <v>11574</v>
      </c>
      <c r="H477" t="s">
        <v>10760</v>
      </c>
      <c r="I477" t="s">
        <v>12273</v>
      </c>
      <c r="J477" t="str">
        <f t="shared" si="22"/>
        <v>(${Variables:E1_3_5_2_kcat} * E1_3_5_2 * C00337 * C15602)/(${Variables:E1_3_5_2_km} + (E1_3_5_2 * C00337 * C15602))</v>
      </c>
      <c r="K477" s="21" t="str">
        <f t="shared" si="23"/>
        <v>r476: C00337 + C15602 -&gt; C00295 + C15603 | (${Variables:E1_3_5_2_kcat} * E1_3_5_2 * C00337 * C15602)/(${Variables:E1_3_5_2_km} + (E1_3_5_2 * C00337 * C15602))</v>
      </c>
    </row>
    <row r="478" spans="1:11">
      <c r="A478" t="s">
        <v>4043</v>
      </c>
      <c r="B478" t="s">
        <v>4044</v>
      </c>
      <c r="C478" t="s">
        <v>15507</v>
      </c>
      <c r="D478">
        <v>477</v>
      </c>
      <c r="E478" t="str">
        <f t="shared" si="21"/>
        <v>E4_2_1_3</v>
      </c>
      <c r="F478" t="s">
        <v>8631</v>
      </c>
      <c r="G478" t="s">
        <v>8631</v>
      </c>
      <c r="H478" t="s">
        <v>8632</v>
      </c>
      <c r="I478" t="s">
        <v>8632</v>
      </c>
      <c r="J478" t="str">
        <f t="shared" si="22"/>
        <v>(${Variables:E4_2_1_3_kcat} * E4_2_1_3 * C00158)/(${Variables:E4_2_1_3_km} + (E4_2_1_3 * C00158))</v>
      </c>
      <c r="K478" s="21" t="str">
        <f t="shared" si="23"/>
        <v>r477: C00158 -&gt; C00311 | (${Variables:E4_2_1_3_kcat} * E4_2_1_3 * C00158)/(${Variables:E4_2_1_3_km} + (E4_2_1_3 * C00158))</v>
      </c>
    </row>
    <row r="479" spans="1:11">
      <c r="A479" t="s">
        <v>4043</v>
      </c>
      <c r="B479" t="s">
        <v>4044</v>
      </c>
      <c r="C479" t="s">
        <v>15507</v>
      </c>
      <c r="D479">
        <v>478</v>
      </c>
      <c r="E479" t="str">
        <f t="shared" si="21"/>
        <v>E4_2_1_3</v>
      </c>
      <c r="F479" t="s">
        <v>8631</v>
      </c>
      <c r="G479" t="s">
        <v>8631</v>
      </c>
      <c r="H479" t="s">
        <v>10761</v>
      </c>
      <c r="I479" t="s">
        <v>12274</v>
      </c>
      <c r="J479" t="str">
        <f t="shared" si="22"/>
        <v>(${Variables:E4_2_1_3_kcat} * E4_2_1_3 * C00158)/(${Variables:E4_2_1_3_km} + (E4_2_1_3 * C00158))</v>
      </c>
      <c r="K479" s="21" t="str">
        <f t="shared" si="23"/>
        <v>r478: C00158 -&gt; C00417 + C00001 | (${Variables:E4_2_1_3_kcat} * E4_2_1_3 * C00158)/(${Variables:E4_2_1_3_km} + (E4_2_1_3 * C00158))</v>
      </c>
    </row>
    <row r="480" spans="1:11">
      <c r="A480" t="s">
        <v>4043</v>
      </c>
      <c r="B480" t="s">
        <v>4044</v>
      </c>
      <c r="C480" t="s">
        <v>15507</v>
      </c>
      <c r="D480">
        <v>479</v>
      </c>
      <c r="E480" t="str">
        <f t="shared" si="21"/>
        <v>E4_2_1_3</v>
      </c>
      <c r="F480" t="s">
        <v>8632</v>
      </c>
      <c r="G480" t="s">
        <v>8632</v>
      </c>
      <c r="H480" t="s">
        <v>10761</v>
      </c>
      <c r="I480" t="s">
        <v>12274</v>
      </c>
      <c r="J480" t="str">
        <f t="shared" si="22"/>
        <v>(${Variables:E4_2_1_3_kcat} * E4_2_1_3 * C00311)/(${Variables:E4_2_1_3_km} + (E4_2_1_3 * C00311))</v>
      </c>
      <c r="K480" s="21" t="str">
        <f t="shared" si="23"/>
        <v>r479: C00311 -&gt; C00417 + C00001 | (${Variables:E4_2_1_3_kcat} * E4_2_1_3 * C00311)/(${Variables:E4_2_1_3_km} + (E4_2_1_3 * C00311))</v>
      </c>
    </row>
    <row r="481" spans="1:11">
      <c r="A481" t="s">
        <v>4081</v>
      </c>
      <c r="B481" t="s">
        <v>4082</v>
      </c>
      <c r="C481" t="s">
        <v>15465</v>
      </c>
      <c r="D481">
        <v>480</v>
      </c>
      <c r="E481" t="str">
        <f t="shared" si="21"/>
        <v>E2_8_1_7</v>
      </c>
      <c r="F481" t="s">
        <v>10695</v>
      </c>
      <c r="G481" t="s">
        <v>11524</v>
      </c>
      <c r="H481" t="s">
        <v>10696</v>
      </c>
      <c r="I481" t="s">
        <v>12217</v>
      </c>
      <c r="J481" t="str">
        <f t="shared" si="22"/>
        <v>(${Variables:E2_8_1_7_kcat} * E2_8_1_7 * C15811 * C00097)/(${Variables:E2_8_1_7_km} + (E2_8_1_7 * C15811 * C00097))</v>
      </c>
      <c r="K481" s="21" t="str">
        <f t="shared" si="23"/>
        <v>r480: C15811 + C00097 -&gt; C15812 + C00041 | (${Variables:E2_8_1_7_kcat} * E2_8_1_7 * C15811 * C00097)/(${Variables:E2_8_1_7_km} + (E2_8_1_7 * C15811 * C00097))</v>
      </c>
    </row>
    <row r="482" spans="1:11">
      <c r="A482" t="s">
        <v>4081</v>
      </c>
      <c r="B482" t="s">
        <v>4082</v>
      </c>
      <c r="C482" t="s">
        <v>15465</v>
      </c>
      <c r="D482">
        <v>481</v>
      </c>
      <c r="E482" t="str">
        <f t="shared" si="21"/>
        <v>E2_8_1_7</v>
      </c>
      <c r="F482" t="s">
        <v>10423</v>
      </c>
      <c r="G482" t="s">
        <v>11525</v>
      </c>
      <c r="H482" t="s">
        <v>10424</v>
      </c>
      <c r="I482" t="s">
        <v>12218</v>
      </c>
      <c r="J482" t="str">
        <f t="shared" si="22"/>
        <v>(${Variables:E2_8_1_7_kcat} * E2_8_1_7 * C00097 * C02743)/(${Variables:E2_8_1_7_km} + (E2_8_1_7 * C00097 * C02743))</v>
      </c>
      <c r="K482" s="21" t="str">
        <f t="shared" si="23"/>
        <v>r481: C00097 + C02743 -&gt; C00041 + C21440 | (${Variables:E2_8_1_7_kcat} * E2_8_1_7 * C00097 * C02743)/(${Variables:E2_8_1_7_km} + (E2_8_1_7 * C00097 * C02743))</v>
      </c>
    </row>
    <row r="483" spans="1:11">
      <c r="A483" t="s">
        <v>4081</v>
      </c>
      <c r="B483" t="s">
        <v>4082</v>
      </c>
      <c r="C483" t="s">
        <v>15465</v>
      </c>
      <c r="D483">
        <v>482</v>
      </c>
      <c r="E483" t="str">
        <f t="shared" si="21"/>
        <v>E2_8_1_7</v>
      </c>
      <c r="F483" t="s">
        <v>10425</v>
      </c>
      <c r="G483" t="s">
        <v>11526</v>
      </c>
      <c r="H483" t="s">
        <v>10426</v>
      </c>
      <c r="I483" t="s">
        <v>12219</v>
      </c>
      <c r="J483" t="str">
        <f t="shared" si="22"/>
        <v>(${Variables:E2_8_1_7_kcat} * E2_8_1_7 * C15812 * C02743)/(${Variables:E2_8_1_7_km} + (E2_8_1_7 * C15812 * C02743))</v>
      </c>
      <c r="K483" s="21" t="str">
        <f t="shared" si="23"/>
        <v>r482: C15812 + C02743 -&gt; C15811 + C21440 | (${Variables:E2_8_1_7_kcat} * E2_8_1_7 * C15812 * C02743)/(${Variables:E2_8_1_7_km} + (E2_8_1_7 * C15812 * C02743))</v>
      </c>
    </row>
    <row r="484" spans="1:11">
      <c r="A484" t="s">
        <v>4108</v>
      </c>
      <c r="B484" t="s">
        <v>4109</v>
      </c>
      <c r="C484" t="s">
        <v>15331</v>
      </c>
      <c r="D484">
        <v>483</v>
      </c>
      <c r="E484" t="str">
        <f t="shared" si="21"/>
        <v>E1_6_5_5</v>
      </c>
      <c r="F484" t="s">
        <v>15900</v>
      </c>
      <c r="G484" t="s">
        <v>15720</v>
      </c>
      <c r="H484" t="s">
        <v>15721</v>
      </c>
      <c r="I484" t="s">
        <v>15795</v>
      </c>
      <c r="J484" t="str">
        <f t="shared" si="22"/>
        <v>(${Variables:E1_6_5_5_kcat} * E1_6_5_5 * C15602 * C00005 * C00080)/(${Variables:E1_6_5_5_km} + (E1_6_5_5 * C15602 * C00005 * C00080))</v>
      </c>
      <c r="K484" s="21" t="str">
        <f t="shared" si="23"/>
        <v>r483: C15602 + C00005 + C00080 -&gt; C05309 + C00006 | (${Variables:E1_6_5_5_kcat} * E1_6_5_5 * C15602 * C00005 * C00080)/(${Variables:E1_6_5_5_km} + (E1_6_5_5 * C15602 * C00005 * C00080))</v>
      </c>
    </row>
    <row r="485" spans="1:11">
      <c r="A485" t="s">
        <v>4116</v>
      </c>
      <c r="B485" t="s">
        <v>4117</v>
      </c>
      <c r="C485" t="s">
        <v>15508</v>
      </c>
      <c r="D485">
        <v>484</v>
      </c>
      <c r="E485" t="str">
        <f t="shared" si="21"/>
        <v>E2_2_1_1</v>
      </c>
      <c r="F485" t="s">
        <v>10762</v>
      </c>
      <c r="G485" t="s">
        <v>11575</v>
      </c>
      <c r="H485" t="s">
        <v>10763</v>
      </c>
      <c r="I485" t="s">
        <v>12275</v>
      </c>
      <c r="J485" t="str">
        <f t="shared" si="22"/>
        <v>(${Variables:E2_2_1_1_kcat} * E2_2_1_1 * C05382 * C00118)/(${Variables:E2_2_1_1_km} + (E2_2_1_1 * C05382 * C00118))</v>
      </c>
      <c r="K485" s="21" t="str">
        <f t="shared" si="23"/>
        <v>r484: C05382 + C00118 -&gt; C00117 + C00231 | (${Variables:E2_2_1_1_kcat} * E2_2_1_1 * C05382 * C00118)/(${Variables:E2_2_1_1_km} + (E2_2_1_1 * C05382 * C00118))</v>
      </c>
    </row>
    <row r="486" spans="1:11">
      <c r="A486" t="s">
        <v>4116</v>
      </c>
      <c r="B486" t="s">
        <v>4117</v>
      </c>
      <c r="C486" t="s">
        <v>15508</v>
      </c>
      <c r="D486">
        <v>485</v>
      </c>
      <c r="E486" t="str">
        <f t="shared" si="21"/>
        <v>E2_2_1_1</v>
      </c>
      <c r="F486" t="s">
        <v>10764</v>
      </c>
      <c r="G486" t="s">
        <v>11576</v>
      </c>
      <c r="H486" t="s">
        <v>10765</v>
      </c>
      <c r="I486" t="s">
        <v>12276</v>
      </c>
      <c r="J486" t="str">
        <f t="shared" si="22"/>
        <v>(${Variables:E2_2_1_1_kcat} * E2_2_1_1 * C00085 * C00118)/(${Variables:E2_2_1_1_km} + (E2_2_1_1 * C00085 * C00118))</v>
      </c>
      <c r="K486" s="21" t="str">
        <f t="shared" si="23"/>
        <v>r485: C00085 + C00118 -&gt; C00279 + C00231 | (${Variables:E2_2_1_1_kcat} * E2_2_1_1 * C00085 * C00118)/(${Variables:E2_2_1_1_km} + (E2_2_1_1 * C00085 * C00118))</v>
      </c>
    </row>
    <row r="487" spans="1:11">
      <c r="A487" t="s">
        <v>4116</v>
      </c>
      <c r="B487" t="s">
        <v>4117</v>
      </c>
      <c r="C487" t="s">
        <v>15508</v>
      </c>
      <c r="D487">
        <v>486</v>
      </c>
      <c r="E487" t="str">
        <f t="shared" si="21"/>
        <v>E2_2_1_1</v>
      </c>
      <c r="F487" t="s">
        <v>10766</v>
      </c>
      <c r="G487" t="s">
        <v>11577</v>
      </c>
      <c r="H487" t="s">
        <v>10765</v>
      </c>
      <c r="I487" t="s">
        <v>12276</v>
      </c>
      <c r="J487" t="str">
        <f t="shared" si="22"/>
        <v>(${Variables:E2_2_1_1_kcat} * E2_2_1_1 * C05345 * C00118)/(${Variables:E2_2_1_1_km} + (E2_2_1_1 * C05345 * C00118))</v>
      </c>
      <c r="K487" s="21" t="str">
        <f t="shared" si="23"/>
        <v>r486: C05345 + C00118 -&gt; C00279 + C00231 | (${Variables:E2_2_1_1_kcat} * E2_2_1_1 * C05345 * C00118)/(${Variables:E2_2_1_1_km} + (E2_2_1_1 * C05345 * C00118))</v>
      </c>
    </row>
    <row r="488" spans="1:11">
      <c r="A488" t="s">
        <v>4116</v>
      </c>
      <c r="B488" t="s">
        <v>4117</v>
      </c>
      <c r="C488" t="s">
        <v>15508</v>
      </c>
      <c r="D488">
        <v>487</v>
      </c>
      <c r="E488" t="str">
        <f t="shared" si="21"/>
        <v>E2_2_1_1</v>
      </c>
      <c r="F488" s="3" t="s">
        <v>10767</v>
      </c>
      <c r="G488" s="3" t="s">
        <v>11578</v>
      </c>
      <c r="H488" t="s">
        <v>10768</v>
      </c>
      <c r="I488" t="s">
        <v>12277</v>
      </c>
      <c r="J488" t="str">
        <f t="shared" si="22"/>
        <v>(${Variables:E2_2_1_1_kcat} * E2_2_1_1 * C12214 * C00117)/(${Variables:E2_2_1_1_km} + (E2_2_1_1 * C12214 * C00117))</v>
      </c>
      <c r="K488" s="21" t="str">
        <f t="shared" si="23"/>
        <v>r487: C12214 + C00117 -&gt; C12215 + C05382 | (${Variables:E2_2_1_1_kcat} * E2_2_1_1 * C12214 * C00117)/(${Variables:E2_2_1_1_km} + (E2_2_1_1 * C12214 * C00117))</v>
      </c>
    </row>
    <row r="489" spans="1:11">
      <c r="A489" t="s">
        <v>4116</v>
      </c>
      <c r="B489" t="s">
        <v>4117</v>
      </c>
      <c r="C489" t="s">
        <v>15508</v>
      </c>
      <c r="D489">
        <v>488</v>
      </c>
      <c r="E489" t="str">
        <f t="shared" si="21"/>
        <v>E2_2_1_1</v>
      </c>
      <c r="F489" s="3" t="s">
        <v>10769</v>
      </c>
      <c r="G489" s="3" t="s">
        <v>11579</v>
      </c>
      <c r="H489" t="s">
        <v>10770</v>
      </c>
      <c r="I489" t="s">
        <v>12278</v>
      </c>
      <c r="J489" t="str">
        <f t="shared" si="22"/>
        <v>(${Variables:E2_2_1_1_kcat} * E2_2_1_1 * C00231 * C00068)/(${Variables:E2_2_1_1_km} + (E2_2_1_1 * C00231 * C00068))</v>
      </c>
      <c r="K489" s="21" t="str">
        <f t="shared" si="23"/>
        <v>r488: C00231 + C00068 -&gt; C13378 + C00118 | (${Variables:E2_2_1_1_kcat} * E2_2_1_1 * C00231 * C00068)/(${Variables:E2_2_1_1_km} + (E2_2_1_1 * C00231 * C00068))</v>
      </c>
    </row>
    <row r="490" spans="1:11">
      <c r="A490" t="s">
        <v>4116</v>
      </c>
      <c r="B490" t="s">
        <v>4117</v>
      </c>
      <c r="C490" t="s">
        <v>15508</v>
      </c>
      <c r="D490">
        <v>489</v>
      </c>
      <c r="E490" t="str">
        <f t="shared" si="21"/>
        <v>E2_2_1_1</v>
      </c>
      <c r="F490" s="3" t="s">
        <v>10771</v>
      </c>
      <c r="G490" s="3" t="s">
        <v>11580</v>
      </c>
      <c r="H490" t="s">
        <v>10772</v>
      </c>
      <c r="I490" t="s">
        <v>12279</v>
      </c>
      <c r="J490" t="str">
        <f t="shared" si="22"/>
        <v>(${Variables:E2_2_1_1_kcat} * E2_2_1_1 * C05382 * C00068)/(${Variables:E2_2_1_1_km} + (E2_2_1_1 * C05382 * C00068))</v>
      </c>
      <c r="K490" s="21" t="str">
        <f t="shared" si="23"/>
        <v>r489: C05382 + C00068 -&gt; C13378 + C00117 | (${Variables:E2_2_1_1_kcat} * E2_2_1_1 * C05382 * C00068)/(${Variables:E2_2_1_1_km} + (E2_2_1_1 * C05382 * C00068))</v>
      </c>
    </row>
    <row r="491" spans="1:11">
      <c r="A491" t="s">
        <v>4120</v>
      </c>
      <c r="B491" t="s">
        <v>4121</v>
      </c>
      <c r="C491" t="s">
        <v>15509</v>
      </c>
      <c r="D491">
        <v>490</v>
      </c>
      <c r="E491" t="str">
        <f t="shared" si="21"/>
        <v>E2_2_1_2</v>
      </c>
      <c r="F491" s="3" t="s">
        <v>10762</v>
      </c>
      <c r="G491" s="3" t="s">
        <v>11575</v>
      </c>
      <c r="H491" t="s">
        <v>10773</v>
      </c>
      <c r="I491" t="s">
        <v>12280</v>
      </c>
      <c r="J491" t="str">
        <f t="shared" si="22"/>
        <v>(${Variables:E2_2_1_2_kcat} * E2_2_1_2 * C05382 * C00118)/(${Variables:E2_2_1_2_km} + (E2_2_1_2 * C05382 * C00118))</v>
      </c>
      <c r="K491" s="21" t="str">
        <f t="shared" si="23"/>
        <v>r490: C05382 + C00118 -&gt; C00279 + C00085 | (${Variables:E2_2_1_2_kcat} * E2_2_1_2 * C05382 * C00118)/(${Variables:E2_2_1_2_km} + (E2_2_1_2 * C05382 * C00118))</v>
      </c>
    </row>
    <row r="492" spans="1:11">
      <c r="A492" t="s">
        <v>4120</v>
      </c>
      <c r="B492" t="s">
        <v>4121</v>
      </c>
      <c r="C492" t="s">
        <v>15509</v>
      </c>
      <c r="D492">
        <v>491</v>
      </c>
      <c r="E492" t="str">
        <f t="shared" si="21"/>
        <v>E2_2_1_2</v>
      </c>
      <c r="F492" s="3" t="s">
        <v>10762</v>
      </c>
      <c r="G492" s="3" t="s">
        <v>11575</v>
      </c>
      <c r="H492" t="s">
        <v>10774</v>
      </c>
      <c r="I492" t="s">
        <v>12281</v>
      </c>
      <c r="J492" t="str">
        <f t="shared" si="22"/>
        <v>(${Variables:E2_2_1_2_kcat} * E2_2_1_2 * C05382 * C00118)/(${Variables:E2_2_1_2_km} + (E2_2_1_2 * C05382 * C00118))</v>
      </c>
      <c r="K492" s="21" t="str">
        <f t="shared" si="23"/>
        <v>r491: C05382 + C00118 -&gt; C00279 + C05345 | (${Variables:E2_2_1_2_kcat} * E2_2_1_2 * C05382 * C00118)/(${Variables:E2_2_1_2_km} + (E2_2_1_2 * C05382 * C00118))</v>
      </c>
    </row>
    <row r="493" spans="1:11">
      <c r="A493" t="s">
        <v>4124</v>
      </c>
      <c r="B493" t="s">
        <v>4125</v>
      </c>
      <c r="C493" t="s">
        <v>15510</v>
      </c>
      <c r="D493">
        <v>492</v>
      </c>
      <c r="E493" t="str">
        <f t="shared" si="21"/>
        <v>E1_1_1_49</v>
      </c>
      <c r="F493" s="3" t="s">
        <v>10775</v>
      </c>
      <c r="G493" s="3" t="s">
        <v>11581</v>
      </c>
      <c r="H493" t="s">
        <v>10776</v>
      </c>
      <c r="I493" t="s">
        <v>12282</v>
      </c>
      <c r="J493" t="str">
        <f t="shared" si="22"/>
        <v>(${Variables:E1_1_1_49_kcat} * E1_1_1_49 * C00092 * C00006)/(${Variables:E1_1_1_49_km} + (E1_1_1_49 * C00092 * C00006))</v>
      </c>
      <c r="K493" s="21" t="str">
        <f t="shared" si="23"/>
        <v>r492: C00092 + C00006 -&gt; C01236 + C00005 + C00080 | (${Variables:E1_1_1_49_kcat} * E1_1_1_49 * C00092 * C00006)/(${Variables:E1_1_1_49_km} + (E1_1_1_49 * C00092 * C00006))</v>
      </c>
    </row>
    <row r="494" spans="1:11">
      <c r="A494" t="s">
        <v>4124</v>
      </c>
      <c r="B494" t="s">
        <v>4125</v>
      </c>
      <c r="C494" t="s">
        <v>15510</v>
      </c>
      <c r="D494">
        <v>493</v>
      </c>
      <c r="E494" t="str">
        <f t="shared" si="21"/>
        <v>E1_1_1_49</v>
      </c>
      <c r="F494" s="3" t="s">
        <v>10777</v>
      </c>
      <c r="G494" s="3" t="s">
        <v>11582</v>
      </c>
      <c r="H494" t="s">
        <v>10776</v>
      </c>
      <c r="I494" t="s">
        <v>12283</v>
      </c>
      <c r="J494" t="str">
        <f t="shared" si="22"/>
        <v>(${Variables:E1_1_1_49_kcat} * E1_1_1_49 * C01172 * C00006 )/(${Variables:E1_1_1_49_km} + (E1_1_1_49 * C01172 * C00006 ))</v>
      </c>
      <c r="K494" s="21" t="str">
        <f t="shared" si="23"/>
        <v>r493: C01172 + C00006  -&gt; C01236 + C00005 + C00080 | (${Variables:E1_1_1_49_kcat} * E1_1_1_49 * C01172 * C00006 )/(${Variables:E1_1_1_49_km} + (E1_1_1_49 * C01172 * C00006 ))</v>
      </c>
    </row>
    <row r="495" spans="1:11">
      <c r="A495" t="s">
        <v>4131</v>
      </c>
      <c r="B495" t="s">
        <v>4132</v>
      </c>
      <c r="C495" t="s">
        <v>15511</v>
      </c>
      <c r="D495">
        <v>494</v>
      </c>
      <c r="E495" t="str">
        <f t="shared" si="21"/>
        <v>E3_1_1_31</v>
      </c>
      <c r="F495" t="s">
        <v>10778</v>
      </c>
      <c r="G495" t="s">
        <v>11583</v>
      </c>
      <c r="H495" t="s">
        <v>8654</v>
      </c>
      <c r="I495" t="s">
        <v>8654</v>
      </c>
      <c r="J495" t="str">
        <f t="shared" si="22"/>
        <v>(${Variables:E3_1_1_31_kcat} * E3_1_1_31 * C01236 * C00001)/(${Variables:E3_1_1_31_km} + (E3_1_1_31 * C01236 * C00001))</v>
      </c>
      <c r="K495" s="21" t="str">
        <f t="shared" si="23"/>
        <v>r494: C01236 + C00001 -&gt; C00345 | (${Variables:E3_1_1_31_kcat} * E3_1_1_31 * C01236 * C00001)/(${Variables:E3_1_1_31_km} + (E3_1_1_31 * C01236 * C00001))</v>
      </c>
    </row>
    <row r="496" spans="1:11">
      <c r="A496" t="s">
        <v>4138</v>
      </c>
      <c r="B496" t="s">
        <v>4139</v>
      </c>
      <c r="C496" t="s">
        <v>15512</v>
      </c>
      <c r="D496">
        <v>495</v>
      </c>
      <c r="E496" t="str">
        <f t="shared" si="21"/>
        <v>E5_3_1_1</v>
      </c>
      <c r="F496" t="s">
        <v>8663</v>
      </c>
      <c r="G496" t="s">
        <v>8663</v>
      </c>
      <c r="H496" t="s">
        <v>8664</v>
      </c>
      <c r="I496" t="s">
        <v>8664</v>
      </c>
      <c r="J496" t="str">
        <f t="shared" si="22"/>
        <v>(${Variables:E5_3_1_1_kcat} * E5_3_1_1 * C00118)/(${Variables:E5_3_1_1_km} + (E5_3_1_1 * C00118))</v>
      </c>
      <c r="K496" s="21" t="str">
        <f t="shared" si="23"/>
        <v>r495: C00118 -&gt; C00111 | (${Variables:E5_3_1_1_kcat} * E5_3_1_1 * C00118)/(${Variables:E5_3_1_1_km} + (E5_3_1_1 * C00118))</v>
      </c>
    </row>
    <row r="497" spans="1:11">
      <c r="A497" t="s">
        <v>4142</v>
      </c>
      <c r="B497" t="s">
        <v>4143</v>
      </c>
      <c r="C497" t="s">
        <v>15513</v>
      </c>
      <c r="D497">
        <v>496</v>
      </c>
      <c r="E497" t="str">
        <f t="shared" si="21"/>
        <v>E2_7_2_3</v>
      </c>
      <c r="F497" t="s">
        <v>10779</v>
      </c>
      <c r="G497" t="s">
        <v>11584</v>
      </c>
      <c r="H497" t="s">
        <v>10780</v>
      </c>
      <c r="I497" t="s">
        <v>12284</v>
      </c>
      <c r="J497" t="str">
        <f t="shared" si="22"/>
        <v>(${Variables:E2_7_2_3_kcat} * E2_7_2_3 * C00002 * C00197)/(${Variables:E2_7_2_3_km} + (E2_7_2_3 * C00002 * C00197))</v>
      </c>
      <c r="K497" s="21" t="str">
        <f t="shared" si="23"/>
        <v>r496: C00002 + C00197 -&gt; C00008 + C00236 | (${Variables:E2_7_2_3_kcat} * E2_7_2_3 * C00002 * C00197)/(${Variables:E2_7_2_3_km} + (E2_7_2_3 * C00002 * C00197))</v>
      </c>
    </row>
    <row r="498" spans="1:11">
      <c r="A498" t="s">
        <v>4145</v>
      </c>
      <c r="B498" t="s">
        <v>4146</v>
      </c>
      <c r="C498" t="s">
        <v>15429</v>
      </c>
      <c r="D498">
        <v>497</v>
      </c>
      <c r="E498" t="str">
        <f t="shared" si="21"/>
        <v>E1_2_1_12</v>
      </c>
      <c r="F498" t="s">
        <v>10643</v>
      </c>
      <c r="G498" t="s">
        <v>11479</v>
      </c>
      <c r="H498" t="s">
        <v>10644</v>
      </c>
      <c r="I498" t="s">
        <v>12169</v>
      </c>
      <c r="J498" t="str">
        <f t="shared" si="22"/>
        <v>(${Variables:E1_2_1_12_kcat} * E1_2_1_12 * C00118 * C00009 * C00003)/(${Variables:E1_2_1_12_km} + (E1_2_1_12 * C00118 * C00009 * C00003))</v>
      </c>
      <c r="K498" s="21" t="str">
        <f t="shared" si="23"/>
        <v>r497: C00118 + C00009 + C00003 -&gt; C00236 + C00004 + C00080 | (${Variables:E1_2_1_12_kcat} * E1_2_1_12 * C00118 * C00009 * C00003)/(${Variables:E1_2_1_12_km} + (E1_2_1_12 * C00118 * C00009 * C00003))</v>
      </c>
    </row>
    <row r="499" spans="1:11">
      <c r="A499" t="s">
        <v>4169</v>
      </c>
      <c r="B499" t="s">
        <v>4170</v>
      </c>
      <c r="C499" t="s">
        <v>15514</v>
      </c>
      <c r="D499">
        <v>498</v>
      </c>
      <c r="E499" t="str">
        <f t="shared" si="21"/>
        <v>E2_5_1_78</v>
      </c>
      <c r="F499" t="s">
        <v>10781</v>
      </c>
      <c r="G499" t="s">
        <v>11585</v>
      </c>
      <c r="H499" t="s">
        <v>15959</v>
      </c>
      <c r="I499" t="s">
        <v>15919</v>
      </c>
      <c r="J499" t="str">
        <f t="shared" si="22"/>
        <v>(${Variables:E2_5_1_78_kcat} * E2_5_1_78 * C04732 * C15556)/(${Variables:E2_5_1_78_km} + (E2_5_1_78 * C04732 * C15556))</v>
      </c>
      <c r="K499" s="21" t="str">
        <f t="shared" si="23"/>
        <v>r498: C04732 + C15556 -&gt; C04332 +  C00001 + C00009 | (${Variables:E2_5_1_78_kcat} * E2_5_1_78 * C04732 * C15556)/(${Variables:E2_5_1_78_km} + (E2_5_1_78 * C04732 * C15556))</v>
      </c>
    </row>
    <row r="500" spans="1:11">
      <c r="A500" t="s">
        <v>4177</v>
      </c>
      <c r="B500" t="s">
        <v>4178</v>
      </c>
      <c r="C500" t="s">
        <v>15515</v>
      </c>
      <c r="D500">
        <v>499</v>
      </c>
      <c r="E500" t="str">
        <f t="shared" si="21"/>
        <v>E2_5_1_9</v>
      </c>
      <c r="F500" t="s">
        <v>13657</v>
      </c>
      <c r="G500" t="s">
        <v>13657</v>
      </c>
      <c r="H500" t="s">
        <v>10782</v>
      </c>
      <c r="I500" t="s">
        <v>12285</v>
      </c>
      <c r="J500" t="str">
        <f t="shared" si="22"/>
        <v>(${Variables:E2_5_1_9_kcat} * E2_5_1_9 * C04332)/(${Variables:E2_5_1_9_km} + (E2_5_1_9 * C04332))</v>
      </c>
      <c r="K500" s="21" t="str">
        <f t="shared" si="23"/>
        <v>r499: C04332 -&gt; C00255 + C04732 | (${Variables:E2_5_1_9_kcat} * E2_5_1_9 * C04332)/(${Variables:E2_5_1_9_km} + (E2_5_1_9 * C04332))</v>
      </c>
    </row>
    <row r="501" spans="1:11">
      <c r="A501" t="s">
        <v>4185</v>
      </c>
      <c r="B501" t="s">
        <v>4186</v>
      </c>
      <c r="C501" t="s">
        <v>15516</v>
      </c>
      <c r="D501">
        <v>500</v>
      </c>
      <c r="E501" t="str">
        <f t="shared" si="21"/>
        <v>E5_1_3_1</v>
      </c>
      <c r="F501" t="s">
        <v>8698</v>
      </c>
      <c r="G501" t="s">
        <v>8698</v>
      </c>
      <c r="H501" t="s">
        <v>8699</v>
      </c>
      <c r="I501" t="s">
        <v>8699</v>
      </c>
      <c r="J501" t="str">
        <f t="shared" si="22"/>
        <v>(${Variables:E5_1_3_1_kcat} * E5_1_3_1 * C00199)/(${Variables:E5_1_3_1_km} + (E5_1_3_1 * C00199))</v>
      </c>
      <c r="K501" s="21" t="str">
        <f t="shared" si="23"/>
        <v>r500: C00199 -&gt; C00231 | (${Variables:E5_1_3_1_kcat} * E5_1_3_1 * C00199)/(${Variables:E5_1_3_1_km} + (E5_1_3_1 * C00199))</v>
      </c>
    </row>
    <row r="502" spans="1:11">
      <c r="A502" t="s">
        <v>4193</v>
      </c>
      <c r="B502" t="s">
        <v>4194</v>
      </c>
      <c r="C502" t="s">
        <v>15517</v>
      </c>
      <c r="D502">
        <v>501</v>
      </c>
      <c r="E502" t="str">
        <f t="shared" si="21"/>
        <v>E2_1_2_9</v>
      </c>
      <c r="F502" t="s">
        <v>10783</v>
      </c>
      <c r="G502" t="s">
        <v>11586</v>
      </c>
      <c r="H502" t="s">
        <v>10784</v>
      </c>
      <c r="I502" t="s">
        <v>12286</v>
      </c>
      <c r="J502" t="str">
        <f t="shared" si="22"/>
        <v>(${Variables:E2_1_2_9_kcat} * E2_1_2_9 * C02430 * C00234)/(${Variables:E2_1_2_9_km} + (E2_1_2_9 * C02430 * C00234))</v>
      </c>
      <c r="K502" s="21" t="str">
        <f t="shared" si="23"/>
        <v>r501: C02430 + C00234 -&gt; C00101 + C03294 | (${Variables:E2_1_2_9_kcat} * E2_1_2_9 * C02430 * C00234)/(${Variables:E2_1_2_9_km} + (E2_1_2_9 * C02430 * C00234))</v>
      </c>
    </row>
    <row r="503" spans="1:11">
      <c r="A503" t="s">
        <v>4197</v>
      </c>
      <c r="B503" t="s">
        <v>4198</v>
      </c>
      <c r="C503" t="s">
        <v>15518</v>
      </c>
      <c r="D503">
        <v>502</v>
      </c>
      <c r="E503" t="str">
        <f t="shared" si="21"/>
        <v>E3_5_1_88</v>
      </c>
      <c r="F503" t="s">
        <v>10785</v>
      </c>
      <c r="G503" t="s">
        <v>11587</v>
      </c>
      <c r="H503" t="s">
        <v>10786</v>
      </c>
      <c r="I503" t="s">
        <v>12287</v>
      </c>
      <c r="J503" t="str">
        <f t="shared" si="22"/>
        <v>(${Variables:E3_5_1_88_kcat} * E3_5_1_88 * C11439 * C00001)/(${Variables:E3_5_1_88_km} + (E3_5_1_88 * C11439 * C00001))</v>
      </c>
      <c r="K503" s="21" t="str">
        <f t="shared" si="23"/>
        <v>r502: C11439 + C00001 -&gt; C11440 + C00058 | (${Variables:E3_5_1_88_kcat} * E3_5_1_88 * C11439 * C00001)/(${Variables:E3_5_1_88_km} + (E3_5_1_88 * C11439 * C00001))</v>
      </c>
    </row>
    <row r="504" spans="1:11">
      <c r="A504" t="s">
        <v>4197</v>
      </c>
      <c r="B504" t="s">
        <v>4198</v>
      </c>
      <c r="C504" t="s">
        <v>15518</v>
      </c>
      <c r="D504">
        <v>503</v>
      </c>
      <c r="E504" t="str">
        <f t="shared" si="21"/>
        <v>E3_5_1_88</v>
      </c>
      <c r="F504" t="s">
        <v>10787</v>
      </c>
      <c r="G504" t="s">
        <v>11588</v>
      </c>
      <c r="H504" t="s">
        <v>10788</v>
      </c>
      <c r="I504" t="s">
        <v>12288</v>
      </c>
      <c r="J504" t="str">
        <f t="shared" si="22"/>
        <v>(${Variables:E3_5_1_88_kcat} * E3_5_1_88 * C04258 * C00001)/(${Variables:E3_5_1_88_km} + (E3_5_1_88 * C04258 * C00001))</v>
      </c>
      <c r="K504" s="21" t="str">
        <f t="shared" si="23"/>
        <v>r503: C04258 + C00001 -&gt; C00058 + C03617 | (${Variables:E3_5_1_88_kcat} * E3_5_1_88 * C04258 * C00001)/(${Variables:E3_5_1_88_km} + (E3_5_1_88 * C04258 * C00001))</v>
      </c>
    </row>
    <row r="505" spans="1:11">
      <c r="A505" t="s">
        <v>4205</v>
      </c>
      <c r="B505" t="s">
        <v>4206</v>
      </c>
      <c r="C505" t="s">
        <v>15519</v>
      </c>
      <c r="D505">
        <v>504</v>
      </c>
      <c r="E505" t="str">
        <f t="shared" si="21"/>
        <v>E2_5_1_6</v>
      </c>
      <c r="F505" t="s">
        <v>10789</v>
      </c>
      <c r="G505" t="s">
        <v>11589</v>
      </c>
      <c r="H505" t="s">
        <v>10790</v>
      </c>
      <c r="I505" t="s">
        <v>12289</v>
      </c>
      <c r="J505" t="str">
        <f t="shared" si="22"/>
        <v>(${Variables:E2_5_1_6_kcat} * E2_5_1_6 * C00009 * C00013 * C00019 )/(${Variables:E2_5_1_6_km} + (E2_5_1_6 * C00009 * C00013 * C00019 ))</v>
      </c>
      <c r="K505" s="21" t="str">
        <f t="shared" si="23"/>
        <v>r504: C00009 + C00013 + C00019  -&gt; C00002 + C00073 + C00001 | (${Variables:E2_5_1_6_kcat} * E2_5_1_6 * C00009 * C00013 * C00019 )/(${Variables:E2_5_1_6_km} + (E2_5_1_6 * C00009 * C00013 * C00019 ))</v>
      </c>
    </row>
    <row r="506" spans="1:11">
      <c r="A506" t="s">
        <v>4205</v>
      </c>
      <c r="B506" t="s">
        <v>4206</v>
      </c>
      <c r="C506" t="s">
        <v>15519</v>
      </c>
      <c r="D506">
        <v>505</v>
      </c>
      <c r="E506" t="str">
        <f t="shared" si="21"/>
        <v>E2_5_1_6</v>
      </c>
      <c r="F506" t="s">
        <v>10791</v>
      </c>
      <c r="G506" t="s">
        <v>11590</v>
      </c>
      <c r="H506" t="s">
        <v>10792</v>
      </c>
      <c r="I506" t="s">
        <v>12290</v>
      </c>
      <c r="J506" t="str">
        <f t="shared" si="22"/>
        <v>(${Variables:E2_5_1_6_kcat} * E2_5_1_6 * C00002 * C05335 * C00001)/(${Variables:E2_5_1_6_km} + (E2_5_1_6 * C00002 * C05335 * C00001))</v>
      </c>
      <c r="K506" s="21" t="str">
        <f t="shared" si="23"/>
        <v>r505: C00002 + C05335 + C00001 -&gt; C00009 + C00013 + C05691 | (${Variables:E2_5_1_6_kcat} * E2_5_1_6 * C00002 * C05335 * C00001)/(${Variables:E2_5_1_6_km} + (E2_5_1_6 * C00002 * C05335 * C00001))</v>
      </c>
    </row>
    <row r="507" spans="1:11">
      <c r="A507" t="s">
        <v>4213</v>
      </c>
      <c r="B507" t="s">
        <v>4214</v>
      </c>
      <c r="C507" t="s">
        <v>15376</v>
      </c>
      <c r="D507">
        <v>506</v>
      </c>
      <c r="E507" t="str">
        <f t="shared" si="21"/>
        <v>E2_7_7_6</v>
      </c>
      <c r="F507" t="s">
        <v>10563</v>
      </c>
      <c r="G507" t="s">
        <v>11379</v>
      </c>
      <c r="H507" t="s">
        <v>10252</v>
      </c>
      <c r="I507" t="s">
        <v>12068</v>
      </c>
      <c r="J507" t="str">
        <f t="shared" si="22"/>
        <v>(${Variables:E2_7_7_6_kcat} * E2_7_7_6 * C00201 * C00046)/(${Variables:E2_7_7_6_km} + (E2_7_7_6 * C00201 * C00046))</v>
      </c>
      <c r="K507" s="21" t="str">
        <f t="shared" si="23"/>
        <v>r506: C00201 + C00046 -&gt; C00013 + C00046 | (${Variables:E2_7_7_6_kcat} * E2_7_7_6 * C00201 * C00046)/(${Variables:E2_7_7_6_km} + (E2_7_7_6 * C00201 * C00046))</v>
      </c>
    </row>
    <row r="508" spans="1:11">
      <c r="A508" t="s">
        <v>4213</v>
      </c>
      <c r="B508" t="s">
        <v>4214</v>
      </c>
      <c r="C508" t="s">
        <v>15376</v>
      </c>
      <c r="D508">
        <v>507</v>
      </c>
      <c r="E508" t="str">
        <f t="shared" si="21"/>
        <v>E2_7_7_6</v>
      </c>
      <c r="F508" s="4" t="s">
        <v>10251</v>
      </c>
      <c r="G508" s="4" t="s">
        <v>11380</v>
      </c>
      <c r="H508" s="4" t="s">
        <v>10252</v>
      </c>
      <c r="I508" s="4" t="s">
        <v>12068</v>
      </c>
      <c r="J508" t="str">
        <f t="shared" si="22"/>
        <v>(${Variables:E2_7_7_6_kcat} * E2_7_7_6 * C00002 * C00046)/(${Variables:E2_7_7_6_km} + (E2_7_7_6 * C00002 * C00046))</v>
      </c>
      <c r="K508" s="21" t="str">
        <f t="shared" si="23"/>
        <v>r507: C00002 + C00046 -&gt; C00013 + C00046 | (${Variables:E2_7_7_6_kcat} * E2_7_7_6 * C00002 * C00046)/(${Variables:E2_7_7_6_km} + (E2_7_7_6 * C00002 * C00046))</v>
      </c>
    </row>
    <row r="509" spans="1:11">
      <c r="A509" t="s">
        <v>4213</v>
      </c>
      <c r="B509" t="s">
        <v>4214</v>
      </c>
      <c r="C509" t="s">
        <v>15376</v>
      </c>
      <c r="D509">
        <v>508</v>
      </c>
      <c r="E509" t="str">
        <f t="shared" si="21"/>
        <v>E2_7_7_6</v>
      </c>
      <c r="F509" s="4" t="s">
        <v>10253</v>
      </c>
      <c r="G509" s="4" t="s">
        <v>11381</v>
      </c>
      <c r="H509" s="4" t="s">
        <v>10252</v>
      </c>
      <c r="I509" s="4" t="s">
        <v>12068</v>
      </c>
      <c r="J509" t="str">
        <f t="shared" si="22"/>
        <v>(${Variables:E2_7_7_6_kcat} * E2_7_7_6 * C00044 * C00046)/(${Variables:E2_7_7_6_km} + (E2_7_7_6 * C00044 * C00046))</v>
      </c>
      <c r="K509" s="21" t="str">
        <f t="shared" si="23"/>
        <v>r508: C00044 + C00046 -&gt; C00013 + C00046 | (${Variables:E2_7_7_6_kcat} * E2_7_7_6 * C00044 * C00046)/(${Variables:E2_7_7_6_km} + (E2_7_7_6 * C00044 * C00046))</v>
      </c>
    </row>
    <row r="510" spans="1:11">
      <c r="A510" t="s">
        <v>4213</v>
      </c>
      <c r="B510" t="s">
        <v>4214</v>
      </c>
      <c r="C510" t="s">
        <v>15376</v>
      </c>
      <c r="D510">
        <v>509</v>
      </c>
      <c r="E510" t="str">
        <f t="shared" si="21"/>
        <v>E2_7_7_6</v>
      </c>
      <c r="F510" s="4" t="s">
        <v>10254</v>
      </c>
      <c r="G510" s="4" t="s">
        <v>11382</v>
      </c>
      <c r="H510" s="4" t="s">
        <v>10252</v>
      </c>
      <c r="I510" s="4" t="s">
        <v>12068</v>
      </c>
      <c r="J510" t="str">
        <f t="shared" si="22"/>
        <v>(${Variables:E2_7_7_6_kcat} * E2_7_7_6 * C00063 * C00046)/(${Variables:E2_7_7_6_km} + (E2_7_7_6 * C00063 * C00046))</v>
      </c>
      <c r="K510" s="21" t="str">
        <f t="shared" si="23"/>
        <v>r509: C00063 + C00046 -&gt; C00013 + C00046 | (${Variables:E2_7_7_6_kcat} * E2_7_7_6 * C00063 * C00046)/(${Variables:E2_7_7_6_km} + (E2_7_7_6 * C00063 * C00046))</v>
      </c>
    </row>
    <row r="511" spans="1:11">
      <c r="A511" t="s">
        <v>4213</v>
      </c>
      <c r="B511" t="s">
        <v>4214</v>
      </c>
      <c r="C511" t="s">
        <v>15376</v>
      </c>
      <c r="D511">
        <v>510</v>
      </c>
      <c r="E511" t="str">
        <f t="shared" si="21"/>
        <v>E2_7_7_6</v>
      </c>
      <c r="F511" s="4" t="s">
        <v>10255</v>
      </c>
      <c r="G511" s="4" t="s">
        <v>11383</v>
      </c>
      <c r="H511" s="4" t="s">
        <v>10252</v>
      </c>
      <c r="I511" s="4" t="s">
        <v>12068</v>
      </c>
      <c r="J511" t="str">
        <f t="shared" si="22"/>
        <v>(${Variables:E2_7_7_6_kcat} * E2_7_7_6 * C00075 * C00046)/(${Variables:E2_7_7_6_km} + (E2_7_7_6 * C00075 * C00046))</v>
      </c>
      <c r="K511" s="21" t="str">
        <f t="shared" si="23"/>
        <v>r510: C00075 + C00046 -&gt; C00013 + C00046 | (${Variables:E2_7_7_6_kcat} * E2_7_7_6 * C00075 * C00046)/(${Variables:E2_7_7_6_km} + (E2_7_7_6 * C00075 * C00046))</v>
      </c>
    </row>
    <row r="512" spans="1:11">
      <c r="A512" t="s">
        <v>4213</v>
      </c>
      <c r="B512" t="s">
        <v>4214</v>
      </c>
      <c r="C512" t="s">
        <v>15376</v>
      </c>
      <c r="D512">
        <v>511</v>
      </c>
      <c r="E512" t="str">
        <f t="shared" si="21"/>
        <v>E2_7_7_6</v>
      </c>
      <c r="F512" s="4" t="s">
        <v>12712</v>
      </c>
      <c r="G512" s="4" t="s">
        <v>12712</v>
      </c>
      <c r="H512" s="4" t="s">
        <v>12710</v>
      </c>
      <c r="I512" s="4" t="s">
        <v>12711</v>
      </c>
      <c r="J512" t="str">
        <f t="shared" si="22"/>
        <v>(${Variables:E2_7_7_6_kcat} * E2_7_7_6 * C00201)/(${Variables:E2_7_7_6_km} + (E2_7_7_6 * C00201))</v>
      </c>
      <c r="K512" s="21" t="str">
        <f t="shared" si="23"/>
        <v>r511: C00201 -&gt; C20864 +  C00013 | (${Variables:E2_7_7_6_kcat} * E2_7_7_6 * C00201)/(${Variables:E2_7_7_6_km} + (E2_7_7_6 * C00201))</v>
      </c>
    </row>
    <row r="513" spans="1:11">
      <c r="A513" t="s">
        <v>4217</v>
      </c>
      <c r="B513" t="s">
        <v>4218</v>
      </c>
      <c r="C513" t="s">
        <v>15520</v>
      </c>
      <c r="D513">
        <v>512</v>
      </c>
      <c r="E513" t="str">
        <f t="shared" si="21"/>
        <v>E2_7_4_8</v>
      </c>
      <c r="F513" t="s">
        <v>10793</v>
      </c>
      <c r="G513" t="s">
        <v>11591</v>
      </c>
      <c r="H513" t="s">
        <v>10794</v>
      </c>
      <c r="I513" t="s">
        <v>12291</v>
      </c>
      <c r="J513" t="str">
        <f t="shared" si="22"/>
        <v>(${Variables:E2_7_4_8_kcat} * E2_7_4_8 * C00002 * C00144)/(${Variables:E2_7_4_8_km} + (E2_7_4_8 * C00002 * C00144))</v>
      </c>
      <c r="K513" s="21" t="str">
        <f t="shared" si="23"/>
        <v>r512: C00002 + C00144 -&gt; C00008 + C00035 | (${Variables:E2_7_4_8_kcat} * E2_7_4_8 * C00002 * C00144)/(${Variables:E2_7_4_8_km} + (E2_7_4_8 * C00002 * C00144))</v>
      </c>
    </row>
    <row r="514" spans="1:11">
      <c r="A514" t="s">
        <v>4217</v>
      </c>
      <c r="B514" t="s">
        <v>4218</v>
      </c>
      <c r="C514" t="s">
        <v>15520</v>
      </c>
      <c r="D514">
        <v>513</v>
      </c>
      <c r="E514" t="str">
        <f t="shared" si="21"/>
        <v>E2_7_4_8</v>
      </c>
      <c r="F514" t="s">
        <v>10795</v>
      </c>
      <c r="G514" t="s">
        <v>11592</v>
      </c>
      <c r="H514" t="s">
        <v>10796</v>
      </c>
      <c r="I514" t="s">
        <v>12292</v>
      </c>
      <c r="J514" t="str">
        <f t="shared" si="22"/>
        <v>(${Variables:E2_7_4_8_kcat} * E2_7_4_8 * C00002 * C00362)/(${Variables:E2_7_4_8_km} + (E2_7_4_8 * C00002 * C00362))</v>
      </c>
      <c r="K514" s="21" t="str">
        <f t="shared" si="23"/>
        <v>r513: C00002 + C00362 -&gt; C00008 + C00361 | (${Variables:E2_7_4_8_kcat} * E2_7_4_8 * C00002 * C00362)/(${Variables:E2_7_4_8_km} + (E2_7_4_8 * C00002 * C00362))</v>
      </c>
    </row>
    <row r="515" spans="1:11">
      <c r="A515" t="s">
        <v>4217</v>
      </c>
      <c r="B515" t="s">
        <v>4218</v>
      </c>
      <c r="C515" t="s">
        <v>15520</v>
      </c>
      <c r="D515">
        <v>514</v>
      </c>
      <c r="E515" t="str">
        <f t="shared" ref="E515:E578" si="24">"E" &amp; C515</f>
        <v>E2_7_4_8</v>
      </c>
      <c r="F515" t="s">
        <v>10797</v>
      </c>
      <c r="G515" t="s">
        <v>11593</v>
      </c>
      <c r="H515" t="s">
        <v>10798</v>
      </c>
      <c r="I515" t="s">
        <v>12293</v>
      </c>
      <c r="J515" t="str">
        <f t="shared" ref="J515:J578" si="25">CONCATENATE("(${Variables:",E515,"_kcat","} * ",E515," * ",G515,")","/(${Variables:",E515,"_km","} + (",E515," * ",G515,"))")</f>
        <v>(${Variables:E2_7_4_8_kcat} * E2_7_4_8 * C22441 * C00002)/(${Variables:E2_7_4_8_km} + (E2_7_4_8 * C22441 * C00002))</v>
      </c>
      <c r="K515" s="21" t="str">
        <f t="shared" ref="K515:K578" si="26">CONCATENATE("r",D515,": ",F515," -&gt; ",H515," | ",J515)</f>
        <v>r514: C22441 + C00002 -&gt; C22442 + C00008 | (${Variables:E2_7_4_8_kcat} * E2_7_4_8 * C22441 * C00002)/(${Variables:E2_7_4_8_km} + (E2_7_4_8 * C22441 * C00002))</v>
      </c>
    </row>
    <row r="516" spans="1:11">
      <c r="A516" t="s">
        <v>4226</v>
      </c>
      <c r="B516" t="s">
        <v>4227</v>
      </c>
      <c r="C516" t="s">
        <v>15521</v>
      </c>
      <c r="D516">
        <v>515</v>
      </c>
      <c r="E516" t="str">
        <f t="shared" si="24"/>
        <v>E6_3_5_5</v>
      </c>
      <c r="F516" t="s">
        <v>10145</v>
      </c>
      <c r="G516" t="s">
        <v>11594</v>
      </c>
      <c r="H516" t="s">
        <v>9766</v>
      </c>
      <c r="I516" t="s">
        <v>12294</v>
      </c>
      <c r="J516" t="str">
        <f t="shared" si="25"/>
        <v>(${Variables:E6_3_5_5_kcat} * E6_3_5_5 * C00064 * C00001)/(${Variables:E6_3_5_5_km} + (E6_3_5_5 * C00064 * C00001))</v>
      </c>
      <c r="K516" s="21" t="str">
        <f t="shared" si="26"/>
        <v>r515: C00064 + C00001 -&gt; C00025 + C00014 | (${Variables:E6_3_5_5_kcat} * E6_3_5_5 * C00064 * C00001)/(${Variables:E6_3_5_5_km} + (E6_3_5_5 * C00064 * C00001))</v>
      </c>
    </row>
    <row r="517" spans="1:11">
      <c r="A517" t="s">
        <v>4226</v>
      </c>
      <c r="B517" t="s">
        <v>4227</v>
      </c>
      <c r="C517" t="s">
        <v>15521</v>
      </c>
      <c r="D517">
        <v>516</v>
      </c>
      <c r="E517" t="str">
        <f t="shared" si="24"/>
        <v>E6_3_5_5</v>
      </c>
      <c r="F517" t="s">
        <v>15800</v>
      </c>
      <c r="G517" t="s">
        <v>15799</v>
      </c>
      <c r="H517" t="s">
        <v>15801</v>
      </c>
      <c r="I517" t="s">
        <v>15802</v>
      </c>
      <c r="J517" t="str">
        <f t="shared" si="25"/>
        <v>(${Variables:E6_3_5_5_kcat} * E6_3_5_5 * C00002 * C00064 * C00288 * C00001)/(${Variables:E6_3_5_5_km} + (E6_3_5_5 * C00002 * C00064 * C00288 * C00001))</v>
      </c>
      <c r="K517" s="21" t="str">
        <f t="shared" si="26"/>
        <v>r516: C00002 + C00064 + C00288 + C00001 -&gt; C00008 + C00009 + C00025 + C00169 | (${Variables:E6_3_5_5_kcat} * E6_3_5_5 * C00002 * C00064 * C00288 * C00001)/(${Variables:E6_3_5_5_km} + (E6_3_5_5 * C00002 * C00064 * C00288 * C00001))</v>
      </c>
    </row>
    <row r="518" spans="1:11">
      <c r="A518" t="s">
        <v>4226</v>
      </c>
      <c r="B518" t="s">
        <v>4227</v>
      </c>
      <c r="C518" t="s">
        <v>15521</v>
      </c>
      <c r="D518">
        <v>517</v>
      </c>
      <c r="E518" t="str">
        <f t="shared" si="24"/>
        <v>E6_3_5_5</v>
      </c>
      <c r="F518" t="s">
        <v>10799</v>
      </c>
      <c r="G518" t="s">
        <v>11595</v>
      </c>
      <c r="H518" t="s">
        <v>10800</v>
      </c>
      <c r="I518" t="s">
        <v>12295</v>
      </c>
      <c r="J518" t="str">
        <f t="shared" si="25"/>
        <v>(${Variables:E6_3_5_5_kcat} * E6_3_5_5 * C00002 * C01563)/(${Variables:E6_3_5_5_km} + (E6_3_5_5 * C00002 * C01563))</v>
      </c>
      <c r="K518" s="21" t="str">
        <f t="shared" si="26"/>
        <v>r517: C00002 + C01563 -&gt; C00008 + C00169 | (${Variables:E6_3_5_5_kcat} * E6_3_5_5 * C00002 * C01563)/(${Variables:E6_3_5_5_km} + (E6_3_5_5 * C00002 * C01563))</v>
      </c>
    </row>
    <row r="519" spans="1:11">
      <c r="A519" t="s">
        <v>4226</v>
      </c>
      <c r="B519" t="s">
        <v>4227</v>
      </c>
      <c r="C519" t="s">
        <v>15521</v>
      </c>
      <c r="D519">
        <v>518</v>
      </c>
      <c r="E519" t="str">
        <f t="shared" si="24"/>
        <v>E6_3_5_5</v>
      </c>
      <c r="F519" t="s">
        <v>10801</v>
      </c>
      <c r="G519" t="s">
        <v>11596</v>
      </c>
      <c r="H519" t="s">
        <v>10802</v>
      </c>
      <c r="I519" t="s">
        <v>12296</v>
      </c>
      <c r="J519" t="str">
        <f t="shared" si="25"/>
        <v>(${Variables:E6_3_5_5_kcat} * E6_3_5_5 * C00002 * C00288)/(${Variables:E6_3_5_5_km} + (E6_3_5_5 * C00002 * C00288))</v>
      </c>
      <c r="K519" s="21" t="str">
        <f t="shared" si="26"/>
        <v>r518: C00002 + C00288 -&gt; C00008 + C20969 | (${Variables:E6_3_5_5_kcat} * E6_3_5_5 * C00002 * C00288)/(${Variables:E6_3_5_5_km} + (E6_3_5_5 * C00002 * C00288))</v>
      </c>
    </row>
    <row r="520" spans="1:11">
      <c r="A520" t="s">
        <v>4226</v>
      </c>
      <c r="B520" t="s">
        <v>4227</v>
      </c>
      <c r="C520" t="s">
        <v>15521</v>
      </c>
      <c r="D520">
        <v>519</v>
      </c>
      <c r="E520" t="str">
        <f t="shared" si="24"/>
        <v>E6_3_5_5</v>
      </c>
      <c r="F520" t="s">
        <v>10803</v>
      </c>
      <c r="G520" t="s">
        <v>11597</v>
      </c>
      <c r="H520" t="s">
        <v>10804</v>
      </c>
      <c r="I520" t="s">
        <v>12297</v>
      </c>
      <c r="J520" t="str">
        <f t="shared" si="25"/>
        <v>(${Variables:E6_3_5_5_kcat} * E6_3_5_5 * C00014 * C20969)/(${Variables:E6_3_5_5_km} + (E6_3_5_5 * C00014 * C20969))</v>
      </c>
      <c r="K520" s="21" t="str">
        <f t="shared" si="26"/>
        <v>r519: C00014 + C20969 -&gt; C01563 + C00009 | (${Variables:E6_3_5_5_kcat} * E6_3_5_5 * C00014 * C20969)/(${Variables:E6_3_5_5_km} + (E6_3_5_5 * C00014 * C20969))</v>
      </c>
    </row>
    <row r="521" spans="1:11">
      <c r="A521" t="s">
        <v>4226</v>
      </c>
      <c r="B521" t="s">
        <v>4227</v>
      </c>
      <c r="C521" t="s">
        <v>15521</v>
      </c>
      <c r="D521">
        <v>520</v>
      </c>
      <c r="E521" t="str">
        <f t="shared" si="24"/>
        <v>E6_3_5_5</v>
      </c>
      <c r="F521" t="s">
        <v>15803</v>
      </c>
      <c r="G521" t="s">
        <v>15798</v>
      </c>
      <c r="H521" t="s">
        <v>15797</v>
      </c>
      <c r="I521" t="s">
        <v>15796</v>
      </c>
      <c r="J521" t="str">
        <f t="shared" si="25"/>
        <v>(${Variables:E6_3_5_5_kcat} * E6_3_5_5 * C00002 * C00288 * C00014)/(${Variables:E6_3_5_5_km} + (E6_3_5_5 * C00002 * C00288 * C00014))</v>
      </c>
      <c r="K521" s="21" t="str">
        <f t="shared" si="26"/>
        <v>r520: C00002 + C00288 + C00014 -&gt; C00008 + C00009 + C00169 | (${Variables:E6_3_5_5_kcat} * E6_3_5_5 * C00002 * C00288 * C00014)/(${Variables:E6_3_5_5_km} + (E6_3_5_5 * C00002 * C00288 * C00014))</v>
      </c>
    </row>
    <row r="522" spans="1:11">
      <c r="A522" t="s">
        <v>4230</v>
      </c>
      <c r="B522" t="s">
        <v>4231</v>
      </c>
      <c r="C522" t="s">
        <v>15521</v>
      </c>
      <c r="D522">
        <v>521</v>
      </c>
      <c r="E522" t="str">
        <f t="shared" si="24"/>
        <v>E6_3_5_5</v>
      </c>
      <c r="F522" t="s">
        <v>10145</v>
      </c>
      <c r="G522" t="s">
        <v>11594</v>
      </c>
      <c r="H522" t="s">
        <v>9766</v>
      </c>
      <c r="I522" t="s">
        <v>12294</v>
      </c>
      <c r="J522" t="str">
        <f t="shared" si="25"/>
        <v>(${Variables:E6_3_5_5_kcat} * E6_3_5_5 * C00064 * C00001)/(${Variables:E6_3_5_5_km} + (E6_3_5_5 * C00064 * C00001))</v>
      </c>
      <c r="K522" s="21" t="str">
        <f t="shared" si="26"/>
        <v>r521: C00064 + C00001 -&gt; C00025 + C00014 | (${Variables:E6_3_5_5_kcat} * E6_3_5_5 * C00064 * C00001)/(${Variables:E6_3_5_5_km} + (E6_3_5_5 * C00064 * C00001))</v>
      </c>
    </row>
    <row r="523" spans="1:11">
      <c r="A523" t="s">
        <v>4230</v>
      </c>
      <c r="B523" t="s">
        <v>4231</v>
      </c>
      <c r="C523" t="s">
        <v>15521</v>
      </c>
      <c r="D523">
        <v>522</v>
      </c>
      <c r="E523" t="str">
        <f t="shared" si="24"/>
        <v>E6_3_5_5</v>
      </c>
      <c r="F523" t="s">
        <v>15800</v>
      </c>
      <c r="G523" t="s">
        <v>15799</v>
      </c>
      <c r="H523" t="s">
        <v>15801</v>
      </c>
      <c r="I523" t="s">
        <v>15802</v>
      </c>
      <c r="J523" t="str">
        <f t="shared" si="25"/>
        <v>(${Variables:E6_3_5_5_kcat} * E6_3_5_5 * C00002 * C00064 * C00288 * C00001)/(${Variables:E6_3_5_5_km} + (E6_3_5_5 * C00002 * C00064 * C00288 * C00001))</v>
      </c>
      <c r="K523" s="21" t="str">
        <f t="shared" si="26"/>
        <v>r522: C00002 + C00064 + C00288 + C00001 -&gt; C00008 + C00009 + C00025 + C00169 | (${Variables:E6_3_5_5_kcat} * E6_3_5_5 * C00002 * C00064 * C00288 * C00001)/(${Variables:E6_3_5_5_km} + (E6_3_5_5 * C00002 * C00064 * C00288 * C00001))</v>
      </c>
    </row>
    <row r="524" spans="1:11">
      <c r="A524" t="s">
        <v>4230</v>
      </c>
      <c r="B524" t="s">
        <v>4231</v>
      </c>
      <c r="C524" t="s">
        <v>15521</v>
      </c>
      <c r="D524">
        <v>523</v>
      </c>
      <c r="E524" t="str">
        <f t="shared" si="24"/>
        <v>E6_3_5_5</v>
      </c>
      <c r="F524" t="s">
        <v>10799</v>
      </c>
      <c r="G524" t="s">
        <v>11595</v>
      </c>
      <c r="H524" t="s">
        <v>10800</v>
      </c>
      <c r="I524" t="s">
        <v>12295</v>
      </c>
      <c r="J524" t="str">
        <f t="shared" si="25"/>
        <v>(${Variables:E6_3_5_5_kcat} * E6_3_5_5 * C00002 * C01563)/(${Variables:E6_3_5_5_km} + (E6_3_5_5 * C00002 * C01563))</v>
      </c>
      <c r="K524" s="21" t="str">
        <f t="shared" si="26"/>
        <v>r523: C00002 + C01563 -&gt; C00008 + C00169 | (${Variables:E6_3_5_5_kcat} * E6_3_5_5 * C00002 * C01563)/(${Variables:E6_3_5_5_km} + (E6_3_5_5 * C00002 * C01563))</v>
      </c>
    </row>
    <row r="525" spans="1:11">
      <c r="A525" t="s">
        <v>4230</v>
      </c>
      <c r="B525" t="s">
        <v>4231</v>
      </c>
      <c r="C525" t="s">
        <v>15521</v>
      </c>
      <c r="D525">
        <v>524</v>
      </c>
      <c r="E525" t="str">
        <f t="shared" si="24"/>
        <v>E6_3_5_5</v>
      </c>
      <c r="F525" t="s">
        <v>10801</v>
      </c>
      <c r="G525" t="s">
        <v>11596</v>
      </c>
      <c r="H525" t="s">
        <v>10802</v>
      </c>
      <c r="I525" t="s">
        <v>12296</v>
      </c>
      <c r="J525" t="str">
        <f t="shared" si="25"/>
        <v>(${Variables:E6_3_5_5_kcat} * E6_3_5_5 * C00002 * C00288)/(${Variables:E6_3_5_5_km} + (E6_3_5_5 * C00002 * C00288))</v>
      </c>
      <c r="K525" s="21" t="str">
        <f t="shared" si="26"/>
        <v>r524: C00002 + C00288 -&gt; C00008 + C20969 | (${Variables:E6_3_5_5_kcat} * E6_3_5_5 * C00002 * C00288)/(${Variables:E6_3_5_5_km} + (E6_3_5_5 * C00002 * C00288))</v>
      </c>
    </row>
    <row r="526" spans="1:11">
      <c r="A526" t="s">
        <v>4230</v>
      </c>
      <c r="B526" t="s">
        <v>4231</v>
      </c>
      <c r="C526" t="s">
        <v>15521</v>
      </c>
      <c r="D526">
        <v>525</v>
      </c>
      <c r="E526" t="str">
        <f t="shared" si="24"/>
        <v>E6_3_5_5</v>
      </c>
      <c r="F526" t="s">
        <v>10803</v>
      </c>
      <c r="G526" t="s">
        <v>11597</v>
      </c>
      <c r="H526" t="s">
        <v>10804</v>
      </c>
      <c r="I526" t="s">
        <v>12297</v>
      </c>
      <c r="J526" t="str">
        <f t="shared" si="25"/>
        <v>(${Variables:E6_3_5_5_kcat} * E6_3_5_5 * C00014 * C20969)/(${Variables:E6_3_5_5_km} + (E6_3_5_5 * C00014 * C20969))</v>
      </c>
      <c r="K526" s="21" t="str">
        <f t="shared" si="26"/>
        <v>r525: C00014 + C20969 -&gt; C01563 + C00009 | (${Variables:E6_3_5_5_kcat} * E6_3_5_5 * C00014 * C20969)/(${Variables:E6_3_5_5_km} + (E6_3_5_5 * C00014 * C20969))</v>
      </c>
    </row>
    <row r="527" spans="1:11">
      <c r="A527" t="s">
        <v>4230</v>
      </c>
      <c r="B527" t="s">
        <v>4231</v>
      </c>
      <c r="C527" t="s">
        <v>15521</v>
      </c>
      <c r="D527">
        <v>526</v>
      </c>
      <c r="E527" t="str">
        <f t="shared" si="24"/>
        <v>E6_3_5_5</v>
      </c>
      <c r="F527" t="s">
        <v>15803</v>
      </c>
      <c r="G527" t="s">
        <v>15798</v>
      </c>
      <c r="H527" t="s">
        <v>15797</v>
      </c>
      <c r="I527" t="s">
        <v>15796</v>
      </c>
      <c r="J527" t="str">
        <f t="shared" si="25"/>
        <v>(${Variables:E6_3_5_5_kcat} * E6_3_5_5 * C00002 * C00288 * C00014)/(${Variables:E6_3_5_5_km} + (E6_3_5_5 * C00002 * C00288 * C00014))</v>
      </c>
      <c r="K527" s="21" t="str">
        <f t="shared" si="26"/>
        <v>r526: C00002 + C00288 + C00014 -&gt; C00008 + C00009 + C00169 | (${Variables:E6_3_5_5_kcat} * E6_3_5_5 * C00002 * C00288 * C00014)/(${Variables:E6_3_5_5_km} + (E6_3_5_5 * C00002 * C00288 * C00014))</v>
      </c>
    </row>
    <row r="528" spans="1:11">
      <c r="A528" t="s">
        <v>4234</v>
      </c>
      <c r="B528" t="s">
        <v>4235</v>
      </c>
      <c r="C528" t="s">
        <v>15522</v>
      </c>
      <c r="D528">
        <v>527</v>
      </c>
      <c r="E528" t="str">
        <f t="shared" si="24"/>
        <v>E3_5_2_3</v>
      </c>
      <c r="F528" t="s">
        <v>10805</v>
      </c>
      <c r="G528" t="s">
        <v>11598</v>
      </c>
      <c r="H528" t="s">
        <v>8743</v>
      </c>
      <c r="I528" t="s">
        <v>8743</v>
      </c>
      <c r="J528" t="str">
        <f t="shared" si="25"/>
        <v>(${Variables:E3_5_2_3_kcat} * E3_5_2_3 * C00337 * C00001)/(${Variables:E3_5_2_3_km} + (E3_5_2_3 * C00337 * C00001))</v>
      </c>
      <c r="K528" s="21" t="str">
        <f t="shared" si="26"/>
        <v>r527: C00337 + C00001 -&gt; C00438 | (${Variables:E3_5_2_3_kcat} * E3_5_2_3 * C00337 * C00001)/(${Variables:E3_5_2_3_km} + (E3_5_2_3 * C00337 * C00001))</v>
      </c>
    </row>
    <row r="529" spans="1:11">
      <c r="A529" t="s">
        <v>4238</v>
      </c>
      <c r="B529" t="s">
        <v>4239</v>
      </c>
      <c r="C529" t="s">
        <v>15523</v>
      </c>
      <c r="D529">
        <v>528</v>
      </c>
      <c r="E529" t="str">
        <f t="shared" si="24"/>
        <v>E2_1_3_2</v>
      </c>
      <c r="F529" t="s">
        <v>10806</v>
      </c>
      <c r="G529" t="s">
        <v>11599</v>
      </c>
      <c r="H529" t="s">
        <v>10807</v>
      </c>
      <c r="I529" t="s">
        <v>12298</v>
      </c>
      <c r="J529" t="str">
        <f t="shared" si="25"/>
        <v>(${Variables:E2_1_3_2_kcat} * E2_1_3_2 * C00169 * C00049)/(${Variables:E2_1_3_2_km} + (E2_1_3_2 * C00169 * C00049))</v>
      </c>
      <c r="K529" s="21" t="str">
        <f t="shared" si="26"/>
        <v>r528: C00169 + C00049 -&gt; C00009 + C00438 | (${Variables:E2_1_3_2_kcat} * E2_1_3_2 * C00169 * C00049)/(${Variables:E2_1_3_2_km} + (E2_1_3_2 * C00169 * C00049))</v>
      </c>
    </row>
    <row r="530" spans="1:11">
      <c r="A530" t="s">
        <v>4264</v>
      </c>
      <c r="B530" t="s">
        <v>4265</v>
      </c>
      <c r="C530" t="s">
        <v>15524</v>
      </c>
      <c r="D530">
        <v>529</v>
      </c>
      <c r="E530" t="str">
        <f t="shared" si="24"/>
        <v>E4_2_1_10</v>
      </c>
      <c r="F530" t="s">
        <v>8750</v>
      </c>
      <c r="G530" t="s">
        <v>8750</v>
      </c>
      <c r="H530" t="s">
        <v>10808</v>
      </c>
      <c r="I530" t="s">
        <v>12299</v>
      </c>
      <c r="J530" t="str">
        <f t="shared" si="25"/>
        <v>(${Variables:E4_2_1_10_kcat} * E4_2_1_10 * C00944)/(${Variables:E4_2_1_10_km} + (E4_2_1_10 * C00944))</v>
      </c>
      <c r="K530" s="21" t="str">
        <f t="shared" si="26"/>
        <v>r529: C00944 -&gt; C02637 + C00001 | (${Variables:E4_2_1_10_kcat} * E4_2_1_10 * C00944)/(${Variables:E4_2_1_10_km} + (E4_2_1_10 * C00944))</v>
      </c>
    </row>
    <row r="531" spans="1:11">
      <c r="A531" t="s">
        <v>4268</v>
      </c>
      <c r="B531" t="s">
        <v>4269</v>
      </c>
      <c r="C531" t="s">
        <v>15525</v>
      </c>
      <c r="D531">
        <v>530</v>
      </c>
      <c r="E531" t="str">
        <f t="shared" si="24"/>
        <v>E4_2_3_4</v>
      </c>
      <c r="F531" t="s">
        <v>8754</v>
      </c>
      <c r="G531" t="s">
        <v>8754</v>
      </c>
      <c r="H531" t="s">
        <v>10809</v>
      </c>
      <c r="I531" t="s">
        <v>12300</v>
      </c>
      <c r="J531" t="str">
        <f t="shared" si="25"/>
        <v>(${Variables:E4_2_3_4_kcat} * E4_2_3_4 * C04691)/(${Variables:E4_2_3_4_km} + (E4_2_3_4 * C04691))</v>
      </c>
      <c r="K531" s="21" t="str">
        <f t="shared" si="26"/>
        <v>r530: C04691 -&gt; C00944 + C00009 | (${Variables:E4_2_3_4_kcat} * E4_2_3_4 * C04691)/(${Variables:E4_2_3_4_km} + (E4_2_3_4 * C04691))</v>
      </c>
    </row>
    <row r="532" spans="1:11">
      <c r="A532" t="s">
        <v>4272</v>
      </c>
      <c r="B532" t="s">
        <v>4273</v>
      </c>
      <c r="C532" t="s">
        <v>15526</v>
      </c>
      <c r="D532">
        <v>531</v>
      </c>
      <c r="E532" t="str">
        <f t="shared" si="24"/>
        <v>E2_7_1_71</v>
      </c>
      <c r="F532" t="s">
        <v>10810</v>
      </c>
      <c r="G532" t="s">
        <v>11600</v>
      </c>
      <c r="H532" t="s">
        <v>10811</v>
      </c>
      <c r="I532" t="s">
        <v>12301</v>
      </c>
      <c r="J532" t="str">
        <f t="shared" si="25"/>
        <v>(${Variables:E2_7_1_71_kcat} * E2_7_1_71 * C00002 * C00493)/(${Variables:E2_7_1_71_km} + (E2_7_1_71 * C00002 * C00493))</v>
      </c>
      <c r="K532" s="21" t="str">
        <f t="shared" si="26"/>
        <v>r531: C00002 + C00493 -&gt; C00008 + C03175 | (${Variables:E2_7_1_71_kcat} * E2_7_1_71 * C00002 * C00493)/(${Variables:E2_7_1_71_km} + (E2_7_1_71 * C00002 * C00493))</v>
      </c>
    </row>
    <row r="533" spans="1:11">
      <c r="A533" t="s">
        <v>4276</v>
      </c>
      <c r="B533" t="s">
        <v>4277</v>
      </c>
      <c r="C533" t="s">
        <v>15527</v>
      </c>
      <c r="D533">
        <v>532</v>
      </c>
      <c r="E533" t="str">
        <f t="shared" si="24"/>
        <v>E4_2_3_5</v>
      </c>
      <c r="F533" t="s">
        <v>8762</v>
      </c>
      <c r="G533" t="s">
        <v>8762</v>
      </c>
      <c r="H533" t="s">
        <v>10812</v>
      </c>
      <c r="I533" t="s">
        <v>12302</v>
      </c>
      <c r="J533" t="str">
        <f t="shared" si="25"/>
        <v>(${Variables:E4_2_3_5_kcat} * E4_2_3_5 * C01269)/(${Variables:E4_2_3_5_km} + (E4_2_3_5 * C01269))</v>
      </c>
      <c r="K533" s="21" t="str">
        <f t="shared" si="26"/>
        <v>r532: C01269 -&gt; C00251 + C00009 | (${Variables:E4_2_3_5_kcat} * E4_2_3_5 * C01269)/(${Variables:E4_2_3_5_km} + (E4_2_3_5 * C01269))</v>
      </c>
    </row>
    <row r="534" spans="1:11">
      <c r="A534" t="s">
        <v>4279</v>
      </c>
      <c r="B534" t="s">
        <v>4280</v>
      </c>
      <c r="C534" t="s">
        <v>15528</v>
      </c>
      <c r="D534">
        <v>533</v>
      </c>
      <c r="E534" t="str">
        <f t="shared" si="24"/>
        <v>E1_1_1_25</v>
      </c>
      <c r="F534" t="s">
        <v>10813</v>
      </c>
      <c r="G534" t="s">
        <v>11601</v>
      </c>
      <c r="H534" t="s">
        <v>10814</v>
      </c>
      <c r="I534" t="s">
        <v>12303</v>
      </c>
      <c r="J534" t="str">
        <f t="shared" si="25"/>
        <v>(${Variables:E1_1_1_25_kcat} * E1_1_1_25 * C00493 * C00006 )/(${Variables:E1_1_1_25_km} + (E1_1_1_25 * C00493 * C00006 ))</v>
      </c>
      <c r="K534" s="21" t="str">
        <f t="shared" si="26"/>
        <v>r533: C00493 + C00006  -&gt; C02637 + C00005 + C00080 | (${Variables:E1_1_1_25_kcat} * E1_1_1_25 * C00493 * C00006 )/(${Variables:E1_1_1_25_km} + (E1_1_1_25 * C00493 * C00006 ))</v>
      </c>
    </row>
    <row r="535" spans="1:11">
      <c r="A535" t="s">
        <v>4279</v>
      </c>
      <c r="B535" t="s">
        <v>4280</v>
      </c>
      <c r="C535" t="s">
        <v>15528</v>
      </c>
      <c r="D535">
        <v>534</v>
      </c>
      <c r="E535" t="str">
        <f t="shared" si="24"/>
        <v>E1_1_1_25</v>
      </c>
      <c r="F535" t="s">
        <v>10815</v>
      </c>
      <c r="G535" t="s">
        <v>11602</v>
      </c>
      <c r="H535" t="s">
        <v>10816</v>
      </c>
      <c r="I535" t="s">
        <v>12304</v>
      </c>
      <c r="J535" t="str">
        <f t="shared" si="25"/>
        <v>(${Variables:E1_1_1_25_kcat} * E1_1_1_25 * C02637 * C00006)/(${Variables:E1_1_1_25_km} + (E1_1_1_25 * C02637 * C00006))</v>
      </c>
      <c r="K535" s="21" t="str">
        <f t="shared" si="26"/>
        <v>r534: C02637 + C00006 -&gt; C22438 + C00005 + C00080 | (${Variables:E1_1_1_25_kcat} * E1_1_1_25 * C02637 * C00006)/(${Variables:E1_1_1_25_km} + (E1_1_1_25 * C02637 * C00006))</v>
      </c>
    </row>
    <row r="536" spans="1:11">
      <c r="A536" t="s">
        <v>4294</v>
      </c>
      <c r="B536" t="s">
        <v>4295</v>
      </c>
      <c r="C536" t="s">
        <v>15529</v>
      </c>
      <c r="D536">
        <v>535</v>
      </c>
      <c r="E536" t="str">
        <f t="shared" si="24"/>
        <v>E6_1_1_7</v>
      </c>
      <c r="F536" t="s">
        <v>10817</v>
      </c>
      <c r="G536" t="s">
        <v>11603</v>
      </c>
      <c r="H536" t="s">
        <v>15922</v>
      </c>
      <c r="I536" t="s">
        <v>15923</v>
      </c>
      <c r="J536" t="str">
        <f t="shared" si="25"/>
        <v>(${Variables:E6_1_1_7_kcat} * E6_1_1_7 * C00002 * C00041 * C01635)/(${Variables:E6_1_1_7_km} + (E6_1_1_7 * C00002 * C00041 * C01635))</v>
      </c>
      <c r="K536" s="21" t="str">
        <f t="shared" si="26"/>
        <v>r535: C00002 + C00041 + C01635 -&gt; C00020 + C00013 + C00886 | (${Variables:E6_1_1_7_kcat} * E6_1_1_7 * C00002 * C00041 * C01635)/(${Variables:E6_1_1_7_km} + (E6_1_1_7 * C00002 * C00041 * C01635))</v>
      </c>
    </row>
    <row r="537" spans="1:11">
      <c r="A537" t="s">
        <v>4305</v>
      </c>
      <c r="B537" t="s">
        <v>4306</v>
      </c>
      <c r="C537" t="s">
        <v>15530</v>
      </c>
      <c r="D537">
        <v>536</v>
      </c>
      <c r="E537" t="str">
        <f t="shared" si="24"/>
        <v>E6_1_1_12</v>
      </c>
      <c r="F537" t="s">
        <v>10818</v>
      </c>
      <c r="G537" t="s">
        <v>11604</v>
      </c>
      <c r="H537" t="s">
        <v>10819</v>
      </c>
      <c r="I537" t="s">
        <v>12305</v>
      </c>
      <c r="J537" t="str">
        <f t="shared" si="25"/>
        <v>(${Variables:E6_1_1_12_kcat} * E6_1_1_12 * C01638 * C00049 * C00002)/(${Variables:E6_1_1_12_km} + (E6_1_1_12 * C01638 * C00049 * C00002))</v>
      </c>
      <c r="K537" s="21" t="str">
        <f t="shared" si="26"/>
        <v>r536: C01638 + C00049 + C00002 -&gt; C02984 + C00013 + C00020 | (${Variables:E6_1_1_12_kcat} * E6_1_1_12 * C01638 * C00049 * C00002)/(${Variables:E6_1_1_12_km} + (E6_1_1_12 * C01638 * C00049 * C00002))</v>
      </c>
    </row>
    <row r="538" spans="1:11">
      <c r="A538" t="s">
        <v>4312</v>
      </c>
      <c r="B538" t="s">
        <v>4313</v>
      </c>
      <c r="C538" t="s">
        <v>15531</v>
      </c>
      <c r="D538">
        <v>537</v>
      </c>
      <c r="E538" t="str">
        <f t="shared" si="24"/>
        <v>E1_14_14_3</v>
      </c>
      <c r="F538" t="s">
        <v>10820</v>
      </c>
      <c r="G538" t="s">
        <v>11605</v>
      </c>
      <c r="H538" t="s">
        <v>10821</v>
      </c>
      <c r="I538" t="s">
        <v>12306</v>
      </c>
      <c r="J538" t="str">
        <f t="shared" si="25"/>
        <v>(${Variables:E1_14_14_3_kcat} * E1_14_14_3 * C00609 * C01847 * C00007 )/(${Variables:E1_14_14_3_km} + (E1_14_14_3 * C00609 * C01847 * C00007 ))</v>
      </c>
      <c r="K538" s="21" t="str">
        <f t="shared" si="26"/>
        <v>r537: C00609 + C01847 + C00007  -&gt; C00638 + C00205 + C00061 + C00001 | (${Variables:E1_14_14_3_kcat} * E1_14_14_3 * C00609 * C01847 * C00007 )/(${Variables:E1_14_14_3_km} + (E1_14_14_3 * C00609 * C01847 * C00007 ))</v>
      </c>
    </row>
    <row r="539" spans="1:11">
      <c r="A539" t="s">
        <v>4316</v>
      </c>
      <c r="B539" t="s">
        <v>4317</v>
      </c>
      <c r="C539" t="s">
        <v>15532</v>
      </c>
      <c r="D539">
        <v>538</v>
      </c>
      <c r="E539" t="str">
        <f t="shared" si="24"/>
        <v>E1_5_1_38</v>
      </c>
      <c r="F539" t="s">
        <v>10822</v>
      </c>
      <c r="G539" t="s">
        <v>11606</v>
      </c>
      <c r="H539" t="s">
        <v>10823</v>
      </c>
      <c r="I539" t="s">
        <v>12307</v>
      </c>
      <c r="J539" t="str">
        <f t="shared" si="25"/>
        <v>(${Variables:E1_5_1_38_kcat} * E1_5_1_38 * C01847 * C00006)/(${Variables:E1_5_1_38_km} + (E1_5_1_38 * C01847 * C00006))</v>
      </c>
      <c r="K539" s="21" t="str">
        <f t="shared" si="26"/>
        <v>r538: C01847 + C00006 -&gt; C00061 + C00005 + C00080 | (${Variables:E1_5_1_38_kcat} * E1_5_1_38 * C01847 * C00006)/(${Variables:E1_5_1_38_km} + (E1_5_1_38 * C01847 * C00006))</v>
      </c>
    </row>
    <row r="540" spans="1:11">
      <c r="A540" t="s">
        <v>4320</v>
      </c>
      <c r="B540" t="s">
        <v>4321</v>
      </c>
      <c r="C540" t="s">
        <v>15533</v>
      </c>
      <c r="D540">
        <v>539</v>
      </c>
      <c r="E540" t="str">
        <f t="shared" si="24"/>
        <v>E4_3_1_17</v>
      </c>
      <c r="F540" t="s">
        <v>8788</v>
      </c>
      <c r="G540" t="s">
        <v>8788</v>
      </c>
      <c r="H540" t="s">
        <v>10824</v>
      </c>
      <c r="I540" t="s">
        <v>12308</v>
      </c>
      <c r="J540" t="str">
        <f t="shared" si="25"/>
        <v>(${Variables:E4_3_1_17_kcat} * E4_3_1_17 * C00065)/(${Variables:E4_3_1_17_km} + (E4_3_1_17 * C00065))</v>
      </c>
      <c r="K540" s="21" t="str">
        <f t="shared" si="26"/>
        <v>r539: C00065 -&gt; C00022 + C00014 | (${Variables:E4_3_1_17_kcat} * E4_3_1_17 * C00065)/(${Variables:E4_3_1_17_km} + (E4_3_1_17 * C00065))</v>
      </c>
    </row>
    <row r="541" spans="1:11">
      <c r="A541" t="s">
        <v>4320</v>
      </c>
      <c r="B541" t="s">
        <v>4321</v>
      </c>
      <c r="C541" t="s">
        <v>15533</v>
      </c>
      <c r="D541">
        <v>540</v>
      </c>
      <c r="E541" t="str">
        <f t="shared" si="24"/>
        <v>E4_3_1_17</v>
      </c>
      <c r="F541" t="s">
        <v>8788</v>
      </c>
      <c r="G541" t="s">
        <v>8788</v>
      </c>
      <c r="H541" t="s">
        <v>10825</v>
      </c>
      <c r="I541" t="s">
        <v>12309</v>
      </c>
      <c r="J541" t="str">
        <f t="shared" si="25"/>
        <v>(${Variables:E4_3_1_17_kcat} * E4_3_1_17 * C00065)/(${Variables:E4_3_1_17_km} + (E4_3_1_17 * C00065))</v>
      </c>
      <c r="K541" s="21" t="str">
        <f t="shared" si="26"/>
        <v>r540: C00065 -&gt; C02218 + C00001 | (${Variables:E4_3_1_17_kcat} * E4_3_1_17 * C00065)/(${Variables:E4_3_1_17_km} + (E4_3_1_17 * C00065))</v>
      </c>
    </row>
    <row r="542" spans="1:11">
      <c r="A542" t="s">
        <v>4320</v>
      </c>
      <c r="B542" t="s">
        <v>4321</v>
      </c>
      <c r="C542" t="s">
        <v>15533</v>
      </c>
      <c r="D542">
        <v>541</v>
      </c>
      <c r="E542" t="str">
        <f t="shared" si="24"/>
        <v>E4_3_1_17</v>
      </c>
      <c r="F542" t="s">
        <v>10826</v>
      </c>
      <c r="G542" t="s">
        <v>11607</v>
      </c>
      <c r="H542" t="s">
        <v>10824</v>
      </c>
      <c r="I542" t="s">
        <v>12308</v>
      </c>
      <c r="J542" t="str">
        <f t="shared" si="25"/>
        <v>(${Variables:E4_3_1_17_kcat} * E4_3_1_17 * C20904 * C00001)/(${Variables:E4_3_1_17_km} + (E4_3_1_17 * C20904 * C00001))</v>
      </c>
      <c r="K542" s="21" t="str">
        <f t="shared" si="26"/>
        <v>r541: C20904 + C00001 -&gt; C00022 + C00014 | (${Variables:E4_3_1_17_kcat} * E4_3_1_17 * C20904 * C00001)/(${Variables:E4_3_1_17_km} + (E4_3_1_17 * C20904 * C00001))</v>
      </c>
    </row>
    <row r="543" spans="1:11">
      <c r="A543" t="s">
        <v>4320</v>
      </c>
      <c r="B543" t="s">
        <v>4321</v>
      </c>
      <c r="C543" t="s">
        <v>15533</v>
      </c>
      <c r="D543">
        <v>542</v>
      </c>
      <c r="E543" t="str">
        <f t="shared" si="24"/>
        <v>E4_3_1_17</v>
      </c>
      <c r="F543" t="s">
        <v>8792</v>
      </c>
      <c r="G543" t="s">
        <v>8792</v>
      </c>
      <c r="H543" t="s">
        <v>8793</v>
      </c>
      <c r="I543" t="s">
        <v>8793</v>
      </c>
      <c r="J543" t="str">
        <f t="shared" si="25"/>
        <v>(${Variables:E4_3_1_17_kcat} * E4_3_1_17 * C02218)/(${Variables:E4_3_1_17_km} + (E4_3_1_17 * C02218))</v>
      </c>
      <c r="K543" s="21" t="str">
        <f t="shared" si="26"/>
        <v>r542: C02218 -&gt; C20904 | (${Variables:E4_3_1_17_kcat} * E4_3_1_17 * C02218)/(${Variables:E4_3_1_17_km} + (E4_3_1_17 * C02218))</v>
      </c>
    </row>
    <row r="544" spans="1:11">
      <c r="A544" t="s">
        <v>4320</v>
      </c>
      <c r="B544" t="s">
        <v>4321</v>
      </c>
      <c r="C544" t="s">
        <v>15533</v>
      </c>
      <c r="D544">
        <v>543</v>
      </c>
      <c r="E544" t="str">
        <f t="shared" si="24"/>
        <v>E4_3_1_17</v>
      </c>
      <c r="F544" t="s">
        <v>8794</v>
      </c>
      <c r="G544" t="s">
        <v>8794</v>
      </c>
      <c r="H544" t="s">
        <v>10827</v>
      </c>
      <c r="I544" t="s">
        <v>12310</v>
      </c>
      <c r="J544" t="str">
        <f t="shared" si="25"/>
        <v>(${Variables:E4_3_1_17_kcat} * E4_3_1_17 * C05167)/(${Variables:E4_3_1_17_km} + (E4_3_1_17 * C05167))</v>
      </c>
      <c r="K544" s="21" t="str">
        <f t="shared" si="26"/>
        <v>r543: C05167 -&gt; C00161 + C00014 | (${Variables:E4_3_1_17_kcat} * E4_3_1_17 * C05167)/(${Variables:E4_3_1_17_km} + (E4_3_1_17 * C05167))</v>
      </c>
    </row>
    <row r="545" spans="1:11">
      <c r="A545" t="s">
        <v>4324</v>
      </c>
      <c r="B545" t="s">
        <v>4325</v>
      </c>
      <c r="C545" t="s">
        <v>15534</v>
      </c>
      <c r="D545">
        <v>544</v>
      </c>
      <c r="E545" t="str">
        <f t="shared" si="24"/>
        <v>E6_1_1_21</v>
      </c>
      <c r="F545" t="s">
        <v>10828</v>
      </c>
      <c r="G545" t="s">
        <v>11608</v>
      </c>
      <c r="H545" t="s">
        <v>10829</v>
      </c>
      <c r="I545" t="s">
        <v>12311</v>
      </c>
      <c r="J545" t="str">
        <f t="shared" si="25"/>
        <v>(${Variables:E6_1_1_21_kcat} * E6_1_1_21 * C00002 * C00135 * C01643 )/(${Variables:E6_1_1_21_km} + (E6_1_1_21 * C00002 * C00135 * C01643 ))</v>
      </c>
      <c r="K545" s="21" t="str">
        <f t="shared" si="26"/>
        <v>r544: C00002 + C00135 + C01643  -&gt; C00020 + C00013 + C02988 | (${Variables:E6_1_1_21_kcat} * E6_1_1_21 * C00002 * C00135 * C01643 )/(${Variables:E6_1_1_21_km} + (E6_1_1_21 * C00002 * C00135 * C01643 ))</v>
      </c>
    </row>
    <row r="546" spans="1:11">
      <c r="A546" t="s">
        <v>4335</v>
      </c>
      <c r="B546" t="s">
        <v>4336</v>
      </c>
      <c r="C546" t="s">
        <v>15314</v>
      </c>
      <c r="D546">
        <v>545</v>
      </c>
      <c r="E546" t="str">
        <f t="shared" si="24"/>
        <v>E5_2_1_8</v>
      </c>
      <c r="F546" t="s">
        <v>7845</v>
      </c>
      <c r="G546" t="s">
        <v>7845</v>
      </c>
      <c r="H546" t="s">
        <v>7846</v>
      </c>
      <c r="I546" t="s">
        <v>7846</v>
      </c>
      <c r="J546" t="str">
        <f t="shared" si="25"/>
        <v>(${Variables:E5_2_1_8_kcat} * E5_2_1_8 * C03798)/(${Variables:E5_2_1_8_km} + (E5_2_1_8 * C03798))</v>
      </c>
      <c r="K546" s="21" t="str">
        <f t="shared" si="26"/>
        <v>r545: C03798 -&gt; C03633 | (${Variables:E5_2_1_8_kcat} * E5_2_1_8 * C03798)/(${Variables:E5_2_1_8_km} + (E5_2_1_8 * C03798))</v>
      </c>
    </row>
    <row r="547" spans="1:11">
      <c r="A547" t="s">
        <v>4339</v>
      </c>
      <c r="B547" t="s">
        <v>4340</v>
      </c>
      <c r="C547" t="s">
        <v>15535</v>
      </c>
      <c r="D547">
        <v>546</v>
      </c>
      <c r="E547" t="str">
        <f t="shared" si="24"/>
        <v>E1_15_1_1</v>
      </c>
      <c r="F547" t="s">
        <v>15921</v>
      </c>
      <c r="G547" t="s">
        <v>15804</v>
      </c>
      <c r="H547" t="s">
        <v>10830</v>
      </c>
      <c r="I547" t="s">
        <v>12312</v>
      </c>
      <c r="J547" t="str">
        <f t="shared" si="25"/>
        <v>(${Variables:E1_15_1_1_kcat} * E1_15_1_1 * C00704 * C00080)/(${Variables:E1_15_1_1_km} + (E1_15_1_1 * C00704 * C00080))</v>
      </c>
      <c r="K547" s="21" t="str">
        <f t="shared" si="26"/>
        <v>r546: C00704 + C00080 -&gt; C00027 + C00007 | (${Variables:E1_15_1_1_kcat} * E1_15_1_1 * C00704 * C00080)/(${Variables:E1_15_1_1_km} + (E1_15_1_1 * C00704 * C00080))</v>
      </c>
    </row>
    <row r="548" spans="1:11">
      <c r="A548" t="s">
        <v>4359</v>
      </c>
      <c r="B548" t="s">
        <v>4360</v>
      </c>
      <c r="C548" t="s">
        <v>15536</v>
      </c>
      <c r="D548">
        <v>547</v>
      </c>
      <c r="E548" t="str">
        <f t="shared" si="24"/>
        <v>E2_4_2_7</v>
      </c>
      <c r="F548" t="s">
        <v>9802</v>
      </c>
      <c r="G548" t="s">
        <v>11609</v>
      </c>
      <c r="H548" t="s">
        <v>10831</v>
      </c>
      <c r="I548" t="s">
        <v>12313</v>
      </c>
      <c r="J548" t="str">
        <f t="shared" si="25"/>
        <v>(${Variables:E2_4_2_7_kcat} * E2_4_2_7 * C00020 * C00013)/(${Variables:E2_4_2_7_km} + (E2_4_2_7 * C00020 * C00013))</v>
      </c>
      <c r="K548" s="21" t="str">
        <f t="shared" si="26"/>
        <v>r547: C00020 + C00013 -&gt; C00147 + C00119 | (${Variables:E2_4_2_7_kcat} * E2_4_2_7 * C00020 * C00013)/(${Variables:E2_4_2_7_km} + (E2_4_2_7 * C00020 * C00013))</v>
      </c>
    </row>
    <row r="549" spans="1:11">
      <c r="A549" t="s">
        <v>4359</v>
      </c>
      <c r="B549" t="s">
        <v>4360</v>
      </c>
      <c r="C549" t="s">
        <v>15536</v>
      </c>
      <c r="D549">
        <v>548</v>
      </c>
      <c r="E549" t="str">
        <f t="shared" si="24"/>
        <v>E2_4_2_7</v>
      </c>
      <c r="F549" t="s">
        <v>10832</v>
      </c>
      <c r="G549" t="s">
        <v>11610</v>
      </c>
      <c r="H549" t="s">
        <v>10833</v>
      </c>
      <c r="I549" t="s">
        <v>12314</v>
      </c>
      <c r="J549" t="str">
        <f t="shared" si="25"/>
        <v>(${Variables:E2_4_2_7_kcat} * E2_4_2_7 * C04677 * C00013)/(${Variables:E2_4_2_7_km} + (E2_4_2_7 * C04677 * C00013))</v>
      </c>
      <c r="K549" s="21" t="str">
        <f t="shared" si="26"/>
        <v>r548: C04677 + C00013 -&gt; C04051 + C00119 | (${Variables:E2_4_2_7_kcat} * E2_4_2_7 * C04677 * C00013)/(${Variables:E2_4_2_7_km} + (E2_4_2_7 * C04677 * C00013))</v>
      </c>
    </row>
    <row r="550" spans="1:11">
      <c r="A550" t="s">
        <v>4398</v>
      </c>
      <c r="B550" t="s">
        <v>4399</v>
      </c>
      <c r="C550" t="s">
        <v>15537</v>
      </c>
      <c r="D550">
        <v>549</v>
      </c>
      <c r="E550" t="str">
        <f t="shared" si="24"/>
        <v>E2_4_1_345</v>
      </c>
      <c r="F550" t="s">
        <v>10834</v>
      </c>
      <c r="G550" t="s">
        <v>11611</v>
      </c>
      <c r="H550" t="s">
        <v>10835</v>
      </c>
      <c r="I550" t="s">
        <v>12315</v>
      </c>
      <c r="J550" t="str">
        <f t="shared" si="25"/>
        <v>(${Variables:E2_4_1_345_kcat} * E2_4_1_345 * C00096 * C01194)/(${Variables:E2_4_1_345_km} + (E2_4_1_345 * C00096 * C01194))</v>
      </c>
      <c r="K550" s="21" t="str">
        <f t="shared" si="26"/>
        <v>r549: C00096 + C01194 -&gt; C00035 + C21606 | (${Variables:E2_4_1_345_kcat} * E2_4_1_345 * C00096 * C01194)/(${Variables:E2_4_1_345_km} + (E2_4_1_345 * C00096 * C01194))</v>
      </c>
    </row>
    <row r="551" spans="1:11">
      <c r="A551" t="s">
        <v>4398</v>
      </c>
      <c r="B551" t="s">
        <v>4399</v>
      </c>
      <c r="C551" t="s">
        <v>15537</v>
      </c>
      <c r="D551">
        <v>550</v>
      </c>
      <c r="E551" t="str">
        <f t="shared" si="24"/>
        <v>E2_4_1_345</v>
      </c>
      <c r="F551" t="s">
        <v>10836</v>
      </c>
      <c r="G551" t="s">
        <v>11612</v>
      </c>
      <c r="H551" t="s">
        <v>10837</v>
      </c>
      <c r="I551" t="s">
        <v>12316</v>
      </c>
      <c r="J551" t="str">
        <f t="shared" si="25"/>
        <v>(${Variables:E2_4_1_345_kcat} * E2_4_1_345 * G10614 * C01194)/(${Variables:E2_4_1_345_km} + (E2_4_1_345 * G10614 * C01194))</v>
      </c>
      <c r="K551" s="21" t="str">
        <f t="shared" si="26"/>
        <v>r550: G10614 + C01194 -&gt; G10620 + G11291 | (${Variables:E2_4_1_345_kcat} * E2_4_1_345 * G10614 * C01194)/(${Variables:E2_4_1_345_km} + (E2_4_1_345 * G10614 * C01194))</v>
      </c>
    </row>
    <row r="552" spans="1:11">
      <c r="A552" t="s">
        <v>4405</v>
      </c>
      <c r="B552" t="s">
        <v>4406</v>
      </c>
      <c r="C552" t="s">
        <v>15538</v>
      </c>
      <c r="D552">
        <v>551</v>
      </c>
      <c r="E552" t="str">
        <f t="shared" si="24"/>
        <v>E2_7_8_11</v>
      </c>
      <c r="F552" t="s">
        <v>10838</v>
      </c>
      <c r="G552" t="s">
        <v>11613</v>
      </c>
      <c r="H552" t="s">
        <v>10839</v>
      </c>
      <c r="I552" t="s">
        <v>12317</v>
      </c>
      <c r="J552" t="str">
        <f t="shared" si="25"/>
        <v>(${Variables:E2_7_8_11_kcat} * E2_7_8_11 * C00269 * C00137)/(${Variables:E2_7_8_11_km} + (E2_7_8_11 * C00269 * C00137))</v>
      </c>
      <c r="K552" s="21" t="str">
        <f t="shared" si="26"/>
        <v>r551: C00269 + C00137 -&gt; C00055 + C01194 | (${Variables:E2_7_8_11_kcat} * E2_7_8_11 * C00269 * C00137)/(${Variables:E2_7_8_11_km} + (E2_7_8_11 * C00269 * C00137))</v>
      </c>
    </row>
    <row r="553" spans="1:11">
      <c r="A553" t="s">
        <v>4408</v>
      </c>
      <c r="B553" t="s">
        <v>4409</v>
      </c>
      <c r="C553" t="s">
        <v>15539</v>
      </c>
      <c r="D553">
        <v>552</v>
      </c>
      <c r="E553" t="str">
        <f t="shared" si="24"/>
        <v>E2_7_7_53</v>
      </c>
      <c r="F553" t="s">
        <v>10840</v>
      </c>
      <c r="G553" t="s">
        <v>11614</v>
      </c>
      <c r="H553" t="s">
        <v>10841</v>
      </c>
      <c r="I553" t="s">
        <v>12318</v>
      </c>
      <c r="J553" t="str">
        <f t="shared" si="25"/>
        <v>(${Variables:E2_7_7_53_kcat} * E2_7_7_53 * C00008 * C00002)/(${Variables:E2_7_7_53_km} + (E2_7_7_53 * C00008 * C00002))</v>
      </c>
      <c r="K553" s="21" t="str">
        <f t="shared" si="26"/>
        <v>r552: C00008 + C00002 -&gt; C00009 + C01260 | (${Variables:E2_7_7_53_kcat} * E2_7_7_53 * C00008 * C00002)/(${Variables:E2_7_7_53_km} + (E2_7_7_53 * C00008 * C00002))</v>
      </c>
    </row>
    <row r="554" spans="1:11">
      <c r="A554" t="s">
        <v>4408</v>
      </c>
      <c r="B554" t="s">
        <v>4409</v>
      </c>
      <c r="C554" t="s">
        <v>15539</v>
      </c>
      <c r="D554">
        <v>553</v>
      </c>
      <c r="E554" t="str">
        <f t="shared" si="24"/>
        <v>E2_7_7_53</v>
      </c>
      <c r="F554" t="s">
        <v>15920</v>
      </c>
      <c r="G554" t="s">
        <v>15805</v>
      </c>
      <c r="H554" t="s">
        <v>10842</v>
      </c>
      <c r="I554" t="s">
        <v>12319</v>
      </c>
      <c r="J554" t="str">
        <f t="shared" si="25"/>
        <v>(${Variables:E2_7_7_53_kcat} * E2_7_7_53 * C00224 * C00002)/(${Variables:E2_7_7_53_km} + (E2_7_7_53 * C00224 * C00002))</v>
      </c>
      <c r="K554" s="21" t="str">
        <f t="shared" si="26"/>
        <v>r553: C00224 + C00002 -&gt; C00059 + C01260 | (${Variables:E2_7_7_53_kcat} * E2_7_7_53 * C00224 * C00002)/(${Variables:E2_7_7_53_km} + (E2_7_7_53 * C00224 * C00002))</v>
      </c>
    </row>
    <row r="555" spans="1:11">
      <c r="A555" t="s">
        <v>4412</v>
      </c>
      <c r="B555" t="s">
        <v>4413</v>
      </c>
      <c r="C555" t="s">
        <v>15540</v>
      </c>
      <c r="D555">
        <v>554</v>
      </c>
      <c r="E555" t="str">
        <f t="shared" si="24"/>
        <v>E6_1_1_3</v>
      </c>
      <c r="F555" t="s">
        <v>10843</v>
      </c>
      <c r="G555" t="s">
        <v>11615</v>
      </c>
      <c r="H555" t="s">
        <v>10844</v>
      </c>
      <c r="I555" t="s">
        <v>12320</v>
      </c>
      <c r="J555" t="str">
        <f t="shared" si="25"/>
        <v>(${Variables:E6_1_1_3_kcat} * E6_1_1_3 * C00002 * C00188 * C01651)/(${Variables:E6_1_1_3_km} + (E6_1_1_3 * C00002 * C00188 * C01651))</v>
      </c>
      <c r="K555" s="21" t="str">
        <f t="shared" si="26"/>
        <v>r554: C00002 + C00188 + C01651 -&gt; C00020 + C00013 + C02992 | (${Variables:E6_1_1_3_kcat} * E6_1_1_3 * C00002 * C00188 * C01651)/(${Variables:E6_1_1_3_km} + (E6_1_1_3 * C00002 * C00188 * C01651))</v>
      </c>
    </row>
    <row r="556" spans="1:11">
      <c r="A556" t="s">
        <v>4442</v>
      </c>
      <c r="B556" t="s">
        <v>4443</v>
      </c>
      <c r="C556" t="s">
        <v>15541</v>
      </c>
      <c r="D556">
        <v>555</v>
      </c>
      <c r="E556" t="str">
        <f t="shared" si="24"/>
        <v>E1_8_4_12</v>
      </c>
      <c r="F556" t="s">
        <v>10845</v>
      </c>
      <c r="G556" t="s">
        <v>11616</v>
      </c>
      <c r="H556" t="s">
        <v>10846</v>
      </c>
      <c r="I556" t="s">
        <v>12321</v>
      </c>
      <c r="J556" t="str">
        <f t="shared" si="25"/>
        <v>(${Variables:E1_8_4_12_kcat} * E1_8_4_12 * C03023 * C00343 * C00001 )/(${Variables:E1_8_4_12_km} + (E1_8_4_12 * C03023 * C00343 * C00001 ))</v>
      </c>
      <c r="K556" s="21" t="str">
        <f t="shared" si="26"/>
        <v>r555: C03023 + C00343 + C00001  -&gt; C15653 + C00342 | (${Variables:E1_8_4_12_kcat} * E1_8_4_12 * C03023 * C00343 * C00001 )/(${Variables:E1_8_4_12_km} + (E1_8_4_12 * C03023 * C00343 * C00001 ))</v>
      </c>
    </row>
    <row r="557" spans="1:11">
      <c r="A557" t="s">
        <v>4446</v>
      </c>
      <c r="B557" t="s">
        <v>4447</v>
      </c>
      <c r="C557" t="s">
        <v>15542</v>
      </c>
      <c r="D557">
        <v>556</v>
      </c>
      <c r="E557" t="str">
        <f t="shared" si="24"/>
        <v>E1_13_11_49</v>
      </c>
      <c r="F557" t="s">
        <v>10847</v>
      </c>
      <c r="G557" t="s">
        <v>11617</v>
      </c>
      <c r="H557" t="s">
        <v>8855</v>
      </c>
      <c r="I557" t="s">
        <v>8855</v>
      </c>
      <c r="J557" t="str">
        <f t="shared" si="25"/>
        <v>(${Variables:E1_13_11_49_kcat} * E1_13_11_49 * C00698 * C00007 )/(${Variables:E1_13_11_49_km} + (E1_13_11_49 * C00698 * C00007 ))</v>
      </c>
      <c r="K557" s="21" t="str">
        <f t="shared" si="26"/>
        <v>r556: C00698 + C00007  -&gt; C01486 | (${Variables:E1_13_11_49_kcat} * E1_13_11_49 * C00698 * C00007 )/(${Variables:E1_13_11_49_km} + (E1_13_11_49 * C00698 * C00007 ))</v>
      </c>
    </row>
    <row r="558" spans="1:11">
      <c r="A558" t="s">
        <v>4456</v>
      </c>
      <c r="B558" t="s">
        <v>4457</v>
      </c>
      <c r="C558" t="s">
        <v>15543</v>
      </c>
      <c r="D558">
        <v>557</v>
      </c>
      <c r="E558" t="str">
        <f t="shared" si="24"/>
        <v>E2_2_1_7</v>
      </c>
      <c r="F558" t="s">
        <v>10848</v>
      </c>
      <c r="G558" t="s">
        <v>11618</v>
      </c>
      <c r="H558" t="s">
        <v>10849</v>
      </c>
      <c r="I558" t="s">
        <v>12322</v>
      </c>
      <c r="J558" t="str">
        <f t="shared" si="25"/>
        <v>(${Variables:E2_2_1_7_kcat} * E2_2_1_7 * C00022 * C00118 )/(${Variables:E2_2_1_7_km} + (E2_2_1_7 * C00022 * C00118 ))</v>
      </c>
      <c r="K558" s="21" t="str">
        <f t="shared" si="26"/>
        <v>r557: C00022 + C00118  -&gt; C11437 + C00011 | (${Variables:E2_2_1_7_kcat} * E2_2_1_7 * C00022 * C00118 )/(${Variables:E2_2_1_7_km} + (E2_2_1_7 * C00022 * C00118 ))</v>
      </c>
    </row>
    <row r="559" spans="1:11">
      <c r="A559" t="s">
        <v>4467</v>
      </c>
      <c r="B559" t="s">
        <v>4468</v>
      </c>
      <c r="C559" t="s">
        <v>15544</v>
      </c>
      <c r="D559">
        <v>558</v>
      </c>
      <c r="E559" t="str">
        <f t="shared" si="24"/>
        <v>E3_6_1_23</v>
      </c>
      <c r="F559" t="s">
        <v>10850</v>
      </c>
      <c r="G559" t="s">
        <v>11619</v>
      </c>
      <c r="H559" t="s">
        <v>10851</v>
      </c>
      <c r="I559" t="s">
        <v>12323</v>
      </c>
      <c r="J559" t="str">
        <f t="shared" si="25"/>
        <v>(${Variables:E3_6_1_23_kcat} * E3_6_1_23 * C00460 * C00001)/(${Variables:E3_6_1_23_km} + (E3_6_1_23 * C00460 * C00001))</v>
      </c>
      <c r="K559" s="21" t="str">
        <f t="shared" si="26"/>
        <v>r558: C00460 + C00001 -&gt; C00365 + C00013 | (${Variables:E3_6_1_23_kcat} * E3_6_1_23 * C00460 * C00001)/(${Variables:E3_6_1_23_km} + (E3_6_1_23 * C00460 * C00001))</v>
      </c>
    </row>
    <row r="560" spans="1:11">
      <c r="A560" t="s">
        <v>4467</v>
      </c>
      <c r="B560" t="s">
        <v>4468</v>
      </c>
      <c r="C560" t="s">
        <v>15544</v>
      </c>
      <c r="D560">
        <v>559</v>
      </c>
      <c r="E560" t="str">
        <f t="shared" si="24"/>
        <v>E3_6_1_23</v>
      </c>
      <c r="F560" t="s">
        <v>10852</v>
      </c>
      <c r="G560" t="s">
        <v>11620</v>
      </c>
      <c r="H560" t="s">
        <v>10853</v>
      </c>
      <c r="I560" t="s">
        <v>12324</v>
      </c>
      <c r="J560" t="str">
        <f t="shared" si="25"/>
        <v>(${Variables:E3_6_1_23_kcat} * E3_6_1_23 * C21751 * C00001)/(${Variables:E3_6_1_23_km} + (E3_6_1_23 * C21751 * C00001))</v>
      </c>
      <c r="K560" s="21" t="str">
        <f t="shared" si="26"/>
        <v>r559: C21751 + C00001 -&gt; C04242 + C00013 | (${Variables:E3_6_1_23_kcat} * E3_6_1_23 * C21751 * C00001)/(${Variables:E3_6_1_23_km} + (E3_6_1_23 * C21751 * C00001))</v>
      </c>
    </row>
    <row r="561" spans="1:11">
      <c r="A561" t="s">
        <v>4477</v>
      </c>
      <c r="B561" t="s">
        <v>4478</v>
      </c>
      <c r="C561" t="s">
        <v>15411</v>
      </c>
      <c r="D561">
        <v>560</v>
      </c>
      <c r="E561" t="str">
        <f t="shared" si="24"/>
        <v>E3_1_3_25</v>
      </c>
      <c r="F561" s="4" t="s">
        <v>10307</v>
      </c>
      <c r="G561" s="4" t="s">
        <v>11436</v>
      </c>
      <c r="H561" s="4" t="s">
        <v>10308</v>
      </c>
      <c r="I561" s="4" t="s">
        <v>12122</v>
      </c>
      <c r="J561" t="str">
        <f t="shared" si="25"/>
        <v>(${Variables:E3_1_3_25_kcat} * E3_1_3_25 * C15585 * C00001 )/(${Variables:E3_1_3_25_km} + (E3_1_3_25 * C15585 * C00001 ))</v>
      </c>
      <c r="K561" s="21" t="str">
        <f t="shared" si="26"/>
        <v>r560: C15585 + C00001  -&gt; C00137 + C00009 | (${Variables:E3_1_3_25_kcat} * E3_1_3_25 * C15585 * C00001 )/(${Variables:E3_1_3_25_km} + (E3_1_3_25 * C15585 * C00001 ))</v>
      </c>
    </row>
    <row r="562" spans="1:11">
      <c r="A562" t="s">
        <v>4477</v>
      </c>
      <c r="B562" t="s">
        <v>4478</v>
      </c>
      <c r="C562" t="s">
        <v>15411</v>
      </c>
      <c r="D562">
        <v>561</v>
      </c>
      <c r="E562" t="str">
        <f t="shared" si="24"/>
        <v>E3_1_3_25</v>
      </c>
      <c r="F562" s="4" t="s">
        <v>10309</v>
      </c>
      <c r="G562" s="4" t="s">
        <v>11437</v>
      </c>
      <c r="H562" s="4" t="s">
        <v>10308</v>
      </c>
      <c r="I562" s="4" t="s">
        <v>12122</v>
      </c>
      <c r="J562" t="str">
        <f t="shared" si="25"/>
        <v>(${Variables:E3_1_3_25_kcat} * E3_1_3_25 * C01177 * C00001)/(${Variables:E3_1_3_25_km} + (E3_1_3_25 * C01177 * C00001))</v>
      </c>
      <c r="K562" s="21" t="str">
        <f t="shared" si="26"/>
        <v>r561: C01177 + C00001 -&gt; C00137 + C00009 | (${Variables:E3_1_3_25_kcat} * E3_1_3_25 * C01177 * C00001)/(${Variables:E3_1_3_25_km} + (E3_1_3_25 * C01177 * C00001))</v>
      </c>
    </row>
    <row r="563" spans="1:11">
      <c r="A563" t="s">
        <v>4477</v>
      </c>
      <c r="B563" t="s">
        <v>4478</v>
      </c>
      <c r="C563" t="s">
        <v>15411</v>
      </c>
      <c r="D563">
        <v>562</v>
      </c>
      <c r="E563" t="str">
        <f t="shared" si="24"/>
        <v>E3_1_3_25</v>
      </c>
      <c r="F563" s="4" t="s">
        <v>10310</v>
      </c>
      <c r="G563" s="4" t="s">
        <v>11438</v>
      </c>
      <c r="H563" s="4" t="s">
        <v>10308</v>
      </c>
      <c r="I563" s="4" t="s">
        <v>12122</v>
      </c>
      <c r="J563" t="str">
        <f t="shared" si="25"/>
        <v>(${Variables:E3_1_3_25_kcat} * E3_1_3_25 * C03546 * C00001)/(${Variables:E3_1_3_25_km} + (E3_1_3_25 * C03546 * C00001))</v>
      </c>
      <c r="K563" s="21" t="str">
        <f t="shared" si="26"/>
        <v>r562: C03546 + C00001 -&gt; C00137 + C00009 | (${Variables:E3_1_3_25_kcat} * E3_1_3_25 * C03546 * C00001)/(${Variables:E3_1_3_25_km} + (E3_1_3_25 * C03546 * C00001))</v>
      </c>
    </row>
    <row r="564" spans="1:11">
      <c r="A564" t="s">
        <v>4477</v>
      </c>
      <c r="B564" t="s">
        <v>4478</v>
      </c>
      <c r="C564" t="s">
        <v>15411</v>
      </c>
      <c r="D564">
        <v>563</v>
      </c>
      <c r="E564" t="str">
        <f t="shared" si="24"/>
        <v>E3_1_3_25</v>
      </c>
      <c r="F564" s="4" t="s">
        <v>10311</v>
      </c>
      <c r="G564" s="4" t="s">
        <v>11439</v>
      </c>
      <c r="H564" s="4" t="s">
        <v>10311</v>
      </c>
      <c r="I564" s="4" t="s">
        <v>11439</v>
      </c>
      <c r="J564" t="str">
        <f t="shared" si="25"/>
        <v>(${Variables:E3_1_3_25_kcat} * E3_1_3_25 * C04006 * C00001)/(${Variables:E3_1_3_25_km} + (E3_1_3_25 * C04006 * C00001))</v>
      </c>
      <c r="K564" s="21" t="str">
        <f t="shared" si="26"/>
        <v>r563: C04006 + C00001 -&gt; C04006 + C00001 | (${Variables:E3_1_3_25_kcat} * E3_1_3_25 * C04006 * C00001)/(${Variables:E3_1_3_25_km} + (E3_1_3_25 * C04006 * C00001))</v>
      </c>
    </row>
    <row r="565" spans="1:11">
      <c r="A565" t="s">
        <v>4481</v>
      </c>
      <c r="B565" t="s">
        <v>4482</v>
      </c>
      <c r="C565" t="s">
        <v>15545</v>
      </c>
      <c r="D565">
        <v>564</v>
      </c>
      <c r="E565" t="str">
        <f t="shared" si="24"/>
        <v>E2_7_1_63</v>
      </c>
      <c r="F565" t="s">
        <v>10854</v>
      </c>
      <c r="G565" t="s">
        <v>11621</v>
      </c>
      <c r="H565" t="s">
        <v>10855</v>
      </c>
      <c r="I565" t="s">
        <v>12325</v>
      </c>
      <c r="J565" t="str">
        <f t="shared" si="25"/>
        <v>(${Variables:E2_7_1_63_kcat} * E2_7_1_63 * C00404 * C00031)/(${Variables:E2_7_1_63_km} + (E2_7_1_63 * C00404 * C00031))</v>
      </c>
      <c r="K565" s="21" t="str">
        <f t="shared" si="26"/>
        <v>r564: C00404 + C00031 -&gt; C00404 + C00092 | (${Variables:E2_7_1_63_kcat} * E2_7_1_63 * C00404 * C00031)/(${Variables:E2_7_1_63_km} + (E2_7_1_63 * C00404 * C00031))</v>
      </c>
    </row>
    <row r="566" spans="1:11">
      <c r="A566" t="s">
        <v>4481</v>
      </c>
      <c r="B566" t="s">
        <v>4482</v>
      </c>
      <c r="C566" t="s">
        <v>15545</v>
      </c>
      <c r="D566">
        <v>565</v>
      </c>
      <c r="E566" t="str">
        <f t="shared" si="24"/>
        <v>E2_7_1_63</v>
      </c>
      <c r="F566" t="s">
        <v>10856</v>
      </c>
      <c r="G566" t="s">
        <v>11622</v>
      </c>
      <c r="H566" t="s">
        <v>10857</v>
      </c>
      <c r="I566" t="s">
        <v>12326</v>
      </c>
      <c r="J566" t="str">
        <f t="shared" si="25"/>
        <v>(${Variables:E2_7_1_63_kcat} * E2_7_1_63 * C00404 * C00221 )/(${Variables:E2_7_1_63_km} + (E2_7_1_63 * C00404 * C00221 ))</v>
      </c>
      <c r="K566" s="21" t="str">
        <f t="shared" si="26"/>
        <v>r565: C00404 + C00221  -&gt; C00404 + C01172 | (${Variables:E2_7_1_63_kcat} * E2_7_1_63 * C00404 * C00221 )/(${Variables:E2_7_1_63_km} + (E2_7_1_63 * C00404 * C00221 ))</v>
      </c>
    </row>
    <row r="567" spans="1:11">
      <c r="A567" t="s">
        <v>4481</v>
      </c>
      <c r="B567" t="s">
        <v>4482</v>
      </c>
      <c r="C567" t="s">
        <v>15545</v>
      </c>
      <c r="D567">
        <v>566</v>
      </c>
      <c r="E567" t="str">
        <f t="shared" si="24"/>
        <v>E2_7_1_63</v>
      </c>
      <c r="F567" t="s">
        <v>10858</v>
      </c>
      <c r="G567" t="s">
        <v>11623</v>
      </c>
      <c r="H567" t="s">
        <v>10859</v>
      </c>
      <c r="I567" t="s">
        <v>12327</v>
      </c>
      <c r="J567" t="str">
        <f t="shared" si="25"/>
        <v>(${Variables:E2_7_1_63_kcat} * E2_7_1_63 * C00404 * C00267)/(${Variables:E2_7_1_63_km} + (E2_7_1_63 * C00404 * C00267))</v>
      </c>
      <c r="K567" s="21" t="str">
        <f t="shared" si="26"/>
        <v>r566: C00404 + C00267 -&gt; C00404 + C00668 | (${Variables:E2_7_1_63_kcat} * E2_7_1_63 * C00404 * C00267)/(${Variables:E2_7_1_63_km} + (E2_7_1_63 * C00404 * C00267))</v>
      </c>
    </row>
    <row r="568" spans="1:11">
      <c r="A568" t="s">
        <v>4505</v>
      </c>
      <c r="B568" t="s">
        <v>4506</v>
      </c>
      <c r="C568" t="s">
        <v>15533</v>
      </c>
      <c r="D568">
        <v>567</v>
      </c>
      <c r="E568" t="str">
        <f t="shared" si="24"/>
        <v>E4_3_1_17</v>
      </c>
      <c r="F568" s="4" t="s">
        <v>8788</v>
      </c>
      <c r="G568" s="4" t="s">
        <v>8788</v>
      </c>
      <c r="H568" s="4" t="s">
        <v>10824</v>
      </c>
      <c r="I568" s="4" t="s">
        <v>12308</v>
      </c>
      <c r="J568" t="str">
        <f t="shared" si="25"/>
        <v>(${Variables:E4_3_1_17_kcat} * E4_3_1_17 * C00065)/(${Variables:E4_3_1_17_km} + (E4_3_1_17 * C00065))</v>
      </c>
      <c r="K568" s="21" t="str">
        <f t="shared" si="26"/>
        <v>r567: C00065 -&gt; C00022 + C00014 | (${Variables:E4_3_1_17_kcat} * E4_3_1_17 * C00065)/(${Variables:E4_3_1_17_km} + (E4_3_1_17 * C00065))</v>
      </c>
    </row>
    <row r="569" spans="1:11">
      <c r="A569" t="s">
        <v>4505</v>
      </c>
      <c r="B569" t="s">
        <v>4506</v>
      </c>
      <c r="C569" t="s">
        <v>15533</v>
      </c>
      <c r="D569">
        <v>568</v>
      </c>
      <c r="E569" t="str">
        <f t="shared" si="24"/>
        <v>E4_3_1_17</v>
      </c>
      <c r="F569" s="4" t="s">
        <v>8788</v>
      </c>
      <c r="G569" s="4" t="s">
        <v>8788</v>
      </c>
      <c r="H569" s="4" t="s">
        <v>10825</v>
      </c>
      <c r="I569" s="4" t="s">
        <v>12309</v>
      </c>
      <c r="J569" t="str">
        <f t="shared" si="25"/>
        <v>(${Variables:E4_3_1_17_kcat} * E4_3_1_17 * C00065)/(${Variables:E4_3_1_17_km} + (E4_3_1_17 * C00065))</v>
      </c>
      <c r="K569" s="21" t="str">
        <f t="shared" si="26"/>
        <v>r568: C00065 -&gt; C02218 + C00001 | (${Variables:E4_3_1_17_kcat} * E4_3_1_17 * C00065)/(${Variables:E4_3_1_17_km} + (E4_3_1_17 * C00065))</v>
      </c>
    </row>
    <row r="570" spans="1:11">
      <c r="A570" t="s">
        <v>4505</v>
      </c>
      <c r="B570" t="s">
        <v>4506</v>
      </c>
      <c r="C570" t="s">
        <v>15533</v>
      </c>
      <c r="D570">
        <v>569</v>
      </c>
      <c r="E570" t="str">
        <f t="shared" si="24"/>
        <v>E4_3_1_17</v>
      </c>
      <c r="F570" s="4" t="s">
        <v>10826</v>
      </c>
      <c r="G570" s="4" t="s">
        <v>11607</v>
      </c>
      <c r="H570" s="4" t="s">
        <v>10824</v>
      </c>
      <c r="I570" s="4" t="s">
        <v>12308</v>
      </c>
      <c r="J570" t="str">
        <f t="shared" si="25"/>
        <v>(${Variables:E4_3_1_17_kcat} * E4_3_1_17 * C20904 * C00001)/(${Variables:E4_3_1_17_km} + (E4_3_1_17 * C20904 * C00001))</v>
      </c>
      <c r="K570" s="21" t="str">
        <f t="shared" si="26"/>
        <v>r569: C20904 + C00001 -&gt; C00022 + C00014 | (${Variables:E4_3_1_17_kcat} * E4_3_1_17 * C20904 * C00001)/(${Variables:E4_3_1_17_km} + (E4_3_1_17 * C20904 * C00001))</v>
      </c>
    </row>
    <row r="571" spans="1:11">
      <c r="A571" t="s">
        <v>4505</v>
      </c>
      <c r="B571" t="s">
        <v>4506</v>
      </c>
      <c r="C571" t="s">
        <v>15533</v>
      </c>
      <c r="D571">
        <v>570</v>
      </c>
      <c r="E571" t="str">
        <f t="shared" si="24"/>
        <v>E4_3_1_17</v>
      </c>
      <c r="F571" s="4" t="s">
        <v>8792</v>
      </c>
      <c r="G571" s="4" t="s">
        <v>8792</v>
      </c>
      <c r="H571" s="4" t="s">
        <v>8793</v>
      </c>
      <c r="I571" s="4" t="s">
        <v>8793</v>
      </c>
      <c r="J571" t="str">
        <f t="shared" si="25"/>
        <v>(${Variables:E4_3_1_17_kcat} * E4_3_1_17 * C02218)/(${Variables:E4_3_1_17_km} + (E4_3_1_17 * C02218))</v>
      </c>
      <c r="K571" s="21" t="str">
        <f t="shared" si="26"/>
        <v>r570: C02218 -&gt; C20904 | (${Variables:E4_3_1_17_kcat} * E4_3_1_17 * C02218)/(${Variables:E4_3_1_17_km} + (E4_3_1_17 * C02218))</v>
      </c>
    </row>
    <row r="572" spans="1:11">
      <c r="A572" t="s">
        <v>4505</v>
      </c>
      <c r="B572" t="s">
        <v>4506</v>
      </c>
      <c r="C572" t="s">
        <v>15533</v>
      </c>
      <c r="D572">
        <v>571</v>
      </c>
      <c r="E572" t="str">
        <f t="shared" si="24"/>
        <v>E4_3_1_17</v>
      </c>
      <c r="F572" s="4" t="s">
        <v>8794</v>
      </c>
      <c r="G572" s="4" t="s">
        <v>8794</v>
      </c>
      <c r="H572" s="4" t="s">
        <v>10827</v>
      </c>
      <c r="I572" s="4" t="s">
        <v>12310</v>
      </c>
      <c r="J572" t="str">
        <f t="shared" si="25"/>
        <v>(${Variables:E4_3_1_17_kcat} * E4_3_1_17 * C05167)/(${Variables:E4_3_1_17_km} + (E4_3_1_17 * C05167))</v>
      </c>
      <c r="K572" s="21" t="str">
        <f t="shared" si="26"/>
        <v>r571: C05167 -&gt; C00161 + C00014 | (${Variables:E4_3_1_17_kcat} * E4_3_1_17 * C05167)/(${Variables:E4_3_1_17_km} + (E4_3_1_17 * C05167))</v>
      </c>
    </row>
    <row r="573" spans="1:11">
      <c r="A573" t="s">
        <v>4520</v>
      </c>
      <c r="B573" t="s">
        <v>4521</v>
      </c>
      <c r="C573" t="s">
        <v>15546</v>
      </c>
      <c r="D573">
        <v>572</v>
      </c>
      <c r="E573" t="str">
        <f t="shared" si="24"/>
        <v>E5_1_3_2</v>
      </c>
      <c r="F573" t="s">
        <v>8683</v>
      </c>
      <c r="G573" t="s">
        <v>8683</v>
      </c>
      <c r="H573" t="s">
        <v>8684</v>
      </c>
      <c r="I573" t="s">
        <v>8684</v>
      </c>
      <c r="J573" t="str">
        <f t="shared" si="25"/>
        <v>(${Variables:E5_1_3_2_kcat} * E5_1_3_2 * C00029)/(${Variables:E5_1_3_2_km} + (E5_1_3_2 * C00029))</v>
      </c>
      <c r="K573" s="21" t="str">
        <f t="shared" si="26"/>
        <v>r572: C00029 -&gt; C00052 | (${Variables:E5_1_3_2_kcat} * E5_1_3_2 * C00029)/(${Variables:E5_1_3_2_km} + (E5_1_3_2 * C00029))</v>
      </c>
    </row>
    <row r="574" spans="1:11">
      <c r="A574" t="s">
        <v>4520</v>
      </c>
      <c r="B574" t="s">
        <v>4521</v>
      </c>
      <c r="C574" t="s">
        <v>15546</v>
      </c>
      <c r="D574">
        <v>573</v>
      </c>
      <c r="E574" t="str">
        <f t="shared" si="24"/>
        <v>E5_1_3_2</v>
      </c>
      <c r="F574" t="s">
        <v>8685</v>
      </c>
      <c r="G574" t="s">
        <v>8685</v>
      </c>
      <c r="H574" t="s">
        <v>8686</v>
      </c>
      <c r="I574" t="s">
        <v>8686</v>
      </c>
      <c r="J574" t="str">
        <f t="shared" si="25"/>
        <v>(${Variables:E5_1_3_2_kcat} * E5_1_3_2 * C00043)/(${Variables:E5_1_3_2_km} + (E5_1_3_2 * C00043))</v>
      </c>
      <c r="K574" s="21" t="str">
        <f t="shared" si="26"/>
        <v>r573: C00043 -&gt; C00203 | (${Variables:E5_1_3_2_kcat} * E5_1_3_2 * C00043)/(${Variables:E5_1_3_2_km} + (E5_1_3_2 * C00043))</v>
      </c>
    </row>
    <row r="575" spans="1:11">
      <c r="A575" t="s">
        <v>4520</v>
      </c>
      <c r="B575" t="s">
        <v>4521</v>
      </c>
      <c r="C575" t="s">
        <v>15546</v>
      </c>
      <c r="D575">
        <v>574</v>
      </c>
      <c r="E575" t="str">
        <f t="shared" si="24"/>
        <v>E5_1_3_2</v>
      </c>
      <c r="F575" t="s">
        <v>7983</v>
      </c>
      <c r="G575" t="s">
        <v>7983</v>
      </c>
      <c r="H575" t="s">
        <v>8687</v>
      </c>
      <c r="I575" t="s">
        <v>8687</v>
      </c>
      <c r="J575" t="str">
        <f t="shared" si="25"/>
        <v>(${Variables:E5_1_3_2_kcat} * E5_1_3_2 * C00842)/(${Variables:E5_1_3_2_km} + (E5_1_3_2 * C00842))</v>
      </c>
      <c r="K575" s="21" t="str">
        <f t="shared" si="26"/>
        <v>r574: C00842 -&gt; C02097 | (${Variables:E5_1_3_2_kcat} * E5_1_3_2 * C00842)/(${Variables:E5_1_3_2_km} + (E5_1_3_2 * C00842))</v>
      </c>
    </row>
    <row r="576" spans="1:11">
      <c r="A576" t="s">
        <v>4531</v>
      </c>
      <c r="B576" t="s">
        <v>4532</v>
      </c>
      <c r="C576" t="s">
        <v>15547</v>
      </c>
      <c r="D576">
        <v>575</v>
      </c>
      <c r="E576" t="str">
        <f t="shared" si="24"/>
        <v>E1_11_1_24</v>
      </c>
      <c r="F576" t="s">
        <v>10860</v>
      </c>
      <c r="G576" t="s">
        <v>11624</v>
      </c>
      <c r="H576" t="s">
        <v>10861</v>
      </c>
      <c r="I576" t="s">
        <v>12328</v>
      </c>
      <c r="J576" t="str">
        <f t="shared" si="25"/>
        <v>(${Variables:E1_11_1_24_kcat} * E1_11_1_24 * C00342 * C15498)/(${Variables:E1_11_1_24_km} + (E1_11_1_24 * C00342 * C15498))</v>
      </c>
      <c r="K576" s="21" t="str">
        <f t="shared" si="26"/>
        <v>r575: C00342 + C15498 -&gt; C00343 + C00001 + C01335 | (${Variables:E1_11_1_24_kcat} * E1_11_1_24 * C00342 * C15498)/(${Variables:E1_11_1_24_km} + (E1_11_1_24 * C00342 * C15498))</v>
      </c>
    </row>
    <row r="577" spans="1:11">
      <c r="A577" t="s">
        <v>4534</v>
      </c>
      <c r="B577" t="s">
        <v>4535</v>
      </c>
      <c r="C577" t="s">
        <v>15547</v>
      </c>
      <c r="D577">
        <v>576</v>
      </c>
      <c r="E577" t="str">
        <f t="shared" si="24"/>
        <v>E1_11_1_24</v>
      </c>
      <c r="F577" t="s">
        <v>10860</v>
      </c>
      <c r="G577" t="s">
        <v>11624</v>
      </c>
      <c r="H577" t="s">
        <v>10861</v>
      </c>
      <c r="I577" t="s">
        <v>12328</v>
      </c>
      <c r="J577" t="str">
        <f t="shared" si="25"/>
        <v>(${Variables:E1_11_1_24_kcat} * E1_11_1_24 * C00342 * C15498)/(${Variables:E1_11_1_24_km} + (E1_11_1_24 * C00342 * C15498))</v>
      </c>
      <c r="K577" s="21" t="str">
        <f t="shared" si="26"/>
        <v>r576: C00342 + C15498 -&gt; C00343 + C00001 + C01335 | (${Variables:E1_11_1_24_kcat} * E1_11_1_24 * C00342 * C15498)/(${Variables:E1_11_1_24_km} + (E1_11_1_24 * C00342 * C15498))</v>
      </c>
    </row>
    <row r="578" spans="1:11">
      <c r="A578" t="s">
        <v>4561</v>
      </c>
      <c r="B578" t="s">
        <v>4562</v>
      </c>
      <c r="C578" t="s">
        <v>15548</v>
      </c>
      <c r="D578">
        <v>577</v>
      </c>
      <c r="E578" t="str">
        <f t="shared" si="24"/>
        <v>E2_7_3_9</v>
      </c>
      <c r="F578" t="s">
        <v>10862</v>
      </c>
      <c r="G578" t="s">
        <v>11625</v>
      </c>
      <c r="H578" t="s">
        <v>10863</v>
      </c>
      <c r="I578" t="s">
        <v>12329</v>
      </c>
      <c r="J578" t="str">
        <f t="shared" si="25"/>
        <v>(${Variables:E2_7_3_9_kcat} * E2_7_3_9 * C00074 * C00615)/(${Variables:E2_7_3_9_km} + (E2_7_3_9 * C00074 * C00615))</v>
      </c>
      <c r="K578" s="21" t="str">
        <f t="shared" si="26"/>
        <v>r577: C00074 + C00615 -&gt; C00022 + C04261 | (${Variables:E2_7_3_9_kcat} * E2_7_3_9 * C00074 * C00615)/(${Variables:E2_7_3_9_km} + (E2_7_3_9 * C00074 * C00615))</v>
      </c>
    </row>
    <row r="579" spans="1:11">
      <c r="A579" t="s">
        <v>4565</v>
      </c>
      <c r="B579" t="s">
        <v>4566</v>
      </c>
      <c r="C579" t="s">
        <v>15549</v>
      </c>
      <c r="D579">
        <v>578</v>
      </c>
      <c r="E579" t="str">
        <f t="shared" ref="E579:E642" si="27">"E" &amp; C579</f>
        <v>E2_7_1_144</v>
      </c>
      <c r="F579" t="s">
        <v>10864</v>
      </c>
      <c r="G579" t="s">
        <v>11626</v>
      </c>
      <c r="H579" t="s">
        <v>10438</v>
      </c>
      <c r="I579" t="s">
        <v>12226</v>
      </c>
      <c r="J579" t="str">
        <f t="shared" ref="J579:J642" si="28">CONCATENATE("(${Variables:",E579,"_kcat","} * ",E579," * ",G579,")","/(${Variables:",E579,"_km","} + (",E579," * ",G579,"))")</f>
        <v>(${Variables:E2_7_1_144_kcat} * E2_7_1_144 * C01097 * C00002 )/(${Variables:E2_7_1_144_km} + (E2_7_1_144 * C01097 * C00002 ))</v>
      </c>
      <c r="K579" s="21" t="str">
        <f t="shared" ref="K579:K642" si="29">CONCATENATE("r",D579,": ",F579," -&gt; ",H579," | ",J579)</f>
        <v>r578: C01097 + C00002  -&gt; C03785 + C00008 | (${Variables:E2_7_1_144_kcat} * E2_7_1_144 * C01097 * C00002 )/(${Variables:E2_7_1_144_km} + (E2_7_1_144 * C01097 * C00002 ))</v>
      </c>
    </row>
    <row r="580" spans="1:11">
      <c r="A580" t="s">
        <v>4591</v>
      </c>
      <c r="B580" t="s">
        <v>4592</v>
      </c>
      <c r="C580" t="s">
        <v>15550</v>
      </c>
      <c r="D580">
        <v>579</v>
      </c>
      <c r="E580" t="str">
        <f t="shared" si="27"/>
        <v>E5_1_1_7</v>
      </c>
      <c r="F580" t="s">
        <v>8886</v>
      </c>
      <c r="G580" t="s">
        <v>8886</v>
      </c>
      <c r="H580" t="s">
        <v>8433</v>
      </c>
      <c r="I580" t="s">
        <v>8433</v>
      </c>
      <c r="J580" t="str">
        <f t="shared" si="28"/>
        <v>(${Variables:E5_1_1_7_kcat} * E5_1_1_7 * C00666)/(${Variables:E5_1_1_7_km} + (E5_1_1_7 * C00666))</v>
      </c>
      <c r="K580" s="21" t="str">
        <f t="shared" si="29"/>
        <v>r579: C00666 -&gt; C00680 | (${Variables:E5_1_1_7_kcat} * E5_1_1_7 * C00666)/(${Variables:E5_1_1_7_km} + (E5_1_1_7 * C00666))</v>
      </c>
    </row>
    <row r="581" spans="1:11">
      <c r="A581" t="s">
        <v>4595</v>
      </c>
      <c r="B581" t="s">
        <v>4596</v>
      </c>
      <c r="C581" t="s">
        <v>15551</v>
      </c>
      <c r="D581">
        <v>580</v>
      </c>
      <c r="E581" t="str">
        <f t="shared" si="27"/>
        <v>E2_5_1_75</v>
      </c>
      <c r="F581" t="s">
        <v>15924</v>
      </c>
      <c r="G581" t="s">
        <v>15925</v>
      </c>
      <c r="H581" t="s">
        <v>10865</v>
      </c>
      <c r="I581" t="s">
        <v>12330</v>
      </c>
      <c r="J581" t="str">
        <f t="shared" si="28"/>
        <v>(${Variables:E2_5_1_75_kcat} * E2_5_1_75 * C00235 * C17324)/(${Variables:E2_5_1_75_km} + (E2_5_1_75 * C00235 * C17324))</v>
      </c>
      <c r="K581" s="21" t="str">
        <f t="shared" si="29"/>
        <v>r580: C00235 + C17324 -&gt; C00013 + C04432 | (${Variables:E2_5_1_75_kcat} * E2_5_1_75 * C00235 * C17324)/(${Variables:E2_5_1_75_km} + (E2_5_1_75 * C00235 * C17324))</v>
      </c>
    </row>
    <row r="582" spans="1:11">
      <c r="A582" t="s">
        <v>4643</v>
      </c>
      <c r="B582" t="s">
        <v>4644</v>
      </c>
      <c r="C582" t="s">
        <v>15552</v>
      </c>
      <c r="D582">
        <v>581</v>
      </c>
      <c r="E582" t="str">
        <f t="shared" si="27"/>
        <v>E2_7_8_5</v>
      </c>
      <c r="F582" t="s">
        <v>10866</v>
      </c>
      <c r="G582" t="s">
        <v>11627</v>
      </c>
      <c r="H582" t="s">
        <v>10867</v>
      </c>
      <c r="I582" t="s">
        <v>12331</v>
      </c>
      <c r="J582" t="str">
        <f t="shared" si="28"/>
        <v>(${Variables:E2_7_8_5_kcat} * E2_7_8_5 * C00269 * C00093)/(${Variables:E2_7_8_5_km} + (E2_7_8_5 * C00269 * C00093))</v>
      </c>
      <c r="K582" s="21" t="str">
        <f t="shared" si="29"/>
        <v>r581: C00269 + C00093 -&gt; C00055 + C03892 | (${Variables:E2_7_8_5_kcat} * E2_7_8_5 * C00269 * C00093)/(${Variables:E2_7_8_5_km} + (E2_7_8_5 * C00269 * C00093))</v>
      </c>
    </row>
    <row r="583" spans="1:11">
      <c r="A583" t="s">
        <v>4663</v>
      </c>
      <c r="B583" t="s">
        <v>4664</v>
      </c>
      <c r="C583" t="s">
        <v>15553</v>
      </c>
      <c r="D583">
        <v>582</v>
      </c>
      <c r="E583" t="str">
        <f t="shared" si="27"/>
        <v>E4_3_3_7</v>
      </c>
      <c r="F583" t="s">
        <v>10868</v>
      </c>
      <c r="G583" t="s">
        <v>11628</v>
      </c>
      <c r="H583" t="s">
        <v>10869</v>
      </c>
      <c r="I583" t="s">
        <v>12332</v>
      </c>
      <c r="J583" t="str">
        <f t="shared" si="28"/>
        <v>(${Variables:E4_3_3_7_kcat} * E4_3_3_7 * C00441 * C00022)/(${Variables:E4_3_3_7_km} + (E4_3_3_7 * C00441 * C00022))</v>
      </c>
      <c r="K583" s="21" t="str">
        <f t="shared" si="29"/>
        <v>r582: C00441 + C00022 -&gt; C20258 + C00001 | (${Variables:E4_3_3_7_kcat} * E4_3_3_7 * C00441 * C00022)/(${Variables:E4_3_3_7_km} + (E4_3_3_7 * C00441 * C00022))</v>
      </c>
    </row>
    <row r="584" spans="1:11">
      <c r="A584" t="s">
        <v>4680</v>
      </c>
      <c r="B584" t="s">
        <v>4681</v>
      </c>
      <c r="C584" t="s">
        <v>15554</v>
      </c>
      <c r="D584">
        <v>583</v>
      </c>
      <c r="E584" t="str">
        <f t="shared" si="27"/>
        <v>E2_7_7_8</v>
      </c>
      <c r="F584" t="s">
        <v>10870</v>
      </c>
      <c r="G584" t="s">
        <v>11629</v>
      </c>
      <c r="H584" t="s">
        <v>10871</v>
      </c>
      <c r="I584" t="s">
        <v>12333</v>
      </c>
      <c r="J584" t="str">
        <f t="shared" si="28"/>
        <v>(${Variables:E2_7_7_8_kcat} * E2_7_7_8 * C00046 * C00009)/(${Variables:E2_7_7_8_km} + (E2_7_7_8 * C00046 * C00009))</v>
      </c>
      <c r="K584" s="21" t="str">
        <f t="shared" si="29"/>
        <v>r583: C00046 + C00009 -&gt; C00046 + C00454 | (${Variables:E2_7_7_8_kcat} * E2_7_7_8 * C00046 * C00009)/(${Variables:E2_7_7_8_km} + (E2_7_7_8 * C00046 * C00009))</v>
      </c>
    </row>
    <row r="585" spans="1:11">
      <c r="A585" t="s">
        <v>4680</v>
      </c>
      <c r="B585" t="s">
        <v>4681</v>
      </c>
      <c r="C585" t="s">
        <v>15554</v>
      </c>
      <c r="D585">
        <v>584</v>
      </c>
      <c r="E585" t="str">
        <f t="shared" si="27"/>
        <v>E2_7_7_8</v>
      </c>
      <c r="F585" t="s">
        <v>10870</v>
      </c>
      <c r="G585" t="s">
        <v>11629</v>
      </c>
      <c r="H585" t="s">
        <v>10872</v>
      </c>
      <c r="I585" t="s">
        <v>12334</v>
      </c>
      <c r="J585" t="str">
        <f t="shared" si="28"/>
        <v>(${Variables:E2_7_7_8_kcat} * E2_7_7_8 * C00046 * C00009)/(${Variables:E2_7_7_8_km} + (E2_7_7_8 * C00046 * C00009))</v>
      </c>
      <c r="K585" s="21" t="str">
        <f t="shared" si="29"/>
        <v>r584: C00046 + C00009 -&gt; C00046 + C00008 | (${Variables:E2_7_7_8_kcat} * E2_7_7_8 * C00046 * C00009)/(${Variables:E2_7_7_8_km} + (E2_7_7_8 * C00046 * C00009))</v>
      </c>
    </row>
    <row r="586" spans="1:11">
      <c r="A586" t="s">
        <v>4680</v>
      </c>
      <c r="B586" t="s">
        <v>4681</v>
      </c>
      <c r="C586" t="s">
        <v>15554</v>
      </c>
      <c r="D586">
        <v>585</v>
      </c>
      <c r="E586" t="str">
        <f t="shared" si="27"/>
        <v>E2_7_7_8</v>
      </c>
      <c r="F586" t="s">
        <v>10870</v>
      </c>
      <c r="G586" t="s">
        <v>11629</v>
      </c>
      <c r="H586" t="s">
        <v>10873</v>
      </c>
      <c r="I586" t="s">
        <v>12335</v>
      </c>
      <c r="J586" t="str">
        <f t="shared" si="28"/>
        <v>(${Variables:E2_7_7_8_kcat} * E2_7_7_8 * C00046 * C00009)/(${Variables:E2_7_7_8_km} + (E2_7_7_8 * C00046 * C00009))</v>
      </c>
      <c r="K586" s="21" t="str">
        <f t="shared" si="29"/>
        <v>r585: C00046 + C00009 -&gt; C00046 + C00015 | (${Variables:E2_7_7_8_kcat} * E2_7_7_8 * C00046 * C00009)/(${Variables:E2_7_7_8_km} + (E2_7_7_8 * C00046 * C00009))</v>
      </c>
    </row>
    <row r="587" spans="1:11">
      <c r="A587" t="s">
        <v>4680</v>
      </c>
      <c r="B587" t="s">
        <v>4681</v>
      </c>
      <c r="C587" t="s">
        <v>15554</v>
      </c>
      <c r="D587">
        <v>586</v>
      </c>
      <c r="E587" t="str">
        <f t="shared" si="27"/>
        <v>E2_7_7_8</v>
      </c>
      <c r="F587" t="s">
        <v>10870</v>
      </c>
      <c r="G587" t="s">
        <v>11629</v>
      </c>
      <c r="H587" t="s">
        <v>10874</v>
      </c>
      <c r="I587" t="s">
        <v>12336</v>
      </c>
      <c r="J587" t="str">
        <f t="shared" si="28"/>
        <v>(${Variables:E2_7_7_8_kcat} * E2_7_7_8 * C00046 * C00009)/(${Variables:E2_7_7_8_km} + (E2_7_7_8 * C00046 * C00009))</v>
      </c>
      <c r="K587" s="21" t="str">
        <f t="shared" si="29"/>
        <v>r586: C00046 + C00009 -&gt; C00046 + C00035 | (${Variables:E2_7_7_8_kcat} * E2_7_7_8 * C00046 * C00009)/(${Variables:E2_7_7_8_km} + (E2_7_7_8 * C00046 * C00009))</v>
      </c>
    </row>
    <row r="588" spans="1:11">
      <c r="A588" t="s">
        <v>4680</v>
      </c>
      <c r="B588" t="s">
        <v>4681</v>
      </c>
      <c r="C588" t="s">
        <v>15554</v>
      </c>
      <c r="D588">
        <v>587</v>
      </c>
      <c r="E588" t="str">
        <f t="shared" si="27"/>
        <v>E2_7_7_8</v>
      </c>
      <c r="F588" t="s">
        <v>10870</v>
      </c>
      <c r="G588" t="s">
        <v>11629</v>
      </c>
      <c r="H588" t="s">
        <v>10875</v>
      </c>
      <c r="I588" t="s">
        <v>12337</v>
      </c>
      <c r="J588" t="str">
        <f t="shared" si="28"/>
        <v>(${Variables:E2_7_7_8_kcat} * E2_7_7_8 * C00046 * C00009)/(${Variables:E2_7_7_8_km} + (E2_7_7_8 * C00046 * C00009))</v>
      </c>
      <c r="K588" s="21" t="str">
        <f t="shared" si="29"/>
        <v>r587: C00046 + C00009 -&gt; C00046 + C00112 | (${Variables:E2_7_7_8_kcat} * E2_7_7_8 * C00046 * C00009)/(${Variables:E2_7_7_8_km} + (E2_7_7_8 * C00046 * C00009))</v>
      </c>
    </row>
    <row r="589" spans="1:11">
      <c r="A589" t="s">
        <v>4699</v>
      </c>
      <c r="B589" t="s">
        <v>4700</v>
      </c>
      <c r="C589" t="s">
        <v>15555</v>
      </c>
      <c r="D589">
        <v>588</v>
      </c>
      <c r="E589" t="str">
        <f t="shared" si="27"/>
        <v>E2_7_8_7</v>
      </c>
      <c r="F589" t="s">
        <v>10876</v>
      </c>
      <c r="G589" t="s">
        <v>11630</v>
      </c>
      <c r="H589" t="s">
        <v>10877</v>
      </c>
      <c r="I589" t="s">
        <v>12338</v>
      </c>
      <c r="J589" t="str">
        <f t="shared" si="28"/>
        <v>(${Variables:E2_7_8_7_kcat} * E2_7_8_7 * C00010 * C03688)/(${Variables:E2_7_8_7_km} + (E2_7_8_7 * C00010 * C03688))</v>
      </c>
      <c r="K589" s="21" t="str">
        <f t="shared" si="29"/>
        <v>r588: C00010 + C03688 -&gt; C00054 + C00229 | (${Variables:E2_7_8_7_kcat} * E2_7_8_7 * C00010 * C03688)/(${Variables:E2_7_8_7_km} + (E2_7_8_7 * C00010 * C03688))</v>
      </c>
    </row>
    <row r="590" spans="1:11">
      <c r="A590" t="s">
        <v>4738</v>
      </c>
      <c r="B590" t="s">
        <v>4739</v>
      </c>
      <c r="C590" t="s">
        <v>15556</v>
      </c>
      <c r="D590">
        <v>589</v>
      </c>
      <c r="E590" t="str">
        <f t="shared" si="27"/>
        <v>E6_1_1_15</v>
      </c>
      <c r="F590" t="s">
        <v>10878</v>
      </c>
      <c r="G590" t="s">
        <v>11631</v>
      </c>
      <c r="H590" t="s">
        <v>10879</v>
      </c>
      <c r="I590" t="s">
        <v>12339</v>
      </c>
      <c r="J590" t="str">
        <f t="shared" si="28"/>
        <v>(${Variables:E6_1_1_15_kcat} * E6_1_1_15 * C00002 * C00148 * C01649 )/(${Variables:E6_1_1_15_km} + (E6_1_1_15 * C00002 * C00148 * C01649 ))</v>
      </c>
      <c r="K590" s="21" t="str">
        <f t="shared" si="29"/>
        <v>r589: C00002 + C00148 + C01649  -&gt; C00020 + C00013 + C02702 | (${Variables:E6_1_1_15_kcat} * E6_1_1_15 * C00002 * C00148 * C01649 )/(${Variables:E6_1_1_15_km} + (E6_1_1_15 * C00002 * C00148 * C01649 ))</v>
      </c>
    </row>
    <row r="591" spans="1:11">
      <c r="A591" t="s">
        <v>4761</v>
      </c>
      <c r="B591" t="s">
        <v>4762</v>
      </c>
      <c r="C591" t="s">
        <v>15557</v>
      </c>
      <c r="D591">
        <v>590</v>
      </c>
      <c r="E591" t="str">
        <f t="shared" si="27"/>
        <v>E1_1_5_4</v>
      </c>
      <c r="F591" t="s">
        <v>10880</v>
      </c>
      <c r="G591" t="s">
        <v>11632</v>
      </c>
      <c r="H591" t="s">
        <v>10880</v>
      </c>
      <c r="I591" t="s">
        <v>11632</v>
      </c>
      <c r="J591" t="str">
        <f t="shared" si="28"/>
        <v>(${Variables:E1_1_5_4_kcat} * E1_1_5_4 * C00149 * C15602 )/(${Variables:E1_1_5_4_km} + (E1_1_5_4 * C00149 * C15602 ))</v>
      </c>
      <c r="K591" s="21" t="str">
        <f t="shared" si="29"/>
        <v>r590: C00149 + C15602  -&gt; C00149 + C15602  | (${Variables:E1_1_5_4_kcat} * E1_1_5_4 * C00149 * C15602 )/(${Variables:E1_1_5_4_km} + (E1_1_5_4 * C00149 * C15602 ))</v>
      </c>
    </row>
    <row r="592" spans="1:11">
      <c r="A592" t="s">
        <v>4761</v>
      </c>
      <c r="B592" t="s">
        <v>4762</v>
      </c>
      <c r="C592" t="s">
        <v>15557</v>
      </c>
      <c r="D592">
        <v>591</v>
      </c>
      <c r="E592" t="str">
        <f t="shared" si="27"/>
        <v>E1_1_5_4</v>
      </c>
      <c r="F592" t="s">
        <v>10881</v>
      </c>
      <c r="G592" t="s">
        <v>11633</v>
      </c>
      <c r="H592" t="s">
        <v>10882</v>
      </c>
      <c r="I592" t="s">
        <v>12340</v>
      </c>
      <c r="J592" t="str">
        <f t="shared" si="28"/>
        <v>(${Variables:E1_1_5_4_kcat} * E1_1_5_4 * C00149 * C00007)/(${Variables:E1_1_5_4_km} + (E1_1_5_4 * C00149 * C00007))</v>
      </c>
      <c r="K592" s="21" t="str">
        <f t="shared" si="29"/>
        <v>r591: C00149 + C00007 -&gt; C00036 + C00027 | (${Variables:E1_1_5_4_kcat} * E1_1_5_4 * C00149 * C00007)/(${Variables:E1_1_5_4_km} + (E1_1_5_4 * C00149 * C00007))</v>
      </c>
    </row>
    <row r="593" spans="1:11">
      <c r="A593" t="s">
        <v>4761</v>
      </c>
      <c r="B593" t="s">
        <v>4762</v>
      </c>
      <c r="C593" t="s">
        <v>15557</v>
      </c>
      <c r="D593">
        <v>592</v>
      </c>
      <c r="E593" t="str">
        <f t="shared" si="27"/>
        <v>E1_1_5_4</v>
      </c>
      <c r="F593" t="s">
        <v>10883</v>
      </c>
      <c r="G593" t="s">
        <v>11634</v>
      </c>
      <c r="H593" t="s">
        <v>10884</v>
      </c>
      <c r="I593" t="s">
        <v>12341</v>
      </c>
      <c r="J593" t="str">
        <f t="shared" si="28"/>
        <v>(${Variables:E1_1_5_4_kcat} * E1_1_5_4 * C00149 * C00016 )/(${Variables:E1_1_5_4_km} + (E1_1_5_4 * C00149 * C00016 ))</v>
      </c>
      <c r="K593" s="21" t="str">
        <f t="shared" si="29"/>
        <v>r592: C00149 + C00016  -&gt; C00036 + C01352 | (${Variables:E1_1_5_4_kcat} * E1_1_5_4 * C00149 * C00016 )/(${Variables:E1_1_5_4_km} + (E1_1_5_4 * C00149 * C00016 ))</v>
      </c>
    </row>
    <row r="594" spans="1:11">
      <c r="A594" t="s">
        <v>4767</v>
      </c>
      <c r="B594" t="s">
        <v>4768</v>
      </c>
      <c r="C594" t="s">
        <v>15558</v>
      </c>
      <c r="D594">
        <v>593</v>
      </c>
      <c r="E594" t="str">
        <f t="shared" si="27"/>
        <v>E1_8_1_15</v>
      </c>
      <c r="F594" t="s">
        <v>15926</v>
      </c>
      <c r="G594" t="s">
        <v>15806</v>
      </c>
      <c r="H594" t="s">
        <v>10885</v>
      </c>
      <c r="I594" t="s">
        <v>12342</v>
      </c>
      <c r="J594" t="str">
        <f t="shared" si="28"/>
        <v>(${Variables:E1_8_1_15_kcat} * E1_8_1_15 * C06717 * C00003 )/(${Variables:E1_8_1_15_km} + (E1_8_1_15 * C06717 * C00003 ))</v>
      </c>
      <c r="K594" s="21" t="str">
        <f t="shared" si="29"/>
        <v>r593: C06717 + C00003  -&gt; C11502 + C00004 + C00080 | (${Variables:E1_8_1_15_kcat} * E1_8_1_15 * C06717 * C00003 )/(${Variables:E1_8_1_15_km} + (E1_8_1_15 * C06717 * C00003 ))</v>
      </c>
    </row>
    <row r="595" spans="1:11">
      <c r="A595" t="s">
        <v>4767</v>
      </c>
      <c r="B595" t="s">
        <v>4768</v>
      </c>
      <c r="C595" t="s">
        <v>15558</v>
      </c>
      <c r="D595">
        <v>594</v>
      </c>
      <c r="E595" t="str">
        <f t="shared" si="27"/>
        <v>E1_8_1_15</v>
      </c>
      <c r="F595" t="s">
        <v>15928</v>
      </c>
      <c r="G595" t="s">
        <v>15807</v>
      </c>
      <c r="H595" t="s">
        <v>10886</v>
      </c>
      <c r="I595" t="s">
        <v>12343</v>
      </c>
      <c r="J595" t="str">
        <f t="shared" si="28"/>
        <v>(${Variables:E1_8_1_15_kcat} * E1_8_1_15 * C06717 * C00006 )/(${Variables:E1_8_1_15_km} + (E1_8_1_15 * C06717 * C00006 ))</v>
      </c>
      <c r="K595" s="21" t="str">
        <f t="shared" si="29"/>
        <v>r594: C06717 + C00006  -&gt; C11502 + C00005 + C00080 | (${Variables:E1_8_1_15_kcat} * E1_8_1_15 * C06717 * C00006 )/(${Variables:E1_8_1_15_km} + (E1_8_1_15 * C06717 * C00006 ))</v>
      </c>
    </row>
    <row r="596" spans="1:11">
      <c r="A596" t="s">
        <v>4767</v>
      </c>
      <c r="B596" t="s">
        <v>4768</v>
      </c>
      <c r="C596" t="s">
        <v>15558</v>
      </c>
      <c r="D596">
        <v>595</v>
      </c>
      <c r="E596" t="str">
        <f t="shared" si="27"/>
        <v>E1_8_1_15</v>
      </c>
      <c r="F596" t="s">
        <v>15927</v>
      </c>
      <c r="G596" t="s">
        <v>15808</v>
      </c>
      <c r="H596" t="s">
        <v>10887</v>
      </c>
      <c r="I596" t="s">
        <v>12344</v>
      </c>
      <c r="J596" t="str">
        <f t="shared" si="28"/>
        <v>(${Variables:E1_8_1_15_kcat} * E1_8_1_15 * G11174 * C00003)/(${Variables:E1_8_1_15_km} + (E1_8_1_15 * G11174 * C00003))</v>
      </c>
      <c r="K596" s="21" t="str">
        <f t="shared" si="29"/>
        <v>r595: G11174 + C00003 -&gt; G11175 + C00004 + C00080 | (${Variables:E1_8_1_15_kcat} * E1_8_1_15 * G11174 * C00003)/(${Variables:E1_8_1_15_km} + (E1_8_1_15 * G11174 * C00003))</v>
      </c>
    </row>
    <row r="597" spans="1:11">
      <c r="A597" t="s">
        <v>4767</v>
      </c>
      <c r="B597" t="s">
        <v>4768</v>
      </c>
      <c r="C597" t="s">
        <v>15558</v>
      </c>
      <c r="D597">
        <v>596</v>
      </c>
      <c r="E597" t="str">
        <f t="shared" si="27"/>
        <v>E1_8_1_15</v>
      </c>
      <c r="F597" t="s">
        <v>15929</v>
      </c>
      <c r="G597" t="s">
        <v>15809</v>
      </c>
      <c r="H597" t="s">
        <v>10888</v>
      </c>
      <c r="I597" t="s">
        <v>12345</v>
      </c>
      <c r="J597" t="str">
        <f t="shared" si="28"/>
        <v>(${Variables:E1_8_1_15_kcat} * E1_8_1_15 * G11174 * C00006)/(${Variables:E1_8_1_15_km} + (E1_8_1_15 * G11174 * C00006))</v>
      </c>
      <c r="K597" s="21" t="str">
        <f t="shared" si="29"/>
        <v>r596: G11174 + C00006 -&gt; G11175 + C00005 + C00080 | (${Variables:E1_8_1_15_kcat} * E1_8_1_15 * G11174 * C00006)/(${Variables:E1_8_1_15_km} + (E1_8_1_15 * G11174 * C00006))</v>
      </c>
    </row>
    <row r="598" spans="1:11">
      <c r="A598" t="s">
        <v>4779</v>
      </c>
      <c r="B598" t="s">
        <v>4780</v>
      </c>
      <c r="C598" t="s">
        <v>15559</v>
      </c>
      <c r="D598">
        <v>597</v>
      </c>
      <c r="E598" t="str">
        <f t="shared" si="27"/>
        <v>E1_17_7_1</v>
      </c>
      <c r="F598" t="s">
        <v>15930</v>
      </c>
      <c r="G598" t="s">
        <v>15931</v>
      </c>
      <c r="H598" t="s">
        <v>15811</v>
      </c>
      <c r="I598" t="s">
        <v>15810</v>
      </c>
      <c r="J598" t="str">
        <f t="shared" si="28"/>
        <v>(${Variables:E1_17_7_1_kcat} * E1_17_7_1 * C11453 * C00138)/(${Variables:E1_17_7_1_km} + (E1_17_7_1 * C11453 * C00138))</v>
      </c>
      <c r="K598" s="21" t="str">
        <f t="shared" si="29"/>
        <v>r597: C11453 + C00138 -&gt; C11811 + C00001 + C00139 | (${Variables:E1_17_7_1_kcat} * E1_17_7_1 * C11453 * C00138)/(${Variables:E1_17_7_1_km} + (E1_17_7_1 * C11453 * C00138))</v>
      </c>
    </row>
    <row r="599" spans="1:11">
      <c r="A599" t="s">
        <v>4787</v>
      </c>
      <c r="B599" t="s">
        <v>4788</v>
      </c>
      <c r="C599" t="s">
        <v>15560</v>
      </c>
      <c r="D599">
        <v>598</v>
      </c>
      <c r="E599" t="str">
        <f t="shared" si="27"/>
        <v>E1_1_1_267</v>
      </c>
      <c r="F599" t="s">
        <v>10889</v>
      </c>
      <c r="G599" t="s">
        <v>11635</v>
      </c>
      <c r="H599" t="s">
        <v>10890</v>
      </c>
      <c r="I599" t="s">
        <v>12346</v>
      </c>
      <c r="J599" t="str">
        <f t="shared" si="28"/>
        <v>(${Variables:E1_1_1_267_kcat} * E1_1_1_267 * C11434 * C00006)/(${Variables:E1_1_1_267_km} + (E1_1_1_267 * C11434 * C00006))</v>
      </c>
      <c r="K599" s="21" t="str">
        <f t="shared" si="29"/>
        <v>r598: C11434 + C00006 -&gt; C11437 + C00005 + C00080 | (${Variables:E1_1_1_267_kcat} * E1_1_1_267 * C11434 * C00006)/(${Variables:E1_1_1_267_km} + (E1_1_1_267 * C11434 * C00006))</v>
      </c>
    </row>
    <row r="600" spans="1:11">
      <c r="A600" t="s">
        <v>4799</v>
      </c>
      <c r="B600" t="s">
        <v>4800</v>
      </c>
      <c r="C600" t="s">
        <v>15561</v>
      </c>
      <c r="D600">
        <v>599</v>
      </c>
      <c r="E600" t="str">
        <f t="shared" si="27"/>
        <v>E2_7_7_41</v>
      </c>
      <c r="F600" t="s">
        <v>10891</v>
      </c>
      <c r="G600" t="s">
        <v>11636</v>
      </c>
      <c r="H600" t="s">
        <v>10892</v>
      </c>
      <c r="I600" t="s">
        <v>12347</v>
      </c>
      <c r="J600" t="str">
        <f t="shared" si="28"/>
        <v>(${Variables:E2_7_7_41_kcat} * E2_7_7_41 * C00063 * C00416)/(${Variables:E2_7_7_41_km} + (E2_7_7_41 * C00063 * C00416))</v>
      </c>
      <c r="K600" s="21" t="str">
        <f t="shared" si="29"/>
        <v>r599: C00063 + C00416 -&gt; C00013 + C00269 | (${Variables:E2_7_7_41_kcat} * E2_7_7_41 * C00063 * C00416)/(${Variables:E2_7_7_41_km} + (E2_7_7_41 * C00063 * C00416))</v>
      </c>
    </row>
    <row r="601" spans="1:11">
      <c r="A601" t="s">
        <v>4807</v>
      </c>
      <c r="B601" t="s">
        <v>4808</v>
      </c>
      <c r="C601" t="s">
        <v>15562</v>
      </c>
      <c r="D601">
        <v>600</v>
      </c>
      <c r="E601" t="str">
        <f t="shared" si="27"/>
        <v>E2_7_4_22</v>
      </c>
      <c r="F601" t="s">
        <v>10893</v>
      </c>
      <c r="G601" t="s">
        <v>11637</v>
      </c>
      <c r="H601" t="s">
        <v>10894</v>
      </c>
      <c r="I601" t="s">
        <v>12348</v>
      </c>
      <c r="J601" t="str">
        <f t="shared" si="28"/>
        <v>(${Variables:E2_7_4_22_kcat} * E2_7_4_22 * C00002 * C00105 )/(${Variables:E2_7_4_22_km} + (E2_7_4_22 * C00002 * C00105 ))</v>
      </c>
      <c r="K601" s="21" t="str">
        <f t="shared" si="29"/>
        <v>r600: C00002 + C00105  -&gt; C00008 + C00015 | (${Variables:E2_7_4_22_kcat} * E2_7_4_22 * C00002 * C00105 )/(${Variables:E2_7_4_22_km} + (E2_7_4_22 * C00002 * C00105 ))</v>
      </c>
    </row>
    <row r="602" spans="1:11">
      <c r="A602" t="s">
        <v>4858</v>
      </c>
      <c r="B602" t="s">
        <v>4859</v>
      </c>
      <c r="C602" t="s">
        <v>15563</v>
      </c>
      <c r="D602">
        <v>601</v>
      </c>
      <c r="E602" t="str">
        <f t="shared" si="27"/>
        <v>E2_1_1_228</v>
      </c>
      <c r="F602" t="s">
        <v>10895</v>
      </c>
      <c r="G602" t="s">
        <v>11638</v>
      </c>
      <c r="H602" t="s">
        <v>10896</v>
      </c>
      <c r="I602" t="s">
        <v>12349</v>
      </c>
      <c r="J602" t="str">
        <f t="shared" si="28"/>
        <v>(${Variables:E2_1_1_228_kcat} * E2_1_1_228 * C00019 * C01977 )/(${Variables:E2_1_1_228_km} + (E2_1_1_228 * C00019 * C01977 ))</v>
      </c>
      <c r="K602" s="21" t="str">
        <f t="shared" si="29"/>
        <v>r601: C00019 + C01977  -&gt; C00021 + C04157 | (${Variables:E2_1_1_228_kcat} * E2_1_1_228 * C00019 * C01977 )/(${Variables:E2_1_1_228_km} + (E2_1_1_228 * C00019 * C01977 ))</v>
      </c>
    </row>
    <row r="603" spans="1:11">
      <c r="A603" t="s">
        <v>4918</v>
      </c>
      <c r="B603" t="s">
        <v>4919</v>
      </c>
      <c r="C603" t="s">
        <v>15564</v>
      </c>
      <c r="D603">
        <v>602</v>
      </c>
      <c r="E603" t="str">
        <f t="shared" si="27"/>
        <v>E3_6_1_7</v>
      </c>
      <c r="F603" t="s">
        <v>10897</v>
      </c>
      <c r="G603" t="s">
        <v>11639</v>
      </c>
      <c r="H603" t="s">
        <v>10898</v>
      </c>
      <c r="I603" t="s">
        <v>12350</v>
      </c>
      <c r="J603" t="str">
        <f t="shared" si="28"/>
        <v>(${Variables:E3_6_1_7_kcat} * E3_6_1_7 * C02133 * C00001)/(${Variables:E3_6_1_7_km} + (E3_6_1_7 * C02133 * C00001))</v>
      </c>
      <c r="K603" s="21" t="str">
        <f t="shared" si="29"/>
        <v>r602: C02133 + C00001 -&gt; C00060 + C00009 | (${Variables:E3_6_1_7_kcat} * E3_6_1_7 * C02133 * C00001)/(${Variables:E3_6_1_7_km} + (E3_6_1_7 * C02133 * C00001))</v>
      </c>
    </row>
    <row r="604" spans="1:11">
      <c r="A604" t="s">
        <v>4918</v>
      </c>
      <c r="B604" t="s">
        <v>4919</v>
      </c>
      <c r="C604" t="s">
        <v>15564</v>
      </c>
      <c r="D604">
        <v>603</v>
      </c>
      <c r="E604" t="str">
        <f t="shared" si="27"/>
        <v>E3_6_1_7</v>
      </c>
      <c r="F604" t="s">
        <v>10899</v>
      </c>
      <c r="G604" t="s">
        <v>11640</v>
      </c>
      <c r="H604" t="s">
        <v>10900</v>
      </c>
      <c r="I604" t="s">
        <v>12351</v>
      </c>
      <c r="J604" t="str">
        <f t="shared" si="28"/>
        <v>(${Variables:E3_6_1_7_kcat} * E3_6_1_7 * C00227 * C00001 )/(${Variables:E3_6_1_7_km} + (E3_6_1_7 * C00227 * C00001 ))</v>
      </c>
      <c r="K604" s="21" t="str">
        <f t="shared" si="29"/>
        <v>r603: C00227 + C00001  -&gt; C00033 + C00009 | (${Variables:E3_6_1_7_kcat} * E3_6_1_7 * C00227 * C00001 )/(${Variables:E3_6_1_7_km} + (E3_6_1_7 * C00227 * C00001 ))</v>
      </c>
    </row>
    <row r="605" spans="1:11">
      <c r="A605" t="s">
        <v>4918</v>
      </c>
      <c r="B605" t="s">
        <v>4919</v>
      </c>
      <c r="C605" t="s">
        <v>15564</v>
      </c>
      <c r="D605">
        <v>604</v>
      </c>
      <c r="E605" t="str">
        <f t="shared" si="27"/>
        <v>E3_6_1_7</v>
      </c>
      <c r="F605" t="s">
        <v>10901</v>
      </c>
      <c r="G605" t="s">
        <v>11641</v>
      </c>
      <c r="H605" t="s">
        <v>10902</v>
      </c>
      <c r="I605" t="s">
        <v>12352</v>
      </c>
      <c r="J605" t="str">
        <f t="shared" si="28"/>
        <v>(${Variables:E3_6_1_7_kcat} * E3_6_1_7 * C06206 * C00001)/(${Variables:E3_6_1_7_km} + (E3_6_1_7 * C06206 * C00001))</v>
      </c>
      <c r="K605" s="21" t="str">
        <f t="shared" si="29"/>
        <v>r604: C06206 + C00001 -&gt; C00180 + C00009 | (${Variables:E3_6_1_7_kcat} * E3_6_1_7 * C06206 * C00001)/(${Variables:E3_6_1_7_km} + (E3_6_1_7 * C06206 * C00001))</v>
      </c>
    </row>
    <row r="606" spans="1:11">
      <c r="A606" t="s">
        <v>4918</v>
      </c>
      <c r="B606" t="s">
        <v>4919</v>
      </c>
      <c r="C606" t="s">
        <v>15564</v>
      </c>
      <c r="D606">
        <v>605</v>
      </c>
      <c r="E606" t="str">
        <f t="shared" si="27"/>
        <v>E3_6_1_7</v>
      </c>
      <c r="F606" t="s">
        <v>10903</v>
      </c>
      <c r="G606" t="s">
        <v>11642</v>
      </c>
      <c r="H606" t="s">
        <v>10904</v>
      </c>
      <c r="I606" t="s">
        <v>12353</v>
      </c>
      <c r="J606" t="str">
        <f t="shared" si="28"/>
        <v>(${Variables:E3_6_1_7_kcat} * E3_6_1_7 * C00236 * C00001)/(${Variables:E3_6_1_7_km} + (E3_6_1_7 * C00236 * C00001))</v>
      </c>
      <c r="K606" s="21" t="str">
        <f t="shared" si="29"/>
        <v>r605: C00236 + C00001 -&gt; C00197 + C00009 | (${Variables:E3_6_1_7_kcat} * E3_6_1_7 * C00236 * C00001)/(${Variables:E3_6_1_7_km} + (E3_6_1_7 * C00236 * C00001))</v>
      </c>
    </row>
    <row r="607" spans="1:11">
      <c r="A607" t="s">
        <v>4941</v>
      </c>
      <c r="B607" t="s">
        <v>4942</v>
      </c>
      <c r="C607" t="s">
        <v>15565</v>
      </c>
      <c r="D607">
        <v>606</v>
      </c>
      <c r="E607" t="str">
        <f t="shared" si="27"/>
        <v>E1_4_1_2</v>
      </c>
      <c r="F607" t="s">
        <v>10905</v>
      </c>
      <c r="G607" t="s">
        <v>11643</v>
      </c>
      <c r="H607" t="s">
        <v>10906</v>
      </c>
      <c r="I607" t="s">
        <v>12354</v>
      </c>
      <c r="J607" t="str">
        <f t="shared" si="28"/>
        <v>(${Variables:E1_4_1_2_kcat} * E1_4_1_2 * C00025 * C00003 * C00001)/(${Variables:E1_4_1_2_km} + (E1_4_1_2 * C00025 * C00003 * C00001))</v>
      </c>
      <c r="K607" s="21" t="str">
        <f t="shared" si="29"/>
        <v>r606: C00025 + C00003 + C00001 -&gt; C00026 + C00014 + C00004 + C00080 | (${Variables:E1_4_1_2_kcat} * E1_4_1_2 * C00025 * C00003 * C00001)/(${Variables:E1_4_1_2_km} + (E1_4_1_2 * C00025 * C00003 * C00001))</v>
      </c>
    </row>
    <row r="608" spans="1:11">
      <c r="A608" t="s">
        <v>4941</v>
      </c>
      <c r="B608" t="s">
        <v>4942</v>
      </c>
      <c r="C608" t="s">
        <v>15565</v>
      </c>
      <c r="D608">
        <v>607</v>
      </c>
      <c r="E608" t="str">
        <f t="shared" si="27"/>
        <v>E1_4_1_2</v>
      </c>
      <c r="F608" t="s">
        <v>9735</v>
      </c>
      <c r="G608" t="s">
        <v>11644</v>
      </c>
      <c r="H608" t="s">
        <v>9736</v>
      </c>
      <c r="I608" t="s">
        <v>12355</v>
      </c>
      <c r="J608" t="str">
        <f t="shared" si="28"/>
        <v>(${Variables:E1_4_1_2_kcat} * E1_4_1_2 * C05167 * C00001 * C00003 )/(${Variables:E1_4_1_2_km} + (E1_4_1_2 * C05167 * C00001 * C00003 ))</v>
      </c>
      <c r="K608" s="21" t="str">
        <f t="shared" si="29"/>
        <v>r607: C05167 + C00001 + C00003  -&gt; C00161 + C00014 + C00004 + C00080 | (${Variables:E1_4_1_2_kcat} * E1_4_1_2 * C05167 * C00001 * C00003 )/(${Variables:E1_4_1_2_km} + (E1_4_1_2 * C05167 * C00001 * C00003 ))</v>
      </c>
    </row>
    <row r="609" spans="1:11">
      <c r="A609" t="s">
        <v>4941</v>
      </c>
      <c r="B609" t="s">
        <v>4942</v>
      </c>
      <c r="C609" t="s">
        <v>15565</v>
      </c>
      <c r="D609">
        <v>608</v>
      </c>
      <c r="E609" t="str">
        <f t="shared" si="27"/>
        <v>E1_4_1_2</v>
      </c>
      <c r="F609" t="s">
        <v>10907</v>
      </c>
      <c r="G609" t="s">
        <v>11645</v>
      </c>
      <c r="H609" t="s">
        <v>9738</v>
      </c>
      <c r="I609" t="s">
        <v>12356</v>
      </c>
      <c r="J609" t="str">
        <f t="shared" si="28"/>
        <v>(${Variables:E1_4_1_2_kcat} * E1_4_1_2 * C05167 * C00001 * C00006)/(${Variables:E1_4_1_2_km} + (E1_4_1_2 * C05167 * C00001 * C00006))</v>
      </c>
      <c r="K609" s="21" t="str">
        <f t="shared" si="29"/>
        <v>r608: C05167 + C00001 + C00006 -&gt; C00161 + C00014 + C00005 + C00080 | (${Variables:E1_4_1_2_kcat} * E1_4_1_2 * C05167 * C00001 * C00006)/(${Variables:E1_4_1_2_km} + (E1_4_1_2 * C05167 * C00001 * C00006))</v>
      </c>
    </row>
    <row r="610" spans="1:11">
      <c r="A610" t="s">
        <v>4945</v>
      </c>
      <c r="B610" t="s">
        <v>4946</v>
      </c>
      <c r="C610" t="s">
        <v>15566</v>
      </c>
      <c r="D610">
        <v>609</v>
      </c>
      <c r="E610" t="str">
        <f t="shared" si="27"/>
        <v>E2_7_1_165</v>
      </c>
      <c r="F610" t="s">
        <v>10908</v>
      </c>
      <c r="G610" t="s">
        <v>11646</v>
      </c>
      <c r="H610" t="s">
        <v>10909</v>
      </c>
      <c r="I610" t="s">
        <v>12357</v>
      </c>
      <c r="J610" t="str">
        <f t="shared" si="28"/>
        <v>(${Variables:E2_7_1_165_kcat} * E2_7_1_165 * C00258 * C00002)/(${Variables:E2_7_1_165_km} + (E2_7_1_165 * C00258 * C00002))</v>
      </c>
      <c r="K610" s="21" t="str">
        <f t="shared" si="29"/>
        <v>r609: C00258 + C00002 -&gt; C00631 + C00008 | (${Variables:E2_7_1_165_kcat} * E2_7_1_165 * C00258 * C00002)/(${Variables:E2_7_1_165_km} + (E2_7_1_165 * C00258 * C00002))</v>
      </c>
    </row>
    <row r="611" spans="1:11">
      <c r="A611" t="s">
        <v>4954</v>
      </c>
      <c r="B611" t="s">
        <v>4955</v>
      </c>
      <c r="C611" t="s">
        <v>15567</v>
      </c>
      <c r="D611">
        <v>610</v>
      </c>
      <c r="E611" t="str">
        <f t="shared" si="27"/>
        <v>E2_7_1_40</v>
      </c>
      <c r="F611" t="s">
        <v>10910</v>
      </c>
      <c r="G611" t="s">
        <v>11647</v>
      </c>
      <c r="H611" t="s">
        <v>10911</v>
      </c>
      <c r="I611" t="s">
        <v>12358</v>
      </c>
      <c r="J611" t="str">
        <f t="shared" si="28"/>
        <v>(${Variables:E2_7_1_40_kcat} * E2_7_1_40 * C00002 * C00022)/(${Variables:E2_7_1_40_km} + (E2_7_1_40 * C00002 * C00022))</v>
      </c>
      <c r="K611" s="21" t="str">
        <f t="shared" si="29"/>
        <v>r610: C00002 + C00022 -&gt; C00008 + C00074 | (${Variables:E2_7_1_40_kcat} * E2_7_1_40 * C00002 * C00022)/(${Variables:E2_7_1_40_km} + (E2_7_1_40 * C00002 * C00022))</v>
      </c>
    </row>
    <row r="612" spans="1:11">
      <c r="A612" t="s">
        <v>4954</v>
      </c>
      <c r="B612" t="s">
        <v>4955</v>
      </c>
      <c r="C612" t="s">
        <v>15567</v>
      </c>
      <c r="D612">
        <v>611</v>
      </c>
      <c r="E612" t="str">
        <f t="shared" si="27"/>
        <v>E2_7_1_40</v>
      </c>
      <c r="F612" t="s">
        <v>10912</v>
      </c>
      <c r="G612" t="s">
        <v>11648</v>
      </c>
      <c r="H612" t="s">
        <v>10913</v>
      </c>
      <c r="I612" t="s">
        <v>12359</v>
      </c>
      <c r="J612" t="str">
        <f t="shared" si="28"/>
        <v>(${Variables:E2_7_1_40_kcat} * E2_7_1_40 * C00044 * C00022)/(${Variables:E2_7_1_40_km} + (E2_7_1_40 * C00044 * C00022))</v>
      </c>
      <c r="K612" s="21" t="str">
        <f t="shared" si="29"/>
        <v>r611: C00044 + C00022 -&gt; C00035 + C00074 | (${Variables:E2_7_1_40_kcat} * E2_7_1_40 * C00044 * C00022)/(${Variables:E2_7_1_40_km} + (E2_7_1_40 * C00044 * C00022))</v>
      </c>
    </row>
    <row r="613" spans="1:11">
      <c r="A613" t="s">
        <v>4954</v>
      </c>
      <c r="B613" t="s">
        <v>4955</v>
      </c>
      <c r="C613" t="s">
        <v>15567</v>
      </c>
      <c r="D613">
        <v>612</v>
      </c>
      <c r="E613" t="str">
        <f t="shared" si="27"/>
        <v>E2_7_1_40</v>
      </c>
      <c r="F613" t="s">
        <v>10914</v>
      </c>
      <c r="G613" t="s">
        <v>11649</v>
      </c>
      <c r="H613" t="s">
        <v>15812</v>
      </c>
      <c r="I613" t="s">
        <v>15813</v>
      </c>
      <c r="J613" t="str">
        <f t="shared" si="28"/>
        <v>(${Variables:E2_7_1_40_kcat} * E2_7_1_40 * C00063 * C00022 )/(${Variables:E2_7_1_40_km} + (E2_7_1_40 * C00063 * C00022 ))</v>
      </c>
      <c r="K613" s="21" t="str">
        <f t="shared" si="29"/>
        <v>r612: C00063 + C00022  -&gt; C00112 + C00074 | (${Variables:E2_7_1_40_kcat} * E2_7_1_40 * C00063 * C00022 )/(${Variables:E2_7_1_40_km} + (E2_7_1_40 * C00063 * C00022 ))</v>
      </c>
    </row>
    <row r="614" spans="1:11">
      <c r="A614" t="s">
        <v>4954</v>
      </c>
      <c r="B614" t="s">
        <v>4955</v>
      </c>
      <c r="C614" t="s">
        <v>15567</v>
      </c>
      <c r="D614">
        <v>613</v>
      </c>
      <c r="E614" t="str">
        <f t="shared" si="27"/>
        <v>E2_7_1_40</v>
      </c>
      <c r="F614" t="s">
        <v>10915</v>
      </c>
      <c r="G614" t="s">
        <v>11650</v>
      </c>
      <c r="H614" t="s">
        <v>10916</v>
      </c>
      <c r="I614" t="s">
        <v>12360</v>
      </c>
      <c r="J614" t="str">
        <f t="shared" si="28"/>
        <v>(${Variables:E2_7_1_40_kcat} * E2_7_1_40 * C00075 * C00022)/(${Variables:E2_7_1_40_km} + (E2_7_1_40 * C00075 * C00022))</v>
      </c>
      <c r="K614" s="21" t="str">
        <f t="shared" si="29"/>
        <v>r613: C00075 + C00022 -&gt; C00015 + C00074 | (${Variables:E2_7_1_40_kcat} * E2_7_1_40 * C00075 * C00022)/(${Variables:E2_7_1_40_km} + (E2_7_1_40 * C00075 * C00022))</v>
      </c>
    </row>
    <row r="615" spans="1:11">
      <c r="A615" t="s">
        <v>4954</v>
      </c>
      <c r="B615" t="s">
        <v>4955</v>
      </c>
      <c r="C615" t="s">
        <v>15567</v>
      </c>
      <c r="D615">
        <v>614</v>
      </c>
      <c r="E615" t="str">
        <f t="shared" si="27"/>
        <v>E2_7_1_40</v>
      </c>
      <c r="F615" t="s">
        <v>10917</v>
      </c>
      <c r="G615" t="s">
        <v>11651</v>
      </c>
      <c r="H615" t="s">
        <v>10918</v>
      </c>
      <c r="I615" t="s">
        <v>12361</v>
      </c>
      <c r="J615" t="str">
        <f t="shared" si="28"/>
        <v>(${Variables:E2_7_1_40_kcat} * E2_7_1_40 * C00081 * C00022 )/(${Variables:E2_7_1_40_km} + (E2_7_1_40 * C00081 * C00022 ))</v>
      </c>
      <c r="K615" s="21" t="str">
        <f t="shared" si="29"/>
        <v>r614: C00081 + C00022  -&gt; C00104 + C00074 | (${Variables:E2_7_1_40_kcat} * E2_7_1_40 * C00081 * C00022 )/(${Variables:E2_7_1_40_km} + (E2_7_1_40 * C00081 * C00022 ))</v>
      </c>
    </row>
    <row r="616" spans="1:11">
      <c r="A616" t="s">
        <v>4954</v>
      </c>
      <c r="B616" t="s">
        <v>4955</v>
      </c>
      <c r="C616" t="s">
        <v>15567</v>
      </c>
      <c r="D616">
        <v>615</v>
      </c>
      <c r="E616" t="str">
        <f t="shared" si="27"/>
        <v>E2_7_1_40</v>
      </c>
      <c r="F616" t="s">
        <v>10919</v>
      </c>
      <c r="G616" t="s">
        <v>11652</v>
      </c>
      <c r="H616" t="s">
        <v>15814</v>
      </c>
      <c r="I616" t="s">
        <v>15932</v>
      </c>
      <c r="J616" t="str">
        <f t="shared" si="28"/>
        <v>(${Variables:E2_7_1_40_kcat} * E2_7_1_40 * C00131 * C00022 )/(${Variables:E2_7_1_40_km} + (E2_7_1_40 * C00131 * C00022 ))</v>
      </c>
      <c r="K616" s="21" t="str">
        <f t="shared" si="29"/>
        <v>r615: C00131 + C00022  -&gt; C00206 + C00074 | (${Variables:E2_7_1_40_kcat} * E2_7_1_40 * C00131 * C00022 )/(${Variables:E2_7_1_40_km} + (E2_7_1_40 * C00131 * C00022 ))</v>
      </c>
    </row>
    <row r="617" spans="1:11">
      <c r="A617" t="s">
        <v>4954</v>
      </c>
      <c r="B617" t="s">
        <v>4955</v>
      </c>
      <c r="C617" t="s">
        <v>15567</v>
      </c>
      <c r="D617">
        <v>616</v>
      </c>
      <c r="E617" t="str">
        <f t="shared" si="27"/>
        <v>E2_7_1_40</v>
      </c>
      <c r="F617" t="s">
        <v>10920</v>
      </c>
      <c r="G617" t="s">
        <v>11653</v>
      </c>
      <c r="H617" t="s">
        <v>10921</v>
      </c>
      <c r="I617" t="s">
        <v>12362</v>
      </c>
      <c r="J617" t="str">
        <f t="shared" si="28"/>
        <v>(${Variables:E2_7_1_40_kcat} * E2_7_1_40 * C00286 * C00022)/(${Variables:E2_7_1_40_km} + (E2_7_1_40 * C00286 * C00022))</v>
      </c>
      <c r="K617" s="21" t="str">
        <f t="shared" si="29"/>
        <v>r616: C00286 + C00022 -&gt; C00361 + C00074 | (${Variables:E2_7_1_40_kcat} * E2_7_1_40 * C00286 * C00022)/(${Variables:E2_7_1_40_km} + (E2_7_1_40 * C00286 * C00022))</v>
      </c>
    </row>
    <row r="618" spans="1:11">
      <c r="A618" t="s">
        <v>4954</v>
      </c>
      <c r="B618" t="s">
        <v>4955</v>
      </c>
      <c r="C618" t="s">
        <v>15567</v>
      </c>
      <c r="D618">
        <v>617</v>
      </c>
      <c r="E618" t="str">
        <f t="shared" si="27"/>
        <v>E2_7_1_40</v>
      </c>
      <c r="F618" t="s">
        <v>10922</v>
      </c>
      <c r="G618" t="s">
        <v>11654</v>
      </c>
      <c r="H618" t="s">
        <v>10923</v>
      </c>
      <c r="I618" t="s">
        <v>12363</v>
      </c>
      <c r="J618" t="str">
        <f t="shared" si="28"/>
        <v>(${Variables:E2_7_1_40_kcat} * E2_7_1_40 * C00201 * C00022)/(${Variables:E2_7_1_40_km} + (E2_7_1_40 * C00201 * C00022))</v>
      </c>
      <c r="K618" s="21" t="str">
        <f t="shared" si="29"/>
        <v>r617: C00201 + C00022 -&gt; C00454 + C00074 | (${Variables:E2_7_1_40_kcat} * E2_7_1_40 * C00201 * C00022)/(${Variables:E2_7_1_40_km} + (E2_7_1_40 * C00201 * C00022))</v>
      </c>
    </row>
    <row r="619" spans="1:11">
      <c r="A619" t="s">
        <v>4962</v>
      </c>
      <c r="B619" t="s">
        <v>4963</v>
      </c>
      <c r="C619" t="s">
        <v>15568</v>
      </c>
      <c r="D619">
        <v>618</v>
      </c>
      <c r="E619" t="str">
        <f t="shared" si="27"/>
        <v>E4_1_1_48</v>
      </c>
      <c r="F619" t="s">
        <v>9049</v>
      </c>
      <c r="G619" t="s">
        <v>9049</v>
      </c>
      <c r="H619" t="s">
        <v>10924</v>
      </c>
      <c r="I619" t="s">
        <v>12364</v>
      </c>
      <c r="J619" t="str">
        <f t="shared" si="28"/>
        <v>(${Variables:E4_1_1_48_kcat} * E4_1_1_48 * C01302)/(${Variables:E4_1_1_48_km} + (E4_1_1_48 * C01302))</v>
      </c>
      <c r="K619" s="21" t="str">
        <f t="shared" si="29"/>
        <v>r618: C01302 -&gt; C03506 + C00011 + C00001 | (${Variables:E4_1_1_48_kcat} * E4_1_1_48 * C01302)/(${Variables:E4_1_1_48_km} + (E4_1_1_48 * C01302))</v>
      </c>
    </row>
    <row r="620" spans="1:11">
      <c r="A620" t="s">
        <v>4976</v>
      </c>
      <c r="B620" t="s">
        <v>4977</v>
      </c>
      <c r="C620" t="s">
        <v>15411</v>
      </c>
      <c r="D620">
        <v>619</v>
      </c>
      <c r="E620" t="str">
        <f t="shared" si="27"/>
        <v>E3_1_3_25</v>
      </c>
      <c r="F620" t="s">
        <v>10307</v>
      </c>
      <c r="G620" t="s">
        <v>11436</v>
      </c>
      <c r="H620" t="s">
        <v>10308</v>
      </c>
      <c r="I620" t="s">
        <v>12122</v>
      </c>
      <c r="J620" t="str">
        <f t="shared" si="28"/>
        <v>(${Variables:E3_1_3_25_kcat} * E3_1_3_25 * C15585 * C00001 )/(${Variables:E3_1_3_25_km} + (E3_1_3_25 * C15585 * C00001 ))</v>
      </c>
      <c r="K620" s="21" t="str">
        <f t="shared" si="29"/>
        <v>r619: C15585 + C00001  -&gt; C00137 + C00009 | (${Variables:E3_1_3_25_kcat} * E3_1_3_25 * C15585 * C00001 )/(${Variables:E3_1_3_25_km} + (E3_1_3_25 * C15585 * C00001 ))</v>
      </c>
    </row>
    <row r="621" spans="1:11">
      <c r="A621" t="s">
        <v>4976</v>
      </c>
      <c r="B621" t="s">
        <v>4977</v>
      </c>
      <c r="C621" t="s">
        <v>15411</v>
      </c>
      <c r="D621">
        <v>620</v>
      </c>
      <c r="E621" t="str">
        <f t="shared" si="27"/>
        <v>E3_1_3_25</v>
      </c>
      <c r="F621" t="s">
        <v>10309</v>
      </c>
      <c r="G621" t="s">
        <v>11437</v>
      </c>
      <c r="H621" t="s">
        <v>10308</v>
      </c>
      <c r="I621" t="s">
        <v>12122</v>
      </c>
      <c r="J621" t="str">
        <f t="shared" si="28"/>
        <v>(${Variables:E3_1_3_25_kcat} * E3_1_3_25 * C01177 * C00001)/(${Variables:E3_1_3_25_km} + (E3_1_3_25 * C01177 * C00001))</v>
      </c>
      <c r="K621" s="21" t="str">
        <f t="shared" si="29"/>
        <v>r620: C01177 + C00001 -&gt; C00137 + C00009 | (${Variables:E3_1_3_25_kcat} * E3_1_3_25 * C01177 * C00001)/(${Variables:E3_1_3_25_km} + (E3_1_3_25 * C01177 * C00001))</v>
      </c>
    </row>
    <row r="622" spans="1:11">
      <c r="A622" t="s">
        <v>4976</v>
      </c>
      <c r="B622" t="s">
        <v>4977</v>
      </c>
      <c r="C622" t="s">
        <v>15411</v>
      </c>
      <c r="D622">
        <v>621</v>
      </c>
      <c r="E622" t="str">
        <f t="shared" si="27"/>
        <v>E3_1_3_25</v>
      </c>
      <c r="F622" t="s">
        <v>10310</v>
      </c>
      <c r="G622" t="s">
        <v>11438</v>
      </c>
      <c r="H622" t="s">
        <v>10308</v>
      </c>
      <c r="I622" t="s">
        <v>12122</v>
      </c>
      <c r="J622" t="str">
        <f t="shared" si="28"/>
        <v>(${Variables:E3_1_3_25_kcat} * E3_1_3_25 * C03546 * C00001)/(${Variables:E3_1_3_25_km} + (E3_1_3_25 * C03546 * C00001))</v>
      </c>
      <c r="K622" s="21" t="str">
        <f t="shared" si="29"/>
        <v>r621: C03546 + C00001 -&gt; C00137 + C00009 | (${Variables:E3_1_3_25_kcat} * E3_1_3_25 * C03546 * C00001)/(${Variables:E3_1_3_25_km} + (E3_1_3_25 * C03546 * C00001))</v>
      </c>
    </row>
    <row r="623" spans="1:11">
      <c r="A623" t="s">
        <v>4976</v>
      </c>
      <c r="B623" t="s">
        <v>4977</v>
      </c>
      <c r="C623" t="s">
        <v>15411</v>
      </c>
      <c r="D623">
        <v>622</v>
      </c>
      <c r="E623" t="str">
        <f t="shared" si="27"/>
        <v>E3_1_3_25</v>
      </c>
      <c r="F623" t="s">
        <v>10311</v>
      </c>
      <c r="G623" t="s">
        <v>11439</v>
      </c>
      <c r="H623" t="s">
        <v>10311</v>
      </c>
      <c r="I623" t="s">
        <v>11439</v>
      </c>
      <c r="J623" t="str">
        <f t="shared" si="28"/>
        <v>(${Variables:E3_1_3_25_kcat} * E3_1_3_25 * C04006 * C00001)/(${Variables:E3_1_3_25_km} + (E3_1_3_25 * C04006 * C00001))</v>
      </c>
      <c r="K623" s="21" t="str">
        <f t="shared" si="29"/>
        <v>r622: C04006 + C00001 -&gt; C04006 + C00001 | (${Variables:E3_1_3_25_kcat} * E3_1_3_25 * C04006 * C00001)/(${Variables:E3_1_3_25_km} + (E3_1_3_25 * C04006 * C00001))</v>
      </c>
    </row>
    <row r="624" spans="1:11">
      <c r="A624" t="s">
        <v>4980</v>
      </c>
      <c r="B624" t="s">
        <v>4981</v>
      </c>
      <c r="C624" t="s">
        <v>15569</v>
      </c>
      <c r="D624">
        <v>623</v>
      </c>
      <c r="E624" t="str">
        <f t="shared" si="27"/>
        <v>E5_3_1_16</v>
      </c>
      <c r="F624" t="s">
        <v>9053</v>
      </c>
      <c r="G624" t="s">
        <v>9053</v>
      </c>
      <c r="H624" t="s">
        <v>9054</v>
      </c>
      <c r="I624" t="s">
        <v>9054</v>
      </c>
      <c r="J624" t="str">
        <f t="shared" si="28"/>
        <v>(${Variables:E5_3_1_16_kcat} * E5_3_1_16 * C04896)/(${Variables:E5_3_1_16_km} + (E5_3_1_16 * C04896))</v>
      </c>
      <c r="K624" s="21" t="str">
        <f t="shared" si="29"/>
        <v>r623: C04896 -&gt; C04916 | (${Variables:E5_3_1_16_kcat} * E5_3_1_16 * C04896)/(${Variables:E5_3_1_16_km} + (E5_3_1_16 * C04896))</v>
      </c>
    </row>
    <row r="625" spans="1:11">
      <c r="A625" t="s">
        <v>4992</v>
      </c>
      <c r="B625" t="s">
        <v>4993</v>
      </c>
      <c r="C625" t="s">
        <v>15570</v>
      </c>
      <c r="D625">
        <v>624</v>
      </c>
      <c r="E625" t="str">
        <f t="shared" si="27"/>
        <v>E4_2_1_19</v>
      </c>
      <c r="F625" t="s">
        <v>9057</v>
      </c>
      <c r="G625" t="s">
        <v>9057</v>
      </c>
      <c r="H625" t="s">
        <v>10925</v>
      </c>
      <c r="I625" t="s">
        <v>12365</v>
      </c>
      <c r="J625" t="str">
        <f t="shared" si="28"/>
        <v>(${Variables:E4_2_1_19_kcat} * E4_2_1_19 * C04666 )/(${Variables:E4_2_1_19_km} + (E4_2_1_19 * C04666 ))</v>
      </c>
      <c r="K625" s="21" t="str">
        <f t="shared" si="29"/>
        <v>r624: C04666  -&gt; C01267 + C00001 | (${Variables:E4_2_1_19_kcat} * E4_2_1_19 * C04666 )/(${Variables:E4_2_1_19_km} + (E4_2_1_19 * C04666 ))</v>
      </c>
    </row>
    <row r="626" spans="1:11">
      <c r="A626" t="s">
        <v>4996</v>
      </c>
      <c r="B626" t="s">
        <v>4997</v>
      </c>
      <c r="C626" t="s">
        <v>15571</v>
      </c>
      <c r="D626">
        <v>625</v>
      </c>
      <c r="E626" t="str">
        <f t="shared" si="27"/>
        <v>E2_6_1_9</v>
      </c>
      <c r="F626" t="s">
        <v>10926</v>
      </c>
      <c r="G626" t="s">
        <v>11655</v>
      </c>
      <c r="H626" t="s">
        <v>10927</v>
      </c>
      <c r="I626" t="s">
        <v>12366</v>
      </c>
      <c r="J626" t="str">
        <f t="shared" si="28"/>
        <v>(${Variables:E2_6_1_9_kcat} * E2_6_1_9 * C01100 * C00026)/(${Variables:E2_6_1_9_km} + (E2_6_1_9 * C01100 * C00026))</v>
      </c>
      <c r="K626" s="21" t="str">
        <f t="shared" si="29"/>
        <v>r625: C01100 + C00026 -&gt; C01267 + C00025 | (${Variables:E2_6_1_9_kcat} * E2_6_1_9 * C01100 * C00026)/(${Variables:E2_6_1_9_km} + (E2_6_1_9 * C01100 * C00026))</v>
      </c>
    </row>
    <row r="627" spans="1:11">
      <c r="A627" t="s">
        <v>4996</v>
      </c>
      <c r="B627" t="s">
        <v>4997</v>
      </c>
      <c r="C627" t="s">
        <v>15571</v>
      </c>
      <c r="D627">
        <v>626</v>
      </c>
      <c r="E627" t="str">
        <f t="shared" si="27"/>
        <v>E2_6_1_9</v>
      </c>
      <c r="F627" t="s">
        <v>10928</v>
      </c>
      <c r="G627" t="s">
        <v>11656</v>
      </c>
      <c r="H627" t="s">
        <v>10929</v>
      </c>
      <c r="I627" t="s">
        <v>12367</v>
      </c>
      <c r="J627" t="str">
        <f t="shared" si="28"/>
        <v>(${Variables:E2_6_1_9_kcat} * E2_6_1_9 * C00079 * C00026)/(${Variables:E2_6_1_9_km} + (E2_6_1_9 * C00079 * C00026))</v>
      </c>
      <c r="K627" s="21" t="str">
        <f t="shared" si="29"/>
        <v>r626: C00079 + C00026 -&gt; C00166 + C00025 | (${Variables:E2_6_1_9_kcat} * E2_6_1_9 * C00079 * C00026)/(${Variables:E2_6_1_9_km} + (E2_6_1_9 * C00079 * C00026))</v>
      </c>
    </row>
    <row r="628" spans="1:11">
      <c r="A628" t="s">
        <v>4996</v>
      </c>
      <c r="B628" t="s">
        <v>4997</v>
      </c>
      <c r="C628" t="s">
        <v>15571</v>
      </c>
      <c r="D628">
        <v>627</v>
      </c>
      <c r="E628" t="str">
        <f t="shared" si="27"/>
        <v>E2_6_1_9</v>
      </c>
      <c r="F628" t="s">
        <v>10930</v>
      </c>
      <c r="G628" t="s">
        <v>11657</v>
      </c>
      <c r="H628" t="s">
        <v>10931</v>
      </c>
      <c r="I628" t="s">
        <v>12368</v>
      </c>
      <c r="J628" t="str">
        <f t="shared" si="28"/>
        <v>(${Variables:E2_6_1_9_kcat} * E2_6_1_9 * C00082 * C00026 )/(${Variables:E2_6_1_9_km} + (E2_6_1_9 * C00082 * C00026 ))</v>
      </c>
      <c r="K628" s="21" t="str">
        <f t="shared" si="29"/>
        <v>r627: C00082 + C00026  -&gt; C01179 + C00025 | (${Variables:E2_6_1_9_kcat} * E2_6_1_9 * C00082 * C00026 )/(${Variables:E2_6_1_9_km} + (E2_6_1_9 * C00082 * C00026 ))</v>
      </c>
    </row>
    <row r="629" spans="1:11">
      <c r="A629" t="s">
        <v>5000</v>
      </c>
      <c r="B629" t="s">
        <v>5001</v>
      </c>
      <c r="C629" t="s">
        <v>15572</v>
      </c>
      <c r="D629">
        <v>628</v>
      </c>
      <c r="E629" t="str">
        <f t="shared" si="27"/>
        <v>E1_1_1_23</v>
      </c>
      <c r="F629" t="s">
        <v>15933</v>
      </c>
      <c r="G629" t="s">
        <v>15815</v>
      </c>
      <c r="H629" t="s">
        <v>10933</v>
      </c>
      <c r="I629" t="s">
        <v>12369</v>
      </c>
      <c r="J629" t="str">
        <f t="shared" si="28"/>
        <v>(${Variables:E1_1_1_23_kcat} * E1_1_1_23 * C00860 * C00003 * C00001)/(${Variables:E1_1_1_23_km} + (E1_1_1_23 * C00860 * C00003 * C00001))</v>
      </c>
      <c r="K629" s="21" t="str">
        <f t="shared" si="29"/>
        <v>r628: C00860 + C00003 + C00001 -&gt; C00135 + C00004 + C00080 | (${Variables:E1_1_1_23_kcat} * E1_1_1_23 * C00860 * C00003 * C00001)/(${Variables:E1_1_1_23_km} + (E1_1_1_23 * C00860 * C00003 * C00001))</v>
      </c>
    </row>
    <row r="630" spans="1:11">
      <c r="A630" t="s">
        <v>5000</v>
      </c>
      <c r="B630" t="s">
        <v>5001</v>
      </c>
      <c r="C630" t="s">
        <v>15572</v>
      </c>
      <c r="D630">
        <v>629</v>
      </c>
      <c r="E630" t="str">
        <f t="shared" si="27"/>
        <v>E1_1_1_23</v>
      </c>
      <c r="F630" t="s">
        <v>10932</v>
      </c>
      <c r="G630" t="s">
        <v>11658</v>
      </c>
      <c r="H630" t="s">
        <v>10933</v>
      </c>
      <c r="I630" t="s">
        <v>12369</v>
      </c>
      <c r="J630" t="str">
        <f t="shared" si="28"/>
        <v>(${Variables:E1_1_1_23_kcat} * E1_1_1_23 * C01929 * C00001 * C00003)/(${Variables:E1_1_1_23_km} + (E1_1_1_23 * C01929 * C00001 * C00003))</v>
      </c>
      <c r="K630" s="21" t="str">
        <f t="shared" si="29"/>
        <v>r629: C01929 + C00001 + C00003 -&gt; C00135 + C00004 + C00080 | (${Variables:E1_1_1_23_kcat} * E1_1_1_23 * C01929 * C00001 * C00003)/(${Variables:E1_1_1_23_km} + (E1_1_1_23 * C01929 * C00001 * C00003))</v>
      </c>
    </row>
    <row r="631" spans="1:11">
      <c r="A631" t="s">
        <v>5000</v>
      </c>
      <c r="B631" t="s">
        <v>5001</v>
      </c>
      <c r="C631" t="s">
        <v>15572</v>
      </c>
      <c r="D631">
        <v>630</v>
      </c>
      <c r="E631" t="str">
        <f t="shared" si="27"/>
        <v>E1_1_1_23</v>
      </c>
      <c r="F631" t="s">
        <v>10934</v>
      </c>
      <c r="G631" t="s">
        <v>11659</v>
      </c>
      <c r="H631" t="s">
        <v>10935</v>
      </c>
      <c r="I631" t="s">
        <v>12370</v>
      </c>
      <c r="J631" t="str">
        <f t="shared" si="28"/>
        <v>(${Variables:E1_1_1_23_kcat} * E1_1_1_23 * C00860 * C00003)/(${Variables:E1_1_1_23_km} + (E1_1_1_23 * C00860 * C00003))</v>
      </c>
      <c r="K631" s="21" t="str">
        <f t="shared" si="29"/>
        <v>r630: C00860 + C00003 -&gt; C01929 + C00004 + C00080 | (${Variables:E1_1_1_23_kcat} * E1_1_1_23 * C00860 * C00003)/(${Variables:E1_1_1_23_km} + (E1_1_1_23 * C00860 * C00003))</v>
      </c>
    </row>
    <row r="632" spans="1:11">
      <c r="A632" t="s">
        <v>5013</v>
      </c>
      <c r="B632" t="s">
        <v>5014</v>
      </c>
      <c r="C632" t="s">
        <v>15311</v>
      </c>
      <c r="D632">
        <v>631</v>
      </c>
      <c r="E632" t="str">
        <f t="shared" si="27"/>
        <v>E2_7_7_7</v>
      </c>
      <c r="F632" t="s">
        <v>12722</v>
      </c>
      <c r="G632" t="s">
        <v>12723</v>
      </c>
      <c r="H632" t="s">
        <v>10163</v>
      </c>
      <c r="I632" t="s">
        <v>11305</v>
      </c>
      <c r="J632" t="str">
        <f t="shared" si="28"/>
        <v>(${Variables:E2_7_7_7_kcat} * E2_7_7_7 * C00677 * C00039 )/(${Variables:E2_7_7_7_km} + (E2_7_7_7 * C00677 * C00039 ))</v>
      </c>
      <c r="K632" s="21" t="str">
        <f t="shared" si="29"/>
        <v>r631: C00677 + C00039  -&gt; C00013 + C00039 | (${Variables:E2_7_7_7_kcat} * E2_7_7_7 * C00677 * C00039 )/(${Variables:E2_7_7_7_km} + (E2_7_7_7 * C00677 * C00039 ))</v>
      </c>
    </row>
    <row r="633" spans="1:11">
      <c r="A633" t="s">
        <v>5013</v>
      </c>
      <c r="B633" t="s">
        <v>5014</v>
      </c>
      <c r="C633" t="s">
        <v>15311</v>
      </c>
      <c r="D633">
        <v>632</v>
      </c>
      <c r="E633" t="str">
        <f t="shared" si="27"/>
        <v>E2_7_7_7</v>
      </c>
      <c r="F633" t="s">
        <v>10162</v>
      </c>
      <c r="G633" t="s">
        <v>11301</v>
      </c>
      <c r="H633" s="3" t="s">
        <v>10163</v>
      </c>
      <c r="I633" s="3" t="s">
        <v>11305</v>
      </c>
      <c r="J633" t="str">
        <f t="shared" si="28"/>
        <v>(${Variables:E2_7_7_7_kcat} * E2_7_7_7 * C00131 * C00039)/(${Variables:E2_7_7_7_km} + (E2_7_7_7 * C00131 * C00039))</v>
      </c>
      <c r="K633" s="21" t="str">
        <f t="shared" si="29"/>
        <v>r632: C00131 + C00039 -&gt; C00013 + C00039 | (${Variables:E2_7_7_7_kcat} * E2_7_7_7 * C00131 * C00039)/(${Variables:E2_7_7_7_km} + (E2_7_7_7 * C00131 * C00039))</v>
      </c>
    </row>
    <row r="634" spans="1:11">
      <c r="A634" t="s">
        <v>5013</v>
      </c>
      <c r="B634" t="s">
        <v>5014</v>
      </c>
      <c r="C634" t="s">
        <v>15311</v>
      </c>
      <c r="D634">
        <v>633</v>
      </c>
      <c r="E634" t="str">
        <f t="shared" si="27"/>
        <v>E2_7_7_7</v>
      </c>
      <c r="F634" t="s">
        <v>10164</v>
      </c>
      <c r="G634" t="s">
        <v>11302</v>
      </c>
      <c r="H634" s="3" t="s">
        <v>10163</v>
      </c>
      <c r="I634" s="3" t="s">
        <v>11305</v>
      </c>
      <c r="J634" t="str">
        <f t="shared" si="28"/>
        <v>(${Variables:E2_7_7_7_kcat} * E2_7_7_7 * C00286 * C00039 )/(${Variables:E2_7_7_7_km} + (E2_7_7_7 * C00286 * C00039 ))</v>
      </c>
      <c r="K634" s="21" t="str">
        <f t="shared" si="29"/>
        <v>r633: C00286 + C00039  -&gt; C00013 + C00039 | (${Variables:E2_7_7_7_kcat} * E2_7_7_7 * C00286 * C00039 )/(${Variables:E2_7_7_7_km} + (E2_7_7_7 * C00286 * C00039 ))</v>
      </c>
    </row>
    <row r="635" spans="1:11">
      <c r="A635" t="s">
        <v>5013</v>
      </c>
      <c r="B635" t="s">
        <v>5014</v>
      </c>
      <c r="C635" t="s">
        <v>15311</v>
      </c>
      <c r="D635">
        <v>634</v>
      </c>
      <c r="E635" t="str">
        <f t="shared" si="27"/>
        <v>E2_7_7_7</v>
      </c>
      <c r="F635" t="s">
        <v>10165</v>
      </c>
      <c r="G635" t="s">
        <v>11303</v>
      </c>
      <c r="H635" s="3" t="s">
        <v>10163</v>
      </c>
      <c r="I635" s="3" t="s">
        <v>11305</v>
      </c>
      <c r="J635" t="str">
        <f t="shared" si="28"/>
        <v>(${Variables:E2_7_7_7_kcat} * E2_7_7_7 * C00458 * C00039)/(${Variables:E2_7_7_7_km} + (E2_7_7_7 * C00458 * C00039))</v>
      </c>
      <c r="K635" s="21" t="str">
        <f t="shared" si="29"/>
        <v>r634: C00458 + C00039 -&gt; C00013 + C00039 | (${Variables:E2_7_7_7_kcat} * E2_7_7_7 * C00458 * C00039)/(${Variables:E2_7_7_7_km} + (E2_7_7_7 * C00458 * C00039))</v>
      </c>
    </row>
    <row r="636" spans="1:11">
      <c r="A636" t="s">
        <v>5013</v>
      </c>
      <c r="B636" t="s">
        <v>5014</v>
      </c>
      <c r="C636" t="s">
        <v>15311</v>
      </c>
      <c r="D636">
        <v>635</v>
      </c>
      <c r="E636" t="str">
        <f t="shared" si="27"/>
        <v>E2_7_7_7</v>
      </c>
      <c r="F636" t="s">
        <v>10166</v>
      </c>
      <c r="G636" t="s">
        <v>11304</v>
      </c>
      <c r="H636" s="3" t="s">
        <v>10163</v>
      </c>
      <c r="I636" s="3" t="s">
        <v>11305</v>
      </c>
      <c r="J636" t="str">
        <f t="shared" si="28"/>
        <v>(${Variables:E2_7_7_7_kcat} * E2_7_7_7 * C00459 * C00039 )/(${Variables:E2_7_7_7_km} + (E2_7_7_7 * C00459 * C00039 ))</v>
      </c>
      <c r="K636" s="21" t="str">
        <f t="shared" si="29"/>
        <v>r635: C00459 + C00039  -&gt; C00013 + C00039 | (${Variables:E2_7_7_7_kcat} * E2_7_7_7 * C00459 * C00039 )/(${Variables:E2_7_7_7_km} + (E2_7_7_7 * C00459 * C00039 ))</v>
      </c>
    </row>
    <row r="637" spans="1:11">
      <c r="A637" t="s">
        <v>5013</v>
      </c>
      <c r="B637" t="s">
        <v>5014</v>
      </c>
      <c r="C637" t="s">
        <v>15311</v>
      </c>
      <c r="D637">
        <v>636</v>
      </c>
      <c r="E637" t="str">
        <f t="shared" si="27"/>
        <v>E2_7_7_7</v>
      </c>
      <c r="F637" t="s">
        <v>10167</v>
      </c>
      <c r="G637" t="s">
        <v>10167</v>
      </c>
      <c r="H637" s="3" t="s">
        <v>10168</v>
      </c>
      <c r="I637" s="3" t="s">
        <v>10168</v>
      </c>
      <c r="J637" t="str">
        <f t="shared" si="28"/>
        <v>(${Variables:E2_7_7_7_kcat} * E2_7_7_7 * C11039)/(${Variables:E2_7_7_7_km} + (E2_7_7_7 * C11039))</v>
      </c>
      <c r="K637" s="21" t="str">
        <f t="shared" si="29"/>
        <v>r636: C11039 -&gt; C21031 | (${Variables:E2_7_7_7_kcat} * E2_7_7_7 * C11039)/(${Variables:E2_7_7_7_km} + (E2_7_7_7 * C11039))</v>
      </c>
    </row>
    <row r="638" spans="1:11">
      <c r="A638" t="s">
        <v>5019</v>
      </c>
      <c r="B638" t="s">
        <v>5020</v>
      </c>
      <c r="C638" t="s">
        <v>15573</v>
      </c>
      <c r="D638">
        <v>637</v>
      </c>
      <c r="E638" t="str">
        <f t="shared" si="27"/>
        <v>E2_7_6_5</v>
      </c>
      <c r="F638" t="s">
        <v>10936</v>
      </c>
      <c r="G638" t="s">
        <v>11660</v>
      </c>
      <c r="H638" t="s">
        <v>10937</v>
      </c>
      <c r="I638" t="s">
        <v>12371</v>
      </c>
      <c r="J638" t="str">
        <f t="shared" si="28"/>
        <v>(${Variables:E2_7_6_5_kcat} * E2_7_6_5 * C00002 * C00044)/(${Variables:E2_7_6_5_km} + (E2_7_6_5 * C00002 * C00044))</v>
      </c>
      <c r="K638" s="21" t="str">
        <f t="shared" si="29"/>
        <v>r637: C00002 + C00044 -&gt; C00020 + C04494 | (${Variables:E2_7_6_5_kcat} * E2_7_6_5 * C00002 * C00044)/(${Variables:E2_7_6_5_km} + (E2_7_6_5 * C00002 * C00044))</v>
      </c>
    </row>
    <row r="639" spans="1:11">
      <c r="A639" t="s">
        <v>5033</v>
      </c>
      <c r="B639" t="s">
        <v>5034</v>
      </c>
      <c r="C639" t="s">
        <v>15574</v>
      </c>
      <c r="D639">
        <v>638</v>
      </c>
      <c r="E639" t="str">
        <f t="shared" si="27"/>
        <v>E4_3_1_19</v>
      </c>
      <c r="F639" t="s">
        <v>9081</v>
      </c>
      <c r="G639" t="s">
        <v>9081</v>
      </c>
      <c r="H639" t="s">
        <v>10938</v>
      </c>
      <c r="I639" t="s">
        <v>12372</v>
      </c>
      <c r="J639" t="str">
        <f t="shared" si="28"/>
        <v>(${Variables:E4_3_1_19_kcat} * E4_3_1_19 * C00188)/(${Variables:E4_3_1_19_km} + (E4_3_1_19 * C00188))</v>
      </c>
      <c r="K639" s="21" t="str">
        <f t="shared" si="29"/>
        <v>r638: C00188 -&gt; C00109 + C00014 | (${Variables:E4_3_1_19_kcat} * E4_3_1_19 * C00188)/(${Variables:E4_3_1_19_km} + (E4_3_1_19 * C00188))</v>
      </c>
    </row>
    <row r="640" spans="1:11">
      <c r="A640" t="s">
        <v>5033</v>
      </c>
      <c r="B640" t="s">
        <v>5034</v>
      </c>
      <c r="C640" t="s">
        <v>15574</v>
      </c>
      <c r="D640">
        <v>639</v>
      </c>
      <c r="E640" t="str">
        <f t="shared" si="27"/>
        <v>E4_3_1_19</v>
      </c>
      <c r="F640" t="s">
        <v>10939</v>
      </c>
      <c r="G640" t="s">
        <v>11661</v>
      </c>
      <c r="H640" t="s">
        <v>10938</v>
      </c>
      <c r="I640" t="s">
        <v>12372</v>
      </c>
      <c r="J640" t="str">
        <f t="shared" si="28"/>
        <v>(${Variables:E4_3_1_19_kcat} * E4_3_1_19 * C20905 * C00001)/(${Variables:E4_3_1_19_km} + (E4_3_1_19 * C20905 * C00001))</v>
      </c>
      <c r="K640" s="21" t="str">
        <f t="shared" si="29"/>
        <v>r639: C20905 + C00001 -&gt; C00109 + C00014 | (${Variables:E4_3_1_19_kcat} * E4_3_1_19 * C20905 * C00001)/(${Variables:E4_3_1_19_km} + (E4_3_1_19 * C20905 * C00001))</v>
      </c>
    </row>
    <row r="641" spans="1:11">
      <c r="A641" t="s">
        <v>5033</v>
      </c>
      <c r="B641" t="s">
        <v>5034</v>
      </c>
      <c r="C641" t="s">
        <v>15574</v>
      </c>
      <c r="D641">
        <v>640</v>
      </c>
      <c r="E641" t="str">
        <f t="shared" si="27"/>
        <v>E4_3_1_19</v>
      </c>
      <c r="F641" t="s">
        <v>9084</v>
      </c>
      <c r="G641" t="s">
        <v>9084</v>
      </c>
      <c r="H641" t="s">
        <v>9085</v>
      </c>
      <c r="I641" t="s">
        <v>9085</v>
      </c>
      <c r="J641" t="str">
        <f t="shared" si="28"/>
        <v>(${Variables:E4_3_1_19_kcat} * E4_3_1_19 * C17234)/(${Variables:E4_3_1_19_km} + (E4_3_1_19 * C17234))</v>
      </c>
      <c r="K641" s="21" t="str">
        <f t="shared" si="29"/>
        <v>r640: C17234 -&gt; C20905 | (${Variables:E4_3_1_19_kcat} * E4_3_1_19 * C17234)/(${Variables:E4_3_1_19_km} + (E4_3_1_19 * C17234))</v>
      </c>
    </row>
    <row r="642" spans="1:11">
      <c r="A642" t="s">
        <v>5033</v>
      </c>
      <c r="B642" t="s">
        <v>5034</v>
      </c>
      <c r="C642" t="s">
        <v>15574</v>
      </c>
      <c r="D642">
        <v>641</v>
      </c>
      <c r="E642" t="str">
        <f t="shared" si="27"/>
        <v>E4_3_1_19</v>
      </c>
      <c r="F642" t="s">
        <v>8788</v>
      </c>
      <c r="G642" t="s">
        <v>8788</v>
      </c>
      <c r="H642" t="s">
        <v>10824</v>
      </c>
      <c r="I642" t="s">
        <v>12308</v>
      </c>
      <c r="J642" t="str">
        <f t="shared" si="28"/>
        <v>(${Variables:E4_3_1_19_kcat} * E4_3_1_19 * C00065)/(${Variables:E4_3_1_19_km} + (E4_3_1_19 * C00065))</v>
      </c>
      <c r="K642" s="21" t="str">
        <f t="shared" si="29"/>
        <v>r641: C00065 -&gt; C00022 + C00014 | (${Variables:E4_3_1_19_kcat} * E4_3_1_19 * C00065)/(${Variables:E4_3_1_19_km} + (E4_3_1_19 * C00065))</v>
      </c>
    </row>
    <row r="643" spans="1:11">
      <c r="A643" t="s">
        <v>5033</v>
      </c>
      <c r="B643" t="s">
        <v>5034</v>
      </c>
      <c r="C643" t="s">
        <v>15574</v>
      </c>
      <c r="D643">
        <v>642</v>
      </c>
      <c r="E643" t="str">
        <f t="shared" ref="E643:E706" si="30">"E" &amp; C643</f>
        <v>E4_3_1_19</v>
      </c>
      <c r="F643" t="s">
        <v>8794</v>
      </c>
      <c r="G643" t="s">
        <v>8794</v>
      </c>
      <c r="H643" t="s">
        <v>10827</v>
      </c>
      <c r="I643" t="s">
        <v>12310</v>
      </c>
      <c r="J643" t="str">
        <f t="shared" ref="J643:J706" si="31">CONCATENATE("(${Variables:",E643,"_kcat","} * ",E643," * ",G643,")","/(${Variables:",E643,"_km","} + (",E643," * ",G643,"))")</f>
        <v>(${Variables:E4_3_1_19_kcat} * E4_3_1_19 * C05167)/(${Variables:E4_3_1_19_km} + (E4_3_1_19 * C05167))</v>
      </c>
      <c r="K643" s="21" t="str">
        <f t="shared" ref="K643:K706" si="32">CONCATENATE("r",D643,": ",F643," -&gt; ",H643," | ",J643)</f>
        <v>r642: C05167 -&gt; C00161 + C00014 | (${Variables:E4_3_1_19_kcat} * E4_3_1_19 * C05167)/(${Variables:E4_3_1_19_km} + (E4_3_1_19 * C05167))</v>
      </c>
    </row>
    <row r="644" spans="1:11">
      <c r="A644" t="s">
        <v>5041</v>
      </c>
      <c r="B644" t="s">
        <v>5042</v>
      </c>
      <c r="C644" t="s">
        <v>15311</v>
      </c>
      <c r="D644">
        <v>643</v>
      </c>
      <c r="E644" t="str">
        <f t="shared" si="30"/>
        <v>E2_7_7_7</v>
      </c>
      <c r="F644" t="s">
        <v>12722</v>
      </c>
      <c r="G644" t="s">
        <v>12723</v>
      </c>
      <c r="H644" t="s">
        <v>10163</v>
      </c>
      <c r="I644" t="s">
        <v>11305</v>
      </c>
      <c r="J644" t="str">
        <f t="shared" si="31"/>
        <v>(${Variables:E2_7_7_7_kcat} * E2_7_7_7 * C00677 * C00039 )/(${Variables:E2_7_7_7_km} + (E2_7_7_7 * C00677 * C00039 ))</v>
      </c>
      <c r="K644" s="21" t="str">
        <f t="shared" si="32"/>
        <v>r643: C00677 + C00039  -&gt; C00013 + C00039 | (${Variables:E2_7_7_7_kcat} * E2_7_7_7 * C00677 * C00039 )/(${Variables:E2_7_7_7_km} + (E2_7_7_7 * C00677 * C00039 ))</v>
      </c>
    </row>
    <row r="645" spans="1:11">
      <c r="A645" t="s">
        <v>5041</v>
      </c>
      <c r="B645" t="s">
        <v>5042</v>
      </c>
      <c r="C645" t="s">
        <v>15311</v>
      </c>
      <c r="D645">
        <v>644</v>
      </c>
      <c r="E645" t="str">
        <f t="shared" si="30"/>
        <v>E2_7_7_7</v>
      </c>
      <c r="F645" t="s">
        <v>10162</v>
      </c>
      <c r="G645" t="s">
        <v>11301</v>
      </c>
      <c r="H645" s="3" t="s">
        <v>10163</v>
      </c>
      <c r="I645" s="3" t="s">
        <v>11305</v>
      </c>
      <c r="J645" t="str">
        <f t="shared" si="31"/>
        <v>(${Variables:E2_7_7_7_kcat} * E2_7_7_7 * C00131 * C00039)/(${Variables:E2_7_7_7_km} + (E2_7_7_7 * C00131 * C00039))</v>
      </c>
      <c r="K645" s="21" t="str">
        <f t="shared" si="32"/>
        <v>r644: C00131 + C00039 -&gt; C00013 + C00039 | (${Variables:E2_7_7_7_kcat} * E2_7_7_7 * C00131 * C00039)/(${Variables:E2_7_7_7_km} + (E2_7_7_7 * C00131 * C00039))</v>
      </c>
    </row>
    <row r="646" spans="1:11">
      <c r="A646" t="s">
        <v>5041</v>
      </c>
      <c r="B646" t="s">
        <v>5042</v>
      </c>
      <c r="C646" t="s">
        <v>15311</v>
      </c>
      <c r="D646">
        <v>645</v>
      </c>
      <c r="E646" t="str">
        <f t="shared" si="30"/>
        <v>E2_7_7_7</v>
      </c>
      <c r="F646" t="s">
        <v>10164</v>
      </c>
      <c r="G646" t="s">
        <v>11302</v>
      </c>
      <c r="H646" s="3" t="s">
        <v>10163</v>
      </c>
      <c r="I646" s="3" t="s">
        <v>11305</v>
      </c>
      <c r="J646" t="str">
        <f t="shared" si="31"/>
        <v>(${Variables:E2_7_7_7_kcat} * E2_7_7_7 * C00286 * C00039 )/(${Variables:E2_7_7_7_km} + (E2_7_7_7 * C00286 * C00039 ))</v>
      </c>
      <c r="K646" s="21" t="str">
        <f t="shared" si="32"/>
        <v>r645: C00286 + C00039  -&gt; C00013 + C00039 | (${Variables:E2_7_7_7_kcat} * E2_7_7_7 * C00286 * C00039 )/(${Variables:E2_7_7_7_km} + (E2_7_7_7 * C00286 * C00039 ))</v>
      </c>
    </row>
    <row r="647" spans="1:11">
      <c r="A647" t="s">
        <v>5041</v>
      </c>
      <c r="B647" t="s">
        <v>5042</v>
      </c>
      <c r="C647" t="s">
        <v>15311</v>
      </c>
      <c r="D647">
        <v>646</v>
      </c>
      <c r="E647" t="str">
        <f t="shared" si="30"/>
        <v>E2_7_7_7</v>
      </c>
      <c r="F647" t="s">
        <v>10165</v>
      </c>
      <c r="G647" t="s">
        <v>11303</v>
      </c>
      <c r="H647" s="3" t="s">
        <v>10163</v>
      </c>
      <c r="I647" s="3" t="s">
        <v>11305</v>
      </c>
      <c r="J647" t="str">
        <f t="shared" si="31"/>
        <v>(${Variables:E2_7_7_7_kcat} * E2_7_7_7 * C00458 * C00039)/(${Variables:E2_7_7_7_km} + (E2_7_7_7 * C00458 * C00039))</v>
      </c>
      <c r="K647" s="21" t="str">
        <f t="shared" si="32"/>
        <v>r646: C00458 + C00039 -&gt; C00013 + C00039 | (${Variables:E2_7_7_7_kcat} * E2_7_7_7 * C00458 * C00039)/(${Variables:E2_7_7_7_km} + (E2_7_7_7 * C00458 * C00039))</v>
      </c>
    </row>
    <row r="648" spans="1:11">
      <c r="A648" t="s">
        <v>5041</v>
      </c>
      <c r="B648" t="s">
        <v>5042</v>
      </c>
      <c r="C648" t="s">
        <v>15311</v>
      </c>
      <c r="D648">
        <v>647</v>
      </c>
      <c r="E648" t="str">
        <f t="shared" si="30"/>
        <v>E2_7_7_7</v>
      </c>
      <c r="F648" t="s">
        <v>10166</v>
      </c>
      <c r="G648" t="s">
        <v>11304</v>
      </c>
      <c r="H648" s="3" t="s">
        <v>10163</v>
      </c>
      <c r="I648" s="3" t="s">
        <v>11305</v>
      </c>
      <c r="J648" t="str">
        <f t="shared" si="31"/>
        <v>(${Variables:E2_7_7_7_kcat} * E2_7_7_7 * C00459 * C00039 )/(${Variables:E2_7_7_7_km} + (E2_7_7_7 * C00459 * C00039 ))</v>
      </c>
      <c r="K648" s="21" t="str">
        <f t="shared" si="32"/>
        <v>r647: C00459 + C00039  -&gt; C00013 + C00039 | (${Variables:E2_7_7_7_kcat} * E2_7_7_7 * C00459 * C00039 )/(${Variables:E2_7_7_7_km} + (E2_7_7_7 * C00459 * C00039 ))</v>
      </c>
    </row>
    <row r="649" spans="1:11">
      <c r="A649" t="s">
        <v>5041</v>
      </c>
      <c r="B649" t="s">
        <v>5042</v>
      </c>
      <c r="C649" t="s">
        <v>15311</v>
      </c>
      <c r="D649">
        <v>648</v>
      </c>
      <c r="E649" t="str">
        <f t="shared" si="30"/>
        <v>E2_7_7_7</v>
      </c>
      <c r="F649" t="s">
        <v>10167</v>
      </c>
      <c r="G649" t="s">
        <v>10167</v>
      </c>
      <c r="H649" s="3" t="s">
        <v>10168</v>
      </c>
      <c r="I649" s="3" t="s">
        <v>10168</v>
      </c>
      <c r="J649" t="str">
        <f t="shared" si="31"/>
        <v>(${Variables:E2_7_7_7_kcat} * E2_7_7_7 * C11039)/(${Variables:E2_7_7_7_km} + (E2_7_7_7 * C11039))</v>
      </c>
      <c r="K649" s="21" t="str">
        <f t="shared" si="32"/>
        <v>r648: C11039 -&gt; C21031 | (${Variables:E2_7_7_7_kcat} * E2_7_7_7 * C11039)/(${Variables:E2_7_7_7_km} + (E2_7_7_7 * C11039))</v>
      </c>
    </row>
    <row r="650" spans="1:11">
      <c r="A650" t="s">
        <v>5064</v>
      </c>
      <c r="B650" t="s">
        <v>5065</v>
      </c>
      <c r="C650" t="s">
        <v>15575</v>
      </c>
      <c r="D650">
        <v>649</v>
      </c>
      <c r="E650" t="str">
        <f t="shared" si="30"/>
        <v>E3_5_1_1</v>
      </c>
      <c r="F650" t="s">
        <v>10940</v>
      </c>
      <c r="G650" t="s">
        <v>11662</v>
      </c>
      <c r="H650" t="s">
        <v>10941</v>
      </c>
      <c r="I650" t="s">
        <v>12373</v>
      </c>
      <c r="J650" t="str">
        <f t="shared" si="31"/>
        <v>(${Variables:E3_5_1_1_kcat} * E3_5_1_1 * C00152 * C00001 )/(${Variables:E3_5_1_1_km} + (E3_5_1_1 * C00152 * C00001 ))</v>
      </c>
      <c r="K650" s="21" t="str">
        <f t="shared" si="32"/>
        <v>r649: C00152 + C00001  -&gt; C00049 + C00014 | (${Variables:E3_5_1_1_kcat} * E3_5_1_1 * C00152 * C00001 )/(${Variables:E3_5_1_1_km} + (E3_5_1_1 * C00152 * C00001 ))</v>
      </c>
    </row>
    <row r="651" spans="1:11">
      <c r="A651" t="s">
        <v>5064</v>
      </c>
      <c r="B651" t="s">
        <v>5065</v>
      </c>
      <c r="C651" t="s">
        <v>15575</v>
      </c>
      <c r="D651">
        <v>650</v>
      </c>
      <c r="E651" t="str">
        <f t="shared" si="30"/>
        <v>E3_5_1_1</v>
      </c>
      <c r="F651" t="s">
        <v>9769</v>
      </c>
      <c r="G651" t="s">
        <v>11663</v>
      </c>
      <c r="H651" t="s">
        <v>9770</v>
      </c>
      <c r="I651" t="s">
        <v>12374</v>
      </c>
      <c r="J651" t="str">
        <f t="shared" si="31"/>
        <v>(${Variables:E3_5_1_1_kcat} * E3_5_1_1 * C00241 * C00001)/(${Variables:E3_5_1_1_km} + (E3_5_1_1 * C00241 * C00001))</v>
      </c>
      <c r="K651" s="21" t="str">
        <f t="shared" si="32"/>
        <v>r650: C00241 + C00001 -&gt; C00060 + C00014 | (${Variables:E3_5_1_1_kcat} * E3_5_1_1 * C00241 * C00001)/(${Variables:E3_5_1_1_km} + (E3_5_1_1 * C00241 * C00001))</v>
      </c>
    </row>
    <row r="652" spans="1:11">
      <c r="A652" t="s">
        <v>5067</v>
      </c>
      <c r="B652" t="s">
        <v>5068</v>
      </c>
      <c r="C652" t="s">
        <v>15311</v>
      </c>
      <c r="D652">
        <v>651</v>
      </c>
      <c r="E652" t="str">
        <f t="shared" si="30"/>
        <v>E2_7_7_7</v>
      </c>
      <c r="F652" t="s">
        <v>12722</v>
      </c>
      <c r="G652" t="s">
        <v>12723</v>
      </c>
      <c r="H652" t="s">
        <v>10163</v>
      </c>
      <c r="I652" t="s">
        <v>11305</v>
      </c>
      <c r="J652" t="str">
        <f t="shared" si="31"/>
        <v>(${Variables:E2_7_7_7_kcat} * E2_7_7_7 * C00677 * C00039 )/(${Variables:E2_7_7_7_km} + (E2_7_7_7 * C00677 * C00039 ))</v>
      </c>
      <c r="K652" s="21" t="str">
        <f t="shared" si="32"/>
        <v>r651: C00677 + C00039  -&gt; C00013 + C00039 | (${Variables:E2_7_7_7_kcat} * E2_7_7_7 * C00677 * C00039 )/(${Variables:E2_7_7_7_km} + (E2_7_7_7 * C00677 * C00039 ))</v>
      </c>
    </row>
    <row r="653" spans="1:11">
      <c r="A653" t="s">
        <v>5067</v>
      </c>
      <c r="B653" t="s">
        <v>5068</v>
      </c>
      <c r="C653" t="s">
        <v>15311</v>
      </c>
      <c r="D653">
        <v>652</v>
      </c>
      <c r="E653" t="str">
        <f t="shared" si="30"/>
        <v>E2_7_7_7</v>
      </c>
      <c r="F653" t="s">
        <v>10162</v>
      </c>
      <c r="G653" t="s">
        <v>11301</v>
      </c>
      <c r="H653" s="3" t="s">
        <v>10163</v>
      </c>
      <c r="I653" s="3" t="s">
        <v>11305</v>
      </c>
      <c r="J653" t="str">
        <f t="shared" si="31"/>
        <v>(${Variables:E2_7_7_7_kcat} * E2_7_7_7 * C00131 * C00039)/(${Variables:E2_7_7_7_km} + (E2_7_7_7 * C00131 * C00039))</v>
      </c>
      <c r="K653" s="21" t="str">
        <f t="shared" si="32"/>
        <v>r652: C00131 + C00039 -&gt; C00013 + C00039 | (${Variables:E2_7_7_7_kcat} * E2_7_7_7 * C00131 * C00039)/(${Variables:E2_7_7_7_km} + (E2_7_7_7 * C00131 * C00039))</v>
      </c>
    </row>
    <row r="654" spans="1:11">
      <c r="A654" t="s">
        <v>5067</v>
      </c>
      <c r="B654" t="s">
        <v>5068</v>
      </c>
      <c r="C654" t="s">
        <v>15311</v>
      </c>
      <c r="D654">
        <v>653</v>
      </c>
      <c r="E654" t="str">
        <f t="shared" si="30"/>
        <v>E2_7_7_7</v>
      </c>
      <c r="F654" t="s">
        <v>10164</v>
      </c>
      <c r="G654" t="s">
        <v>11302</v>
      </c>
      <c r="H654" s="3" t="s">
        <v>10163</v>
      </c>
      <c r="I654" s="3" t="s">
        <v>11305</v>
      </c>
      <c r="J654" t="str">
        <f t="shared" si="31"/>
        <v>(${Variables:E2_7_7_7_kcat} * E2_7_7_7 * C00286 * C00039 )/(${Variables:E2_7_7_7_km} + (E2_7_7_7 * C00286 * C00039 ))</v>
      </c>
      <c r="K654" s="21" t="str">
        <f t="shared" si="32"/>
        <v>r653: C00286 + C00039  -&gt; C00013 + C00039 | (${Variables:E2_7_7_7_kcat} * E2_7_7_7 * C00286 * C00039 )/(${Variables:E2_7_7_7_km} + (E2_7_7_7 * C00286 * C00039 ))</v>
      </c>
    </row>
    <row r="655" spans="1:11">
      <c r="A655" t="s">
        <v>5067</v>
      </c>
      <c r="B655" t="s">
        <v>5068</v>
      </c>
      <c r="C655" t="s">
        <v>15311</v>
      </c>
      <c r="D655">
        <v>654</v>
      </c>
      <c r="E655" t="str">
        <f t="shared" si="30"/>
        <v>E2_7_7_7</v>
      </c>
      <c r="F655" t="s">
        <v>10165</v>
      </c>
      <c r="G655" t="s">
        <v>11303</v>
      </c>
      <c r="H655" s="3" t="s">
        <v>10163</v>
      </c>
      <c r="I655" s="3" t="s">
        <v>11305</v>
      </c>
      <c r="J655" t="str">
        <f t="shared" si="31"/>
        <v>(${Variables:E2_7_7_7_kcat} * E2_7_7_7 * C00458 * C00039)/(${Variables:E2_7_7_7_km} + (E2_7_7_7 * C00458 * C00039))</v>
      </c>
      <c r="K655" s="21" t="str">
        <f t="shared" si="32"/>
        <v>r654: C00458 + C00039 -&gt; C00013 + C00039 | (${Variables:E2_7_7_7_kcat} * E2_7_7_7 * C00458 * C00039)/(${Variables:E2_7_7_7_km} + (E2_7_7_7 * C00458 * C00039))</v>
      </c>
    </row>
    <row r="656" spans="1:11">
      <c r="A656" t="s">
        <v>5067</v>
      </c>
      <c r="B656" t="s">
        <v>5068</v>
      </c>
      <c r="C656" t="s">
        <v>15311</v>
      </c>
      <c r="D656">
        <v>655</v>
      </c>
      <c r="E656" t="str">
        <f t="shared" si="30"/>
        <v>E2_7_7_7</v>
      </c>
      <c r="F656" t="s">
        <v>10166</v>
      </c>
      <c r="G656" t="s">
        <v>11304</v>
      </c>
      <c r="H656" s="3" t="s">
        <v>10163</v>
      </c>
      <c r="I656" s="3" t="s">
        <v>11305</v>
      </c>
      <c r="J656" t="str">
        <f t="shared" si="31"/>
        <v>(${Variables:E2_7_7_7_kcat} * E2_7_7_7 * C00459 * C00039 )/(${Variables:E2_7_7_7_km} + (E2_7_7_7 * C00459 * C00039 ))</v>
      </c>
      <c r="K656" s="21" t="str">
        <f t="shared" si="32"/>
        <v>r655: C00459 + C00039  -&gt; C00013 + C00039 | (${Variables:E2_7_7_7_kcat} * E2_7_7_7 * C00459 * C00039 )/(${Variables:E2_7_7_7_km} + (E2_7_7_7 * C00459 * C00039 ))</v>
      </c>
    </row>
    <row r="657" spans="1:11">
      <c r="A657" t="s">
        <v>5067</v>
      </c>
      <c r="B657" t="s">
        <v>5068</v>
      </c>
      <c r="C657" t="s">
        <v>15311</v>
      </c>
      <c r="D657">
        <v>656</v>
      </c>
      <c r="E657" t="str">
        <f t="shared" si="30"/>
        <v>E2_7_7_7</v>
      </c>
      <c r="F657" t="s">
        <v>10167</v>
      </c>
      <c r="G657" t="s">
        <v>10167</v>
      </c>
      <c r="H657" s="3" t="s">
        <v>10168</v>
      </c>
      <c r="I657" s="3" t="s">
        <v>10168</v>
      </c>
      <c r="J657" t="str">
        <f t="shared" si="31"/>
        <v>(${Variables:E2_7_7_7_kcat} * E2_7_7_7 * C11039)/(${Variables:E2_7_7_7_km} + (E2_7_7_7 * C11039))</v>
      </c>
      <c r="K657" s="21" t="str">
        <f t="shared" si="32"/>
        <v>r656: C11039 -&gt; C21031 | (${Variables:E2_7_7_7_kcat} * E2_7_7_7 * C11039)/(${Variables:E2_7_7_7_km} + (E2_7_7_7 * C11039))</v>
      </c>
    </row>
    <row r="658" spans="1:11">
      <c r="A658" t="s">
        <v>5084</v>
      </c>
      <c r="B658" t="s">
        <v>5085</v>
      </c>
      <c r="C658" t="s">
        <v>15576</v>
      </c>
      <c r="D658">
        <v>657</v>
      </c>
      <c r="E658" t="str">
        <f t="shared" si="30"/>
        <v>E6_1_1_5</v>
      </c>
      <c r="F658" t="s">
        <v>10942</v>
      </c>
      <c r="G658" t="s">
        <v>11664</v>
      </c>
      <c r="H658" t="s">
        <v>10943</v>
      </c>
      <c r="I658" t="s">
        <v>12375</v>
      </c>
      <c r="J658" t="str">
        <f t="shared" si="31"/>
        <v>(${Variables:E6_1_1_5_kcat} * E6_1_1_5 * C00002 * C00407 * C01644)/(${Variables:E6_1_1_5_km} + (E6_1_1_5 * C00002 * C00407 * C01644))</v>
      </c>
      <c r="K658" s="21" t="str">
        <f t="shared" si="32"/>
        <v>r657: C00002 + C00407 + C01644 -&gt; C00020 + C00013 + C03127 | (${Variables:E6_1_1_5_kcat} * E6_1_1_5 * C00002 * C00407 * C01644)/(${Variables:E6_1_1_5_km} + (E6_1_1_5 * C00002 * C00407 * C01644))</v>
      </c>
    </row>
    <row r="659" spans="1:11">
      <c r="A659" t="s">
        <v>5115</v>
      </c>
      <c r="B659" t="s">
        <v>5116</v>
      </c>
      <c r="C659" t="s">
        <v>15577</v>
      </c>
      <c r="D659">
        <v>658</v>
      </c>
      <c r="E659" t="str">
        <f t="shared" si="30"/>
        <v>E6_3_2_8</v>
      </c>
      <c r="F659" t="s">
        <v>10944</v>
      </c>
      <c r="G659" t="s">
        <v>11665</v>
      </c>
      <c r="H659" t="s">
        <v>10945</v>
      </c>
      <c r="I659" t="s">
        <v>12376</v>
      </c>
      <c r="J659" t="str">
        <f t="shared" si="31"/>
        <v>(${Variables:E6_3_2_8_kcat} * E6_3_2_8 * C00002 * C01050 * C00041)/(${Variables:E6_3_2_8_km} + (E6_3_2_8 * C00002 * C01050 * C00041))</v>
      </c>
      <c r="K659" s="21" t="str">
        <f t="shared" si="32"/>
        <v>r658: C00002 + C01050 + C00041 -&gt; C00008 + C00009 + C01212 | (${Variables:E6_3_2_8_kcat} * E6_3_2_8 * C00002 * C01050 * C00041)/(${Variables:E6_3_2_8_km} + (E6_3_2_8 * C00002 * C01050 * C00041))</v>
      </c>
    </row>
    <row r="660" spans="1:11">
      <c r="A660" t="s">
        <v>5119</v>
      </c>
      <c r="B660" t="s">
        <v>5120</v>
      </c>
      <c r="C660" t="s">
        <v>15578</v>
      </c>
      <c r="D660">
        <v>659</v>
      </c>
      <c r="E660" t="str">
        <f t="shared" si="30"/>
        <v>E2_4_1_227</v>
      </c>
      <c r="F660" t="s">
        <v>10946</v>
      </c>
      <c r="G660" t="s">
        <v>11666</v>
      </c>
      <c r="H660" t="s">
        <v>10947</v>
      </c>
      <c r="I660" t="s">
        <v>12377</v>
      </c>
      <c r="J660" t="str">
        <f t="shared" si="31"/>
        <v>(${Variables:E2_4_1_227_kcat} * E2_4_1_227 * C04851 * C00043)/(${Variables:E2_4_1_227_km} + (E2_4_1_227 * C04851 * C00043))</v>
      </c>
      <c r="K660" s="21" t="str">
        <f t="shared" si="32"/>
        <v>r659: C04851 + C00043 -&gt; C05893 + C00015 | (${Variables:E2_4_1_227_kcat} * E2_4_1_227 * C04851 * C00043)/(${Variables:E2_4_1_227_km} + (E2_4_1_227 * C04851 * C00043))</v>
      </c>
    </row>
    <row r="661" spans="1:11">
      <c r="A661" t="s">
        <v>5119</v>
      </c>
      <c r="B661" t="s">
        <v>5120</v>
      </c>
      <c r="C661" t="s">
        <v>15578</v>
      </c>
      <c r="D661">
        <v>660</v>
      </c>
      <c r="E661" t="str">
        <f t="shared" si="30"/>
        <v>E2_4_1_227</v>
      </c>
      <c r="F661" t="s">
        <v>10948</v>
      </c>
      <c r="G661" t="s">
        <v>11667</v>
      </c>
      <c r="H661" t="s">
        <v>10949</v>
      </c>
      <c r="I661" t="s">
        <v>12378</v>
      </c>
      <c r="J661" t="str">
        <f t="shared" si="31"/>
        <v>(${Variables:E2_4_1_227_kcat} * E2_4_1_227 * G10552 * G10610)/(${Variables:E2_4_1_227_km} + (E2_4_1_227 * G10552 * G10610))</v>
      </c>
      <c r="K661" s="21" t="str">
        <f t="shared" si="32"/>
        <v>r660: G10552 + G10610 -&gt; G10553 + G10619 | (${Variables:E2_4_1_227_kcat} * E2_4_1_227 * G10552 * G10610)/(${Variables:E2_4_1_227_km} + (E2_4_1_227 * G10552 * G10610))</v>
      </c>
    </row>
    <row r="662" spans="1:11">
      <c r="A662" t="s">
        <v>5119</v>
      </c>
      <c r="B662" t="s">
        <v>5120</v>
      </c>
      <c r="C662" t="s">
        <v>15578</v>
      </c>
      <c r="D662">
        <v>661</v>
      </c>
      <c r="E662" t="str">
        <f t="shared" si="30"/>
        <v>E2_4_1_227</v>
      </c>
      <c r="F662" t="s">
        <v>10950</v>
      </c>
      <c r="G662" t="s">
        <v>11668</v>
      </c>
      <c r="H662" t="s">
        <v>10951</v>
      </c>
      <c r="I662" t="s">
        <v>12379</v>
      </c>
      <c r="J662" t="str">
        <f t="shared" si="31"/>
        <v>(${Variables:E2_4_1_227_kcat} * E2_4_1_227 * C05897 * C00043)/(${Variables:E2_4_1_227_km} + (E2_4_1_227 * C05897 * C00043))</v>
      </c>
      <c r="K662" s="21" t="str">
        <f t="shared" si="32"/>
        <v>r661: C05897 + C00043 -&gt; C05898 + C00015 | (${Variables:E2_4_1_227_kcat} * E2_4_1_227 * C05897 * C00043)/(${Variables:E2_4_1_227_km} + (E2_4_1_227 * C05897 * C00043))</v>
      </c>
    </row>
    <row r="663" spans="1:11">
      <c r="A663" t="s">
        <v>5119</v>
      </c>
      <c r="B663" t="s">
        <v>5120</v>
      </c>
      <c r="C663" t="s">
        <v>15578</v>
      </c>
      <c r="D663">
        <v>662</v>
      </c>
      <c r="E663" t="str">
        <f t="shared" si="30"/>
        <v>E2_4_1_227</v>
      </c>
      <c r="F663" t="s">
        <v>10952</v>
      </c>
      <c r="G663" t="s">
        <v>11669</v>
      </c>
      <c r="H663" t="s">
        <v>10953</v>
      </c>
      <c r="I663" t="s">
        <v>12380</v>
      </c>
      <c r="J663" t="str">
        <f t="shared" si="31"/>
        <v>(${Variables:E2_4_1_227_kcat} * E2_4_1_227 * G10551 * G10610)/(${Variables:E2_4_1_227_km} + (E2_4_1_227 * G10551 * G10610))</v>
      </c>
      <c r="K663" s="21" t="str">
        <f t="shared" si="32"/>
        <v>r662: G10551 + G10610 -&gt; G10550 + G10619 | (${Variables:E2_4_1_227_kcat} * E2_4_1_227 * G10551 * G10610)/(${Variables:E2_4_1_227_km} + (E2_4_1_227 * G10551 * G10610))</v>
      </c>
    </row>
    <row r="664" spans="1:11">
      <c r="A664" t="s">
        <v>5119</v>
      </c>
      <c r="B664" t="s">
        <v>5120</v>
      </c>
      <c r="C664" t="s">
        <v>15578</v>
      </c>
      <c r="D664">
        <v>663</v>
      </c>
      <c r="E664" t="str">
        <f t="shared" si="30"/>
        <v>E2_4_1_227</v>
      </c>
      <c r="F664" t="s">
        <v>10954</v>
      </c>
      <c r="G664" t="s">
        <v>11670</v>
      </c>
      <c r="H664" t="s">
        <v>10955</v>
      </c>
      <c r="I664" t="s">
        <v>12381</v>
      </c>
      <c r="J664" t="str">
        <f t="shared" si="31"/>
        <v>(${Variables:E2_4_1_227_kcat} * E2_4_1_227 * G10556 * G10610)/(${Variables:E2_4_1_227_km} + (E2_4_1_227 * G10556 * G10610))</v>
      </c>
      <c r="K664" s="21" t="str">
        <f t="shared" si="32"/>
        <v>r663: G10556 + G10610 -&gt; G10555 + G10619 | (${Variables:E2_4_1_227_kcat} * E2_4_1_227 * G10556 * G10610)/(${Variables:E2_4_1_227_km} + (E2_4_1_227 * G10556 * G10610))</v>
      </c>
    </row>
    <row r="665" spans="1:11">
      <c r="A665" t="s">
        <v>5126</v>
      </c>
      <c r="B665" t="s">
        <v>5127</v>
      </c>
      <c r="C665" t="s">
        <v>15579</v>
      </c>
      <c r="D665">
        <v>664</v>
      </c>
      <c r="E665" t="str">
        <f t="shared" si="30"/>
        <v>E6_3_2_9</v>
      </c>
      <c r="F665" t="s">
        <v>10956</v>
      </c>
      <c r="G665" t="s">
        <v>11671</v>
      </c>
      <c r="H665" t="s">
        <v>10957</v>
      </c>
      <c r="I665" t="s">
        <v>12382</v>
      </c>
      <c r="J665" t="str">
        <f t="shared" si="31"/>
        <v>(${Variables:E6_3_2_9_kcat} * E6_3_2_9 * C00002 * C01212 * C00217 )/(${Variables:E6_3_2_9_km} + (E6_3_2_9 * C00002 * C01212 * C00217 ))</v>
      </c>
      <c r="K665" s="21" t="str">
        <f t="shared" si="32"/>
        <v>r664: C00002 + C01212 + C00217  -&gt; C00008 + C00009 + C00692 | (${Variables:E6_3_2_9_kcat} * E6_3_2_9 * C00002 * C01212 * C00217 )/(${Variables:E6_3_2_9_km} + (E6_3_2_9 * C00002 * C01212 * C00217 ))</v>
      </c>
    </row>
    <row r="666" spans="1:11">
      <c r="A666" t="s">
        <v>5130</v>
      </c>
      <c r="B666" t="s">
        <v>5131</v>
      </c>
      <c r="C666" t="s">
        <v>15580</v>
      </c>
      <c r="D666">
        <v>665</v>
      </c>
      <c r="E666" t="str">
        <f t="shared" si="30"/>
        <v>E2_7_8_13</v>
      </c>
      <c r="F666" t="s">
        <v>10958</v>
      </c>
      <c r="G666" t="s">
        <v>11672</v>
      </c>
      <c r="H666" t="s">
        <v>10959</v>
      </c>
      <c r="I666" t="s">
        <v>15816</v>
      </c>
      <c r="J666" t="str">
        <f t="shared" si="31"/>
        <v>(${Variables:E2_7_8_13_kcat} * E2_7_8_13 * C04702 * C17556)/(${Variables:E2_7_8_13_km} + (E2_7_8_13 * C04702 * C17556))</v>
      </c>
      <c r="K666" s="21" t="str">
        <f t="shared" si="32"/>
        <v>r665: C04702 + C17556 -&gt;  C00105 + C04851 | (${Variables:E2_7_8_13_kcat} * E2_7_8_13 * C04702 * C17556)/(${Variables:E2_7_8_13_km} + (E2_7_8_13 * C04702 * C17556))</v>
      </c>
    </row>
    <row r="667" spans="1:11">
      <c r="A667" t="s">
        <v>5130</v>
      </c>
      <c r="B667" t="s">
        <v>5131</v>
      </c>
      <c r="C667" t="s">
        <v>15580</v>
      </c>
      <c r="D667">
        <v>666</v>
      </c>
      <c r="E667" t="str">
        <f t="shared" si="30"/>
        <v>E2_7_8_13</v>
      </c>
      <c r="F667" t="s">
        <v>10960</v>
      </c>
      <c r="G667" t="s">
        <v>11673</v>
      </c>
      <c r="H667" t="s">
        <v>10961</v>
      </c>
      <c r="I667" t="s">
        <v>12383</v>
      </c>
      <c r="J667" t="str">
        <f t="shared" si="31"/>
        <v>(${Variables:E2_7_8_13_kcat} * E2_7_8_13 * C04882 * C17556)/(${Variables:E2_7_8_13_km} + (E2_7_8_13 * C04882 * C17556))</v>
      </c>
      <c r="K667" s="21" t="str">
        <f t="shared" si="32"/>
        <v>r666: C04882 + C17556 -&gt; C00105 + C05897 | (${Variables:E2_7_8_13_kcat} * E2_7_8_13 * C04882 * C17556)/(${Variables:E2_7_8_13_km} + (E2_7_8_13 * C04882 * C17556))</v>
      </c>
    </row>
    <row r="668" spans="1:11">
      <c r="A668" t="s">
        <v>5134</v>
      </c>
      <c r="B668" t="s">
        <v>5135</v>
      </c>
      <c r="C668" t="s">
        <v>15581</v>
      </c>
      <c r="D668">
        <v>667</v>
      </c>
      <c r="E668" t="str">
        <f t="shared" si="30"/>
        <v>E6_3_2_10</v>
      </c>
      <c r="F668" t="s">
        <v>10962</v>
      </c>
      <c r="G668" t="s">
        <v>11674</v>
      </c>
      <c r="H668" t="s">
        <v>10963</v>
      </c>
      <c r="I668" t="s">
        <v>12384</v>
      </c>
      <c r="J668" t="str">
        <f t="shared" si="31"/>
        <v>(${Variables:E6_3_2_10_kcat} * E6_3_2_10 * C00002 * C05892 * C00993)/(${Variables:E6_3_2_10_km} + (E6_3_2_10 * C00002 * C05892 * C00993))</v>
      </c>
      <c r="K668" s="21" t="str">
        <f t="shared" si="32"/>
        <v>r667: C00002 + C05892 + C00993 -&gt; C00008 + C00009 + C04702 | (${Variables:E6_3_2_10_kcat} * E6_3_2_10 * C00002 * C05892 * C00993)/(${Variables:E6_3_2_10_km} + (E6_3_2_10 * C00002 * C05892 * C00993))</v>
      </c>
    </row>
    <row r="669" spans="1:11">
      <c r="A669" t="s">
        <v>5134</v>
      </c>
      <c r="B669" t="s">
        <v>5135</v>
      </c>
      <c r="C669" t="s">
        <v>15581</v>
      </c>
      <c r="D669">
        <v>668</v>
      </c>
      <c r="E669" t="str">
        <f t="shared" si="30"/>
        <v>E6_3_2_10</v>
      </c>
      <c r="F669" t="s">
        <v>10964</v>
      </c>
      <c r="G669" t="s">
        <v>11675</v>
      </c>
      <c r="H669" t="s">
        <v>10965</v>
      </c>
      <c r="I669" t="s">
        <v>12385</v>
      </c>
      <c r="J669" t="str">
        <f t="shared" si="31"/>
        <v>(${Variables:E6_3_2_10_kcat} * E6_3_2_10 * C00002 * C04877 * C00993)/(${Variables:E6_3_2_10_km} + (E6_3_2_10 * C00002 * C04877 * C00993))</v>
      </c>
      <c r="K669" s="21" t="str">
        <f t="shared" si="32"/>
        <v>r668: C00002 + C04877 + C00993 -&gt; C00008 + C00009 + C04882 | (${Variables:E6_3_2_10_kcat} * E6_3_2_10 * C00002 * C04877 * C00993)/(${Variables:E6_3_2_10_km} + (E6_3_2_10 * C00002 * C04877 * C00993))</v>
      </c>
    </row>
    <row r="670" spans="1:11">
      <c r="A670" t="s">
        <v>5138</v>
      </c>
      <c r="B670" t="s">
        <v>5139</v>
      </c>
      <c r="C670" t="s">
        <v>15582</v>
      </c>
      <c r="D670">
        <v>669</v>
      </c>
      <c r="E670" t="str">
        <f t="shared" si="30"/>
        <v>E6_3_2_13</v>
      </c>
      <c r="F670" t="s">
        <v>10966</v>
      </c>
      <c r="G670" t="s">
        <v>11676</v>
      </c>
      <c r="H670" t="s">
        <v>10967</v>
      </c>
      <c r="I670" t="s">
        <v>12386</v>
      </c>
      <c r="J670" t="str">
        <f t="shared" si="31"/>
        <v>(${Variables:E6_3_2_13_kcat} * E6_3_2_13 * C00002 * C00692 * C00680)/(${Variables:E6_3_2_13_km} + (E6_3_2_13 * C00002 * C00692 * C00680))</v>
      </c>
      <c r="K670" s="21" t="str">
        <f t="shared" si="32"/>
        <v>r669: C00002 + C00692 + C00680 -&gt; C00008 + C00009 + C04877 | (${Variables:E6_3_2_13_kcat} * E6_3_2_13 * C00002 * C00692 * C00680)/(${Variables:E6_3_2_13_km} + (E6_3_2_13 * C00002 * C00692 * C00680))</v>
      </c>
    </row>
    <row r="671" spans="1:11">
      <c r="A671" t="s">
        <v>5142</v>
      </c>
      <c r="B671" t="s">
        <v>5143</v>
      </c>
      <c r="C671" t="s">
        <v>15583</v>
      </c>
      <c r="D671">
        <v>670</v>
      </c>
      <c r="E671" t="str">
        <f t="shared" si="30"/>
        <v>E2_4_1_129</v>
      </c>
      <c r="F671" t="s">
        <v>10968</v>
      </c>
      <c r="G671" t="s">
        <v>11677</v>
      </c>
      <c r="H671" t="s">
        <v>10969</v>
      </c>
      <c r="I671" t="s">
        <v>12387</v>
      </c>
      <c r="J671" t="str">
        <f t="shared" si="31"/>
        <v>(${Variables:E2_4_1_129_kcat} * E2_4_1_129 * C05893 * C11826)/(${Variables:E2_4_1_129_km} + (E2_4_1_129 * C05893 * C11826))</v>
      </c>
      <c r="K671" s="21" t="str">
        <f t="shared" si="32"/>
        <v>r670: C05893 + C11826 -&gt; C04574 + C11826 | (${Variables:E2_4_1_129_kcat} * E2_4_1_129 * C05893 * C11826)/(${Variables:E2_4_1_129_km} + (E2_4_1_129 * C05893 * C11826))</v>
      </c>
    </row>
    <row r="672" spans="1:11">
      <c r="A672" t="s">
        <v>5142</v>
      </c>
      <c r="B672" t="s">
        <v>5143</v>
      </c>
      <c r="C672" t="s">
        <v>15583</v>
      </c>
      <c r="D672">
        <v>671</v>
      </c>
      <c r="E672" t="str">
        <f t="shared" si="30"/>
        <v>E2_4_1_129</v>
      </c>
      <c r="F672" t="s">
        <v>12724</v>
      </c>
      <c r="G672" t="s">
        <v>12725</v>
      </c>
      <c r="H672" t="s">
        <v>12732</v>
      </c>
      <c r="I672" t="s">
        <v>12738</v>
      </c>
      <c r="J672" t="str">
        <f t="shared" si="31"/>
        <v>(${Variables:E2_4_1_129_kcat} * E2_4_1_129 * G10553 * G10554 )/(${Variables:E2_4_1_129_km} + (E2_4_1_129 * G10553 * G10554 ))</v>
      </c>
      <c r="K672" s="21" t="str">
        <f t="shared" si="32"/>
        <v>r671: G10553 + G10554  -&gt; C04574 + G10554 | (${Variables:E2_4_1_129_kcat} * E2_4_1_129 * G10553 * G10554 )/(${Variables:E2_4_1_129_km} + (E2_4_1_129 * G10553 * G10554 ))</v>
      </c>
    </row>
    <row r="673" spans="1:11">
      <c r="A673" t="s">
        <v>5142</v>
      </c>
      <c r="B673" t="s">
        <v>5143</v>
      </c>
      <c r="C673" t="s">
        <v>15583</v>
      </c>
      <c r="D673">
        <v>672</v>
      </c>
      <c r="E673" t="str">
        <f t="shared" si="30"/>
        <v>E2_4_1_129</v>
      </c>
      <c r="F673" t="s">
        <v>10970</v>
      </c>
      <c r="G673" t="s">
        <v>11678</v>
      </c>
      <c r="H673" t="s">
        <v>10971</v>
      </c>
      <c r="I673" t="s">
        <v>12388</v>
      </c>
      <c r="J673" t="str">
        <f t="shared" si="31"/>
        <v>(${Variables:E2_4_1_129_kcat} * E2_4_1_129 * C05898 * C11827 )/(${Variables:E2_4_1_129_km} + (E2_4_1_129 * C05898 * C11827 ))</v>
      </c>
      <c r="K673" s="21" t="str">
        <f t="shared" si="32"/>
        <v>r672: C05898 + C11827  -&gt; C04574 + C11827 | (${Variables:E2_4_1_129_kcat} * E2_4_1_129 * C05898 * C11827 )/(${Variables:E2_4_1_129_km} + (E2_4_1_129 * C05898 * C11827 ))</v>
      </c>
    </row>
    <row r="674" spans="1:11">
      <c r="A674" t="s">
        <v>5142</v>
      </c>
      <c r="B674" t="s">
        <v>5143</v>
      </c>
      <c r="C674" t="s">
        <v>15583</v>
      </c>
      <c r="D674">
        <v>673</v>
      </c>
      <c r="E674" t="str">
        <f t="shared" si="30"/>
        <v>E2_4_1_129</v>
      </c>
      <c r="F674" t="s">
        <v>12726</v>
      </c>
      <c r="G674" t="s">
        <v>12727</v>
      </c>
      <c r="H674" t="s">
        <v>12733</v>
      </c>
      <c r="I674" t="s">
        <v>12739</v>
      </c>
      <c r="J674" t="str">
        <f t="shared" si="31"/>
        <v>(${Variables:E2_4_1_129_kcat} * E2_4_1_129 * G10555 * G10557)/(${Variables:E2_4_1_129_km} + (E2_4_1_129 * G10555 * G10557))</v>
      </c>
      <c r="K674" s="21" t="str">
        <f t="shared" si="32"/>
        <v>r673: G10555 + G10557 -&gt; C04574 + G10557 | (${Variables:E2_4_1_129_kcat} * E2_4_1_129 * G10555 * G10557)/(${Variables:E2_4_1_129_km} + (E2_4_1_129 * G10555 * G10557))</v>
      </c>
    </row>
    <row r="675" spans="1:11">
      <c r="A675" t="s">
        <v>5161</v>
      </c>
      <c r="B675" t="s">
        <v>5162</v>
      </c>
      <c r="C675" t="s">
        <v>15584</v>
      </c>
      <c r="D675">
        <v>674</v>
      </c>
      <c r="E675" t="str">
        <f t="shared" si="30"/>
        <v>E2_5_1_10</v>
      </c>
      <c r="F675" t="s">
        <v>10972</v>
      </c>
      <c r="G675" t="s">
        <v>11679</v>
      </c>
      <c r="H675" t="s">
        <v>10973</v>
      </c>
      <c r="I675" t="s">
        <v>12389</v>
      </c>
      <c r="J675" t="str">
        <f t="shared" si="31"/>
        <v>(${Variables:E2_5_1_10_kcat} * E2_5_1_10 * C00341 * C00129 )/(${Variables:E2_5_1_10_km} + (E2_5_1_10 * C00341 * C00129 ))</v>
      </c>
      <c r="K675" s="21" t="str">
        <f t="shared" si="32"/>
        <v>r674: C00341 + C00129  -&gt; C00013 + C00448 | (${Variables:E2_5_1_10_kcat} * E2_5_1_10 * C00341 * C00129 )/(${Variables:E2_5_1_10_km} + (E2_5_1_10 * C00341 * C00129 ))</v>
      </c>
    </row>
    <row r="676" spans="1:11">
      <c r="A676" t="s">
        <v>5170</v>
      </c>
      <c r="B676" t="s">
        <v>5171</v>
      </c>
      <c r="C676" t="s">
        <v>15317</v>
      </c>
      <c r="D676">
        <v>675</v>
      </c>
      <c r="E676" t="str">
        <f t="shared" si="30"/>
        <v>E2_7_11_1</v>
      </c>
      <c r="F676" t="s">
        <v>10495</v>
      </c>
      <c r="G676" t="s">
        <v>11312</v>
      </c>
      <c r="H676" t="s">
        <v>10496</v>
      </c>
      <c r="I676" t="s">
        <v>12005</v>
      </c>
      <c r="J676" t="str">
        <f t="shared" si="31"/>
        <v>(${Variables:E2_7_11_1_kcat} * E2_7_11_1 * C00002 *C00017)/(${Variables:E2_7_11_1_km} + (E2_7_11_1 * C00002 *C00017))</v>
      </c>
      <c r="K676" s="21" t="str">
        <f t="shared" si="32"/>
        <v>r675: C00002 +C00017 -&gt; C00008 + C00562 | (${Variables:E2_7_11_1_kcat} * E2_7_11_1 * C00002 *C00017)/(${Variables:E2_7_11_1_km} + (E2_7_11_1 * C00002 *C00017))</v>
      </c>
    </row>
    <row r="677" spans="1:11">
      <c r="A677" t="s">
        <v>5170</v>
      </c>
      <c r="B677" t="s">
        <v>5171</v>
      </c>
      <c r="C677" t="s">
        <v>15317</v>
      </c>
      <c r="D677">
        <v>676</v>
      </c>
      <c r="E677" t="str">
        <f t="shared" si="30"/>
        <v>E2_7_11_1</v>
      </c>
      <c r="F677" t="s">
        <v>10161</v>
      </c>
      <c r="G677" t="s">
        <v>11680</v>
      </c>
      <c r="H677" t="s">
        <v>10160</v>
      </c>
      <c r="I677" t="s">
        <v>12006</v>
      </c>
      <c r="J677" t="str">
        <f t="shared" si="31"/>
        <v>(${Variables:E2_7_11_1_kcat} * E2_7_11_1 * C00002 * C01609 )/(${Variables:E2_7_11_1_km} + (E2_7_11_1 * C00002 * C01609 ))</v>
      </c>
      <c r="K677" s="21" t="str">
        <f t="shared" si="32"/>
        <v>r676: C00002 + C01609  -&gt; C00008 + C02729 | (${Variables:E2_7_11_1_kcat} * E2_7_11_1 * C00002 * C01609 )/(${Variables:E2_7_11_1_km} + (E2_7_11_1 * C00002 * C01609 ))</v>
      </c>
    </row>
    <row r="678" spans="1:11">
      <c r="A678" t="s">
        <v>5174</v>
      </c>
      <c r="B678" t="s">
        <v>5175</v>
      </c>
      <c r="C678" t="s">
        <v>15585</v>
      </c>
      <c r="D678">
        <v>677</v>
      </c>
      <c r="E678" t="str">
        <f t="shared" si="30"/>
        <v>E2_5_1_54</v>
      </c>
      <c r="F678" t="s">
        <v>10974</v>
      </c>
      <c r="G678" t="s">
        <v>11681</v>
      </c>
      <c r="H678" t="s">
        <v>10975</v>
      </c>
      <c r="I678" t="s">
        <v>12390</v>
      </c>
      <c r="J678" t="str">
        <f t="shared" si="31"/>
        <v>(${Variables:E2_5_1_54_kcat} * E2_5_1_54 * C00074 * C00279 * C00001)/(${Variables:E2_5_1_54_km} + (E2_5_1_54 * C00074 * C00279 * C00001))</v>
      </c>
      <c r="K678" s="21" t="str">
        <f t="shared" si="32"/>
        <v>r677: C00074 + C00279 + C00001 -&gt; C04691 + C00009 | (${Variables:E2_5_1_54_kcat} * E2_5_1_54 * C00074 * C00279 * C00001)/(${Variables:E2_5_1_54_km} + (E2_5_1_54 * C00074 * C00279 * C00001))</v>
      </c>
    </row>
    <row r="679" spans="1:11">
      <c r="A679" t="s">
        <v>5188</v>
      </c>
      <c r="B679" t="s">
        <v>5189</v>
      </c>
      <c r="C679" t="s">
        <v>15586</v>
      </c>
      <c r="D679">
        <v>678</v>
      </c>
      <c r="E679" t="str">
        <f t="shared" si="30"/>
        <v>E2_7_1_2</v>
      </c>
      <c r="F679" t="s">
        <v>10976</v>
      </c>
      <c r="G679" t="s">
        <v>11682</v>
      </c>
      <c r="H679" t="s">
        <v>10977</v>
      </c>
      <c r="I679" t="s">
        <v>12391</v>
      </c>
      <c r="J679" t="str">
        <f t="shared" si="31"/>
        <v>(${Variables:E2_7_1_2_kcat} * E2_7_1_2 * C00002 * C00031)/(${Variables:E2_7_1_2_km} + (E2_7_1_2 * C00002 * C00031))</v>
      </c>
      <c r="K679" s="21" t="str">
        <f t="shared" si="32"/>
        <v>r678: C00002 + C00031 -&gt; C00008 + C00092 | (${Variables:E2_7_1_2_kcat} * E2_7_1_2 * C00002 * C00031)/(${Variables:E2_7_1_2_km} + (E2_7_1_2 * C00002 * C00031))</v>
      </c>
    </row>
    <row r="680" spans="1:11">
      <c r="A680" t="s">
        <v>5188</v>
      </c>
      <c r="B680" t="s">
        <v>5189</v>
      </c>
      <c r="C680" t="s">
        <v>15586</v>
      </c>
      <c r="D680">
        <v>679</v>
      </c>
      <c r="E680" t="str">
        <f t="shared" si="30"/>
        <v>E2_7_1_2</v>
      </c>
      <c r="F680" t="s">
        <v>10978</v>
      </c>
      <c r="G680" t="s">
        <v>11683</v>
      </c>
      <c r="H680" t="s">
        <v>10979</v>
      </c>
      <c r="I680" t="s">
        <v>12392</v>
      </c>
      <c r="J680" t="str">
        <f t="shared" si="31"/>
        <v>(${Variables:E2_7_1_2_kcat} * E2_7_1_2 * C00002 * C00221)/(${Variables:E2_7_1_2_km} + (E2_7_1_2 * C00002 * C00221))</v>
      </c>
      <c r="K680" s="21" t="str">
        <f t="shared" si="32"/>
        <v>r679: C00002 + C00221 -&gt; C00008 + C01172 | (${Variables:E2_7_1_2_kcat} * E2_7_1_2 * C00002 * C00221)/(${Variables:E2_7_1_2_km} + (E2_7_1_2 * C00002 * C00221))</v>
      </c>
    </row>
    <row r="681" spans="1:11">
      <c r="A681" t="s">
        <v>5188</v>
      </c>
      <c r="B681" t="s">
        <v>5189</v>
      </c>
      <c r="C681" t="s">
        <v>15586</v>
      </c>
      <c r="D681">
        <v>680</v>
      </c>
      <c r="E681" t="str">
        <f t="shared" si="30"/>
        <v>E2_7_1_2</v>
      </c>
      <c r="F681" t="s">
        <v>10980</v>
      </c>
      <c r="G681" t="s">
        <v>11684</v>
      </c>
      <c r="H681" t="s">
        <v>10981</v>
      </c>
      <c r="I681" t="s">
        <v>12393</v>
      </c>
      <c r="J681" t="str">
        <f t="shared" si="31"/>
        <v>(${Variables:E2_7_1_2_kcat} * E2_7_1_2 * C00002 * C00261)/(${Variables:E2_7_1_2_km} + (E2_7_1_2 * C00002 * C00261))</v>
      </c>
      <c r="K681" s="21" t="str">
        <f t="shared" si="32"/>
        <v>r680: C00002 + C00261 -&gt; C00008 + C00668 | (${Variables:E2_7_1_2_kcat} * E2_7_1_2 * C00002 * C00261)/(${Variables:E2_7_1_2_km} + (E2_7_1_2 * C00002 * C00261))</v>
      </c>
    </row>
    <row r="682" spans="1:11">
      <c r="A682" t="s">
        <v>5192</v>
      </c>
      <c r="B682" t="s">
        <v>5193</v>
      </c>
      <c r="C682" t="s">
        <v>15537</v>
      </c>
      <c r="D682">
        <v>681</v>
      </c>
      <c r="E682" t="str">
        <f t="shared" si="30"/>
        <v>E2_4_1_345</v>
      </c>
      <c r="F682" s="4" t="s">
        <v>10834</v>
      </c>
      <c r="G682" s="4" t="s">
        <v>11611</v>
      </c>
      <c r="H682" s="4" t="s">
        <v>10835</v>
      </c>
      <c r="I682" s="4" t="s">
        <v>12315</v>
      </c>
      <c r="J682" t="str">
        <f t="shared" si="31"/>
        <v>(${Variables:E2_4_1_345_kcat} * E2_4_1_345 * C00096 * C01194)/(${Variables:E2_4_1_345_km} + (E2_4_1_345 * C00096 * C01194))</v>
      </c>
      <c r="K682" s="21" t="str">
        <f t="shared" si="32"/>
        <v>r681: C00096 + C01194 -&gt; C00035 + C21606 | (${Variables:E2_4_1_345_kcat} * E2_4_1_345 * C00096 * C01194)/(${Variables:E2_4_1_345_km} + (E2_4_1_345 * C00096 * C01194))</v>
      </c>
    </row>
    <row r="683" spans="1:11">
      <c r="A683" t="s">
        <v>5192</v>
      </c>
      <c r="B683" t="s">
        <v>5193</v>
      </c>
      <c r="C683" t="s">
        <v>15537</v>
      </c>
      <c r="D683">
        <v>682</v>
      </c>
      <c r="E683" t="str">
        <f t="shared" si="30"/>
        <v>E2_4_1_345</v>
      </c>
      <c r="F683" s="4" t="s">
        <v>10836</v>
      </c>
      <c r="G683" s="4" t="s">
        <v>11612</v>
      </c>
      <c r="H683" s="4" t="s">
        <v>10837</v>
      </c>
      <c r="I683" s="4" t="s">
        <v>12316</v>
      </c>
      <c r="J683" t="str">
        <f t="shared" si="31"/>
        <v>(${Variables:E2_4_1_345_kcat} * E2_4_1_345 * G10614 * C01194)/(${Variables:E2_4_1_345_km} + (E2_4_1_345 * G10614 * C01194))</v>
      </c>
      <c r="K683" s="21" t="str">
        <f t="shared" si="32"/>
        <v>r682: G10614 + C01194 -&gt; G10620 + G11291 | (${Variables:E2_4_1_345_kcat} * E2_4_1_345 * G10614 * C01194)/(${Variables:E2_4_1_345_km} + (E2_4_1_345 * G10614 * C01194))</v>
      </c>
    </row>
    <row r="684" spans="1:11">
      <c r="A684" t="s">
        <v>5204</v>
      </c>
      <c r="B684" t="s">
        <v>5205</v>
      </c>
      <c r="C684" t="s">
        <v>15587</v>
      </c>
      <c r="D684">
        <v>683</v>
      </c>
      <c r="E684" t="str">
        <f t="shared" si="30"/>
        <v>E1_20_9_1</v>
      </c>
      <c r="F684" t="s">
        <v>15934</v>
      </c>
      <c r="G684" t="s">
        <v>15820</v>
      </c>
      <c r="H684" t="s">
        <v>15819</v>
      </c>
      <c r="I684" t="s">
        <v>15817</v>
      </c>
      <c r="J684" t="str">
        <f t="shared" si="31"/>
        <v>(${Variables:E1_20_9_1_kcat} * E1_20_9_1 * C06697 * C00001 * C05357)/(${Variables:E1_20_9_1_km} + (E1_20_9_1 * C06697 * C00001 * C05357))</v>
      </c>
      <c r="K684" s="21" t="str">
        <f t="shared" si="32"/>
        <v>r683: C06697 + C00001 + C05357 -&gt; C11215 + C05358 + C00080 | (${Variables:E1_20_9_1_kcat} * E1_20_9_1 * C06697 * C00001 * C05357)/(${Variables:E1_20_9_1_km} + (E1_20_9_1 * C06697 * C00001 * C05357))</v>
      </c>
    </row>
    <row r="685" spans="1:11">
      <c r="A685" t="s">
        <v>5204</v>
      </c>
      <c r="B685" t="s">
        <v>5205</v>
      </c>
      <c r="C685" t="s">
        <v>15587</v>
      </c>
      <c r="D685">
        <v>684</v>
      </c>
      <c r="E685" t="str">
        <f t="shared" si="30"/>
        <v>E1_20_9_1</v>
      </c>
      <c r="F685" t="s">
        <v>15935</v>
      </c>
      <c r="G685" t="s">
        <v>15821</v>
      </c>
      <c r="H685" t="s">
        <v>15824</v>
      </c>
      <c r="I685" t="s">
        <v>15818</v>
      </c>
      <c r="J685" t="str">
        <f t="shared" si="31"/>
        <v>(${Variables:E1_20_9_1_kcat} * E1_20_9_1 * C06697 * C00001 * C00125)/(${Variables:E1_20_9_1_km} + (E1_20_9_1 * C06697 * C00001 * C00125))</v>
      </c>
      <c r="K685" s="21" t="str">
        <f t="shared" si="32"/>
        <v>r684: C06697 + C00001 + C00125 -&gt; C11215 + C00126 + C00080 | (${Variables:E1_20_9_1_kcat} * E1_20_9_1 * C06697 * C00001 * C00125)/(${Variables:E1_20_9_1_km} + (E1_20_9_1 * C06697 * C00001 * C00125))</v>
      </c>
    </row>
    <row r="686" spans="1:11">
      <c r="A686" t="s">
        <v>5212</v>
      </c>
      <c r="B686" t="s">
        <v>5213</v>
      </c>
      <c r="C686" t="s">
        <v>15588</v>
      </c>
      <c r="D686">
        <v>685</v>
      </c>
      <c r="E686" t="str">
        <f t="shared" si="30"/>
        <v>E7_1_1_9</v>
      </c>
      <c r="F686" t="s">
        <v>15858</v>
      </c>
      <c r="G686" t="s">
        <v>15822</v>
      </c>
      <c r="H686" t="s">
        <v>15825</v>
      </c>
      <c r="I686" t="s">
        <v>15829</v>
      </c>
      <c r="J686" t="str">
        <f t="shared" si="31"/>
        <v>(${Variables:E7_1_1_9_kcat} * E7_1_1_9 * C00007 * C00126 * C00080)/(${Variables:E7_1_1_9_km} + (E7_1_1_9 * C00007 * C00126 * C00080))</v>
      </c>
      <c r="K686" s="21" t="str">
        <f t="shared" si="32"/>
        <v>r685: C00007 + C00126 + C00080 -&gt; C00125 + C00001 + C00080 | (${Variables:E7_1_1_9_kcat} * E7_1_1_9 * C00007 * C00126 * C00080)/(${Variables:E7_1_1_9_km} + (E7_1_1_9 * C00007 * C00126 * C00080))</v>
      </c>
    </row>
    <row r="687" spans="1:11">
      <c r="A687" t="s">
        <v>5212</v>
      </c>
      <c r="B687" t="s">
        <v>5213</v>
      </c>
      <c r="C687" t="s">
        <v>15588</v>
      </c>
      <c r="D687">
        <v>686</v>
      </c>
      <c r="E687" t="str">
        <f t="shared" si="30"/>
        <v>E7_1_1_9</v>
      </c>
      <c r="F687" t="s">
        <v>15936</v>
      </c>
      <c r="G687" t="s">
        <v>15823</v>
      </c>
      <c r="H687" t="s">
        <v>15826</v>
      </c>
      <c r="I687" t="s">
        <v>15833</v>
      </c>
      <c r="J687" t="str">
        <f t="shared" si="31"/>
        <v>(${Variables:E7_1_1_9_kcat} * E7_1_1_9 * C00007 * C01000 )/(${Variables:E7_1_1_9_km} + (E7_1_1_9 * C00007 * C01000 ))</v>
      </c>
      <c r="K687" s="21" t="str">
        <f t="shared" si="32"/>
        <v>r686: C00007 + C01000  -&gt; C00997 + C00001 | (${Variables:E7_1_1_9_kcat} * E7_1_1_9 * C00007 * C01000 )/(${Variables:E7_1_1_9_km} + (E7_1_1_9 * C00007 * C01000 ))</v>
      </c>
    </row>
    <row r="688" spans="1:11">
      <c r="A688" t="s">
        <v>5216</v>
      </c>
      <c r="B688" t="s">
        <v>5217</v>
      </c>
      <c r="C688" t="s">
        <v>15588</v>
      </c>
      <c r="D688">
        <v>687</v>
      </c>
      <c r="E688" t="str">
        <f t="shared" si="30"/>
        <v>E7_1_1_9</v>
      </c>
      <c r="F688" s="4" t="s">
        <v>15937</v>
      </c>
      <c r="G688" s="4" t="s">
        <v>15822</v>
      </c>
      <c r="H688" s="4" t="s">
        <v>15825</v>
      </c>
      <c r="I688" s="4" t="s">
        <v>15830</v>
      </c>
      <c r="J688" t="str">
        <f t="shared" si="31"/>
        <v>(${Variables:E7_1_1_9_kcat} * E7_1_1_9 * C00007 * C00126 * C00080)/(${Variables:E7_1_1_9_km} + (E7_1_1_9 * C00007 * C00126 * C00080))</v>
      </c>
      <c r="K688" s="21" t="str">
        <f t="shared" si="32"/>
        <v>r687: C00007 + C00126 +  C00080 -&gt; C00125 + C00001 + C00080 | (${Variables:E7_1_1_9_kcat} * E7_1_1_9 * C00007 * C00126 * C00080)/(${Variables:E7_1_1_9_km} + (E7_1_1_9 * C00007 * C00126 * C00080))</v>
      </c>
    </row>
    <row r="689" spans="1:11">
      <c r="A689" t="s">
        <v>5216</v>
      </c>
      <c r="B689" t="s">
        <v>5217</v>
      </c>
      <c r="C689" t="s">
        <v>15588</v>
      </c>
      <c r="D689">
        <v>688</v>
      </c>
      <c r="E689" t="str">
        <f t="shared" si="30"/>
        <v>E7_1_1_9</v>
      </c>
      <c r="F689" s="4" t="s">
        <v>15936</v>
      </c>
      <c r="G689" s="4" t="s">
        <v>15823</v>
      </c>
      <c r="H689" s="4" t="s">
        <v>15826</v>
      </c>
      <c r="I689" s="4" t="s">
        <v>15831</v>
      </c>
      <c r="J689" t="str">
        <f t="shared" si="31"/>
        <v>(${Variables:E7_1_1_9_kcat} * E7_1_1_9 * C00007 * C01000 )/(${Variables:E7_1_1_9_km} + (E7_1_1_9 * C00007 * C01000 ))</v>
      </c>
      <c r="K689" s="21" t="str">
        <f t="shared" si="32"/>
        <v>r688: C00007 + C01000  -&gt; C00997 + C00001 | (${Variables:E7_1_1_9_kcat} * E7_1_1_9 * C00007 * C01000 )/(${Variables:E7_1_1_9_km} + (E7_1_1_9 * C00007 * C01000 ))</v>
      </c>
    </row>
    <row r="690" spans="1:11">
      <c r="A690" t="s">
        <v>5220</v>
      </c>
      <c r="B690" t="s">
        <v>5221</v>
      </c>
      <c r="C690" t="s">
        <v>15588</v>
      </c>
      <c r="D690">
        <v>689</v>
      </c>
      <c r="E690" t="str">
        <f t="shared" si="30"/>
        <v>E7_1_1_9</v>
      </c>
      <c r="F690" s="4" t="s">
        <v>15858</v>
      </c>
      <c r="G690" s="4" t="s">
        <v>15822</v>
      </c>
      <c r="H690" s="4" t="s">
        <v>15827</v>
      </c>
      <c r="I690" s="4" t="s">
        <v>15832</v>
      </c>
      <c r="J690" t="str">
        <f t="shared" si="31"/>
        <v>(${Variables:E7_1_1_9_kcat} * E7_1_1_9 * C00007 * C00126 * C00080)/(${Variables:E7_1_1_9_km} + (E7_1_1_9 * C00007 * C00126 * C00080))</v>
      </c>
      <c r="K690" s="21" t="str">
        <f t="shared" si="32"/>
        <v>r689: C00007 + C00126 + C00080 -&gt; C00125 + C00001 +  C00080 | (${Variables:E7_1_1_9_kcat} * E7_1_1_9 * C00007 * C00126 * C00080)/(${Variables:E7_1_1_9_km} + (E7_1_1_9 * C00007 * C00126 * C00080))</v>
      </c>
    </row>
    <row r="691" spans="1:11">
      <c r="A691" t="s">
        <v>5220</v>
      </c>
      <c r="B691" t="s">
        <v>5221</v>
      </c>
      <c r="C691" t="s">
        <v>15588</v>
      </c>
      <c r="D691">
        <v>690</v>
      </c>
      <c r="E691" t="str">
        <f t="shared" si="30"/>
        <v>E7_1_1_9</v>
      </c>
      <c r="F691" s="4" t="s">
        <v>15936</v>
      </c>
      <c r="G691" s="4" t="s">
        <v>15823</v>
      </c>
      <c r="H691" s="4" t="s">
        <v>15826</v>
      </c>
      <c r="I691" s="4" t="s">
        <v>15833</v>
      </c>
      <c r="J691" t="str">
        <f t="shared" si="31"/>
        <v>(${Variables:E7_1_1_9_kcat} * E7_1_1_9 * C00007 * C01000 )/(${Variables:E7_1_1_9_km} + (E7_1_1_9 * C00007 * C01000 ))</v>
      </c>
      <c r="K691" s="21" t="str">
        <f t="shared" si="32"/>
        <v>r690: C00007 + C01000  -&gt; C00997 + C00001 | (${Variables:E7_1_1_9_kcat} * E7_1_1_9 * C00007 * C01000 )/(${Variables:E7_1_1_9_km} + (E7_1_1_9 * C00007 * C01000 ))</v>
      </c>
    </row>
    <row r="692" spans="1:11">
      <c r="A692" t="s">
        <v>5224</v>
      </c>
      <c r="B692" t="s">
        <v>5225</v>
      </c>
      <c r="C692" t="s">
        <v>15589</v>
      </c>
      <c r="D692">
        <v>691</v>
      </c>
      <c r="E692" t="str">
        <f t="shared" si="30"/>
        <v>E6_3_5_4</v>
      </c>
      <c r="F692" s="4" t="s">
        <v>10145</v>
      </c>
      <c r="G692" s="4" t="s">
        <v>11594</v>
      </c>
      <c r="H692" s="4" t="s">
        <v>9766</v>
      </c>
      <c r="I692" s="4" t="s">
        <v>12294</v>
      </c>
      <c r="J692" t="str">
        <f t="shared" si="31"/>
        <v>(${Variables:E6_3_5_4_kcat} * E6_3_5_4 * C00064 * C00001)/(${Variables:E6_3_5_4_km} + (E6_3_5_4 * C00064 * C00001))</v>
      </c>
      <c r="K692" s="21" t="str">
        <f t="shared" si="32"/>
        <v>r691: C00064 + C00001 -&gt; C00025 + C00014 | (${Variables:E6_3_5_4_kcat} * E6_3_5_4 * C00064 * C00001)/(${Variables:E6_3_5_4_km} + (E6_3_5_4 * C00064 * C00001))</v>
      </c>
    </row>
    <row r="693" spans="1:11">
      <c r="A693" t="s">
        <v>5224</v>
      </c>
      <c r="B693" t="s">
        <v>5225</v>
      </c>
      <c r="C693" t="s">
        <v>15589</v>
      </c>
      <c r="D693">
        <v>692</v>
      </c>
      <c r="E693" t="str">
        <f t="shared" si="30"/>
        <v>E6_3_5_4</v>
      </c>
      <c r="F693" s="4" t="s">
        <v>10982</v>
      </c>
      <c r="G693" s="4" t="s">
        <v>11685</v>
      </c>
      <c r="H693" s="4" t="s">
        <v>15828</v>
      </c>
      <c r="I693" s="4" t="s">
        <v>15834</v>
      </c>
      <c r="J693" t="str">
        <f t="shared" si="31"/>
        <v>(${Variables:E6_3_5_4_kcat} * E6_3_5_4 * C00002 * C00049 * C00014)/(${Variables:E6_3_5_4_km} + (E6_3_5_4 * C00002 * C00049 * C00014))</v>
      </c>
      <c r="K693" s="21" t="str">
        <f t="shared" si="32"/>
        <v>r692: C00002 + C00049 + C00014 -&gt; C00020 + C00013 + C00152 | (${Variables:E6_3_5_4_kcat} * E6_3_5_4 * C00002 * C00049 * C00014)/(${Variables:E6_3_5_4_km} + (E6_3_5_4 * C00002 * C00049 * C00014))</v>
      </c>
    </row>
    <row r="694" spans="1:11">
      <c r="A694" t="s">
        <v>5224</v>
      </c>
      <c r="B694" t="s">
        <v>5225</v>
      </c>
      <c r="C694" t="s">
        <v>15589</v>
      </c>
      <c r="D694">
        <v>693</v>
      </c>
      <c r="E694" t="str">
        <f t="shared" si="30"/>
        <v>E6_3_5_4</v>
      </c>
      <c r="F694" s="4" t="s">
        <v>10983</v>
      </c>
      <c r="G694" s="4" t="s">
        <v>11686</v>
      </c>
      <c r="H694" s="4" t="s">
        <v>10984</v>
      </c>
      <c r="I694" s="4" t="s">
        <v>12394</v>
      </c>
      <c r="J694" t="str">
        <f t="shared" si="31"/>
        <v>(${Variables:E6_3_5_4_kcat} * E6_3_5_4 * C00002 * C00049 * C00064 * C00001)/(${Variables:E6_3_5_4_km} + (E6_3_5_4 * C00002 * C00049 * C00064 * C00001))</v>
      </c>
      <c r="K694" s="21" t="str">
        <f t="shared" si="32"/>
        <v>r693: C00002 + C00049 + C00064 + C00001 -&gt; C00020 + C00013 + C00152 + C00025 | (${Variables:E6_3_5_4_kcat} * E6_3_5_4 * C00002 * C00049 * C00064 * C00001)/(${Variables:E6_3_5_4_km} + (E6_3_5_4 * C00002 * C00049 * C00064 * C00001))</v>
      </c>
    </row>
    <row r="695" spans="1:11">
      <c r="A695" t="s">
        <v>5234</v>
      </c>
      <c r="B695" t="s">
        <v>5235</v>
      </c>
      <c r="C695" t="s">
        <v>15590</v>
      </c>
      <c r="D695">
        <v>694</v>
      </c>
      <c r="E695" t="str">
        <f t="shared" si="30"/>
        <v>E2_4_2_21</v>
      </c>
      <c r="F695" s="4" t="s">
        <v>10985</v>
      </c>
      <c r="G695" s="4" t="s">
        <v>11687</v>
      </c>
      <c r="H695" s="4" t="s">
        <v>10986</v>
      </c>
      <c r="I695" s="4" t="s">
        <v>12395</v>
      </c>
      <c r="J695" t="str">
        <f t="shared" si="31"/>
        <v>(${Variables:E2_4_2_21_kcat} * E2_4_2_21 * C01185 * C03114)/(${Variables:E2_4_2_21_km} + (E2_4_2_21 * C01185 * C03114))</v>
      </c>
      <c r="K695" s="21" t="str">
        <f t="shared" si="32"/>
        <v>r694: C01185 + C03114 -&gt; C00253 + C04778 + C00080 | (${Variables:E2_4_2_21_kcat} * E2_4_2_21 * C01185 * C03114)/(${Variables:E2_4_2_21_km} + (E2_4_2_21 * C01185 * C03114))</v>
      </c>
    </row>
    <row r="696" spans="1:11">
      <c r="A696" t="s">
        <v>5238</v>
      </c>
      <c r="B696" t="s">
        <v>5239</v>
      </c>
      <c r="C696" t="s">
        <v>15591</v>
      </c>
      <c r="D696">
        <v>695</v>
      </c>
      <c r="E696" t="str">
        <f t="shared" si="30"/>
        <v>E2_6_1_42</v>
      </c>
      <c r="F696" s="4" t="s">
        <v>10987</v>
      </c>
      <c r="G696" s="4" t="s">
        <v>11688</v>
      </c>
      <c r="H696" s="4" t="s">
        <v>10988</v>
      </c>
      <c r="I696" s="4" t="s">
        <v>12396</v>
      </c>
      <c r="J696" t="str">
        <f t="shared" si="31"/>
        <v>(${Variables:E2_6_1_42_kcat} * E2_6_1_42 * C00123 * C00026)/(${Variables:E2_6_1_42_km} + (E2_6_1_42 * C00123 * C00026))</v>
      </c>
      <c r="K696" s="21" t="str">
        <f t="shared" si="32"/>
        <v>r695: C00123 + C00026 -&gt; C00233 + C00025 | (${Variables:E2_6_1_42_kcat} * E2_6_1_42 * C00123 * C00026)/(${Variables:E2_6_1_42_km} + (E2_6_1_42 * C00123 * C00026))</v>
      </c>
    </row>
    <row r="697" spans="1:11">
      <c r="A697" t="s">
        <v>5238</v>
      </c>
      <c r="B697" t="s">
        <v>5239</v>
      </c>
      <c r="C697" t="s">
        <v>15591</v>
      </c>
      <c r="D697">
        <v>696</v>
      </c>
      <c r="E697" t="str">
        <f t="shared" si="30"/>
        <v>E2_6_1_42</v>
      </c>
      <c r="F697" s="4" t="s">
        <v>10989</v>
      </c>
      <c r="G697" s="4" t="s">
        <v>11689</v>
      </c>
      <c r="H697" s="4" t="s">
        <v>10990</v>
      </c>
      <c r="I697" s="4" t="s">
        <v>12397</v>
      </c>
      <c r="J697" t="str">
        <f t="shared" si="31"/>
        <v>(${Variables:E2_6_1_42_kcat} * E2_6_1_42 * C00183 * C00026)/(${Variables:E2_6_1_42_km} + (E2_6_1_42 * C00183 * C00026))</v>
      </c>
      <c r="K697" s="21" t="str">
        <f t="shared" si="32"/>
        <v>r696: C00183 + C00026 -&gt; C00141 + C00025 | (${Variables:E2_6_1_42_kcat} * E2_6_1_42 * C00183 * C00026)/(${Variables:E2_6_1_42_km} + (E2_6_1_42 * C00183 * C00026))</v>
      </c>
    </row>
    <row r="698" spans="1:11">
      <c r="A698" t="s">
        <v>5238</v>
      </c>
      <c r="B698" t="s">
        <v>5239</v>
      </c>
      <c r="C698" t="s">
        <v>15591</v>
      </c>
      <c r="D698">
        <v>697</v>
      </c>
      <c r="E698" t="str">
        <f t="shared" si="30"/>
        <v>E2_6_1_42</v>
      </c>
      <c r="F698" s="4" t="s">
        <v>10991</v>
      </c>
      <c r="G698" s="4" t="s">
        <v>11690</v>
      </c>
      <c r="H698" s="4" t="s">
        <v>10992</v>
      </c>
      <c r="I698" s="4" t="s">
        <v>12398</v>
      </c>
      <c r="J698" t="str">
        <f t="shared" si="31"/>
        <v>(${Variables:E2_6_1_42_kcat} * E2_6_1_42 * C00407 * C00026)/(${Variables:E2_6_1_42_km} + (E2_6_1_42 * C00407 * C00026))</v>
      </c>
      <c r="K698" s="21" t="str">
        <f t="shared" si="32"/>
        <v>r697: C00407 + C00026 -&gt; C00671 + C00025 | (${Variables:E2_6_1_42_kcat} * E2_6_1_42 * C00407 * C00026)/(${Variables:E2_6_1_42_km} + (E2_6_1_42 * C00407 * C00026))</v>
      </c>
    </row>
    <row r="699" spans="1:11">
      <c r="A699" t="s">
        <v>5238</v>
      </c>
      <c r="B699" t="s">
        <v>5239</v>
      </c>
      <c r="C699" t="s">
        <v>15591</v>
      </c>
      <c r="D699">
        <v>698</v>
      </c>
      <c r="E699" t="str">
        <f t="shared" si="30"/>
        <v>E2_6_1_42</v>
      </c>
      <c r="F699" s="4" t="s">
        <v>10993</v>
      </c>
      <c r="G699" s="4" t="s">
        <v>11691</v>
      </c>
      <c r="H699" s="4" t="s">
        <v>10994</v>
      </c>
      <c r="I699" s="4" t="s">
        <v>12399</v>
      </c>
      <c r="J699" t="str">
        <f t="shared" si="31"/>
        <v>(${Variables:E2_6_1_42_kcat} * E2_6_1_42 * C02356 * C00026 )/(${Variables:E2_6_1_42_km} + (E2_6_1_42 * C02356 * C00026 ))</v>
      </c>
      <c r="K699" s="21" t="str">
        <f t="shared" si="32"/>
        <v>r698: C02356 + C00026  -&gt; C00109 + C00025 | (${Variables:E2_6_1_42_kcat} * E2_6_1_42 * C02356 * C00026 )/(${Variables:E2_6_1_42_km} + (E2_6_1_42 * C02356 * C00026 ))</v>
      </c>
    </row>
    <row r="700" spans="1:11">
      <c r="A700" t="s">
        <v>5242</v>
      </c>
      <c r="B700" t="s">
        <v>5243</v>
      </c>
      <c r="C700" t="s">
        <v>15592</v>
      </c>
      <c r="D700">
        <v>699</v>
      </c>
      <c r="E700" t="str">
        <f t="shared" si="30"/>
        <v>E3_4_11_1</v>
      </c>
      <c r="F700" s="4" t="s">
        <v>10535</v>
      </c>
      <c r="G700" s="4" t="s">
        <v>11351</v>
      </c>
      <c r="H700" s="4" t="s">
        <v>10536</v>
      </c>
      <c r="I700" s="4" t="s">
        <v>12036</v>
      </c>
      <c r="J700" t="str">
        <f t="shared" si="31"/>
        <v>(${Variables:E3_4_11_1_kcat} * E3_4_11_1 * C01419 * C00001)/(${Variables:E3_4_11_1_km} + (E3_4_11_1 * C01419 * C00001))</v>
      </c>
      <c r="K700" s="21" t="str">
        <f t="shared" si="32"/>
        <v>r699: C01419 + C00001 -&gt; C00097 + C00037 | (${Variables:E3_4_11_1_kcat} * E3_4_11_1 * C01419 * C00001)/(${Variables:E3_4_11_1_km} + (E3_4_11_1 * C01419 * C00001))</v>
      </c>
    </row>
    <row r="701" spans="1:11">
      <c r="A701" t="s">
        <v>5242</v>
      </c>
      <c r="B701" t="s">
        <v>5243</v>
      </c>
      <c r="C701" t="s">
        <v>15592</v>
      </c>
      <c r="D701">
        <v>700</v>
      </c>
      <c r="E701" t="str">
        <f t="shared" si="30"/>
        <v>E3_4_11_1</v>
      </c>
      <c r="F701" s="4" t="s">
        <v>10211</v>
      </c>
      <c r="G701" s="4" t="s">
        <v>11352</v>
      </c>
      <c r="H701" s="4" t="s">
        <v>10212</v>
      </c>
      <c r="I701" s="4" t="s">
        <v>12037</v>
      </c>
      <c r="J701" t="str">
        <f t="shared" si="31"/>
        <v>(${Variables:E3_4_11_1_kcat} * E3_4_11_1 * C05729 * C00001)/(${Variables:E3_4_11_1_km} + (E3_4_11_1 * C05729 * C00001))</v>
      </c>
      <c r="K701" s="21" t="str">
        <f t="shared" si="32"/>
        <v>r700: C05729 + C00001 -&gt; C05726 + C00037 | (${Variables:E3_4_11_1_kcat} * E3_4_11_1 * C05729 * C00001)/(${Variables:E3_4_11_1_km} + (E3_4_11_1 * C05729 * C00001))</v>
      </c>
    </row>
    <row r="702" spans="1:11">
      <c r="A702" t="s">
        <v>5251</v>
      </c>
      <c r="B702" t="s">
        <v>5252</v>
      </c>
      <c r="C702" t="s">
        <v>15593</v>
      </c>
      <c r="D702">
        <v>701</v>
      </c>
      <c r="E702" t="str">
        <f t="shared" si="30"/>
        <v>E2_3_1_12</v>
      </c>
      <c r="F702" s="4" t="s">
        <v>10995</v>
      </c>
      <c r="G702" s="4" t="s">
        <v>11692</v>
      </c>
      <c r="H702" s="4" t="s">
        <v>10996</v>
      </c>
      <c r="I702" s="4" t="s">
        <v>12400</v>
      </c>
      <c r="J702" t="str">
        <f t="shared" si="31"/>
        <v>(${Variables:E2_3_1_12_kcat} * E2_3_1_12 * C00024 * C15973)/(${Variables:E2_3_1_12_km} + (E2_3_1_12 * C00024 * C15973))</v>
      </c>
      <c r="K702" s="21" t="str">
        <f t="shared" si="32"/>
        <v>r701: C00024 + C15973 -&gt; C00010 + C16255 | (${Variables:E2_3_1_12_kcat} * E2_3_1_12 * C00024 * C15973)/(${Variables:E2_3_1_12_km} + (E2_3_1_12 * C00024 * C15973))</v>
      </c>
    </row>
    <row r="703" spans="1:11">
      <c r="A703" t="s">
        <v>5255</v>
      </c>
      <c r="B703" t="s">
        <v>5256</v>
      </c>
      <c r="C703" t="s">
        <v>15594</v>
      </c>
      <c r="D703">
        <v>702</v>
      </c>
      <c r="E703" t="str">
        <f t="shared" si="30"/>
        <v>E1_4_4_2</v>
      </c>
      <c r="F703" s="4" t="s">
        <v>10997</v>
      </c>
      <c r="G703" s="4" t="s">
        <v>11693</v>
      </c>
      <c r="H703" s="4" t="s">
        <v>10998</v>
      </c>
      <c r="I703" s="4" t="s">
        <v>12401</v>
      </c>
      <c r="J703" t="str">
        <f t="shared" si="31"/>
        <v>(${Variables:E1_4_4_2_kcat} * E1_4_4_2 * C00037 * C02051)/(${Variables:E1_4_4_2_km} + (E1_4_4_2 * C00037 * C02051))</v>
      </c>
      <c r="K703" s="21" t="str">
        <f t="shared" si="32"/>
        <v>r702: C00037 + C02051 -&gt; C01242 + C00011 | (${Variables:E1_4_4_2_kcat} * E1_4_4_2 * C00037 * C02051)/(${Variables:E1_4_4_2_km} + (E1_4_4_2 * C00037 * C02051))</v>
      </c>
    </row>
    <row r="704" spans="1:11">
      <c r="A704" t="s">
        <v>5259</v>
      </c>
      <c r="B704" t="s">
        <v>5260</v>
      </c>
      <c r="C704" t="s">
        <v>15595</v>
      </c>
      <c r="D704">
        <v>703</v>
      </c>
      <c r="E704" t="str">
        <f t="shared" si="30"/>
        <v>E2_1_2_10</v>
      </c>
      <c r="F704" s="4" t="s">
        <v>10999</v>
      </c>
      <c r="G704" s="4" t="s">
        <v>11694</v>
      </c>
      <c r="H704" s="4" t="s">
        <v>11000</v>
      </c>
      <c r="I704" s="4" t="s">
        <v>12402</v>
      </c>
      <c r="J704" t="str">
        <f t="shared" si="31"/>
        <v>(${Variables:E2_1_2_10_kcat} * E2_1_2_10 * C01242 * C00101)/(${Variables:E2_1_2_10_km} + (E2_1_2_10 * C01242 * C00101))</v>
      </c>
      <c r="K704" s="21" t="str">
        <f t="shared" si="32"/>
        <v>r703: C01242 + C00101 -&gt; C02972 + C00143 + C00014 | (${Variables:E2_1_2_10_kcat} * E2_1_2_10 * C01242 * C00101)/(${Variables:E2_1_2_10_km} + (E2_1_2_10 * C01242 * C00101))</v>
      </c>
    </row>
    <row r="705" spans="1:11">
      <c r="A705" t="s">
        <v>5259</v>
      </c>
      <c r="B705" t="s">
        <v>5260</v>
      </c>
      <c r="C705" t="s">
        <v>15595</v>
      </c>
      <c r="D705">
        <v>704</v>
      </c>
      <c r="E705" t="str">
        <f t="shared" si="30"/>
        <v>E2_1_2_10</v>
      </c>
      <c r="F705" s="4" t="s">
        <v>9197</v>
      </c>
      <c r="G705" s="4" t="s">
        <v>9197</v>
      </c>
      <c r="H705" s="4" t="s">
        <v>11001</v>
      </c>
      <c r="I705" s="4" t="s">
        <v>12403</v>
      </c>
      <c r="J705" t="str">
        <f t="shared" si="31"/>
        <v>(${Variables:E2_1_2_10_kcat} * E2_1_2_10 * C03479)/(${Variables:E2_1_2_10_km} + (E2_1_2_10 * C03479))</v>
      </c>
      <c r="K705" s="21" t="str">
        <f t="shared" si="32"/>
        <v>r704: C03479 -&gt; C00445 + C00001 | (${Variables:E2_1_2_10_kcat} * E2_1_2_10 * C03479)/(${Variables:E2_1_2_10_km} + (E2_1_2_10 * C03479))</v>
      </c>
    </row>
    <row r="706" spans="1:11">
      <c r="A706" t="s">
        <v>5267</v>
      </c>
      <c r="B706" t="s">
        <v>5268</v>
      </c>
      <c r="C706" t="s">
        <v>15596</v>
      </c>
      <c r="D706">
        <v>705</v>
      </c>
      <c r="E706" t="str">
        <f t="shared" si="30"/>
        <v>E2_3_1_181</v>
      </c>
      <c r="F706" s="4" t="s">
        <v>11002</v>
      </c>
      <c r="G706" s="4" t="s">
        <v>11695</v>
      </c>
      <c r="H706" s="4" t="s">
        <v>11003</v>
      </c>
      <c r="I706" s="4" t="s">
        <v>12404</v>
      </c>
      <c r="J706" t="str">
        <f t="shared" si="31"/>
        <v>(${Variables:E2_3_1_181_kcat} * E2_3_1_181 * C05752 * C16240 )/(${Variables:E2_3_1_181_km} + (E2_3_1_181 * C05752 * C16240 ))</v>
      </c>
      <c r="K706" s="21" t="str">
        <f t="shared" si="32"/>
        <v>r705: C05752 + C16240  -&gt; C16236 + C00229 | (${Variables:E2_3_1_181_kcat} * E2_3_1_181 * C05752 * C16240 )/(${Variables:E2_3_1_181_km} + (E2_3_1_181 * C05752 * C16240 ))</v>
      </c>
    </row>
    <row r="707" spans="1:11">
      <c r="A707" t="s">
        <v>5267</v>
      </c>
      <c r="B707" t="s">
        <v>5268</v>
      </c>
      <c r="C707" t="s">
        <v>15596</v>
      </c>
      <c r="D707">
        <v>706</v>
      </c>
      <c r="E707" t="str">
        <f t="shared" ref="E707:E770" si="33">"E" &amp; C707</f>
        <v>E2_3_1_181</v>
      </c>
      <c r="F707" s="4" t="s">
        <v>11004</v>
      </c>
      <c r="G707" s="4" t="s">
        <v>11696</v>
      </c>
      <c r="H707" s="4" t="s">
        <v>11005</v>
      </c>
      <c r="I707" s="4" t="s">
        <v>12405</v>
      </c>
      <c r="J707" t="str">
        <f t="shared" ref="J707:J770" si="34">CONCATENATE("(${Variables:",E707,"_kcat","} * ",E707," * ",G707,")","/(${Variables:",E707,"_km","} + (",E707," * ",G707,"))")</f>
        <v>(${Variables:E2_3_1_181_kcat} * E2_3_1_181 * C05752 * C22158 )/(${Variables:E2_3_1_181_km} + (E2_3_1_181 * C05752 * C22158 ))</v>
      </c>
      <c r="K707" s="21" t="str">
        <f t="shared" ref="K707:K770" si="35">CONCATENATE("r",D707,": ",F707," -&gt; ",H707," | ",J707)</f>
        <v>r706: C05752 + C22158  -&gt; C22160 + C00229 | (${Variables:E2_3_1_181_kcat} * E2_3_1_181 * C05752 * C22158 )/(${Variables:E2_3_1_181_km} + (E2_3_1_181 * C05752 * C22158 ))</v>
      </c>
    </row>
    <row r="708" spans="1:11">
      <c r="A708" t="s">
        <v>5267</v>
      </c>
      <c r="B708" t="s">
        <v>5268</v>
      </c>
      <c r="C708" t="s">
        <v>15596</v>
      </c>
      <c r="D708">
        <v>707</v>
      </c>
      <c r="E708" t="str">
        <f t="shared" si="33"/>
        <v>E2_3_1_181</v>
      </c>
      <c r="F708" s="4" t="s">
        <v>11006</v>
      </c>
      <c r="G708" s="4" t="s">
        <v>11697</v>
      </c>
      <c r="H708" s="4" t="s">
        <v>11007</v>
      </c>
      <c r="I708" s="4" t="s">
        <v>12406</v>
      </c>
      <c r="J708" t="str">
        <f t="shared" si="34"/>
        <v>(${Variables:E2_3_1_181_kcat} * E2_3_1_181 * C05752 * C22157 )/(${Variables:E2_3_1_181_km} + (E2_3_1_181 * C05752 * C22157 ))</v>
      </c>
      <c r="K708" s="21" t="str">
        <f t="shared" si="35"/>
        <v>r707: C05752 + C22157  -&gt; C22159 + C00229 | (${Variables:E2_3_1_181_kcat} * E2_3_1_181 * C05752 * C22157 )/(${Variables:E2_3_1_181_km} + (E2_3_1_181 * C05752 * C22157 ))</v>
      </c>
    </row>
    <row r="709" spans="1:11">
      <c r="A709" t="s">
        <v>5267</v>
      </c>
      <c r="B709" t="s">
        <v>5268</v>
      </c>
      <c r="C709" t="s">
        <v>15596</v>
      </c>
      <c r="D709">
        <v>708</v>
      </c>
      <c r="E709" t="str">
        <f t="shared" si="33"/>
        <v>E2_3_1_181</v>
      </c>
      <c r="F709" s="4" t="s">
        <v>11008</v>
      </c>
      <c r="G709" s="4" t="s">
        <v>11698</v>
      </c>
      <c r="H709" s="4" t="s">
        <v>11009</v>
      </c>
      <c r="I709" s="4" t="s">
        <v>12407</v>
      </c>
      <c r="J709" t="str">
        <f t="shared" si="34"/>
        <v>(${Variables:E2_3_1_181_kcat} * E2_3_1_181 * C16239 * C16240)/(${Variables:E2_3_1_181_km} + (E2_3_1_181 * C16239 * C16240))</v>
      </c>
      <c r="K709" s="21" t="str">
        <f t="shared" si="35"/>
        <v>r708: C16239 + C16240 -&gt; C16237 + C00229 | (${Variables:E2_3_1_181_kcat} * E2_3_1_181 * C16239 * C16240)/(${Variables:E2_3_1_181_km} + (E2_3_1_181 * C16239 * C16240))</v>
      </c>
    </row>
    <row r="710" spans="1:11">
      <c r="A710" t="s">
        <v>5271</v>
      </c>
      <c r="B710" t="s">
        <v>5272</v>
      </c>
      <c r="C710" t="s">
        <v>15597</v>
      </c>
      <c r="D710">
        <v>709</v>
      </c>
      <c r="E710" t="str">
        <f t="shared" si="33"/>
        <v>E2_8_1_8</v>
      </c>
      <c r="F710" s="4" t="s">
        <v>15835</v>
      </c>
      <c r="G710" s="4" t="s">
        <v>15938</v>
      </c>
      <c r="H710" s="4" t="s">
        <v>15836</v>
      </c>
      <c r="I710" s="4" t="s">
        <v>15837</v>
      </c>
      <c r="J710" t="str">
        <f t="shared" si="34"/>
        <v>(${Variables:E2_8_1_8_kcat} * E2_8_1_8 * C16236 * C22154 * C00019 *  C22150 * C00080)/(${Variables:E2_8_1_8_km} + (E2_8_1_8 * C16236 * C22154 * C00019 *  C22150 * C00080))</v>
      </c>
      <c r="K710" s="21" t="str">
        <f t="shared" si="35"/>
        <v>r709: C16236 + C22154 + C00019 +  C22150 +  C00080 -&gt; C16832 + C22155 +  C00283 +  C14818 +  C00073 +  C05198 +  C22151 | (${Variables:E2_8_1_8_kcat} * E2_8_1_8 * C16236 * C22154 * C00019 *  C22150 * C00080)/(${Variables:E2_8_1_8_km} + (E2_8_1_8 * C16236 * C22154 * C00019 *  C22150 * C00080))</v>
      </c>
    </row>
    <row r="711" spans="1:11">
      <c r="A711" t="s">
        <v>5271</v>
      </c>
      <c r="B711" t="s">
        <v>5272</v>
      </c>
      <c r="C711" t="s">
        <v>15597</v>
      </c>
      <c r="D711">
        <v>710</v>
      </c>
      <c r="E711" t="str">
        <f t="shared" si="33"/>
        <v>E2_8_1_8</v>
      </c>
      <c r="F711" s="4" t="s">
        <v>15838</v>
      </c>
      <c r="G711" s="4" t="s">
        <v>15839</v>
      </c>
      <c r="H711" s="4" t="s">
        <v>15840</v>
      </c>
      <c r="I711" s="4" t="s">
        <v>15841</v>
      </c>
      <c r="J711" t="str">
        <f t="shared" si="34"/>
        <v>(${Variables:E2_8_1_8_kcat} * E2_8_1_8 * C22160 * C22154 *  C00019 *  C22150 *  C00080)/(${Variables:E2_8_1_8_km} + (E2_8_1_8 * C22160 * C22154 *  C00019 *  C22150 *  C00080))</v>
      </c>
      <c r="K711" s="21" t="str">
        <f t="shared" si="35"/>
        <v>r710: C22160 + C22154 +  C00019 +  C22150 +  C00080 -&gt;  C15973 + C22155 +  C00283 +  C14818 +  C00073 +  C05198 +  C22151 | (${Variables:E2_8_1_8_kcat} * E2_8_1_8 * C22160 * C22154 *  C00019 *  C22150 *  C00080)/(${Variables:E2_8_1_8_km} + (E2_8_1_8 * C22160 * C22154 *  C00019 *  C22150 *  C00080))</v>
      </c>
    </row>
    <row r="712" spans="1:11">
      <c r="A712" t="s">
        <v>5271</v>
      </c>
      <c r="B712" t="s">
        <v>5272</v>
      </c>
      <c r="C712" t="s">
        <v>15597</v>
      </c>
      <c r="D712">
        <v>711</v>
      </c>
      <c r="E712" t="str">
        <f t="shared" si="33"/>
        <v>E2_8_1_8</v>
      </c>
      <c r="F712" s="4" t="s">
        <v>15842</v>
      </c>
      <c r="G712" s="4" t="s">
        <v>15843</v>
      </c>
      <c r="H712" s="4" t="s">
        <v>15844</v>
      </c>
      <c r="I712" s="4" t="s">
        <v>15845</v>
      </c>
      <c r="J712" t="str">
        <f t="shared" si="34"/>
        <v>(${Variables:E2_8_1_8_kcat} * E2_8_1_8 * C22159 * C22154 *  C00019 *  C22150 *  C00080)/(${Variables:E2_8_1_8_km} + (E2_8_1_8 * C22159 * C22154 *  C00019 *  C22150 *  C00080))</v>
      </c>
      <c r="K712" s="21" t="str">
        <f t="shared" si="35"/>
        <v>r711: C22159 + C22154 +  C00019 +  C22150 +  C00080 -&gt; C02972 + C22155 +  C00283 +  C14818 +  C00073 +  C05198 +  C22151 | (${Variables:E2_8_1_8_kcat} * E2_8_1_8 * C22159 * C22154 *  C00019 *  C22150 *  C00080)/(${Variables:E2_8_1_8_km} + (E2_8_1_8 * C22159 * C22154 *  C00019 *  C22150 *  C00080))</v>
      </c>
    </row>
    <row r="713" spans="1:11">
      <c r="A713" t="s">
        <v>5279</v>
      </c>
      <c r="B713" t="s">
        <v>5280</v>
      </c>
      <c r="C713" t="s">
        <v>15598</v>
      </c>
      <c r="D713">
        <v>712</v>
      </c>
      <c r="E713" t="str">
        <f t="shared" si="33"/>
        <v>E6_3_1_2</v>
      </c>
      <c r="F713" s="4" t="s">
        <v>11010</v>
      </c>
      <c r="G713" s="4" t="s">
        <v>11699</v>
      </c>
      <c r="H713" s="4" t="s">
        <v>11011</v>
      </c>
      <c r="I713" s="4" t="s">
        <v>12408</v>
      </c>
      <c r="J713" t="str">
        <f t="shared" si="34"/>
        <v>(${Variables:E6_3_1_2_kcat} * E6_3_1_2 * C00002 * C00025 * C00014)/(${Variables:E6_3_1_2_km} + (E6_3_1_2 * C00002 * C00025 * C00014))</v>
      </c>
      <c r="K713" s="21" t="str">
        <f t="shared" si="35"/>
        <v>r712: C00002 + C00025 + C00014 -&gt; C00008 + C00009 + C00064 | (${Variables:E6_3_1_2_kcat} * E6_3_1_2 * C00002 * C00025 * C00014)/(${Variables:E6_3_1_2_km} + (E6_3_1_2 * C00002 * C00025 * C00014))</v>
      </c>
    </row>
    <row r="714" spans="1:11">
      <c r="A714" t="s">
        <v>5297</v>
      </c>
      <c r="B714" t="s">
        <v>5298</v>
      </c>
      <c r="C714" t="s">
        <v>15599</v>
      </c>
      <c r="D714">
        <v>713</v>
      </c>
      <c r="E714" t="str">
        <f t="shared" si="33"/>
        <v>E4_2_3_1</v>
      </c>
      <c r="F714" t="s">
        <v>11012</v>
      </c>
      <c r="G714" t="s">
        <v>11700</v>
      </c>
      <c r="H714" t="s">
        <v>11013</v>
      </c>
      <c r="I714" t="s">
        <v>12409</v>
      </c>
      <c r="J714" t="str">
        <f t="shared" si="34"/>
        <v>(${Variables:E4_2_3_1_kcat} * E4_2_3_1 * C01102 * C00001)/(${Variables:E4_2_3_1_km} + (E4_2_3_1 * C01102 * C00001))</v>
      </c>
      <c r="K714" s="21" t="str">
        <f t="shared" si="35"/>
        <v>r713: C01102 + C00001 -&gt; C00188 + C00009 | (${Variables:E4_2_3_1_kcat} * E4_2_3_1 * C01102 * C00001)/(${Variables:E4_2_3_1_km} + (E4_2_3_1 * C01102 * C00001))</v>
      </c>
    </row>
    <row r="715" spans="1:11">
      <c r="A715" t="s">
        <v>5297</v>
      </c>
      <c r="B715" t="s">
        <v>5298</v>
      </c>
      <c r="C715" t="s">
        <v>15599</v>
      </c>
      <c r="D715">
        <v>714</v>
      </c>
      <c r="E715" t="str">
        <f t="shared" si="33"/>
        <v>E4_2_3_1</v>
      </c>
      <c r="F715" t="s">
        <v>11014</v>
      </c>
      <c r="G715" t="s">
        <v>11701</v>
      </c>
      <c r="H715" t="s">
        <v>11015</v>
      </c>
      <c r="I715" t="s">
        <v>12410</v>
      </c>
      <c r="J715" t="str">
        <f t="shared" si="34"/>
        <v>(${Variables:E4_2_3_1_kcat} * E4_2_3_1 * C06055 * C00001)/(${Variables:E4_2_3_1_km} + (E4_2_3_1 * C06055 * C00001))</v>
      </c>
      <c r="K715" s="21" t="str">
        <f t="shared" si="35"/>
        <v>r714: C06055 + C00001 -&gt; C06056 + C00009 | (${Variables:E4_2_3_1_kcat} * E4_2_3_1 * C06055 * C00001)/(${Variables:E4_2_3_1_km} + (E4_2_3_1 * C06055 * C00001))</v>
      </c>
    </row>
    <row r="716" spans="1:11">
      <c r="A716" t="s">
        <v>5315</v>
      </c>
      <c r="B716" t="s">
        <v>5316</v>
      </c>
      <c r="C716" t="s">
        <v>15600</v>
      </c>
      <c r="D716">
        <v>715</v>
      </c>
      <c r="E716" t="str">
        <f t="shared" si="33"/>
        <v>E2_7_7_42</v>
      </c>
      <c r="F716" t="s">
        <v>11016</v>
      </c>
      <c r="G716" t="s">
        <v>11702</v>
      </c>
      <c r="H716" t="s">
        <v>11017</v>
      </c>
      <c r="I716" t="s">
        <v>12411</v>
      </c>
      <c r="J716" t="str">
        <f t="shared" si="34"/>
        <v>(${Variables:E2_7_7_42_kcat} * E2_7_7_42 * C00002 * C01281 )/(${Variables:E2_7_7_42_km} + (E2_7_7_42 * C00002 * C01281 ))</v>
      </c>
      <c r="K716" s="21" t="str">
        <f t="shared" si="35"/>
        <v>r715: C00002 + C01281  -&gt; C00013 + C01299 | (${Variables:E2_7_7_42_kcat} * E2_7_7_42 * C00002 * C01281 )/(${Variables:E2_7_7_42_km} + (E2_7_7_42 * C00002 * C01281 ))</v>
      </c>
    </row>
    <row r="717" spans="1:11">
      <c r="A717" t="s">
        <v>5319</v>
      </c>
      <c r="B717" t="s">
        <v>5320</v>
      </c>
      <c r="C717" t="s">
        <v>15598</v>
      </c>
      <c r="D717">
        <v>716</v>
      </c>
      <c r="E717" t="str">
        <f t="shared" si="33"/>
        <v>E6_3_1_2</v>
      </c>
      <c r="F717" t="s">
        <v>11010</v>
      </c>
      <c r="G717" t="s">
        <v>11699</v>
      </c>
      <c r="H717" s="4" t="s">
        <v>11011</v>
      </c>
      <c r="I717" s="4" t="s">
        <v>12408</v>
      </c>
      <c r="J717" t="str">
        <f t="shared" si="34"/>
        <v>(${Variables:E6_3_1_2_kcat} * E6_3_1_2 * C00002 * C00025 * C00014)/(${Variables:E6_3_1_2_km} + (E6_3_1_2 * C00002 * C00025 * C00014))</v>
      </c>
      <c r="K717" s="21" t="str">
        <f t="shared" si="35"/>
        <v>r716: C00002 + C00025 + C00014 -&gt; C00008 + C00009 + C00064 | (${Variables:E6_3_1_2_kcat} * E6_3_1_2 * C00002 * C00025 * C00014)/(${Variables:E6_3_1_2_km} + (E6_3_1_2 * C00002 * C00025 * C00014))</v>
      </c>
    </row>
    <row r="718" spans="1:11">
      <c r="A718" t="s">
        <v>5337</v>
      </c>
      <c r="B718" t="s">
        <v>5338</v>
      </c>
      <c r="C718" t="s">
        <v>15601</v>
      </c>
      <c r="D718">
        <v>717</v>
      </c>
      <c r="E718" t="str">
        <f t="shared" si="33"/>
        <v>E1_1_1_1</v>
      </c>
      <c r="F718" t="s">
        <v>11018</v>
      </c>
      <c r="G718" t="s">
        <v>11703</v>
      </c>
      <c r="H718" t="s">
        <v>11019</v>
      </c>
      <c r="I718" t="s">
        <v>15846</v>
      </c>
      <c r="J718" t="str">
        <f t="shared" si="34"/>
        <v>(${Variables:E1_1_1_1_kcat} * E1_1_1_1 * C00226 * C00003)/(${Variables:E1_1_1_1_km} + (E1_1_1_1 * C00226 * C00003))</v>
      </c>
      <c r="K718" s="21" t="str">
        <f t="shared" si="35"/>
        <v>r717: C00226 + C00003 -&gt;  C00071 + C00004 + C00080 | (${Variables:E1_1_1_1_kcat} * E1_1_1_1 * C00226 * C00003)/(${Variables:E1_1_1_1_km} + (E1_1_1_1 * C00226 * C00003))</v>
      </c>
    </row>
    <row r="719" spans="1:11">
      <c r="A719" t="s">
        <v>5337</v>
      </c>
      <c r="B719" t="s">
        <v>5338</v>
      </c>
      <c r="C719" t="s">
        <v>15601</v>
      </c>
      <c r="D719">
        <v>718</v>
      </c>
      <c r="E719" t="str">
        <f t="shared" si="33"/>
        <v>E1_1_1_1</v>
      </c>
      <c r="F719" t="s">
        <v>11020</v>
      </c>
      <c r="G719" t="s">
        <v>11704</v>
      </c>
      <c r="H719" t="s">
        <v>11021</v>
      </c>
      <c r="I719" t="s">
        <v>12412</v>
      </c>
      <c r="J719" t="str">
        <f t="shared" si="34"/>
        <v>(${Variables:E1_1_1_1_kcat} * E1_1_1_1 * C00469 * C00003 )/(${Variables:E1_1_1_1_km} + (E1_1_1_1 * C00469 * C00003 ))</v>
      </c>
      <c r="K719" s="21" t="str">
        <f t="shared" si="35"/>
        <v>r718: C00469 + C00003  -&gt; C00084 + C00004 + C00080 | (${Variables:E1_1_1_1_kcat} * E1_1_1_1 * C00469 * C00003 )/(${Variables:E1_1_1_1_km} + (E1_1_1_1 * C00469 * C00003 ))</v>
      </c>
    </row>
    <row r="720" spans="1:11">
      <c r="A720" t="s">
        <v>5337</v>
      </c>
      <c r="B720" t="s">
        <v>5338</v>
      </c>
      <c r="C720" t="s">
        <v>15601</v>
      </c>
      <c r="D720">
        <v>719</v>
      </c>
      <c r="E720" t="str">
        <f t="shared" si="33"/>
        <v>E1_1_1_1</v>
      </c>
      <c r="F720" t="s">
        <v>11022</v>
      </c>
      <c r="G720" t="s">
        <v>11705</v>
      </c>
      <c r="H720" t="s">
        <v>11023</v>
      </c>
      <c r="I720" t="s">
        <v>12413</v>
      </c>
      <c r="J720" t="str">
        <f t="shared" si="34"/>
        <v>(${Variables:E1_1_1_1_kcat} * E1_1_1_1 * C00473 * C00003 )/(${Variables:E1_1_1_1_km} + (E1_1_1_1 * C00473 * C00003 ))</v>
      </c>
      <c r="K720" s="21" t="str">
        <f t="shared" si="35"/>
        <v>r719: C00473 + C00003  -&gt; C00376 + C00004 + C00080 | (${Variables:E1_1_1_1_kcat} * E1_1_1_1 * C00473 * C00003 )/(${Variables:E1_1_1_1_km} + (E1_1_1_1 * C00473 * C00003 ))</v>
      </c>
    </row>
    <row r="721" spans="1:11">
      <c r="A721" t="s">
        <v>5337</v>
      </c>
      <c r="B721" t="s">
        <v>5338</v>
      </c>
      <c r="C721" t="s">
        <v>15601</v>
      </c>
      <c r="D721">
        <v>720</v>
      </c>
      <c r="E721" t="str">
        <f t="shared" si="33"/>
        <v>E1_1_1_1</v>
      </c>
      <c r="F721" t="s">
        <v>11024</v>
      </c>
      <c r="G721" t="s">
        <v>11706</v>
      </c>
      <c r="H721" t="s">
        <v>11025</v>
      </c>
      <c r="I721" t="s">
        <v>12414</v>
      </c>
      <c r="J721" t="str">
        <f t="shared" si="34"/>
        <v>(${Variables:E1_1_1_1_kcat} * E1_1_1_1 * C00756 * C00003)/(${Variables:E1_1_1_1_km} + (E1_1_1_1 * C00756 * C00003))</v>
      </c>
      <c r="K721" s="21" t="str">
        <f t="shared" si="35"/>
        <v>r720: C00756 + C00003 -&gt; C01545 + C00004 + C00080 | (${Variables:E1_1_1_1_kcat} * E1_1_1_1 * C00756 * C00003)/(${Variables:E1_1_1_1_km} + (E1_1_1_1 * C00756 * C00003))</v>
      </c>
    </row>
    <row r="722" spans="1:11">
      <c r="A722" t="s">
        <v>5337</v>
      </c>
      <c r="B722" t="s">
        <v>5338</v>
      </c>
      <c r="C722" t="s">
        <v>15601</v>
      </c>
      <c r="D722">
        <v>721</v>
      </c>
      <c r="E722" t="str">
        <f t="shared" si="33"/>
        <v>E1_1_1_1</v>
      </c>
      <c r="F722" t="s">
        <v>11026</v>
      </c>
      <c r="G722" t="s">
        <v>11707</v>
      </c>
      <c r="H722" t="s">
        <v>11027</v>
      </c>
      <c r="I722" t="s">
        <v>12415</v>
      </c>
      <c r="J722" t="str">
        <f t="shared" si="34"/>
        <v>(${Variables:E1_1_1_1_kcat} * E1_1_1_1 * C05444 * C00003 )/(${Variables:E1_1_1_1_km} + (E1_1_1_1 * C05444 * C00003 ))</v>
      </c>
      <c r="K722" s="21" t="str">
        <f t="shared" si="35"/>
        <v>r721: C05444 + C00003  -&gt; C05445 + C00004 + C00080 | (${Variables:E1_1_1_1_kcat} * E1_1_1_1 * C05444 * C00003 )/(${Variables:E1_1_1_1_km} + (E1_1_1_1 * C05444 * C00003 ))</v>
      </c>
    </row>
    <row r="723" spans="1:11">
      <c r="A723" t="s">
        <v>5337</v>
      </c>
      <c r="B723" t="s">
        <v>5338</v>
      </c>
      <c r="C723" t="s">
        <v>15601</v>
      </c>
      <c r="D723">
        <v>722</v>
      </c>
      <c r="E723" t="str">
        <f t="shared" si="33"/>
        <v>E1_1_1_1</v>
      </c>
      <c r="F723" t="s">
        <v>11028</v>
      </c>
      <c r="G723" t="s">
        <v>11708</v>
      </c>
      <c r="H723" t="s">
        <v>11029</v>
      </c>
      <c r="I723" t="s">
        <v>12416</v>
      </c>
      <c r="J723" t="str">
        <f t="shared" si="34"/>
        <v>(${Variables:E1_1_1_1_kcat} * E1_1_1_1 * C05576 * C00003)/(${Variables:E1_1_1_1_km} + (E1_1_1_1 * C05576 * C00003))</v>
      </c>
      <c r="K723" s="21" t="str">
        <f t="shared" si="35"/>
        <v>r722: C05576 + C00003 -&gt; C05577 + C00004 + C00080 | (${Variables:E1_1_1_1_kcat} * E1_1_1_1 * C05576 * C00003)/(${Variables:E1_1_1_1_km} + (E1_1_1_1 * C05576 * C00003))</v>
      </c>
    </row>
    <row r="724" spans="1:11">
      <c r="A724" t="s">
        <v>5337</v>
      </c>
      <c r="B724" t="s">
        <v>5338</v>
      </c>
      <c r="C724" t="s">
        <v>15601</v>
      </c>
      <c r="D724">
        <v>723</v>
      </c>
      <c r="E724" t="str">
        <f t="shared" si="33"/>
        <v>E1_1_1_1</v>
      </c>
      <c r="F724" t="s">
        <v>11030</v>
      </c>
      <c r="G724" t="s">
        <v>11709</v>
      </c>
      <c r="H724" t="s">
        <v>11031</v>
      </c>
      <c r="I724" t="s">
        <v>12417</v>
      </c>
      <c r="J724" t="str">
        <f t="shared" si="34"/>
        <v>(${Variables:E1_1_1_1_kcat} * E1_1_1_1 * C06611 * C00003)/(${Variables:E1_1_1_1_km} + (E1_1_1_1 * C06611 * C00003))</v>
      </c>
      <c r="K724" s="21" t="str">
        <f t="shared" si="35"/>
        <v>r723: C06611 + C00003 -&gt; C06613 + C00004 + C00080 | (${Variables:E1_1_1_1_kcat} * E1_1_1_1 * C06611 * C00003)/(${Variables:E1_1_1_1_km} + (E1_1_1_1 * C06611 * C00003))</v>
      </c>
    </row>
    <row r="725" spans="1:11">
      <c r="A725" t="s">
        <v>5337</v>
      </c>
      <c r="B725" t="s">
        <v>5338</v>
      </c>
      <c r="C725" t="s">
        <v>15601</v>
      </c>
      <c r="D725">
        <v>724</v>
      </c>
      <c r="E725" t="str">
        <f t="shared" si="33"/>
        <v>E1_1_1_1</v>
      </c>
      <c r="F725" t="s">
        <v>11032</v>
      </c>
      <c r="G725" t="s">
        <v>11710</v>
      </c>
      <c r="H725" t="s">
        <v>11033</v>
      </c>
      <c r="I725" t="s">
        <v>12418</v>
      </c>
      <c r="J725" t="str">
        <f t="shared" si="34"/>
        <v>(${Variables:E1_1_1_1_kcat} * E1_1_1_1 * C06612 * C00003)/(${Variables:E1_1_1_1_km} + (E1_1_1_1 * C06612 * C00003))</v>
      </c>
      <c r="K725" s="21" t="str">
        <f t="shared" si="35"/>
        <v>r724: C06612 + C00003 -&gt; C16348 + C00004 + C00080 | (${Variables:E1_1_1_1_kcat} * E1_1_1_1 * C06612 * C00003)/(${Variables:E1_1_1_1_km} + (E1_1_1_1 * C06612 * C00003))</v>
      </c>
    </row>
    <row r="726" spans="1:11">
      <c r="A726" t="s">
        <v>5337</v>
      </c>
      <c r="B726" t="s">
        <v>5338</v>
      </c>
      <c r="C726" t="s">
        <v>15601</v>
      </c>
      <c r="D726">
        <v>725</v>
      </c>
      <c r="E726" t="str">
        <f t="shared" si="33"/>
        <v>E1_1_1_1</v>
      </c>
      <c r="F726" t="s">
        <v>11034</v>
      </c>
      <c r="G726" t="s">
        <v>11711</v>
      </c>
      <c r="H726" t="s">
        <v>11035</v>
      </c>
      <c r="I726" t="s">
        <v>12419</v>
      </c>
      <c r="J726" t="str">
        <f t="shared" si="34"/>
        <v>(${Variables:E1_1_1_1_kcat} * E1_1_1_1 * C14089 * C00003)/(${Variables:E1_1_1_1_km} + (E1_1_1_1 * C14089 * C00003))</v>
      </c>
      <c r="K726" s="21" t="str">
        <f t="shared" si="35"/>
        <v>r725: C14089 + C00003 -&gt; C14090 + C00004 + C00080 | (${Variables:E1_1_1_1_kcat} * E1_1_1_1 * C14089 * C00003)/(${Variables:E1_1_1_1_km} + (E1_1_1_1 * C14089 * C00003))</v>
      </c>
    </row>
    <row r="727" spans="1:11">
      <c r="A727" t="s">
        <v>5337</v>
      </c>
      <c r="B727" t="s">
        <v>5338</v>
      </c>
      <c r="C727" t="s">
        <v>15601</v>
      </c>
      <c r="D727">
        <v>726</v>
      </c>
      <c r="E727" t="str">
        <f t="shared" si="33"/>
        <v>E1_1_1_1</v>
      </c>
      <c r="F727" t="s">
        <v>11036</v>
      </c>
      <c r="G727" t="s">
        <v>11712</v>
      </c>
      <c r="H727" t="s">
        <v>11037</v>
      </c>
      <c r="I727" t="s">
        <v>12420</v>
      </c>
      <c r="J727" t="str">
        <f t="shared" si="34"/>
        <v>(${Variables:E1_1_1_1_kcat} * E1_1_1_1 * C02909 * C00003 )/(${Variables:E1_1_1_1_km} + (E1_1_1_1 * C02909 * C00003 ))</v>
      </c>
      <c r="K727" s="21" t="str">
        <f t="shared" si="35"/>
        <v>r726: C02909 + C00003  -&gt; C14099 + C00004 + C00080 | (${Variables:E1_1_1_1_kcat} * E1_1_1_1 * C02909 * C00003 )/(${Variables:E1_1_1_1_km} + (E1_1_1_1 * C02909 * C00003 ))</v>
      </c>
    </row>
    <row r="728" spans="1:11">
      <c r="A728" t="s">
        <v>5337</v>
      </c>
      <c r="B728" t="s">
        <v>5338</v>
      </c>
      <c r="C728" t="s">
        <v>15601</v>
      </c>
      <c r="D728">
        <v>727</v>
      </c>
      <c r="E728" t="str">
        <f t="shared" si="33"/>
        <v>E1_1_1_1</v>
      </c>
      <c r="F728" t="s">
        <v>11038</v>
      </c>
      <c r="G728" t="s">
        <v>11713</v>
      </c>
      <c r="H728" t="s">
        <v>11039</v>
      </c>
      <c r="I728" t="s">
        <v>12421</v>
      </c>
      <c r="J728" t="str">
        <f t="shared" si="34"/>
        <v>(${Variables:E1_1_1_1_kcat} * E1_1_1_1 * C07645 * C00004 * C00080)/(${Variables:E1_1_1_1_km} + (E1_1_1_1 * C07645 * C00004 * C00080))</v>
      </c>
      <c r="K728" s="21" t="str">
        <f t="shared" si="35"/>
        <v>r727: C07645 + C00004 + C00080 -&gt; C16551 + C00003 | (${Variables:E1_1_1_1_kcat} * E1_1_1_1 * C07645 * C00004 * C00080)/(${Variables:E1_1_1_1_km} + (E1_1_1_1 * C07645 * C00004 * C00080))</v>
      </c>
    </row>
    <row r="729" spans="1:11">
      <c r="A729" t="s">
        <v>5337</v>
      </c>
      <c r="B729" t="s">
        <v>5338</v>
      </c>
      <c r="C729" t="s">
        <v>15601</v>
      </c>
      <c r="D729">
        <v>728</v>
      </c>
      <c r="E729" t="str">
        <f t="shared" si="33"/>
        <v>E1_1_1_1</v>
      </c>
      <c r="F729" t="s">
        <v>11040</v>
      </c>
      <c r="G729" t="s">
        <v>11714</v>
      </c>
      <c r="H729" t="s">
        <v>11041</v>
      </c>
      <c r="I729" t="s">
        <v>12422</v>
      </c>
      <c r="J729" t="str">
        <f t="shared" si="34"/>
        <v>(${Variables:E1_1_1_1_kcat} * E1_1_1_1 * C16586 * C00003)/(${Variables:E1_1_1_1_km} + (E1_1_1_1 * C16586 * C00003))</v>
      </c>
      <c r="K729" s="21" t="str">
        <f t="shared" si="35"/>
        <v>r728: C16586 + C00003 -&gt; C16587 + C00004 + C00080 | (${Variables:E1_1_1_1_kcat} * E1_1_1_1 * C16586 * C00003)/(${Variables:E1_1_1_1_km} + (E1_1_1_1 * C16586 * C00003))</v>
      </c>
    </row>
    <row r="730" spans="1:11">
      <c r="A730" t="s">
        <v>5337</v>
      </c>
      <c r="B730" t="s">
        <v>5338</v>
      </c>
      <c r="C730" t="s">
        <v>15601</v>
      </c>
      <c r="D730">
        <v>729</v>
      </c>
      <c r="E730" t="str">
        <f t="shared" si="33"/>
        <v>E1_1_1_1</v>
      </c>
      <c r="F730" t="s">
        <v>11042</v>
      </c>
      <c r="G730" t="s">
        <v>11715</v>
      </c>
      <c r="H730" t="s">
        <v>11043</v>
      </c>
      <c r="I730" t="s">
        <v>12423</v>
      </c>
      <c r="J730" t="str">
        <f t="shared" si="34"/>
        <v>(${Variables:E1_1_1_1_kcat} * E1_1_1_1 * C00114 * C00003)/(${Variables:E1_1_1_1_km} + (E1_1_1_1 * C00114 * C00003))</v>
      </c>
      <c r="K730" s="21" t="str">
        <f t="shared" si="35"/>
        <v>r729: C00114 + C00003 -&gt; C00576 + C00004 + C00080 | (${Variables:E1_1_1_1_kcat} * E1_1_1_1 * C00114 * C00003)/(${Variables:E1_1_1_1_km} + (E1_1_1_1 * C00114 * C00003))</v>
      </c>
    </row>
    <row r="731" spans="1:11">
      <c r="A731" t="s">
        <v>5337</v>
      </c>
      <c r="B731" t="s">
        <v>5338</v>
      </c>
      <c r="C731" t="s">
        <v>15601</v>
      </c>
      <c r="D731">
        <v>730</v>
      </c>
      <c r="E731" t="str">
        <f t="shared" si="33"/>
        <v>E1_1_1_1</v>
      </c>
      <c r="F731" t="s">
        <v>11044</v>
      </c>
      <c r="G731" t="s">
        <v>11716</v>
      </c>
      <c r="H731" t="s">
        <v>11045</v>
      </c>
      <c r="I731" t="s">
        <v>12424</v>
      </c>
      <c r="J731" t="str">
        <f t="shared" si="34"/>
        <v>(${Variables:E1_1_1_1_kcat} * E1_1_1_1 * C00114 * C00006)/(${Variables:E1_1_1_1_km} + (E1_1_1_1 * C00114 * C00006))</v>
      </c>
      <c r="K731" s="21" t="str">
        <f t="shared" si="35"/>
        <v>r730: C00114 + C00006 -&gt; C00576 + C00005 + C00080 | (${Variables:E1_1_1_1_kcat} * E1_1_1_1 * C00114 * C00006)/(${Variables:E1_1_1_1_km} + (E1_1_1_1 * C00114 * C00006))</v>
      </c>
    </row>
    <row r="732" spans="1:11">
      <c r="A732" t="s">
        <v>5337</v>
      </c>
      <c r="B732" t="s">
        <v>5338</v>
      </c>
      <c r="C732" t="s">
        <v>15601</v>
      </c>
      <c r="D732">
        <v>731</v>
      </c>
      <c r="E732" t="str">
        <f t="shared" si="33"/>
        <v>E1_1_1_1</v>
      </c>
      <c r="F732" t="s">
        <v>11046</v>
      </c>
      <c r="G732" t="s">
        <v>11717</v>
      </c>
      <c r="H732" t="s">
        <v>11047</v>
      </c>
      <c r="I732" t="s">
        <v>12425</v>
      </c>
      <c r="J732" t="str">
        <f t="shared" si="34"/>
        <v>(${Variables:E1_1_1_1_kcat} * E1_1_1_1 * C16310 * C00004 * C00080)/(${Variables:E1_1_1_1_km} + (E1_1_1_1 * C16310 * C00004 * C00080))</v>
      </c>
      <c r="K732" s="21" t="str">
        <f t="shared" si="35"/>
        <v>r731: C16310 + C00004 + C00080 -&gt; C08492 + C00003 | (${Variables:E1_1_1_1_kcat} * E1_1_1_1 * C16310 * C00004 * C00080)/(${Variables:E1_1_1_1_km} + (E1_1_1_1 * C16310 * C00004 * C00080))</v>
      </c>
    </row>
    <row r="733" spans="1:11">
      <c r="A733" t="s">
        <v>5337</v>
      </c>
      <c r="B733" t="s">
        <v>5338</v>
      </c>
      <c r="C733" t="s">
        <v>15601</v>
      </c>
      <c r="D733">
        <v>732</v>
      </c>
      <c r="E733" t="str">
        <f t="shared" si="33"/>
        <v>E1_1_1_1</v>
      </c>
      <c r="F733" t="s">
        <v>11048</v>
      </c>
      <c r="G733" t="s">
        <v>11718</v>
      </c>
      <c r="H733" t="s">
        <v>11049</v>
      </c>
      <c r="I733" t="s">
        <v>12426</v>
      </c>
      <c r="J733" t="str">
        <f t="shared" si="34"/>
        <v>(${Variables:E1_1_1_1_kcat} * E1_1_1_1 * C01612 * C00003)/(${Variables:E1_1_1_1_km} + (E1_1_1_1 * C01612 * C00003))</v>
      </c>
      <c r="K733" s="21" t="str">
        <f t="shared" si="35"/>
        <v>r732: C01612 + C00003 -&gt; C01450 + C00004 + C00080 | (${Variables:E1_1_1_1_kcat} * E1_1_1_1 * C01612 * C00003)/(${Variables:E1_1_1_1_km} + (E1_1_1_1 * C01612 * C00003))</v>
      </c>
    </row>
    <row r="734" spans="1:11">
      <c r="A734" t="s">
        <v>5337</v>
      </c>
      <c r="B734" t="s">
        <v>5338</v>
      </c>
      <c r="C734" t="s">
        <v>15601</v>
      </c>
      <c r="D734">
        <v>733</v>
      </c>
      <c r="E734" t="str">
        <f t="shared" si="33"/>
        <v>E1_1_1_1</v>
      </c>
      <c r="F734" t="s">
        <v>11050</v>
      </c>
      <c r="G734" t="s">
        <v>11719</v>
      </c>
      <c r="H734" t="s">
        <v>11051</v>
      </c>
      <c r="I734" t="s">
        <v>12427</v>
      </c>
      <c r="J734" t="str">
        <f t="shared" si="34"/>
        <v>(${Variables:E1_1_1_1_kcat} * E1_1_1_1 * C16595 * C00003)/(${Variables:E1_1_1_1_km} + (E1_1_1_1 * C16595 * C00003))</v>
      </c>
      <c r="K734" s="21" t="str">
        <f t="shared" si="35"/>
        <v>r733: C16595 + C00003 -&gt; C16596 + C00004 + C00080 | (${Variables:E1_1_1_1_kcat} * E1_1_1_1 * C16595 * C00003)/(${Variables:E1_1_1_1_km} + (E1_1_1_1 * C16595 * C00003))</v>
      </c>
    </row>
    <row r="735" spans="1:11">
      <c r="A735" t="s">
        <v>5337</v>
      </c>
      <c r="B735" t="s">
        <v>5338</v>
      </c>
      <c r="C735" t="s">
        <v>15601</v>
      </c>
      <c r="D735">
        <v>734</v>
      </c>
      <c r="E735" t="str">
        <f t="shared" si="33"/>
        <v>E1_1_1_1</v>
      </c>
      <c r="F735" t="s">
        <v>11052</v>
      </c>
      <c r="G735" t="s">
        <v>11720</v>
      </c>
      <c r="H735" t="s">
        <v>11053</v>
      </c>
      <c r="I735" t="s">
        <v>12428</v>
      </c>
      <c r="J735" t="str">
        <f t="shared" si="34"/>
        <v>(${Variables:E1_1_1_1_kcat} * E1_1_1_1 * C00418 * C00003)/(${Variables:E1_1_1_1_km} + (E1_1_1_1 * C00418 * C00003))</v>
      </c>
      <c r="K735" s="21" t="str">
        <f t="shared" si="35"/>
        <v>r734: C00418 + C00003 -&gt; C00772 + C00004 + C00080 | (${Variables:E1_1_1_1_kcat} * E1_1_1_1 * C00418 * C00003)/(${Variables:E1_1_1_1_km} + (E1_1_1_1 * C00418 * C00003))</v>
      </c>
    </row>
    <row r="736" spans="1:11">
      <c r="A736" t="s">
        <v>5337</v>
      </c>
      <c r="B736" t="s">
        <v>5338</v>
      </c>
      <c r="C736" t="s">
        <v>15601</v>
      </c>
      <c r="D736">
        <v>735</v>
      </c>
      <c r="E736" t="str">
        <f t="shared" si="33"/>
        <v>E1_1_1_1</v>
      </c>
      <c r="F736" t="s">
        <v>11054</v>
      </c>
      <c r="G736" t="s">
        <v>11721</v>
      </c>
      <c r="H736" t="s">
        <v>11055</v>
      </c>
      <c r="I736" t="s">
        <v>12429</v>
      </c>
      <c r="J736" t="str">
        <f t="shared" si="34"/>
        <v>(${Variables:E1_1_1_1_kcat} * E1_1_1_1 * C06899 * C00004 * C00080)/(${Variables:E1_1_1_1_km} + (E1_1_1_1 * C06899 * C00004 * C00080))</v>
      </c>
      <c r="K736" s="21" t="str">
        <f t="shared" si="35"/>
        <v>r735: C06899 + C00004 + C00080 -&gt; C07490 + C00003 + C00001 | (${Variables:E1_1_1_1_kcat} * E1_1_1_1 * C06899 * C00004 * C00080)/(${Variables:E1_1_1_1_km} + (E1_1_1_1 * C06899 * C00004 * C00080))</v>
      </c>
    </row>
    <row r="737" spans="1:11">
      <c r="A737" t="s">
        <v>5341</v>
      </c>
      <c r="B737" t="s">
        <v>5342</v>
      </c>
      <c r="C737" t="s">
        <v>15358</v>
      </c>
      <c r="D737">
        <v>736</v>
      </c>
      <c r="E737" t="str">
        <f t="shared" si="33"/>
        <v>E3_1_3_3</v>
      </c>
      <c r="F737" t="s">
        <v>10549</v>
      </c>
      <c r="G737" t="s">
        <v>11368</v>
      </c>
      <c r="H737" t="s">
        <v>10550</v>
      </c>
      <c r="I737" t="s">
        <v>12055</v>
      </c>
      <c r="J737" t="str">
        <f t="shared" si="34"/>
        <v>(${Variables:E3_1_3_3_kcat} * E3_1_3_3 * C01005 * C00001)/(${Variables:E3_1_3_3_km} + (E3_1_3_3 * C01005 * C00001))</v>
      </c>
      <c r="K737" s="21" t="str">
        <f t="shared" si="35"/>
        <v>r736: C01005 + C00001 -&gt; C00065 + C00009 | (${Variables:E3_1_3_3_kcat} * E3_1_3_3 * C01005 * C00001)/(${Variables:E3_1_3_3_km} + (E3_1_3_3 * C01005 * C00001))</v>
      </c>
    </row>
    <row r="738" spans="1:11">
      <c r="A738" t="s">
        <v>5341</v>
      </c>
      <c r="B738" t="s">
        <v>5342</v>
      </c>
      <c r="C738" t="s">
        <v>15358</v>
      </c>
      <c r="D738">
        <v>737</v>
      </c>
      <c r="E738" t="str">
        <f t="shared" si="33"/>
        <v>E3_1_3_3</v>
      </c>
      <c r="F738" t="s">
        <v>10152</v>
      </c>
      <c r="G738" t="s">
        <v>11369</v>
      </c>
      <c r="H738" t="s">
        <v>10154</v>
      </c>
      <c r="I738" t="s">
        <v>12430</v>
      </c>
      <c r="J738" t="str">
        <f t="shared" si="34"/>
        <v>(${Variables:E3_1_3_3_kcat} * E3_1_3_3 * C02532 * C00001)/(${Variables:E3_1_3_3_km} + (E3_1_3_3 * C02532 * C00001))</v>
      </c>
      <c r="K738" s="21" t="str">
        <f t="shared" si="35"/>
        <v>r737: C02532 + C00001 -&gt; C00740 + C00009 | (${Variables:E3_1_3_3_kcat} * E3_1_3_3 * C02532 * C00001)/(${Variables:E3_1_3_3_km} + (E3_1_3_3 * C02532 * C00001))</v>
      </c>
    </row>
    <row r="739" spans="1:11">
      <c r="A739" t="s">
        <v>5347</v>
      </c>
      <c r="B739" t="s">
        <v>5348</v>
      </c>
      <c r="C739" t="s">
        <v>15602</v>
      </c>
      <c r="D739">
        <v>738</v>
      </c>
      <c r="E739" t="str">
        <f t="shared" si="33"/>
        <v>E3_5_4_16</v>
      </c>
      <c r="F739" t="s">
        <v>9803</v>
      </c>
      <c r="G739" t="s">
        <v>11722</v>
      </c>
      <c r="H739" t="s">
        <v>11056</v>
      </c>
      <c r="I739" t="s">
        <v>12431</v>
      </c>
      <c r="J739" t="str">
        <f t="shared" si="34"/>
        <v>(${Variables:E3_5_4_16_kcat} * E3_5_4_16 * C00044 * C00001)/(${Variables:E3_5_4_16_km} + (E3_5_4_16 * C00044 * C00001))</v>
      </c>
      <c r="K739" s="21" t="str">
        <f t="shared" si="35"/>
        <v>r738: C00044 + C00001 -&gt; C04895 + C00058 | (${Variables:E3_5_4_16_kcat} * E3_5_4_16 * C00044 * C00001)/(${Variables:E3_5_4_16_km} + (E3_5_4_16 * C00044 * C00001))</v>
      </c>
    </row>
    <row r="740" spans="1:11">
      <c r="A740" t="s">
        <v>5347</v>
      </c>
      <c r="B740" t="s">
        <v>5348</v>
      </c>
      <c r="C740" t="s">
        <v>15602</v>
      </c>
      <c r="D740">
        <v>739</v>
      </c>
      <c r="E740" t="str">
        <f t="shared" si="33"/>
        <v>E3_5_4_16</v>
      </c>
      <c r="F740" t="s">
        <v>9803</v>
      </c>
      <c r="G740" t="s">
        <v>11722</v>
      </c>
      <c r="H740" t="s">
        <v>9276</v>
      </c>
      <c r="I740" t="s">
        <v>9276</v>
      </c>
      <c r="J740" t="str">
        <f t="shared" si="34"/>
        <v>(${Variables:E3_5_4_16_kcat} * E3_5_4_16 * C00044 * C00001)/(${Variables:E3_5_4_16_km} + (E3_5_4_16 * C00044 * C00001))</v>
      </c>
      <c r="K740" s="21" t="str">
        <f t="shared" si="35"/>
        <v>r739: C00044 + C00001 -&gt; C05922 | (${Variables:E3_5_4_16_kcat} * E3_5_4_16 * C00044 * C00001)/(${Variables:E3_5_4_16_km} + (E3_5_4_16 * C00044 * C00001))</v>
      </c>
    </row>
    <row r="741" spans="1:11">
      <c r="A741" t="s">
        <v>5347</v>
      </c>
      <c r="B741" t="s">
        <v>5348</v>
      </c>
      <c r="C741" t="s">
        <v>15602</v>
      </c>
      <c r="D741">
        <v>740</v>
      </c>
      <c r="E741" t="str">
        <f t="shared" si="33"/>
        <v>E3_5_4_16</v>
      </c>
      <c r="F741" t="s">
        <v>11057</v>
      </c>
      <c r="G741" t="s">
        <v>11723</v>
      </c>
      <c r="H741" t="s">
        <v>9278</v>
      </c>
      <c r="I741" t="s">
        <v>9278</v>
      </c>
      <c r="J741" t="str">
        <f t="shared" si="34"/>
        <v>(${Variables:E3_5_4_16_kcat} * E3_5_4_16 * C04895 * C00001)/(${Variables:E3_5_4_16_km} + (E3_5_4_16 * C04895 * C00001))</v>
      </c>
      <c r="K741" s="21" t="str">
        <f t="shared" si="35"/>
        <v>r740: C04895 + C00001 -&gt; C06148 | (${Variables:E3_5_4_16_kcat} * E3_5_4_16 * C04895 * C00001)/(${Variables:E3_5_4_16_km} + (E3_5_4_16 * C04895 * C00001))</v>
      </c>
    </row>
    <row r="742" spans="1:11">
      <c r="A742" t="s">
        <v>5347</v>
      </c>
      <c r="B742" t="s">
        <v>5348</v>
      </c>
      <c r="C742" t="s">
        <v>15602</v>
      </c>
      <c r="D742">
        <v>741</v>
      </c>
      <c r="E742" t="str">
        <f t="shared" si="33"/>
        <v>E3_5_4_16</v>
      </c>
      <c r="F742" t="s">
        <v>11058</v>
      </c>
      <c r="G742" t="s">
        <v>11724</v>
      </c>
      <c r="H742" t="s">
        <v>11059</v>
      </c>
      <c r="I742" t="s">
        <v>12432</v>
      </c>
      <c r="J742" t="str">
        <f t="shared" si="34"/>
        <v>(${Variables:E3_5_4_16_kcat} * E3_5_4_16 * C05922 * C00001)/(${Variables:E3_5_4_16_km} + (E3_5_4_16 * C05922 * C00001))</v>
      </c>
      <c r="K742" s="21" t="str">
        <f t="shared" si="35"/>
        <v>r741: C05922 + C00001 -&gt; C05923 + C00058 | (${Variables:E3_5_4_16_kcat} * E3_5_4_16 * C05922 * C00001)/(${Variables:E3_5_4_16_km} + (E3_5_4_16 * C05922 * C00001))</v>
      </c>
    </row>
    <row r="743" spans="1:11">
      <c r="A743" t="s">
        <v>5347</v>
      </c>
      <c r="B743" t="s">
        <v>5348</v>
      </c>
      <c r="C743" t="s">
        <v>15602</v>
      </c>
      <c r="D743">
        <v>742</v>
      </c>
      <c r="E743" t="str">
        <f t="shared" si="33"/>
        <v>E3_5_4_16</v>
      </c>
      <c r="F743" t="s">
        <v>9281</v>
      </c>
      <c r="G743" t="s">
        <v>9281</v>
      </c>
      <c r="H743" t="s">
        <v>9278</v>
      </c>
      <c r="I743" t="s">
        <v>9278</v>
      </c>
      <c r="J743" t="str">
        <f t="shared" si="34"/>
        <v>(${Variables:E3_5_4_16_kcat} * E3_5_4_16 * C05923 )/(${Variables:E3_5_4_16_km} + (E3_5_4_16 * C05923 ))</v>
      </c>
      <c r="K743" s="21" t="str">
        <f t="shared" si="35"/>
        <v>r742: C05923  -&gt; C06148 | (${Variables:E3_5_4_16_kcat} * E3_5_4_16 * C05923 )/(${Variables:E3_5_4_16_km} + (E3_5_4_16 * C05923 ))</v>
      </c>
    </row>
    <row r="744" spans="1:11">
      <c r="A744" t="s">
        <v>5361</v>
      </c>
      <c r="B744" t="s">
        <v>5362</v>
      </c>
      <c r="C744" t="s">
        <v>15603</v>
      </c>
      <c r="D744">
        <v>743</v>
      </c>
      <c r="E744" t="str">
        <f t="shared" si="33"/>
        <v>E1_2_4_1</v>
      </c>
      <c r="F744" t="s">
        <v>11060</v>
      </c>
      <c r="G744" t="s">
        <v>11725</v>
      </c>
      <c r="H744" t="s">
        <v>11061</v>
      </c>
      <c r="I744" t="s">
        <v>12433</v>
      </c>
      <c r="J744" t="str">
        <f t="shared" si="34"/>
        <v>(${Variables:E1_2_4_1_kcat} * E1_2_4_1 * C00022 * C15972)/(${Variables:E1_2_4_1_km} + (E1_2_4_1 * C00022 * C15972))</v>
      </c>
      <c r="K744" s="21" t="str">
        <f t="shared" si="35"/>
        <v>r743: C00022 + C15972 -&gt; C16255 + C00011 | (${Variables:E1_2_4_1_kcat} * E1_2_4_1 * C00022 * C15972)/(${Variables:E1_2_4_1_km} + (E1_2_4_1 * C00022 * C15972))</v>
      </c>
    </row>
    <row r="745" spans="1:11">
      <c r="A745" t="s">
        <v>5361</v>
      </c>
      <c r="B745" t="s">
        <v>5362</v>
      </c>
      <c r="C745" t="s">
        <v>15603</v>
      </c>
      <c r="D745">
        <v>744</v>
      </c>
      <c r="E745" t="str">
        <f t="shared" si="33"/>
        <v>E1_2_4_1</v>
      </c>
      <c r="F745" t="s">
        <v>10176</v>
      </c>
      <c r="G745" t="s">
        <v>11324</v>
      </c>
      <c r="H745" t="s">
        <v>10177</v>
      </c>
      <c r="I745" t="s">
        <v>12014</v>
      </c>
      <c r="J745" t="str">
        <f t="shared" si="34"/>
        <v>(${Variables:E1_2_4_1_kcat} * E1_2_4_1 * C00022 * C00068)/(${Variables:E1_2_4_1_km} + (E1_2_4_1 * C00022 * C00068))</v>
      </c>
      <c r="K745" s="21" t="str">
        <f t="shared" si="35"/>
        <v>r744: C00022 + C00068 -&gt; C05125 + C00011 | (${Variables:E1_2_4_1_kcat} * E1_2_4_1 * C00022 * C00068)/(${Variables:E1_2_4_1_km} + (E1_2_4_1 * C00022 * C00068))</v>
      </c>
    </row>
    <row r="746" spans="1:11">
      <c r="A746" t="s">
        <v>5361</v>
      </c>
      <c r="B746" t="s">
        <v>5362</v>
      </c>
      <c r="C746" t="s">
        <v>15603</v>
      </c>
      <c r="D746">
        <v>745</v>
      </c>
      <c r="E746" t="str">
        <f t="shared" si="33"/>
        <v>E1_2_4_1</v>
      </c>
      <c r="F746" t="s">
        <v>11062</v>
      </c>
      <c r="G746" t="s">
        <v>11726</v>
      </c>
      <c r="H746" t="s">
        <v>11063</v>
      </c>
      <c r="I746" t="s">
        <v>12434</v>
      </c>
      <c r="J746" t="str">
        <f t="shared" si="34"/>
        <v>(${Variables:E1_2_4_1_kcat} * E1_2_4_1 * C05125 * C15972 )/(${Variables:E1_2_4_1_km} + (E1_2_4_1 * C05125 * C15972 ))</v>
      </c>
      <c r="K746" s="21" t="str">
        <f t="shared" si="35"/>
        <v>r745: C05125 + C15972  -&gt; C16255 + C00068 | (${Variables:E1_2_4_1_kcat} * E1_2_4_1 * C05125 * C15972 )/(${Variables:E1_2_4_1_km} + (E1_2_4_1 * C05125 * C15972 ))</v>
      </c>
    </row>
    <row r="747" spans="1:11">
      <c r="A747" t="s">
        <v>5368</v>
      </c>
      <c r="B747" t="s">
        <v>5369</v>
      </c>
      <c r="C747" t="s">
        <v>15604</v>
      </c>
      <c r="D747">
        <v>746</v>
      </c>
      <c r="E747" t="str">
        <f t="shared" si="33"/>
        <v>E3_1_3_5</v>
      </c>
      <c r="F747" t="s">
        <v>11064</v>
      </c>
      <c r="G747" t="s">
        <v>11727</v>
      </c>
      <c r="H747" t="s">
        <v>11065</v>
      </c>
      <c r="I747" t="s">
        <v>12435</v>
      </c>
      <c r="J747" t="str">
        <f t="shared" si="34"/>
        <v>(${Variables:E3_1_3_5_kcat} * E3_1_3_5 * C02520 * C00001 )/(${Variables:E3_1_3_5_km} + (E3_1_3_5 * C02520 * C00001 ))</v>
      </c>
      <c r="K747" s="21" t="str">
        <f t="shared" si="35"/>
        <v>r746: C02520 + C00001  -&gt; C00911 + C00009 | (${Variables:E3_1_3_5_kcat} * E3_1_3_5 * C02520 * C00001 )/(${Variables:E3_1_3_5_km} + (E3_1_3_5 * C02520 * C00001 ))</v>
      </c>
    </row>
    <row r="748" spans="1:11">
      <c r="A748" t="s">
        <v>5368</v>
      </c>
      <c r="B748" t="s">
        <v>5369</v>
      </c>
      <c r="C748" t="s">
        <v>15604</v>
      </c>
      <c r="D748">
        <v>747</v>
      </c>
      <c r="E748" t="str">
        <f t="shared" si="33"/>
        <v>E3_1_3_5</v>
      </c>
      <c r="F748" t="s">
        <v>11066</v>
      </c>
      <c r="G748" t="s">
        <v>11728</v>
      </c>
      <c r="H748" t="s">
        <v>11067</v>
      </c>
      <c r="I748" t="s">
        <v>12436</v>
      </c>
      <c r="J748" t="str">
        <f t="shared" si="34"/>
        <v>(${Variables:E3_1_3_5_kcat} * E3_1_3_5 * C00020 * C00001 )/(${Variables:E3_1_3_5_km} + (E3_1_3_5 * C00020 * C00001 ))</v>
      </c>
      <c r="K748" s="21" t="str">
        <f t="shared" si="35"/>
        <v>r747: C00020 + C00001  -&gt; C00212 + C00009 | (${Variables:E3_1_3_5_kcat} * E3_1_3_5 * C00020 * C00001 )/(${Variables:E3_1_3_5_km} + (E3_1_3_5 * C00020 * C00001 ))</v>
      </c>
    </row>
    <row r="749" spans="1:11">
      <c r="A749" t="s">
        <v>5368</v>
      </c>
      <c r="B749" t="s">
        <v>5369</v>
      </c>
      <c r="C749" t="s">
        <v>15604</v>
      </c>
      <c r="D749">
        <v>748</v>
      </c>
      <c r="E749" t="str">
        <f t="shared" si="33"/>
        <v>E3_1_3_5</v>
      </c>
      <c r="F749" t="s">
        <v>11068</v>
      </c>
      <c r="G749" t="s">
        <v>11729</v>
      </c>
      <c r="H749" t="s">
        <v>11069</v>
      </c>
      <c r="I749" t="s">
        <v>12437</v>
      </c>
      <c r="J749" t="str">
        <f t="shared" si="34"/>
        <v>(${Variables:E3_1_3_5_kcat} * E3_1_3_5 * C00055 * C00001)/(${Variables:E3_1_3_5_km} + (E3_1_3_5 * C00055 * C00001))</v>
      </c>
      <c r="K749" s="21" t="str">
        <f t="shared" si="35"/>
        <v>r748: C00055 + C00001 -&gt;  C00475 + C00009 | (${Variables:E3_1_3_5_kcat} * E3_1_3_5 * C00055 * C00001)/(${Variables:E3_1_3_5_km} + (E3_1_3_5 * C00055 * C00001))</v>
      </c>
    </row>
    <row r="750" spans="1:11">
      <c r="A750" t="s">
        <v>5368</v>
      </c>
      <c r="B750" t="s">
        <v>5369</v>
      </c>
      <c r="C750" t="s">
        <v>15604</v>
      </c>
      <c r="D750">
        <v>749</v>
      </c>
      <c r="E750" t="str">
        <f t="shared" si="33"/>
        <v>E3_1_3_5</v>
      </c>
      <c r="F750" t="s">
        <v>11070</v>
      </c>
      <c r="G750" t="s">
        <v>11730</v>
      </c>
      <c r="H750" t="s">
        <v>10283</v>
      </c>
      <c r="I750" t="s">
        <v>11413</v>
      </c>
      <c r="J750" t="str">
        <f t="shared" si="34"/>
        <v>(${Variables:E3_1_3_5_kcat} * E3_1_3_5 * C00105 * C00001 )/(${Variables:E3_1_3_5_km} + (E3_1_3_5 * C00105 * C00001 ))</v>
      </c>
      <c r="K750" s="21" t="str">
        <f t="shared" si="35"/>
        <v>r749: C00105 + C00001  -&gt; C00299 + C00009 | (${Variables:E3_1_3_5_kcat} * E3_1_3_5 * C00105 * C00001 )/(${Variables:E3_1_3_5_km} + (E3_1_3_5 * C00105 * C00001 ))</v>
      </c>
    </row>
    <row r="751" spans="1:11">
      <c r="A751" t="s">
        <v>5368</v>
      </c>
      <c r="B751" t="s">
        <v>5369</v>
      </c>
      <c r="C751" t="s">
        <v>15604</v>
      </c>
      <c r="D751">
        <v>750</v>
      </c>
      <c r="E751" t="str">
        <f t="shared" si="33"/>
        <v>E3_1_3_5</v>
      </c>
      <c r="F751" t="s">
        <v>11071</v>
      </c>
      <c r="G751" t="s">
        <v>11731</v>
      </c>
      <c r="H751" t="s">
        <v>11072</v>
      </c>
      <c r="I751" t="s">
        <v>12438</v>
      </c>
      <c r="J751" t="str">
        <f t="shared" si="34"/>
        <v>(${Variables:E3_1_3_5_kcat} * E3_1_3_5 * C00130 * C00001)/(${Variables:E3_1_3_5_km} + (E3_1_3_5 * C00130 * C00001))</v>
      </c>
      <c r="K751" s="21" t="str">
        <f t="shared" si="35"/>
        <v>r750: C00130 + C00001 -&gt; C00294 + C00009 | (${Variables:E3_1_3_5_kcat} * E3_1_3_5 * C00130 * C00001)/(${Variables:E3_1_3_5_km} + (E3_1_3_5 * C00130 * C00001))</v>
      </c>
    </row>
    <row r="752" spans="1:11">
      <c r="A752" t="s">
        <v>5368</v>
      </c>
      <c r="B752" t="s">
        <v>5369</v>
      </c>
      <c r="C752" t="s">
        <v>15604</v>
      </c>
      <c r="D752">
        <v>751</v>
      </c>
      <c r="E752" t="str">
        <f t="shared" si="33"/>
        <v>E3_1_3_5</v>
      </c>
      <c r="F752" t="s">
        <v>11073</v>
      </c>
      <c r="G752" t="s">
        <v>11732</v>
      </c>
      <c r="H752" t="s">
        <v>11074</v>
      </c>
      <c r="I752" t="s">
        <v>12439</v>
      </c>
      <c r="J752" t="str">
        <f t="shared" si="34"/>
        <v>(${Variables:E3_1_3_5_kcat} * E3_1_3_5 * C00144 * C00001)/(${Variables:E3_1_3_5_km} + (E3_1_3_5 * C00144 * C00001))</v>
      </c>
      <c r="K752" s="21" t="str">
        <f t="shared" si="35"/>
        <v>r751: C00144 + C00001 -&gt; C00387 + C00009 | (${Variables:E3_1_3_5_kcat} * E3_1_3_5 * C00144 * C00001)/(${Variables:E3_1_3_5_km} + (E3_1_3_5 * C00144 * C00001))</v>
      </c>
    </row>
    <row r="753" spans="1:11">
      <c r="A753" t="s">
        <v>5368</v>
      </c>
      <c r="B753" t="s">
        <v>5369</v>
      </c>
      <c r="C753" t="s">
        <v>15604</v>
      </c>
      <c r="D753">
        <v>752</v>
      </c>
      <c r="E753" t="str">
        <f t="shared" si="33"/>
        <v>E3_1_3_5</v>
      </c>
      <c r="F753" t="s">
        <v>11075</v>
      </c>
      <c r="G753" t="s">
        <v>11733</v>
      </c>
      <c r="H753" t="s">
        <v>11076</v>
      </c>
      <c r="I753" t="s">
        <v>12440</v>
      </c>
      <c r="J753" t="str">
        <f t="shared" si="34"/>
        <v>(${Variables:E3_1_3_5_kcat} * E3_1_3_5 * C00455 * C00001)/(${Variables:E3_1_3_5_km} + (E3_1_3_5 * C00455 * C00001))</v>
      </c>
      <c r="K753" s="21" t="str">
        <f t="shared" si="35"/>
        <v>r752: C00455 + C00001 -&gt; C03150 + C00009 | (${Variables:E3_1_3_5_kcat} * E3_1_3_5 * C00455 * C00001)/(${Variables:E3_1_3_5_km} + (E3_1_3_5 * C00455 * C00001))</v>
      </c>
    </row>
    <row r="754" spans="1:11">
      <c r="A754" t="s">
        <v>5368</v>
      </c>
      <c r="B754" t="s">
        <v>5369</v>
      </c>
      <c r="C754" t="s">
        <v>15604</v>
      </c>
      <c r="D754">
        <v>753</v>
      </c>
      <c r="E754" t="str">
        <f t="shared" si="33"/>
        <v>E3_1_3_5</v>
      </c>
      <c r="F754" t="s">
        <v>11077</v>
      </c>
      <c r="G754" t="s">
        <v>11734</v>
      </c>
      <c r="H754" t="s">
        <v>11078</v>
      </c>
      <c r="I754" t="s">
        <v>12441</v>
      </c>
      <c r="J754" t="str">
        <f t="shared" si="34"/>
        <v>(${Variables:E3_1_3_5_kcat} * E3_1_3_5 * C00655 * C00001)/(${Variables:E3_1_3_5_km} + (E3_1_3_5 * C00655 * C00001))</v>
      </c>
      <c r="K754" s="21" t="str">
        <f t="shared" si="35"/>
        <v>r753: C00655 + C00001 -&gt; C01762 + C00009 | (${Variables:E3_1_3_5_kcat} * E3_1_3_5 * C00655 * C00001)/(${Variables:E3_1_3_5_km} + (E3_1_3_5 * C00655 * C00001))</v>
      </c>
    </row>
    <row r="755" spans="1:11">
      <c r="A755" t="s">
        <v>5368</v>
      </c>
      <c r="B755" t="s">
        <v>5369</v>
      </c>
      <c r="C755" t="s">
        <v>15604</v>
      </c>
      <c r="D755">
        <v>754</v>
      </c>
      <c r="E755" t="str">
        <f t="shared" si="33"/>
        <v>E3_1_3_5</v>
      </c>
      <c r="F755" t="s">
        <v>11079</v>
      </c>
      <c r="G755" t="s">
        <v>11735</v>
      </c>
      <c r="H755" t="s">
        <v>11080</v>
      </c>
      <c r="I755" t="s">
        <v>12442</v>
      </c>
      <c r="J755" t="str">
        <f t="shared" si="34"/>
        <v>(${Variables:E3_1_3_5_kcat} * E3_1_3_5 * C01185 * C00001)/(${Variables:E3_1_3_5_km} + (E3_1_3_5 * C01185 * C00001))</v>
      </c>
      <c r="K755" s="21" t="str">
        <f t="shared" si="35"/>
        <v>r754: C01185 + C00001 -&gt; C05841 + C00009 | (${Variables:E3_1_3_5_kcat} * E3_1_3_5 * C01185 * C00001)/(${Variables:E3_1_3_5_km} + (E3_1_3_5 * C01185 * C00001))</v>
      </c>
    </row>
    <row r="756" spans="1:11">
      <c r="A756" t="s">
        <v>5368</v>
      </c>
      <c r="B756" t="s">
        <v>5369</v>
      </c>
      <c r="C756" t="s">
        <v>15604</v>
      </c>
      <c r="D756">
        <v>755</v>
      </c>
      <c r="E756" t="str">
        <f t="shared" si="33"/>
        <v>E3_1_3_5</v>
      </c>
      <c r="F756" t="s">
        <v>11081</v>
      </c>
      <c r="G756" t="s">
        <v>11736</v>
      </c>
      <c r="H756" t="s">
        <v>11082</v>
      </c>
      <c r="I756" t="s">
        <v>12443</v>
      </c>
      <c r="J756" t="str">
        <f t="shared" si="34"/>
        <v>(${Variables:E3_1_3_5_kcat} * E3_1_3_5 * C00364 * C00001)/(${Variables:E3_1_3_5_km} + (E3_1_3_5 * C00364 * C00001))</v>
      </c>
      <c r="K756" s="21" t="str">
        <f t="shared" si="35"/>
        <v>r755: C00364 + C00001 -&gt; C00214 + C00009 | (${Variables:E3_1_3_5_kcat} * E3_1_3_5 * C00364 * C00001)/(${Variables:E3_1_3_5_km} + (E3_1_3_5 * C00364 * C00001))</v>
      </c>
    </row>
    <row r="757" spans="1:11">
      <c r="A757" t="s">
        <v>5368</v>
      </c>
      <c r="B757" t="s">
        <v>5369</v>
      </c>
      <c r="C757" t="s">
        <v>15604</v>
      </c>
      <c r="D757">
        <v>756</v>
      </c>
      <c r="E757" t="str">
        <f t="shared" si="33"/>
        <v>E3_1_3_5</v>
      </c>
      <c r="F757" t="s">
        <v>11083</v>
      </c>
      <c r="G757" t="s">
        <v>11737</v>
      </c>
      <c r="H757" t="s">
        <v>11084</v>
      </c>
      <c r="I757" t="s">
        <v>12444</v>
      </c>
      <c r="J757" t="str">
        <f t="shared" si="34"/>
        <v>(${Variables:E3_1_3_5_kcat} * E3_1_3_5 * C00239 * C00001)/(${Variables:E3_1_3_5_km} + (E3_1_3_5 * C00239 * C00001))</v>
      </c>
      <c r="K757" s="21" t="str">
        <f t="shared" si="35"/>
        <v>r756: C00239 + C00001 -&gt; C00881 + C00009 | (${Variables:E3_1_3_5_kcat} * E3_1_3_5 * C00239 * C00001)/(${Variables:E3_1_3_5_km} + (E3_1_3_5 * C00239 * C00001))</v>
      </c>
    </row>
    <row r="758" spans="1:11">
      <c r="A758" t="s">
        <v>5368</v>
      </c>
      <c r="B758" t="s">
        <v>5369</v>
      </c>
      <c r="C758" t="s">
        <v>15604</v>
      </c>
      <c r="D758">
        <v>757</v>
      </c>
      <c r="E758" t="str">
        <f t="shared" si="33"/>
        <v>E3_1_3_5</v>
      </c>
      <c r="F758" t="s">
        <v>11085</v>
      </c>
      <c r="G758" t="s">
        <v>11738</v>
      </c>
      <c r="H758" t="s">
        <v>11086</v>
      </c>
      <c r="I758" t="s">
        <v>12445</v>
      </c>
      <c r="J758" t="str">
        <f t="shared" si="34"/>
        <v>(${Variables:E3_1_3_5_kcat} * E3_1_3_5 * C00362 * C00001)/(${Variables:E3_1_3_5_km} + (E3_1_3_5 * C00362 * C00001))</v>
      </c>
      <c r="K758" s="21" t="str">
        <f t="shared" si="35"/>
        <v>r757: C00362 + C00001 -&gt; C00330 + C00009 | (${Variables:E3_1_3_5_kcat} * E3_1_3_5 * C00362 * C00001)/(${Variables:E3_1_3_5_km} + (E3_1_3_5 * C00362 * C00001))</v>
      </c>
    </row>
    <row r="759" spans="1:11">
      <c r="A759" t="s">
        <v>5368</v>
      </c>
      <c r="B759" t="s">
        <v>5369</v>
      </c>
      <c r="C759" t="s">
        <v>15604</v>
      </c>
      <c r="D759">
        <v>758</v>
      </c>
      <c r="E759" t="str">
        <f t="shared" si="33"/>
        <v>E3_1_3_5</v>
      </c>
      <c r="F759" t="s">
        <v>11087</v>
      </c>
      <c r="G759" t="s">
        <v>11739</v>
      </c>
      <c r="H759" t="s">
        <v>11088</v>
      </c>
      <c r="I759" t="s">
        <v>12446</v>
      </c>
      <c r="J759" t="str">
        <f t="shared" si="34"/>
        <v>(${Variables:E3_1_3_5_kcat} * E3_1_3_5 * C00360 * C00001)/(${Variables:E3_1_3_5_km} + (E3_1_3_5 * C00360 * C00001))</v>
      </c>
      <c r="K759" s="21" t="str">
        <f t="shared" si="35"/>
        <v>r758: C00360 + C00001 -&gt; C00559 + C00009 | (${Variables:E3_1_3_5_kcat} * E3_1_3_5 * C00360 * C00001)/(${Variables:E3_1_3_5_km} + (E3_1_3_5 * C00360 * C00001))</v>
      </c>
    </row>
    <row r="760" spans="1:11">
      <c r="A760" t="s">
        <v>5368</v>
      </c>
      <c r="B760" t="s">
        <v>5369</v>
      </c>
      <c r="C760" t="s">
        <v>15604</v>
      </c>
      <c r="D760">
        <v>759</v>
      </c>
      <c r="E760" t="str">
        <f t="shared" si="33"/>
        <v>E3_1_3_5</v>
      </c>
      <c r="F760" t="s">
        <v>11089</v>
      </c>
      <c r="G760" t="s">
        <v>11740</v>
      </c>
      <c r="H760" t="s">
        <v>10287</v>
      </c>
      <c r="I760" t="s">
        <v>11415</v>
      </c>
      <c r="J760" t="str">
        <f t="shared" si="34"/>
        <v>(${Variables:E3_1_3_5_kcat} * E3_1_3_5 * C00365 * C00001 )/(${Variables:E3_1_3_5_km} + (E3_1_3_5 * C00365 * C00001 ))</v>
      </c>
      <c r="K760" s="21" t="str">
        <f t="shared" si="35"/>
        <v>r759: C00365 + C00001  -&gt; C00526 + C00009 | (${Variables:E3_1_3_5_kcat} * E3_1_3_5 * C00365 * C00001 )/(${Variables:E3_1_3_5_km} + (E3_1_3_5 * C00365 * C00001 ))</v>
      </c>
    </row>
    <row r="761" spans="1:11">
      <c r="A761" t="s">
        <v>5368</v>
      </c>
      <c r="B761" t="s">
        <v>5369</v>
      </c>
      <c r="C761" t="s">
        <v>15604</v>
      </c>
      <c r="D761">
        <v>760</v>
      </c>
      <c r="E761" t="str">
        <f t="shared" si="33"/>
        <v>E3_1_3_5</v>
      </c>
      <c r="F761" t="s">
        <v>11090</v>
      </c>
      <c r="G761" t="s">
        <v>11741</v>
      </c>
      <c r="H761" t="s">
        <v>11091</v>
      </c>
      <c r="I761" t="s">
        <v>12447</v>
      </c>
      <c r="J761" t="str">
        <f t="shared" si="34"/>
        <v>(${Variables:E3_1_3_5_kcat} * E3_1_3_5 * C06196 * C00001)/(${Variables:E3_1_3_5_km} + (E3_1_3_5 * C06196 * C00001))</v>
      </c>
      <c r="K761" s="21" t="str">
        <f t="shared" si="35"/>
        <v>r760: C06196 + C00001 -&gt; C05512 + C00009 | (${Variables:E3_1_3_5_kcat} * E3_1_3_5 * C06196 * C00001)/(${Variables:E3_1_3_5_km} + (E3_1_3_5 * C06196 * C00001))</v>
      </c>
    </row>
    <row r="762" spans="1:11">
      <c r="A762" t="s">
        <v>5434</v>
      </c>
      <c r="B762" t="s">
        <v>5435</v>
      </c>
      <c r="C762" t="s">
        <v>15605</v>
      </c>
      <c r="D762">
        <v>761</v>
      </c>
      <c r="E762" t="str">
        <f t="shared" si="33"/>
        <v>E2_3_1_47</v>
      </c>
      <c r="F762" t="s">
        <v>11092</v>
      </c>
      <c r="G762" t="s">
        <v>11742</v>
      </c>
      <c r="H762" t="s">
        <v>11093</v>
      </c>
      <c r="I762" t="s">
        <v>12448</v>
      </c>
      <c r="J762" t="str">
        <f t="shared" si="34"/>
        <v>(${Variables:E2_3_1_47_kcat} * E2_3_1_47 * C01063 * C00041)/(${Variables:E2_3_1_47_km} + (E2_3_1_47 * C01063 * C00041))</v>
      </c>
      <c r="K762" s="21" t="str">
        <f t="shared" si="35"/>
        <v>r761: C01063 + C00041 -&gt; C01092 + C00010 + C00011 | (${Variables:E2_3_1_47_kcat} * E2_3_1_47 * C01063 * C00041)/(${Variables:E2_3_1_47_km} + (E2_3_1_47 * C01063 * C00041))</v>
      </c>
    </row>
    <row r="763" spans="1:11">
      <c r="A763" t="s">
        <v>5434</v>
      </c>
      <c r="B763" t="s">
        <v>5435</v>
      </c>
      <c r="C763" t="s">
        <v>15605</v>
      </c>
      <c r="D763">
        <v>762</v>
      </c>
      <c r="E763" t="str">
        <f t="shared" si="33"/>
        <v>E2_3_1_47</v>
      </c>
      <c r="F763" t="s">
        <v>11094</v>
      </c>
      <c r="G763" t="s">
        <v>11743</v>
      </c>
      <c r="H763" t="s">
        <v>11095</v>
      </c>
      <c r="I763" t="s">
        <v>12449</v>
      </c>
      <c r="J763" t="str">
        <f t="shared" si="34"/>
        <v>(${Variables:E2_3_1_47_kcat} * E2_3_1_47 * C19845 * C00041)/(${Variables:E2_3_1_47_km} + (E2_3_1_47 * C19845 * C00041))</v>
      </c>
      <c r="K763" s="21" t="str">
        <f t="shared" si="35"/>
        <v>r762: C19845 + C00041 -&gt; C01092 + C00229 + C00011 | (${Variables:E2_3_1_47_kcat} * E2_3_1_47 * C19845 * C00041)/(${Variables:E2_3_1_47_km} + (E2_3_1_47 * C19845 * C00041))</v>
      </c>
    </row>
    <row r="764" spans="1:11">
      <c r="A764" t="s">
        <v>5438</v>
      </c>
      <c r="B764" t="s">
        <v>5439</v>
      </c>
      <c r="C764" t="s">
        <v>15606</v>
      </c>
      <c r="D764">
        <v>763</v>
      </c>
      <c r="E764" t="str">
        <f t="shared" si="33"/>
        <v>E6_2_1_14</v>
      </c>
      <c r="F764" t="s">
        <v>11096</v>
      </c>
      <c r="G764" t="s">
        <v>11744</v>
      </c>
      <c r="H764" t="s">
        <v>11097</v>
      </c>
      <c r="I764" t="s">
        <v>12450</v>
      </c>
      <c r="J764" t="str">
        <f t="shared" si="34"/>
        <v>(${Variables:E6_2_1_14_kcat} * E6_2_1_14 * C00002 * C02656 * C00010)/(${Variables:E6_2_1_14_km} + (E6_2_1_14 * C00002 * C02656 * C00010))</v>
      </c>
      <c r="K764" s="21" t="str">
        <f t="shared" si="35"/>
        <v>r763: C00002 + C02656 + C00010 -&gt; C00020 + C00013 + C01063 | (${Variables:E6_2_1_14_kcat} * E6_2_1_14 * C00002 * C02656 * C00010)/(${Variables:E6_2_1_14_km} + (E6_2_1_14 * C00002 * C02656 * C00010))</v>
      </c>
    </row>
    <row r="765" spans="1:11">
      <c r="A765" t="s">
        <v>5452</v>
      </c>
      <c r="B765" t="s">
        <v>5453</v>
      </c>
      <c r="C765" t="s">
        <v>15607</v>
      </c>
      <c r="D765">
        <v>764</v>
      </c>
      <c r="E765" t="str">
        <f t="shared" si="33"/>
        <v>E1_2_1_79</v>
      </c>
      <c r="F765" t="s">
        <v>11098</v>
      </c>
      <c r="G765" t="s">
        <v>11745</v>
      </c>
      <c r="H765" t="s">
        <v>11099</v>
      </c>
      <c r="I765" t="s">
        <v>12451</v>
      </c>
      <c r="J765" t="str">
        <f t="shared" si="34"/>
        <v>(${Variables:E1_2_1_79_kcat} * E1_2_1_79 * C00232 * C00006 * C00001 )/(${Variables:E1_2_1_79_km} + (E1_2_1_79 * C00232 * C00006 * C00001 ))</v>
      </c>
      <c r="K765" s="21" t="str">
        <f t="shared" si="35"/>
        <v>r764: C00232 + C00006 + C00001  -&gt; C00042 + C00005 + C00080 | (${Variables:E1_2_1_79_kcat} * E1_2_1_79 * C00232 * C00006 * C00001 )/(${Variables:E1_2_1_79_km} + (E1_2_1_79 * C00232 * C00006 * C00001 ))</v>
      </c>
    </row>
    <row r="766" spans="1:11">
      <c r="A766" t="s">
        <v>5467</v>
      </c>
      <c r="B766" t="s">
        <v>5468</v>
      </c>
      <c r="C766" t="s">
        <v>15406</v>
      </c>
      <c r="D766">
        <v>765</v>
      </c>
      <c r="E766" t="str">
        <f t="shared" si="33"/>
        <v>E6_3_4_14</v>
      </c>
      <c r="F766" t="s">
        <v>10619</v>
      </c>
      <c r="G766" t="s">
        <v>11430</v>
      </c>
      <c r="H766" s="3" t="s">
        <v>15966</v>
      </c>
      <c r="I766" s="3" t="s">
        <v>15967</v>
      </c>
      <c r="J766" t="str">
        <f t="shared" si="34"/>
        <v>(${Variables:E6_3_4_14_kcat} * E6_3_4_14 * C00002 * C06250 * C00288)/(${Variables:E6_3_4_14_km} + (E6_3_4_14 * C00002 * C06250 * C00288))</v>
      </c>
      <c r="K766" s="21" t="str">
        <f t="shared" si="35"/>
        <v>r765: C00002 + C06250 + C00288 -&gt; C00008 + C00009 + C04419 | (${Variables:E6_3_4_14_kcat} * E6_3_4_14 * C00002 * C06250 * C00288)/(${Variables:E6_3_4_14_km} + (E6_3_4_14 * C00002 * C06250 * C00288))</v>
      </c>
    </row>
    <row r="767" spans="1:11">
      <c r="A767" t="s">
        <v>5475</v>
      </c>
      <c r="B767" t="s">
        <v>5476</v>
      </c>
      <c r="C767" t="s">
        <v>15393</v>
      </c>
      <c r="D767">
        <v>766</v>
      </c>
      <c r="E767" t="str">
        <f t="shared" si="33"/>
        <v>E6_4_1_7</v>
      </c>
      <c r="F767" s="3" t="s">
        <v>15965</v>
      </c>
      <c r="G767" s="3" t="s">
        <v>15964</v>
      </c>
      <c r="H767" s="3" t="s">
        <v>15963</v>
      </c>
      <c r="I767" s="3" t="s">
        <v>15962</v>
      </c>
      <c r="J767" t="str">
        <f t="shared" si="34"/>
        <v>(${Variables:E6_4_1_7_kcat} * E6_4_1_7 * C00002 * C00026 * C00288)/(${Variables:E6_4_1_7_km} + (E6_4_1_7 * C00002 * C00026 * C00288))</v>
      </c>
      <c r="K767" s="21" t="str">
        <f t="shared" si="35"/>
        <v>r766: C00002 + C00026 + C00288 -&gt; C00008 + C00009 + C05379 | (${Variables:E6_4_1_7_kcat} * E6_4_1_7 * C00002 * C00026 * C00288)/(${Variables:E6_4_1_7_km} + (E6_4_1_7 * C00002 * C00026 * C00288))</v>
      </c>
    </row>
    <row r="768" spans="1:11">
      <c r="A768" t="s">
        <v>5483</v>
      </c>
      <c r="B768" t="s">
        <v>5484</v>
      </c>
      <c r="C768" t="s">
        <v>15608</v>
      </c>
      <c r="D768">
        <v>767</v>
      </c>
      <c r="E768" t="str">
        <f t="shared" si="33"/>
        <v>E2_8_3_5</v>
      </c>
      <c r="F768" t="s">
        <v>11100</v>
      </c>
      <c r="G768" t="s">
        <v>11746</v>
      </c>
      <c r="H768" t="s">
        <v>11101</v>
      </c>
      <c r="I768" t="s">
        <v>12452</v>
      </c>
      <c r="J768" t="str">
        <f t="shared" si="34"/>
        <v>(${Variables:E2_8_3_5_kcat} * E2_8_3_5 * C00091 * C01656)/(${Variables:E2_8_3_5_km} + (E2_8_3_5 * C00091 * C01656))</v>
      </c>
      <c r="K768" s="21" t="str">
        <f t="shared" si="35"/>
        <v>r767: C00091 + C01656 -&gt; C00042 + C00264 | (${Variables:E2_8_3_5_kcat} * E2_8_3_5 * C00091 * C01656)/(${Variables:E2_8_3_5_km} + (E2_8_3_5 * C00091 * C01656))</v>
      </c>
    </row>
    <row r="769" spans="1:11">
      <c r="A769" t="s">
        <v>5483</v>
      </c>
      <c r="B769" t="s">
        <v>5484</v>
      </c>
      <c r="C769" t="s">
        <v>15608</v>
      </c>
      <c r="D769">
        <v>768</v>
      </c>
      <c r="E769" t="str">
        <f t="shared" si="33"/>
        <v>E2_8_3_5</v>
      </c>
      <c r="F769" t="s">
        <v>11102</v>
      </c>
      <c r="G769" t="s">
        <v>11747</v>
      </c>
      <c r="H769" t="s">
        <v>11103</v>
      </c>
      <c r="I769" t="s">
        <v>12453</v>
      </c>
      <c r="J769" t="str">
        <f t="shared" si="34"/>
        <v>(${Variables:E2_8_3_5_kcat} * E2_8_3_5 * C00091 * C00164)/(${Variables:E2_8_3_5_km} + (E2_8_3_5 * C00091 * C00164))</v>
      </c>
      <c r="K769" s="21" t="str">
        <f t="shared" si="35"/>
        <v>r768: C00091 + C00164 -&gt; C00042 + C00332 | (${Variables:E2_8_3_5_kcat} * E2_8_3_5 * C00091 * C00164)/(${Variables:E2_8_3_5_km} + (E2_8_3_5 * C00091 * C00164))</v>
      </c>
    </row>
    <row r="770" spans="1:11">
      <c r="A770" t="s">
        <v>5487</v>
      </c>
      <c r="B770" t="s">
        <v>5488</v>
      </c>
      <c r="C770" t="s">
        <v>15608</v>
      </c>
      <c r="D770">
        <v>769</v>
      </c>
      <c r="E770" t="str">
        <f t="shared" si="33"/>
        <v>E2_8_3_5</v>
      </c>
      <c r="F770" t="s">
        <v>11100</v>
      </c>
      <c r="G770" t="s">
        <v>11746</v>
      </c>
      <c r="H770" t="s">
        <v>11101</v>
      </c>
      <c r="I770" t="s">
        <v>12452</v>
      </c>
      <c r="J770" t="str">
        <f t="shared" si="34"/>
        <v>(${Variables:E2_8_3_5_kcat} * E2_8_3_5 * C00091 * C01656)/(${Variables:E2_8_3_5_km} + (E2_8_3_5 * C00091 * C01656))</v>
      </c>
      <c r="K770" s="21" t="str">
        <f t="shared" si="35"/>
        <v>r769: C00091 + C01656 -&gt; C00042 + C00264 | (${Variables:E2_8_3_5_kcat} * E2_8_3_5 * C00091 * C01656)/(${Variables:E2_8_3_5_km} + (E2_8_3_5 * C00091 * C01656))</v>
      </c>
    </row>
    <row r="771" spans="1:11">
      <c r="A771" t="s">
        <v>5487</v>
      </c>
      <c r="B771" t="s">
        <v>5488</v>
      </c>
      <c r="C771" t="s">
        <v>15608</v>
      </c>
      <c r="D771">
        <v>770</v>
      </c>
      <c r="E771" t="str">
        <f t="shared" ref="E771:E834" si="36">"E" &amp; C771</f>
        <v>E2_8_3_5</v>
      </c>
      <c r="F771" t="s">
        <v>11102</v>
      </c>
      <c r="G771" t="s">
        <v>11747</v>
      </c>
      <c r="H771" t="s">
        <v>11103</v>
      </c>
      <c r="I771" t="s">
        <v>12453</v>
      </c>
      <c r="J771" t="str">
        <f t="shared" ref="J771:J834" si="37">CONCATENATE("(${Variables:",E771,"_kcat","} * ",E771," * ",G771,")","/(${Variables:",E771,"_km","} + (",E771," * ",G771,"))")</f>
        <v>(${Variables:E2_8_3_5_kcat} * E2_8_3_5 * C00091 * C00164)/(${Variables:E2_8_3_5_km} + (E2_8_3_5 * C00091 * C00164))</v>
      </c>
      <c r="K771" s="21" t="str">
        <f t="shared" ref="K771:K834" si="38">CONCATENATE("r",D771,": ",F771," -&gt; ",H771," | ",J771)</f>
        <v>r770: C00091 + C00164 -&gt; C00042 + C00332 | (${Variables:E2_8_3_5_kcat} * E2_8_3_5 * C00091 * C00164)/(${Variables:E2_8_3_5_km} + (E2_8_3_5 * C00091 * C00164))</v>
      </c>
    </row>
    <row r="772" spans="1:11">
      <c r="A772" t="s">
        <v>5494</v>
      </c>
      <c r="B772" t="s">
        <v>5495</v>
      </c>
      <c r="C772" t="s">
        <v>15609</v>
      </c>
      <c r="D772">
        <v>771</v>
      </c>
      <c r="E772" t="str">
        <f t="shared" si="36"/>
        <v>E2_3_1_9</v>
      </c>
      <c r="F772" t="s">
        <v>13252</v>
      </c>
      <c r="G772" t="s">
        <v>13252</v>
      </c>
      <c r="H772" t="s">
        <v>11104</v>
      </c>
      <c r="I772" t="s">
        <v>12454</v>
      </c>
      <c r="J772" t="str">
        <f t="shared" si="37"/>
        <v>(${Variables:E2_3_1_9_kcat} * E2_3_1_9 * C00024)/(${Variables:E2_3_1_9_km} + (E2_3_1_9 * C00024))</v>
      </c>
      <c r="K772" s="21" t="str">
        <f t="shared" si="38"/>
        <v>r771: C00024 -&gt; C00010 + C00332 | (${Variables:E2_3_1_9_kcat} * E2_3_1_9 * C00024)/(${Variables:E2_3_1_9_km} + (E2_3_1_9 * C00024))</v>
      </c>
    </row>
    <row r="773" spans="1:11">
      <c r="A773" t="s">
        <v>5494</v>
      </c>
      <c r="B773" t="s">
        <v>5495</v>
      </c>
      <c r="C773" t="s">
        <v>15609</v>
      </c>
      <c r="D773">
        <v>772</v>
      </c>
      <c r="E773" t="str">
        <f t="shared" si="36"/>
        <v>E2_3_1_9</v>
      </c>
      <c r="F773" t="s">
        <v>11105</v>
      </c>
      <c r="G773" t="s">
        <v>11748</v>
      </c>
      <c r="H773" t="s">
        <v>11106</v>
      </c>
      <c r="I773" t="s">
        <v>12455</v>
      </c>
      <c r="J773" t="str">
        <f t="shared" si="37"/>
        <v>(${Variables:E2_3_1_9_kcat} * E2_3_1_9 * C00100 * C00024)/(${Variables:E2_3_1_9_km} + (E2_3_1_9 * C00100 * C00024))</v>
      </c>
      <c r="K773" s="21" t="str">
        <f t="shared" si="38"/>
        <v>r772: C00100 + C00024 -&gt; C00010 + C03344 | (${Variables:E2_3_1_9_kcat} * E2_3_1_9 * C00100 * C00024)/(${Variables:E2_3_1_9_km} + (E2_3_1_9 * C00100 * C00024))</v>
      </c>
    </row>
    <row r="774" spans="1:11">
      <c r="A774" t="s">
        <v>5494</v>
      </c>
      <c r="B774" t="s">
        <v>5495</v>
      </c>
      <c r="C774" t="s">
        <v>15609</v>
      </c>
      <c r="D774">
        <v>773</v>
      </c>
      <c r="E774" t="str">
        <f t="shared" si="36"/>
        <v>E2_3_1_9</v>
      </c>
      <c r="F774" t="s">
        <v>11107</v>
      </c>
      <c r="G774" t="s">
        <v>11749</v>
      </c>
      <c r="H774" t="s">
        <v>11108</v>
      </c>
      <c r="I774" t="s">
        <v>12456</v>
      </c>
      <c r="J774" t="str">
        <f t="shared" si="37"/>
        <v>(${Variables:E2_3_1_9_kcat} * E2_3_1_9 * C00024 * C00136)/(${Variables:E2_3_1_9_km} + (E2_3_1_9 * C00024 * C00136))</v>
      </c>
      <c r="K774" s="21" t="str">
        <f t="shared" si="38"/>
        <v>r773: C00024 + C00136 -&gt; C00010 + C05269 | (${Variables:E2_3_1_9_kcat} * E2_3_1_9 * C00024 * C00136)/(${Variables:E2_3_1_9_km} + (E2_3_1_9 * C00024 * C00136))</v>
      </c>
    </row>
    <row r="775" spans="1:11">
      <c r="A775" t="s">
        <v>5511</v>
      </c>
      <c r="B775" t="s">
        <v>5512</v>
      </c>
      <c r="C775" t="s">
        <v>15610</v>
      </c>
      <c r="D775">
        <v>774</v>
      </c>
      <c r="E775" t="str">
        <f t="shared" si="36"/>
        <v>E3_1_5_1</v>
      </c>
      <c r="F775" t="s">
        <v>11109</v>
      </c>
      <c r="G775" t="s">
        <v>11750</v>
      </c>
      <c r="H775" t="s">
        <v>11110</v>
      </c>
      <c r="I775" t="s">
        <v>12457</v>
      </c>
      <c r="J775" t="str">
        <f t="shared" si="37"/>
        <v>(${Variables:E3_1_5_1_kcat} * E3_1_5_1 * C00286 * C00001)/(${Variables:E3_1_5_1_km} + (E3_1_5_1 * C00286 * C00001))</v>
      </c>
      <c r="K775" s="21" t="str">
        <f t="shared" si="38"/>
        <v>r774: C00286 + C00001 -&gt; C00330 + C00536 | (${Variables:E3_1_5_1_kcat} * E3_1_5_1 * C00286 * C00001)/(${Variables:E3_1_5_1_km} + (E3_1_5_1 * C00286 * C00001))</v>
      </c>
    </row>
    <row r="776" spans="1:11">
      <c r="A776" t="s">
        <v>5523</v>
      </c>
      <c r="B776" t="s">
        <v>5524</v>
      </c>
      <c r="C776" t="s">
        <v>15611</v>
      </c>
      <c r="D776">
        <v>775</v>
      </c>
      <c r="E776" t="str">
        <f t="shared" si="36"/>
        <v>E6_1_1_14</v>
      </c>
      <c r="F776" t="s">
        <v>11111</v>
      </c>
      <c r="G776" t="s">
        <v>11751</v>
      </c>
      <c r="H776" t="s">
        <v>11112</v>
      </c>
      <c r="I776" t="s">
        <v>12458</v>
      </c>
      <c r="J776" t="str">
        <f t="shared" si="37"/>
        <v>(${Variables:E6_1_1_14_kcat} * E6_1_1_14 * C00002 * C00037 * C01642 )/(${Variables:E6_1_1_14_km} + (E6_1_1_14 * C00002 * C00037 * C01642 ))</v>
      </c>
      <c r="K776" s="21" t="str">
        <f t="shared" si="38"/>
        <v>r775: C00002 + C00037 + C01642  -&gt; C00020 + C00013 + C02412 | (${Variables:E6_1_1_14_kcat} * E6_1_1_14 * C00002 * C00037 * C01642 )/(${Variables:E6_1_1_14_km} + (E6_1_1_14 * C00002 * C00037 * C01642 ))</v>
      </c>
    </row>
    <row r="777" spans="1:11">
      <c r="A777" t="s">
        <v>5534</v>
      </c>
      <c r="B777" t="s">
        <v>5535</v>
      </c>
      <c r="C777" t="s">
        <v>15612</v>
      </c>
      <c r="D777">
        <v>776</v>
      </c>
      <c r="E777" t="str">
        <f t="shared" si="36"/>
        <v>E2_5_1_88</v>
      </c>
      <c r="F777" t="s">
        <v>15850</v>
      </c>
      <c r="G777" t="s">
        <v>15849</v>
      </c>
      <c r="H777" t="s">
        <v>15848</v>
      </c>
      <c r="I777" t="s">
        <v>15847</v>
      </c>
      <c r="J777" t="str">
        <f t="shared" si="37"/>
        <v>(${Variables:E2_5_1_88_kcat} * E2_5_1_88 * C16826 * C00129)/(${Variables:E2_5_1_88_km} + (E2_5_1_88 * C16826 * C00129))</v>
      </c>
      <c r="K777" s="21" t="str">
        <f t="shared" si="38"/>
        <v>r776: C16826 + C00129 -&gt; C00013 + C19853 | (${Variables:E2_5_1_88_kcat} * E2_5_1_88 * C16826 * C00129)/(${Variables:E2_5_1_88_km} + (E2_5_1_88 * C16826 * C00129))</v>
      </c>
    </row>
    <row r="778" spans="1:11">
      <c r="A778" t="s">
        <v>5548</v>
      </c>
      <c r="B778" t="s">
        <v>5549</v>
      </c>
      <c r="C778" t="s">
        <v>15613</v>
      </c>
      <c r="D778">
        <v>777</v>
      </c>
      <c r="E778" t="str">
        <f t="shared" si="36"/>
        <v>E3_5_1_49</v>
      </c>
      <c r="F778" t="s">
        <v>11113</v>
      </c>
      <c r="G778" t="s">
        <v>11752</v>
      </c>
      <c r="H778" t="s">
        <v>11114</v>
      </c>
      <c r="I778" t="s">
        <v>12459</v>
      </c>
      <c r="J778" t="str">
        <f t="shared" si="37"/>
        <v>(${Variables:E3_5_1_49_kcat} * E3_5_1_49 * C00488 * C00001)/(${Variables:E3_5_1_49_km} + (E3_5_1_49 * C00488 * C00001))</v>
      </c>
      <c r="K778" s="21" t="str">
        <f t="shared" si="38"/>
        <v>r777: C00488 + C00001 -&gt; C00058 + C00014 | (${Variables:E3_5_1_49_kcat} * E3_5_1_49 * C00488 * C00001)/(${Variables:E3_5_1_49_km} + (E3_5_1_49 * C00488 * C00001))</v>
      </c>
    </row>
    <row r="779" spans="1:11">
      <c r="A779" t="s">
        <v>5552</v>
      </c>
      <c r="B779" t="s">
        <v>5553</v>
      </c>
      <c r="C779" t="s">
        <v>15614</v>
      </c>
      <c r="D779">
        <v>778</v>
      </c>
      <c r="E779" t="str">
        <f t="shared" si="36"/>
        <v>E2_7_1_35</v>
      </c>
      <c r="F779" t="s">
        <v>11115</v>
      </c>
      <c r="G779" t="s">
        <v>11753</v>
      </c>
      <c r="H779" t="s">
        <v>11116</v>
      </c>
      <c r="I779" t="s">
        <v>12460</v>
      </c>
      <c r="J779" t="str">
        <f t="shared" si="37"/>
        <v>(${Variables:E2_7_1_35_kcat} * E2_7_1_35 * C00002 * C00250)/(${Variables:E2_7_1_35_km} + (E2_7_1_35 * C00002 * C00250))</v>
      </c>
      <c r="K779" s="21" t="str">
        <f t="shared" si="38"/>
        <v>r778: C00002 + C00250 -&gt; C00008 + C00018 | (${Variables:E2_7_1_35_kcat} * E2_7_1_35 * C00002 * C00250)/(${Variables:E2_7_1_35_km} + (E2_7_1_35 * C00002 * C00250))</v>
      </c>
    </row>
    <row r="780" spans="1:11">
      <c r="A780" t="s">
        <v>5552</v>
      </c>
      <c r="B780" t="s">
        <v>5553</v>
      </c>
      <c r="C780" t="s">
        <v>15614</v>
      </c>
      <c r="D780">
        <v>779</v>
      </c>
      <c r="E780" t="str">
        <f t="shared" si="36"/>
        <v>E2_7_1_35</v>
      </c>
      <c r="F780" t="s">
        <v>11117</v>
      </c>
      <c r="G780" t="s">
        <v>11754</v>
      </c>
      <c r="H780" t="s">
        <v>11118</v>
      </c>
      <c r="I780" t="s">
        <v>12461</v>
      </c>
      <c r="J780" t="str">
        <f t="shared" si="37"/>
        <v>(${Variables:E2_7_1_35_kcat} * E2_7_1_35 * C00002 * C00314)/(${Variables:E2_7_1_35_km} + (E2_7_1_35 * C00002 * C00314))</v>
      </c>
      <c r="K780" s="21" t="str">
        <f t="shared" si="38"/>
        <v>r779: C00002 + C00314 -&gt;  C00008 + C00627 | (${Variables:E2_7_1_35_kcat} * E2_7_1_35 * C00002 * C00314)/(${Variables:E2_7_1_35_km} + (E2_7_1_35 * C00002 * C00314))</v>
      </c>
    </row>
    <row r="781" spans="1:11">
      <c r="A781" t="s">
        <v>5552</v>
      </c>
      <c r="B781" t="s">
        <v>5553</v>
      </c>
      <c r="C781" t="s">
        <v>15614</v>
      </c>
      <c r="D781">
        <v>780</v>
      </c>
      <c r="E781" t="str">
        <f t="shared" si="36"/>
        <v>E2_7_1_35</v>
      </c>
      <c r="F781" t="s">
        <v>15851</v>
      </c>
      <c r="G781" t="s">
        <v>15852</v>
      </c>
      <c r="H781" t="s">
        <v>11119</v>
      </c>
      <c r="I781" t="s">
        <v>12462</v>
      </c>
      <c r="J781" t="str">
        <f t="shared" si="37"/>
        <v>(${Variables:E2_7_1_35_kcat} * E2_7_1_35 * C00002 * C00534)/(${Variables:E2_7_1_35_km} + (E2_7_1_35 * C00002 * C00534))</v>
      </c>
      <c r="K781" s="21" t="str">
        <f t="shared" si="38"/>
        <v>r780: C00002 + C00534 -&gt; C00008 + C00647 | (${Variables:E2_7_1_35_kcat} * E2_7_1_35 * C00002 * C00534)/(${Variables:E2_7_1_35_km} + (E2_7_1_35 * C00002 * C00534))</v>
      </c>
    </row>
    <row r="782" spans="1:11">
      <c r="A782" t="s">
        <v>5575</v>
      </c>
      <c r="B782" t="s">
        <v>5576</v>
      </c>
      <c r="C782" t="s">
        <v>15615</v>
      </c>
      <c r="D782">
        <v>781</v>
      </c>
      <c r="E782" t="str">
        <f t="shared" si="36"/>
        <v>E1_3_98_3</v>
      </c>
      <c r="F782" t="s">
        <v>15939</v>
      </c>
      <c r="G782" t="s">
        <v>15853</v>
      </c>
      <c r="H782" t="s">
        <v>15854</v>
      </c>
      <c r="I782" t="s">
        <v>15855</v>
      </c>
      <c r="J782" t="str">
        <f t="shared" si="37"/>
        <v>(${Variables:E1_3_98_3_kcat} * E1_3_98_3 * C03263 *  C00019)/(${Variables:E1_3_98_3_km} + (E1_3_98_3 * C03263 *  C00019))</v>
      </c>
      <c r="K782" s="21" t="str">
        <f t="shared" si="38"/>
        <v>r781: C03263 + C00019 -&gt; C01079 + C00011 +  C00073 +  C05198 | (${Variables:E1_3_98_3_kcat} * E1_3_98_3 * C03263 *  C00019)/(${Variables:E1_3_98_3_km} + (E1_3_98_3 * C03263 *  C00019))</v>
      </c>
    </row>
    <row r="783" spans="1:11">
      <c r="A783" t="s">
        <v>5590</v>
      </c>
      <c r="B783" t="s">
        <v>5591</v>
      </c>
      <c r="C783" t="s">
        <v>15344</v>
      </c>
      <c r="D783">
        <v>782</v>
      </c>
      <c r="E783" t="str">
        <f t="shared" si="36"/>
        <v>E6_2_1_3</v>
      </c>
      <c r="F783" t="s">
        <v>10529</v>
      </c>
      <c r="G783" t="s">
        <v>11347</v>
      </c>
      <c r="H783" t="s">
        <v>10692</v>
      </c>
      <c r="I783" t="s">
        <v>12215</v>
      </c>
      <c r="J783" t="str">
        <f t="shared" si="37"/>
        <v>(${Variables:E6_2_1_3_kcat} * E6_2_1_3 * C00002 * C00638 * C00010)/(${Variables:E6_2_1_3_km} + (E6_2_1_3 * C00002 * C00638 * C00010))</v>
      </c>
      <c r="K783" s="21" t="str">
        <f t="shared" si="38"/>
        <v>r782: C00002 + C00638 + C00010 -&gt; C00020 + C00013 + C02843 | (${Variables:E6_2_1_3_kcat} * E6_2_1_3 * C00002 * C00638 * C00010)/(${Variables:E6_2_1_3_km} + (E6_2_1_3 * C00002 * C00638 * C00010))</v>
      </c>
    </row>
    <row r="784" spans="1:11">
      <c r="A784" t="s">
        <v>5590</v>
      </c>
      <c r="B784" t="s">
        <v>5591</v>
      </c>
      <c r="C784" t="s">
        <v>15344</v>
      </c>
      <c r="D784">
        <v>783</v>
      </c>
      <c r="E784" t="str">
        <f t="shared" si="36"/>
        <v>E6_2_1_3</v>
      </c>
      <c r="F784" t="s">
        <v>10156</v>
      </c>
      <c r="G784" t="s">
        <v>11348</v>
      </c>
      <c r="H784" t="s">
        <v>10157</v>
      </c>
      <c r="I784" t="s">
        <v>12032</v>
      </c>
      <c r="J784" t="str">
        <f t="shared" si="37"/>
        <v>(${Variables:E6_2_1_3_kcat} * E6_2_1_3 * C00002 * C00249 * C00010)/(${Variables:E6_2_1_3_km} + (E6_2_1_3 * C00002 * C00249 * C00010))</v>
      </c>
      <c r="K784" s="21" t="str">
        <f t="shared" si="38"/>
        <v>r783: C00002 + C00249 + C00010 -&gt; C00020 + C00154 + C00013 | (${Variables:E6_2_1_3_kcat} * E6_2_1_3 * C00002 * C00249 * C00010)/(${Variables:E6_2_1_3_km} + (E6_2_1_3 * C00002 * C00249 * C00010))</v>
      </c>
    </row>
    <row r="785" spans="1:11">
      <c r="A785" t="s">
        <v>5597</v>
      </c>
      <c r="B785" t="s">
        <v>5598</v>
      </c>
      <c r="C785" t="s">
        <v>15388</v>
      </c>
      <c r="D785">
        <v>784</v>
      </c>
      <c r="E785" t="str">
        <f t="shared" si="36"/>
        <v>E3_1_1_1</v>
      </c>
      <c r="F785" t="s">
        <v>10575</v>
      </c>
      <c r="G785" t="s">
        <v>11393</v>
      </c>
      <c r="H785" t="s">
        <v>10576</v>
      </c>
      <c r="I785" t="s">
        <v>12079</v>
      </c>
      <c r="J785" t="str">
        <f t="shared" si="37"/>
        <v>(${Variables:E3_1_1_1_kcat} * E3_1_1_1 * C02391 * C00001)/(${Variables:E3_1_1_1_km} + (E3_1_1_1 * C02391 * C00001))</v>
      </c>
      <c r="K785" s="21" t="str">
        <f t="shared" si="38"/>
        <v>r784: C02391 + C00001 -&gt; C00069 + C00060 | (${Variables:E3_1_1_1_kcat} * E3_1_1_1 * C02391 * C00001)/(${Variables:E3_1_1_1_km} + (E3_1_1_1 * C02391 * C00001))</v>
      </c>
    </row>
    <row r="786" spans="1:11">
      <c r="A786" t="s">
        <v>5597</v>
      </c>
      <c r="B786" t="s">
        <v>5598</v>
      </c>
      <c r="C786" t="s">
        <v>15388</v>
      </c>
      <c r="D786">
        <v>785</v>
      </c>
      <c r="E786" t="str">
        <f t="shared" si="36"/>
        <v>E3_1_1_1</v>
      </c>
      <c r="F786" t="s">
        <v>11120</v>
      </c>
      <c r="G786" t="s">
        <v>11755</v>
      </c>
      <c r="H786" t="s">
        <v>10578</v>
      </c>
      <c r="I786" t="s">
        <v>12080</v>
      </c>
      <c r="J786" t="str">
        <f t="shared" si="37"/>
        <v>(${Variables:E3_1_1_1_kcat} * E3_1_1_1 * C01416 * C00001 )/(${Variables:E3_1_1_1_km} + (E3_1_1_1 * C01416 * C00001 ))</v>
      </c>
      <c r="K786" s="21" t="str">
        <f t="shared" si="38"/>
        <v>r785: C01416 + C00001  -&gt; C12448 + C00180 | (${Variables:E3_1_1_1_kcat} * E3_1_1_1 * C01416 * C00001 )/(${Variables:E3_1_1_1_km} + (E3_1_1_1 * C01416 * C00001 ))</v>
      </c>
    </row>
    <row r="787" spans="1:11">
      <c r="A787" t="s">
        <v>5597</v>
      </c>
      <c r="B787" t="s">
        <v>5598</v>
      </c>
      <c r="C787" t="s">
        <v>15388</v>
      </c>
      <c r="D787">
        <v>786</v>
      </c>
      <c r="E787" t="str">
        <f t="shared" si="36"/>
        <v>E3_1_1_1</v>
      </c>
      <c r="F787" t="s">
        <v>10579</v>
      </c>
      <c r="G787" t="s">
        <v>11395</v>
      </c>
      <c r="H787" t="s">
        <v>10580</v>
      </c>
      <c r="I787" t="s">
        <v>12081</v>
      </c>
      <c r="J787" t="str">
        <f t="shared" si="37"/>
        <v>(${Variables:E3_1_1_1_kcat} * E3_1_1_1 * C16641 * C00001)/(${Variables:E3_1_1_1_km} + (E3_1_1_1 * C16641 * C00001))</v>
      </c>
      <c r="K787" s="21" t="str">
        <f t="shared" si="38"/>
        <v>r786: C16641 + C00001 -&gt; C11173 + C16836 | (${Variables:E3_1_1_1_kcat} * E3_1_1_1 * C16641 * C00001)/(${Variables:E3_1_1_1_km} + (E3_1_1_1 * C16641 * C00001))</v>
      </c>
    </row>
    <row r="788" spans="1:11">
      <c r="A788" t="s">
        <v>5597</v>
      </c>
      <c r="B788" t="s">
        <v>5598</v>
      </c>
      <c r="C788" t="s">
        <v>15388</v>
      </c>
      <c r="D788">
        <v>787</v>
      </c>
      <c r="E788" t="str">
        <f t="shared" si="36"/>
        <v>E3_1_1_1</v>
      </c>
      <c r="F788" t="s">
        <v>11121</v>
      </c>
      <c r="G788" t="s">
        <v>11756</v>
      </c>
      <c r="H788" t="s">
        <v>10582</v>
      </c>
      <c r="I788" t="s">
        <v>12082</v>
      </c>
      <c r="J788" t="str">
        <f t="shared" si="37"/>
        <v>(${Variables:E3_1_1_1_kcat} * E3_1_1_1 * C16543 * C00001)/(${Variables:E3_1_1_1_km} + (E3_1_1_1 * C16543 * C00001))</v>
      </c>
      <c r="K788" s="21" t="str">
        <f t="shared" si="38"/>
        <v>r787: C16543 + C00001 -&gt; C11173 + C16837 | (${Variables:E3_1_1_1_kcat} * E3_1_1_1 * C16543 * C00001)/(${Variables:E3_1_1_1_km} + (E3_1_1_1 * C16543 * C00001))</v>
      </c>
    </row>
    <row r="789" spans="1:11">
      <c r="A789" t="s">
        <v>5597</v>
      </c>
      <c r="B789" t="s">
        <v>5598</v>
      </c>
      <c r="C789" t="s">
        <v>15388</v>
      </c>
      <c r="D789">
        <v>788</v>
      </c>
      <c r="E789" t="str">
        <f t="shared" si="36"/>
        <v>E3_1_1_1</v>
      </c>
      <c r="F789" t="s">
        <v>10583</v>
      </c>
      <c r="G789" t="s">
        <v>11397</v>
      </c>
      <c r="H789" t="s">
        <v>10584</v>
      </c>
      <c r="I789" t="s">
        <v>12083</v>
      </c>
      <c r="J789" t="str">
        <f t="shared" si="37"/>
        <v>(${Variables:E3_1_1_1_kcat} * E3_1_1_1 * C12650 * C00001)/(${Variables:E3_1_1_1_km} + (E3_1_1_1 * C12650 * C00001))</v>
      </c>
      <c r="K789" s="21" t="str">
        <f t="shared" si="38"/>
        <v>r788: C12650 + C00001 -&gt; C16635 + C16834 + C00011 | (${Variables:E3_1_1_1_kcat} * E3_1_1_1 * C12650 * C00001)/(${Variables:E3_1_1_1_km} + (E3_1_1_1 * C12650 * C00001))</v>
      </c>
    </row>
    <row r="790" spans="1:11">
      <c r="A790" t="s">
        <v>5597</v>
      </c>
      <c r="B790" t="s">
        <v>5598</v>
      </c>
      <c r="C790" t="s">
        <v>15388</v>
      </c>
      <c r="D790">
        <v>789</v>
      </c>
      <c r="E790" t="str">
        <f t="shared" si="36"/>
        <v>E3_1_1_1</v>
      </c>
      <c r="F790" t="s">
        <v>10585</v>
      </c>
      <c r="G790" t="s">
        <v>11398</v>
      </c>
      <c r="H790" t="s">
        <v>10586</v>
      </c>
      <c r="I790" t="s">
        <v>12084</v>
      </c>
      <c r="J790" t="str">
        <f t="shared" si="37"/>
        <v>(${Variables:E3_1_1_1_kcat} * E3_1_1_1 * C07585 * C00001)/(${Variables:E3_1_1_1_km} + (E3_1_1_1 * C07585 * C00001))</v>
      </c>
      <c r="K790" s="21" t="str">
        <f t="shared" si="38"/>
        <v>r789: C07585 + C00001 -&gt; C07447 + C07446 | (${Variables:E3_1_1_1_kcat} * E3_1_1_1 * C07585 * C00001)/(${Variables:E3_1_1_1_km} + (E3_1_1_1 * C07585 * C00001))</v>
      </c>
    </row>
    <row r="791" spans="1:11">
      <c r="A791" t="s">
        <v>5597</v>
      </c>
      <c r="B791" t="s">
        <v>5598</v>
      </c>
      <c r="C791" t="s">
        <v>15388</v>
      </c>
      <c r="D791">
        <v>790</v>
      </c>
      <c r="E791" t="str">
        <f t="shared" si="36"/>
        <v>E3_1_1_1</v>
      </c>
      <c r="F791" t="s">
        <v>11122</v>
      </c>
      <c r="G791" t="s">
        <v>11757</v>
      </c>
      <c r="H791" t="s">
        <v>10588</v>
      </c>
      <c r="I791" t="s">
        <v>12085</v>
      </c>
      <c r="J791" t="str">
        <f t="shared" si="37"/>
        <v>(${Variables:E3_1_1_1_kcat} * E3_1_1_1 * C07054 * C00001 )/(${Variables:E3_1_1_1_km} + (E3_1_1_1 * C07054 * C00001 ))</v>
      </c>
      <c r="K791" s="21" t="str">
        <f t="shared" si="38"/>
        <v>r790: C07054 + C00001  -&gt; C07446 + C05361 | (${Variables:E3_1_1_1_kcat} * E3_1_1_1 * C07054 * C00001 )/(${Variables:E3_1_1_1_km} + (E3_1_1_1 * C07054 * C00001 ))</v>
      </c>
    </row>
    <row r="792" spans="1:11">
      <c r="A792" t="s">
        <v>5597</v>
      </c>
      <c r="B792" t="s">
        <v>5598</v>
      </c>
      <c r="C792" t="s">
        <v>15388</v>
      </c>
      <c r="D792">
        <v>791</v>
      </c>
      <c r="E792" t="str">
        <f t="shared" si="36"/>
        <v>E3_1_1_1</v>
      </c>
      <c r="F792" t="s">
        <v>10589</v>
      </c>
      <c r="G792" t="s">
        <v>11400</v>
      </c>
      <c r="H792" t="s">
        <v>10590</v>
      </c>
      <c r="I792" t="s">
        <v>12086</v>
      </c>
      <c r="J792" t="str">
        <f t="shared" si="37"/>
        <v>(${Variables:E3_1_1_1_kcat} * E3_1_1_1 * C16561 * C00001)/(${Variables:E3_1_1_1_km} + (E3_1_1_1 * C16561 * C00001))</v>
      </c>
      <c r="K792" s="21" t="str">
        <f t="shared" si="38"/>
        <v>r791: C16561 + C00001 -&gt; C11004 + C11735 | (${Variables:E3_1_1_1_kcat} * E3_1_1_1 * C16561 * C00001)/(${Variables:E3_1_1_1_km} + (E3_1_1_1 * C16561 * C00001))</v>
      </c>
    </row>
    <row r="793" spans="1:11">
      <c r="A793" t="s">
        <v>5597</v>
      </c>
      <c r="B793" t="s">
        <v>5598</v>
      </c>
      <c r="C793" t="s">
        <v>15388</v>
      </c>
      <c r="D793">
        <v>792</v>
      </c>
      <c r="E793" t="str">
        <f t="shared" si="36"/>
        <v>E3_1_1_1</v>
      </c>
      <c r="F793" t="s">
        <v>10591</v>
      </c>
      <c r="G793" t="s">
        <v>11401</v>
      </c>
      <c r="H793" t="s">
        <v>10592</v>
      </c>
      <c r="I793" t="s">
        <v>12087</v>
      </c>
      <c r="J793" t="str">
        <f t="shared" si="37"/>
        <v>(${Variables:E3_1_1_1_kcat} * E3_1_1_1 * C07073 * C00001)/(${Variables:E3_1_1_1_km} + (E3_1_1_1 * C07073 * C00001))</v>
      </c>
      <c r="K793" s="21" t="str">
        <f t="shared" si="38"/>
        <v>r792: C07073 + C00001 -&gt; C11004 + C16647 | (${Variables:E3_1_1_1_kcat} * E3_1_1_1 * C07073 * C00001)/(${Variables:E3_1_1_1_km} + (E3_1_1_1 * C07073 * C00001))</v>
      </c>
    </row>
    <row r="794" spans="1:11">
      <c r="A794" t="s">
        <v>5601</v>
      </c>
      <c r="B794" t="s">
        <v>5602</v>
      </c>
      <c r="C794" t="s">
        <v>15616</v>
      </c>
      <c r="D794">
        <v>793</v>
      </c>
      <c r="E794" t="str">
        <f t="shared" si="36"/>
        <v>E5_3_3_2</v>
      </c>
      <c r="F794" t="s">
        <v>10150</v>
      </c>
      <c r="G794" t="s">
        <v>10150</v>
      </c>
      <c r="H794" t="s">
        <v>10151</v>
      </c>
      <c r="I794" t="s">
        <v>10151</v>
      </c>
      <c r="J794" t="str">
        <f t="shared" si="37"/>
        <v>(${Variables:E5_3_3_2_kcat} * E5_3_3_2 * C00129)/(${Variables:E5_3_3_2_km} + (E5_3_3_2 * C00129))</v>
      </c>
      <c r="K794" s="21" t="str">
        <f t="shared" si="38"/>
        <v>r793: C00129 -&gt; C00235 | (${Variables:E5_3_3_2_kcat} * E5_3_3_2 * C00129)/(${Variables:E5_3_3_2_km} + (E5_3_3_2 * C00129))</v>
      </c>
    </row>
    <row r="795" spans="1:11">
      <c r="A795" t="s">
        <v>5610</v>
      </c>
      <c r="B795" t="s">
        <v>5611</v>
      </c>
      <c r="C795" t="s">
        <v>15617</v>
      </c>
      <c r="D795">
        <v>794</v>
      </c>
      <c r="E795" t="str">
        <f t="shared" si="36"/>
        <v>E4_4_1_8</v>
      </c>
      <c r="F795" t="s">
        <v>11123</v>
      </c>
      <c r="G795" t="s">
        <v>11758</v>
      </c>
      <c r="H795" t="s">
        <v>11124</v>
      </c>
      <c r="I795" t="s">
        <v>12463</v>
      </c>
      <c r="J795" t="str">
        <f t="shared" si="37"/>
        <v>(${Variables:E4_4_1_8_kcat} * E4_4_1_8 * C02882 * C00001)/(${Variables:E4_4_1_8_km} + (E4_4_1_8 * C02882 * C00001))</v>
      </c>
      <c r="K795" s="21" t="str">
        <f t="shared" si="38"/>
        <v>r794: C02882 + C00001 -&gt; C00145 + C00014 + C00022 | (${Variables:E4_4_1_8_kcat} * E4_4_1_8 * C02882 * C00001)/(${Variables:E4_4_1_8_km} + (E4_4_1_8 * C02882 * C00001))</v>
      </c>
    </row>
    <row r="796" spans="1:11">
      <c r="A796" t="s">
        <v>5610</v>
      </c>
      <c r="B796" t="s">
        <v>5611</v>
      </c>
      <c r="C796" t="s">
        <v>15617</v>
      </c>
      <c r="D796">
        <v>795</v>
      </c>
      <c r="E796" t="str">
        <f t="shared" si="36"/>
        <v>E4_4_1_8</v>
      </c>
      <c r="F796" t="s">
        <v>11125</v>
      </c>
      <c r="G796" t="s">
        <v>11759</v>
      </c>
      <c r="H796" t="s">
        <v>11126</v>
      </c>
      <c r="I796" t="s">
        <v>12464</v>
      </c>
      <c r="J796" t="str">
        <f t="shared" si="37"/>
        <v>(${Variables:E4_4_1_8_kcat} * E4_4_1_8 * C02291 * C00001)/(${Variables:E4_4_1_8_km} + (E4_4_1_8 * C02291 * C00001))</v>
      </c>
      <c r="K796" s="21" t="str">
        <f t="shared" si="38"/>
        <v>r795: C02291 + C00001 -&gt; C00155 + C00014 + C00022 | (${Variables:E4_4_1_8_kcat} * E4_4_1_8 * C02291 * C00001)/(${Variables:E4_4_1_8_km} + (E4_4_1_8 * C02291 * C00001))</v>
      </c>
    </row>
    <row r="797" spans="1:11">
      <c r="A797" t="s">
        <v>5610</v>
      </c>
      <c r="B797" t="s">
        <v>5611</v>
      </c>
      <c r="C797" t="s">
        <v>15617</v>
      </c>
      <c r="D797">
        <v>796</v>
      </c>
      <c r="E797" t="str">
        <f t="shared" si="36"/>
        <v>E4_4_1_8</v>
      </c>
      <c r="F797" t="s">
        <v>11127</v>
      </c>
      <c r="G797" t="s">
        <v>11760</v>
      </c>
      <c r="H797" t="s">
        <v>11128</v>
      </c>
      <c r="I797" t="s">
        <v>12465</v>
      </c>
      <c r="J797" t="str">
        <f t="shared" si="37"/>
        <v>(${Variables:E4_4_1_8_kcat} * E4_4_1_8 * C00491 * C00001)/(${Variables:E4_4_1_8_km} + (E4_4_1_8 * C00491 * C00001))</v>
      </c>
      <c r="K797" s="21" t="str">
        <f t="shared" si="38"/>
        <v>r796: C00491 + C00001 -&gt; C00022 + C00014 + C01962 | (${Variables:E4_4_1_8_kcat} * E4_4_1_8 * C00491 * C00001)/(${Variables:E4_4_1_8_km} + (E4_4_1_8 * C00491 * C00001))</v>
      </c>
    </row>
    <row r="798" spans="1:11">
      <c r="A798" t="s">
        <v>5610</v>
      </c>
      <c r="B798" t="s">
        <v>5611</v>
      </c>
      <c r="C798" t="s">
        <v>15617</v>
      </c>
      <c r="D798">
        <v>797</v>
      </c>
      <c r="E798" t="str">
        <f t="shared" si="36"/>
        <v>E4_4_1_8</v>
      </c>
      <c r="F798" t="s">
        <v>11129</v>
      </c>
      <c r="G798" t="s">
        <v>11761</v>
      </c>
      <c r="H798" t="s">
        <v>11130</v>
      </c>
      <c r="I798" t="s">
        <v>12466</v>
      </c>
      <c r="J798" t="str">
        <f t="shared" si="37"/>
        <v>(${Variables:E4_4_1_8_kcat} * E4_4_1_8 * C02749 * C00001)/(${Variables:E4_4_1_8_km} + (E4_4_1_8 * C02749 * C00001))</v>
      </c>
      <c r="K798" s="21" t="str">
        <f t="shared" si="38"/>
        <v>r797: C02749 + C00001 -&gt; C00812 + C00014 + C00022 | (${Variables:E4_4_1_8_kcat} * E4_4_1_8 * C02749 * C00001)/(${Variables:E4_4_1_8_km} + (E4_4_1_8 * C02749 * C00001))</v>
      </c>
    </row>
    <row r="799" spans="1:11">
      <c r="A799" t="s">
        <v>5610</v>
      </c>
      <c r="B799" t="s">
        <v>5611</v>
      </c>
      <c r="C799" t="s">
        <v>15617</v>
      </c>
      <c r="D799">
        <v>798</v>
      </c>
      <c r="E799" t="str">
        <f t="shared" si="36"/>
        <v>E4_4_1_8</v>
      </c>
      <c r="F799" t="s">
        <v>11123</v>
      </c>
      <c r="G799" t="s">
        <v>11758</v>
      </c>
      <c r="H799" t="s">
        <v>11131</v>
      </c>
      <c r="I799" t="s">
        <v>12467</v>
      </c>
      <c r="J799" t="str">
        <f t="shared" si="37"/>
        <v>(${Variables:E4_4_1_8_kcat} * E4_4_1_8 * C02882 * C00001)/(${Variables:E4_4_1_8_km} + (E4_4_1_8 * C02882 * C00001))</v>
      </c>
      <c r="K799" s="21" t="str">
        <f t="shared" si="38"/>
        <v>r798: C02882 + C00001 -&gt; C01336 + C00014 + C00022 | (${Variables:E4_4_1_8_kcat} * E4_4_1_8 * C02882 * C00001)/(${Variables:E4_4_1_8_km} + (E4_4_1_8 * C02882 * C00001))</v>
      </c>
    </row>
    <row r="800" spans="1:11">
      <c r="A800" t="s">
        <v>5610</v>
      </c>
      <c r="B800" t="s">
        <v>5611</v>
      </c>
      <c r="C800" t="s">
        <v>15617</v>
      </c>
      <c r="D800">
        <v>799</v>
      </c>
      <c r="E800" t="str">
        <f t="shared" si="36"/>
        <v>E4_4_1_8</v>
      </c>
      <c r="F800" t="s">
        <v>11132</v>
      </c>
      <c r="G800" t="s">
        <v>11762</v>
      </c>
      <c r="H800" t="s">
        <v>11133</v>
      </c>
      <c r="I800" t="s">
        <v>12468</v>
      </c>
      <c r="J800" t="str">
        <f t="shared" si="37"/>
        <v>(${Variables:E4_4_1_8_kcat} * E4_4_1_8 * C00097 * C00001)/(${Variables:E4_4_1_8_km} + (E4_4_1_8 * C00097 * C00001))</v>
      </c>
      <c r="K800" s="21" t="str">
        <f t="shared" si="38"/>
        <v>r799: C00097 + C00001 -&gt; C00283 + C00022 + C00014 | (${Variables:E4_4_1_8_kcat} * E4_4_1_8 * C00097 * C00001)/(${Variables:E4_4_1_8_km} + (E4_4_1_8 * C00097 * C00001))</v>
      </c>
    </row>
    <row r="801" spans="1:11">
      <c r="A801" t="s">
        <v>5610</v>
      </c>
      <c r="B801" t="s">
        <v>5611</v>
      </c>
      <c r="C801" t="s">
        <v>15617</v>
      </c>
      <c r="D801">
        <v>800</v>
      </c>
      <c r="E801" t="str">
        <f t="shared" si="36"/>
        <v>E4_4_1_8</v>
      </c>
      <c r="F801" t="s">
        <v>11134</v>
      </c>
      <c r="G801" t="s">
        <v>11763</v>
      </c>
      <c r="H801" t="s">
        <v>11135</v>
      </c>
      <c r="I801" t="s">
        <v>12469</v>
      </c>
      <c r="J801" t="str">
        <f t="shared" si="37"/>
        <v>(${Variables:E4_4_1_8_kcat} * E4_4_1_8 * C05699 * C00001 )/(${Variables:E4_4_1_8_km} + (E4_4_1_8 * C05699 * C00001 ))</v>
      </c>
      <c r="K801" s="21" t="str">
        <f t="shared" si="38"/>
        <v>r800: C05699 + C00001  -&gt; C05698 + C00014 + C00022 | (${Variables:E4_4_1_8_kcat} * E4_4_1_8 * C05699 * C00001 )/(${Variables:E4_4_1_8_km} + (E4_4_1_8 * C05699 * C00001 ))</v>
      </c>
    </row>
    <row r="802" spans="1:11">
      <c r="A802" t="s">
        <v>5610</v>
      </c>
      <c r="B802" t="s">
        <v>5611</v>
      </c>
      <c r="C802" t="s">
        <v>15617</v>
      </c>
      <c r="D802">
        <v>801</v>
      </c>
      <c r="E802" t="str">
        <f t="shared" si="36"/>
        <v>E4_4_1_8</v>
      </c>
      <c r="F802" t="s">
        <v>11136</v>
      </c>
      <c r="G802" t="s">
        <v>11764</v>
      </c>
      <c r="H802" t="s">
        <v>11137</v>
      </c>
      <c r="I802" t="s">
        <v>12470</v>
      </c>
      <c r="J802" t="str">
        <f t="shared" si="37"/>
        <v>(${Variables:E4_4_1_8_kcat} * E4_4_1_8 * C05689 * C00001 )/(${Variables:E4_4_1_8_km} + (E4_4_1_8 * C05689 * C00001 ))</v>
      </c>
      <c r="K802" s="21" t="str">
        <f t="shared" si="38"/>
        <v>r801: C05689 + C00001  -&gt; C00022 + C00014 + C05703 | (${Variables:E4_4_1_8_kcat} * E4_4_1_8 * C05689 * C00001 )/(${Variables:E4_4_1_8_km} + (E4_4_1_8 * C05689 * C00001 ))</v>
      </c>
    </row>
    <row r="803" spans="1:11">
      <c r="A803" t="s">
        <v>5618</v>
      </c>
      <c r="B803" t="s">
        <v>5619</v>
      </c>
      <c r="C803" t="s">
        <v>15618</v>
      </c>
      <c r="D803">
        <v>802</v>
      </c>
      <c r="E803" t="str">
        <f t="shared" si="36"/>
        <v>E1_14_13_107</v>
      </c>
      <c r="F803" t="s">
        <v>11138</v>
      </c>
      <c r="G803" t="s">
        <v>11765</v>
      </c>
      <c r="H803" t="s">
        <v>11139</v>
      </c>
      <c r="I803" t="s">
        <v>12471</v>
      </c>
      <c r="J803" t="str">
        <f t="shared" si="37"/>
        <v>(${Variables:E1_14_13_107_kcat} * E1_14_13_107 * C06099 * C00004 * C00007 * C00080)/(${Variables:E1_14_13_107_km} + (E1_14_13_107 * C06099 * C00004 * C00007 * C00080))</v>
      </c>
      <c r="K803" s="21" t="str">
        <f t="shared" si="38"/>
        <v>r802: C06099 + C00004 + C00007 + C00080 -&gt; C07271 + C00003 + C00001 | (${Variables:E1_14_13_107_kcat} * E1_14_13_107 * C06099 * C00004 * C00007 * C00080)/(${Variables:E1_14_13_107_km} + (E1_14_13_107 * C06099 * C00004 * C00007 * C00080))</v>
      </c>
    </row>
    <row r="804" spans="1:11">
      <c r="A804" t="s">
        <v>5618</v>
      </c>
      <c r="B804" t="s">
        <v>5619</v>
      </c>
      <c r="C804" t="s">
        <v>15618</v>
      </c>
      <c r="D804">
        <v>803</v>
      </c>
      <c r="E804" t="str">
        <f t="shared" si="36"/>
        <v>E1_14_13_107</v>
      </c>
      <c r="F804" t="s">
        <v>11140</v>
      </c>
      <c r="G804" t="s">
        <v>11766</v>
      </c>
      <c r="H804" t="s">
        <v>11141</v>
      </c>
      <c r="I804" t="s">
        <v>12472</v>
      </c>
      <c r="J804" t="str">
        <f t="shared" si="37"/>
        <v>(${Variables:E1_14_13_107_kcat} * E1_14_13_107 * C00521 * C00004 * C00080 * C00007)/(${Variables:E1_14_13_107_km} + (E1_14_13_107 * C00521 * C00004 * C00080 * C00007))</v>
      </c>
      <c r="K804" s="21" t="str">
        <f t="shared" si="38"/>
        <v>r803: C00521 + C00004 + C00080 + C00007 -&gt; C19081 + C00003 + C00001 | (${Variables:E1_14_13_107_kcat} * E1_14_13_107 * C00521 * C00004 * C00080 * C00007)/(${Variables:E1_14_13_107_km} + (E1_14_13_107 * C00521 * C00004 * C00080 * C00007))</v>
      </c>
    </row>
    <row r="805" spans="1:11">
      <c r="A805" t="s">
        <v>5618</v>
      </c>
      <c r="B805" t="s">
        <v>5619</v>
      </c>
      <c r="C805" t="s">
        <v>15618</v>
      </c>
      <c r="D805">
        <v>804</v>
      </c>
      <c r="E805" t="str">
        <f t="shared" si="36"/>
        <v>E1_14_13_107</v>
      </c>
      <c r="F805" t="s">
        <v>11142</v>
      </c>
      <c r="G805" t="s">
        <v>11767</v>
      </c>
      <c r="H805" t="s">
        <v>11143</v>
      </c>
      <c r="I805" t="s">
        <v>12473</v>
      </c>
      <c r="J805" t="str">
        <f t="shared" si="37"/>
        <v>(${Variables:E1_14_13_107_kcat} * E1_14_13_107 * C00521 * C00005 * C00007 * C00080)/(${Variables:E1_14_13_107_km} + (E1_14_13_107 * C00521 * C00005 * C00007 * C00080))</v>
      </c>
      <c r="K805" s="21" t="str">
        <f t="shared" si="38"/>
        <v>r804: C00521 + C00005 + C00007 + C00080 -&gt; C19081 + C00006 + C00001 | (${Variables:E1_14_13_107_kcat} * E1_14_13_107 * C00521 * C00005 * C00007 * C00080)/(${Variables:E1_14_13_107_km} + (E1_14_13_107 * C00521 * C00005 * C00007 * C00080))</v>
      </c>
    </row>
    <row r="806" spans="1:11">
      <c r="A806" t="s">
        <v>5618</v>
      </c>
      <c r="B806" t="s">
        <v>5619</v>
      </c>
      <c r="C806" t="s">
        <v>15618</v>
      </c>
      <c r="D806">
        <v>805</v>
      </c>
      <c r="E806" t="str">
        <f t="shared" si="36"/>
        <v>E1_14_13_107</v>
      </c>
      <c r="F806" t="s">
        <v>11144</v>
      </c>
      <c r="G806" t="s">
        <v>11768</v>
      </c>
      <c r="H806" t="s">
        <v>11145</v>
      </c>
      <c r="I806" t="s">
        <v>12474</v>
      </c>
      <c r="J806" t="str">
        <f t="shared" si="37"/>
        <v>(${Variables:E1_14_13_107_kcat} * E1_14_13_107 * C06099 * C00005 * C00007 * C00080)/(${Variables:E1_14_13_107_km} + (E1_14_13_107 * C06099 * C00005 * C00007 * C00080))</v>
      </c>
      <c r="K806" s="21" t="str">
        <f t="shared" si="38"/>
        <v>r805: C06099 + C00005 + C00007 + C00080 -&gt; C07271 + C00006 + C00001 | (${Variables:E1_14_13_107_kcat} * E1_14_13_107 * C06099 * C00005 * C00007 * C00080)/(${Variables:E1_14_13_107_km} + (E1_14_13_107 * C06099 * C00005 * C00007 * C00080))</v>
      </c>
    </row>
    <row r="807" spans="1:11">
      <c r="A807" t="s">
        <v>5658</v>
      </c>
      <c r="B807" t="s">
        <v>5659</v>
      </c>
      <c r="C807" t="s">
        <v>15619</v>
      </c>
      <c r="D807">
        <v>806</v>
      </c>
      <c r="E807" t="str">
        <f t="shared" si="36"/>
        <v>E3_1_4_3</v>
      </c>
      <c r="F807" t="s">
        <v>11146</v>
      </c>
      <c r="G807" t="s">
        <v>11769</v>
      </c>
      <c r="H807" t="s">
        <v>11147</v>
      </c>
      <c r="I807" t="s">
        <v>12475</v>
      </c>
      <c r="J807" t="str">
        <f t="shared" si="37"/>
        <v>(${Variables:E3_1_4_3_kcat} * E3_1_4_3 * C00157 * C00001)/(${Variables:E3_1_4_3_km} + (E3_1_4_3 * C00157 * C00001))</v>
      </c>
      <c r="K807" s="21" t="str">
        <f t="shared" si="38"/>
        <v>r806: C00157 + C00001 -&gt; C00641 + C00588 | (${Variables:E3_1_4_3_kcat} * E3_1_4_3 * C00157 * C00001)/(${Variables:E3_1_4_3_km} + (E3_1_4_3 * C00157 * C00001))</v>
      </c>
    </row>
    <row r="808" spans="1:11">
      <c r="A808" t="s">
        <v>5658</v>
      </c>
      <c r="B808" t="s">
        <v>5659</v>
      </c>
      <c r="C808" t="s">
        <v>15619</v>
      </c>
      <c r="D808">
        <v>807</v>
      </c>
      <c r="E808" t="str">
        <f t="shared" si="36"/>
        <v>E3_1_4_3</v>
      </c>
      <c r="F808" t="s">
        <v>11148</v>
      </c>
      <c r="G808" t="s">
        <v>11770</v>
      </c>
      <c r="H808" t="s">
        <v>11149</v>
      </c>
      <c r="I808" t="s">
        <v>12476</v>
      </c>
      <c r="J808" t="str">
        <f t="shared" si="37"/>
        <v>(${Variables:E3_1_4_3_kcat} * E3_1_4_3 * C00344 * C00001)/(${Variables:E3_1_4_3_km} + (E3_1_4_3 * C00344 * C00001))</v>
      </c>
      <c r="K808" s="21" t="str">
        <f t="shared" si="38"/>
        <v>r807: C00344 + C00001 -&gt; C00641 + C00093 | (${Variables:E3_1_4_3_kcat} * E3_1_4_3 * C00344 * C00001)/(${Variables:E3_1_4_3_km} + (E3_1_4_3 * C00344 * C00001))</v>
      </c>
    </row>
    <row r="809" spans="1:11">
      <c r="A809" t="s">
        <v>5658</v>
      </c>
      <c r="B809" t="s">
        <v>5659</v>
      </c>
      <c r="C809" t="s">
        <v>15619</v>
      </c>
      <c r="D809">
        <v>808</v>
      </c>
      <c r="E809" t="str">
        <f t="shared" si="36"/>
        <v>E3_1_4_3</v>
      </c>
      <c r="F809" t="s">
        <v>11150</v>
      </c>
      <c r="G809" t="s">
        <v>11771</v>
      </c>
      <c r="H809" t="s">
        <v>11151</v>
      </c>
      <c r="I809" t="s">
        <v>12477</v>
      </c>
      <c r="J809" t="str">
        <f t="shared" si="37"/>
        <v>(${Variables:E3_1_4_3_kcat} * E3_1_4_3 * C00350 * C00001 )/(${Variables:E3_1_4_3_km} + (E3_1_4_3 * C00350 * C00001 ))</v>
      </c>
      <c r="K809" s="21" t="str">
        <f t="shared" si="38"/>
        <v>r808: C00350 + C00001  -&gt; C00641 + C00346 | (${Variables:E3_1_4_3_kcat} * E3_1_4_3 * C00350 * C00001 )/(${Variables:E3_1_4_3_km} + (E3_1_4_3 * C00350 * C00001 ))</v>
      </c>
    </row>
    <row r="810" spans="1:11">
      <c r="A810" t="s">
        <v>5658</v>
      </c>
      <c r="B810" t="s">
        <v>5659</v>
      </c>
      <c r="C810" t="s">
        <v>15619</v>
      </c>
      <c r="D810">
        <v>809</v>
      </c>
      <c r="E810" t="str">
        <f t="shared" si="36"/>
        <v>E3_1_4_3</v>
      </c>
      <c r="F810" t="s">
        <v>11152</v>
      </c>
      <c r="G810" t="s">
        <v>11772</v>
      </c>
      <c r="H810" t="s">
        <v>11153</v>
      </c>
      <c r="I810" t="s">
        <v>12478</v>
      </c>
      <c r="J810" t="str">
        <f t="shared" si="37"/>
        <v>(${Variables:E3_1_4_3_kcat} * E3_1_4_3 * C01194 * C00001)/(${Variables:E3_1_4_3_km} + (E3_1_4_3 * C01194 * C00001))</v>
      </c>
      <c r="K810" s="21" t="str">
        <f t="shared" si="38"/>
        <v>r809: C01194 + C00001 -&gt; C01177 + C00641 | (${Variables:E3_1_4_3_kcat} * E3_1_4_3 * C01194 * C00001)/(${Variables:E3_1_4_3_km} + (E3_1_4_3 * C01194 * C00001))</v>
      </c>
    </row>
    <row r="811" spans="1:11">
      <c r="A811" t="s">
        <v>5658</v>
      </c>
      <c r="B811" t="s">
        <v>5659</v>
      </c>
      <c r="C811" t="s">
        <v>15619</v>
      </c>
      <c r="D811">
        <v>810</v>
      </c>
      <c r="E811" t="str">
        <f t="shared" si="36"/>
        <v>E3_1_4_3</v>
      </c>
      <c r="F811" t="s">
        <v>11154</v>
      </c>
      <c r="G811" t="s">
        <v>11773</v>
      </c>
      <c r="H811" t="s">
        <v>11155</v>
      </c>
      <c r="I811" t="s">
        <v>12479</v>
      </c>
      <c r="J811" t="str">
        <f t="shared" si="37"/>
        <v>(${Variables:E3_1_4_3_kcat} * E3_1_4_3 * C04756 * C00001)/(${Variables:E3_1_4_3_km} + (E3_1_4_3 * C04756 * C00001))</v>
      </c>
      <c r="K811" s="21" t="str">
        <f t="shared" si="38"/>
        <v>r810: C04756 + C00001 -&gt; C03454 + C00346 | (${Variables:E3_1_4_3_kcat} * E3_1_4_3 * C04756 * C00001)/(${Variables:E3_1_4_3_km} + (E3_1_4_3 * C04756 * C00001))</v>
      </c>
    </row>
    <row r="812" spans="1:11">
      <c r="A812" t="s">
        <v>5674</v>
      </c>
      <c r="B812" t="s">
        <v>5675</v>
      </c>
      <c r="C812" t="s">
        <v>15620</v>
      </c>
      <c r="D812">
        <v>811</v>
      </c>
      <c r="E812" t="str">
        <f t="shared" si="36"/>
        <v>E2_1_1_72</v>
      </c>
      <c r="F812" t="s">
        <v>11156</v>
      </c>
      <c r="G812" t="s">
        <v>11774</v>
      </c>
      <c r="H812" t="s">
        <v>11157</v>
      </c>
      <c r="I812" t="s">
        <v>12480</v>
      </c>
      <c r="J812" t="str">
        <f t="shared" si="37"/>
        <v>(${Variables:E2_1_1_72_kcat} * E2_1_1_72 * C00019 * C00821)/(${Variables:E2_1_1_72_km} + (E2_1_1_72 * C00019 * C00821))</v>
      </c>
      <c r="K812" s="21" t="str">
        <f t="shared" si="38"/>
        <v>r811: C00019 + C00821 -&gt; C00021 + C03391 | (${Variables:E2_1_1_72_kcat} * E2_1_1_72 * C00019 * C00821)/(${Variables:E2_1_1_72_km} + (E2_1_1_72 * C00019 * C00821))</v>
      </c>
    </row>
    <row r="813" spans="1:11">
      <c r="A813" t="s">
        <v>5706</v>
      </c>
      <c r="B813" t="s">
        <v>5707</v>
      </c>
      <c r="C813" t="s">
        <v>15621</v>
      </c>
      <c r="D813">
        <v>812</v>
      </c>
      <c r="E813" t="str">
        <f t="shared" si="36"/>
        <v>E2_7_7_18</v>
      </c>
      <c r="F813" t="s">
        <v>11158</v>
      </c>
      <c r="G813" t="s">
        <v>11775</v>
      </c>
      <c r="H813" t="s">
        <v>11159</v>
      </c>
      <c r="I813" t="s">
        <v>12481</v>
      </c>
      <c r="J813" t="str">
        <f t="shared" si="37"/>
        <v>(${Variables:E2_7_7_18_kcat} * E2_7_7_18 * C00002 * C01185)/(${Variables:E2_7_7_18_km} + (E2_7_7_18 * C00002 * C01185))</v>
      </c>
      <c r="K813" s="21" t="str">
        <f t="shared" si="38"/>
        <v>r812: C00002 + C01185 -&gt; C00013 + C00857 | (${Variables:E2_7_7_18_kcat} * E2_7_7_18 * C00002 * C01185)/(${Variables:E2_7_7_18_km} + (E2_7_7_18 * C00002 * C01185))</v>
      </c>
    </row>
    <row r="814" spans="1:11">
      <c r="A814" t="s">
        <v>5706</v>
      </c>
      <c r="B814" t="s">
        <v>5707</v>
      </c>
      <c r="C814" t="s">
        <v>15621</v>
      </c>
      <c r="D814">
        <v>813</v>
      </c>
      <c r="E814" t="str">
        <f t="shared" si="36"/>
        <v>E2_7_7_18</v>
      </c>
      <c r="F814" t="s">
        <v>11160</v>
      </c>
      <c r="G814" t="s">
        <v>11776</v>
      </c>
      <c r="H814" t="s">
        <v>11161</v>
      </c>
      <c r="I814" t="s">
        <v>12482</v>
      </c>
      <c r="J814" t="str">
        <f t="shared" si="37"/>
        <v>(${Variables:E2_7_7_18_kcat} * E2_7_7_18 * C00002 * C00455)/(${Variables:E2_7_7_18_km} + (E2_7_7_18 * C00002 * C00455))</v>
      </c>
      <c r="K814" s="21" t="str">
        <f t="shared" si="38"/>
        <v>r813: C00002 + C00455 -&gt; C00013 + C00003 | (${Variables:E2_7_7_18_kcat} * E2_7_7_18 * C00002 * C00455)/(${Variables:E2_7_7_18_km} + (E2_7_7_18 * C00002 * C00455))</v>
      </c>
    </row>
    <row r="815" spans="1:11">
      <c r="A815" t="s">
        <v>5713</v>
      </c>
      <c r="B815" t="s">
        <v>5714</v>
      </c>
      <c r="C815" t="s">
        <v>15622</v>
      </c>
      <c r="D815">
        <v>814</v>
      </c>
      <c r="E815" t="str">
        <f t="shared" si="36"/>
        <v>E1_2_1_41</v>
      </c>
      <c r="F815" t="s">
        <v>11162</v>
      </c>
      <c r="G815" t="s">
        <v>11777</v>
      </c>
      <c r="H815" t="s">
        <v>11163</v>
      </c>
      <c r="I815" t="s">
        <v>12483</v>
      </c>
      <c r="J815" t="str">
        <f t="shared" si="37"/>
        <v>(${Variables:E1_2_1_41_kcat} * E1_2_1_41 * C01165 * C00009 * C00006)/(${Variables:E1_2_1_41_km} + (E1_2_1_41 * C01165 * C00009 * C00006))</v>
      </c>
      <c r="K815" s="21" t="str">
        <f t="shared" si="38"/>
        <v>r814: C01165 + C00009 + C00006 -&gt; C03287 + C00005 + C00080 | (${Variables:E1_2_1_41_kcat} * E1_2_1_41 * C01165 * C00009 * C00006)/(${Variables:E1_2_1_41_km} + (E1_2_1_41 * C01165 * C00009 * C00006))</v>
      </c>
    </row>
    <row r="816" spans="1:11">
      <c r="A816" t="s">
        <v>5734</v>
      </c>
      <c r="B816" t="s">
        <v>5735</v>
      </c>
      <c r="C816" t="s">
        <v>15623</v>
      </c>
      <c r="D816">
        <v>815</v>
      </c>
      <c r="E816" t="str">
        <f t="shared" si="36"/>
        <v>E1_1_1_79</v>
      </c>
      <c r="F816" t="s">
        <v>11164</v>
      </c>
      <c r="G816" t="s">
        <v>11778</v>
      </c>
      <c r="H816" t="s">
        <v>11165</v>
      </c>
      <c r="I816" t="s">
        <v>12484</v>
      </c>
      <c r="J816" t="str">
        <f t="shared" si="37"/>
        <v>(${Variables:E1_1_1_79_kcat} * E1_1_1_79 * C00160 * C00006)/(${Variables:E1_1_1_79_km} + (E1_1_1_79 * C00160 * C00006))</v>
      </c>
      <c r="K816" s="21" t="str">
        <f t="shared" si="38"/>
        <v>r815: C00160 + C00006 -&gt; C00048 + C00005 + C00080 | (${Variables:E1_1_1_79_kcat} * E1_1_1_79 * C00160 * C00006)/(${Variables:E1_1_1_79_km} + (E1_1_1_79 * C00160 * C00006))</v>
      </c>
    </row>
    <row r="817" spans="1:11">
      <c r="A817" t="s">
        <v>5734</v>
      </c>
      <c r="B817" t="s">
        <v>5735</v>
      </c>
      <c r="C817" t="s">
        <v>15623</v>
      </c>
      <c r="D817">
        <v>816</v>
      </c>
      <c r="E817" t="str">
        <f t="shared" si="36"/>
        <v>E1_1_1_79</v>
      </c>
      <c r="F817" t="s">
        <v>11166</v>
      </c>
      <c r="G817" t="s">
        <v>11779</v>
      </c>
      <c r="H817" t="s">
        <v>11167</v>
      </c>
      <c r="I817" t="s">
        <v>12485</v>
      </c>
      <c r="J817" t="str">
        <f t="shared" si="37"/>
        <v>(${Variables:E1_1_1_79_kcat} * E1_1_1_79 * C00258 * C00006)/(${Variables:E1_1_1_79_km} + (E1_1_1_79 * C00258 * C00006))</v>
      </c>
      <c r="K817" s="21" t="str">
        <f t="shared" si="38"/>
        <v>r816: C00258 + C00006 -&gt; C00168 + C00005 + C00080 | (${Variables:E1_1_1_79_kcat} * E1_1_1_79 * C00258 * C00006)/(${Variables:E1_1_1_79_km} + (E1_1_1_79 * C00258 * C00006))</v>
      </c>
    </row>
    <row r="818" spans="1:11">
      <c r="A818" t="s">
        <v>5734</v>
      </c>
      <c r="B818" t="s">
        <v>5735</v>
      </c>
      <c r="C818" t="s">
        <v>15623</v>
      </c>
      <c r="D818">
        <v>817</v>
      </c>
      <c r="E818" t="str">
        <f t="shared" si="36"/>
        <v>E1_1_1_79</v>
      </c>
      <c r="F818" t="s">
        <v>11168</v>
      </c>
      <c r="G818" t="s">
        <v>11780</v>
      </c>
      <c r="H818" t="s">
        <v>11169</v>
      </c>
      <c r="I818" t="s">
        <v>12486</v>
      </c>
      <c r="J818" t="str">
        <f t="shared" si="37"/>
        <v>(${Variables:E1_1_1_79_kcat} * E1_1_1_79 * C00937 * C00003)/(${Variables:E1_1_1_79_km} + (E1_1_1_79 * C00937 * C00003))</v>
      </c>
      <c r="K818" s="21" t="str">
        <f t="shared" si="38"/>
        <v>r817: C00937 + C00003 -&gt; C00546 + C00004 + C00080 | (${Variables:E1_1_1_79_kcat} * E1_1_1_79 * C00937 * C00003)/(${Variables:E1_1_1_79_km} + (E1_1_1_79 * C00937 * C00003))</v>
      </c>
    </row>
    <row r="819" spans="1:11">
      <c r="A819" t="s">
        <v>5738</v>
      </c>
      <c r="B819" t="s">
        <v>5739</v>
      </c>
      <c r="C819" t="s">
        <v>15624</v>
      </c>
      <c r="D819">
        <v>818</v>
      </c>
      <c r="E819" t="str">
        <f t="shared" si="36"/>
        <v>E2_7_2_11</v>
      </c>
      <c r="F819" t="s">
        <v>11170</v>
      </c>
      <c r="G819" t="s">
        <v>11781</v>
      </c>
      <c r="H819" t="s">
        <v>11171</v>
      </c>
      <c r="I819" t="s">
        <v>12487</v>
      </c>
      <c r="J819" t="str">
        <f t="shared" si="37"/>
        <v>(${Variables:E2_7_2_11_kcat} * E2_7_2_11 * C00002 * C00025)/(${Variables:E2_7_2_11_km} + (E2_7_2_11 * C00002 * C00025))</v>
      </c>
      <c r="K819" s="21" t="str">
        <f t="shared" si="38"/>
        <v>r818: C00002 + C00025 -&gt; C00008 + C03287 | (${Variables:E2_7_2_11_kcat} * E2_7_2_11 * C00002 * C00025)/(${Variables:E2_7_2_11_km} + (E2_7_2_11 * C00002 * C00025))</v>
      </c>
    </row>
    <row r="820" spans="1:11">
      <c r="A820" t="s">
        <v>5772</v>
      </c>
      <c r="B820" t="s">
        <v>5773</v>
      </c>
      <c r="C820" t="s">
        <v>15625</v>
      </c>
      <c r="D820">
        <v>819</v>
      </c>
      <c r="E820" t="str">
        <f t="shared" si="36"/>
        <v>E2_7_4_6</v>
      </c>
      <c r="F820" t="s">
        <v>9632</v>
      </c>
      <c r="G820" t="s">
        <v>11782</v>
      </c>
      <c r="H820" t="s">
        <v>9633</v>
      </c>
      <c r="I820" t="s">
        <v>12488</v>
      </c>
      <c r="J820" t="str">
        <f t="shared" si="37"/>
        <v>(${Variables:E2_7_4_6_kcat} * E2_7_4_6 * C00002 * C00454 )/(${Variables:E2_7_4_6_km} + (E2_7_4_6 * C00002 * C00454 ))</v>
      </c>
      <c r="K820" s="21" t="str">
        <f t="shared" si="38"/>
        <v>r819: C00002 + C00454  -&gt; C00008 + C00201 | (${Variables:E2_7_4_6_kcat} * E2_7_4_6 * C00002 * C00454 )/(${Variables:E2_7_4_6_km} + (E2_7_4_6 * C00002 * C00454 ))</v>
      </c>
    </row>
    <row r="821" spans="1:11">
      <c r="A821" t="s">
        <v>5772</v>
      </c>
      <c r="B821" t="s">
        <v>5773</v>
      </c>
      <c r="C821" t="s">
        <v>15625</v>
      </c>
      <c r="D821">
        <v>820</v>
      </c>
      <c r="E821" t="str">
        <f t="shared" si="36"/>
        <v>E2_7_4_6</v>
      </c>
      <c r="F821" t="s">
        <v>9634</v>
      </c>
      <c r="G821" t="s">
        <v>11783</v>
      </c>
      <c r="H821" t="s">
        <v>9635</v>
      </c>
      <c r="I821" t="s">
        <v>12489</v>
      </c>
      <c r="J821" t="str">
        <f t="shared" si="37"/>
        <v>(${Variables:E2_7_4_6_kcat} * E2_7_4_6 * C00002 * C00008)/(${Variables:E2_7_4_6_km} + (E2_7_4_6 * C00002 * C00008))</v>
      </c>
      <c r="K821" s="21" t="str">
        <f t="shared" si="38"/>
        <v>r820: C00002 + C00008 -&gt;  C00008 + C00002 | (${Variables:E2_7_4_6_kcat} * E2_7_4_6 * C00002 * C00008)/(${Variables:E2_7_4_6_km} + (E2_7_4_6 * C00002 * C00008))</v>
      </c>
    </row>
    <row r="822" spans="1:11">
      <c r="A822" t="s">
        <v>5772</v>
      </c>
      <c r="B822" t="s">
        <v>5773</v>
      </c>
      <c r="C822" t="s">
        <v>15625</v>
      </c>
      <c r="D822">
        <v>821</v>
      </c>
      <c r="E822" t="str">
        <f t="shared" si="36"/>
        <v>E2_7_4_6</v>
      </c>
      <c r="F822" t="s">
        <v>9636</v>
      </c>
      <c r="G822" t="s">
        <v>11784</v>
      </c>
      <c r="H822" t="s">
        <v>9637</v>
      </c>
      <c r="I822" t="s">
        <v>12490</v>
      </c>
      <c r="J822" t="str">
        <f t="shared" si="37"/>
        <v>(${Variables:E2_7_4_6_kcat} * E2_7_4_6 * C11038 * C00002 )/(${Variables:E2_7_4_6_km} + (E2_7_4_6 * C11038 * C00002 ))</v>
      </c>
      <c r="K822" s="21" t="str">
        <f t="shared" si="38"/>
        <v>r821: C11038 + C00002  -&gt; C11039 + C00008 | (${Variables:E2_7_4_6_kcat} * E2_7_4_6 * C11038 * C00002 )/(${Variables:E2_7_4_6_km} + (E2_7_4_6 * C11038 * C00002 ))</v>
      </c>
    </row>
    <row r="823" spans="1:11">
      <c r="A823" t="s">
        <v>5772</v>
      </c>
      <c r="B823" t="s">
        <v>5773</v>
      </c>
      <c r="C823" t="s">
        <v>15625</v>
      </c>
      <c r="D823">
        <v>822</v>
      </c>
      <c r="E823" t="str">
        <f t="shared" si="36"/>
        <v>E2_7_4_6</v>
      </c>
      <c r="F823" t="s">
        <v>9638</v>
      </c>
      <c r="G823" t="s">
        <v>11785</v>
      </c>
      <c r="H823" t="s">
        <v>9639</v>
      </c>
      <c r="I823" t="s">
        <v>12491</v>
      </c>
      <c r="J823" t="str">
        <f t="shared" si="37"/>
        <v>(${Variables:E2_7_4_6_kcat} * E2_7_4_6 * C00002 * C00015)/(${Variables:E2_7_4_6_km} + (E2_7_4_6 * C00002 * C00015))</v>
      </c>
      <c r="K823" s="21" t="str">
        <f t="shared" si="38"/>
        <v>r822: C00002 + C00015 -&gt; C00008 + C00075 | (${Variables:E2_7_4_6_kcat} * E2_7_4_6 * C00002 * C00015)/(${Variables:E2_7_4_6_km} + (E2_7_4_6 * C00002 * C00015))</v>
      </c>
    </row>
    <row r="824" spans="1:11">
      <c r="A824" t="s">
        <v>5772</v>
      </c>
      <c r="B824" t="s">
        <v>5773</v>
      </c>
      <c r="C824" t="s">
        <v>15625</v>
      </c>
      <c r="D824">
        <v>823</v>
      </c>
      <c r="E824" t="str">
        <f t="shared" si="36"/>
        <v>E2_7_4_6</v>
      </c>
      <c r="F824" t="s">
        <v>9640</v>
      </c>
      <c r="G824" t="s">
        <v>11786</v>
      </c>
      <c r="H824" t="s">
        <v>9641</v>
      </c>
      <c r="I824" t="s">
        <v>12492</v>
      </c>
      <c r="J824" t="str">
        <f t="shared" si="37"/>
        <v>(${Variables:E2_7_4_6_kcat} * E2_7_4_6 * C00002 * C00035)/(${Variables:E2_7_4_6_km} + (E2_7_4_6 * C00002 * C00035))</v>
      </c>
      <c r="K824" s="21" t="str">
        <f t="shared" si="38"/>
        <v>r823: C00002 + C00035 -&gt; C00008 + C00044 | (${Variables:E2_7_4_6_kcat} * E2_7_4_6 * C00002 * C00035)/(${Variables:E2_7_4_6_km} + (E2_7_4_6 * C00002 * C00035))</v>
      </c>
    </row>
    <row r="825" spans="1:11">
      <c r="A825" t="s">
        <v>5772</v>
      </c>
      <c r="B825" t="s">
        <v>5773</v>
      </c>
      <c r="C825" t="s">
        <v>15625</v>
      </c>
      <c r="D825">
        <v>824</v>
      </c>
      <c r="E825" t="str">
        <f t="shared" si="36"/>
        <v>E2_7_4_6</v>
      </c>
      <c r="F825" t="s">
        <v>9642</v>
      </c>
      <c r="G825" t="s">
        <v>11787</v>
      </c>
      <c r="H825" t="s">
        <v>9643</v>
      </c>
      <c r="I825" t="s">
        <v>12493</v>
      </c>
      <c r="J825" t="str">
        <f t="shared" si="37"/>
        <v>(${Variables:E2_7_4_6_kcat} * E2_7_4_6 * C00002 * C00112)/(${Variables:E2_7_4_6_km} + (E2_7_4_6 * C00002 * C00112))</v>
      </c>
      <c r="K825" s="21" t="str">
        <f t="shared" si="38"/>
        <v>r824: C00002 + C00112 -&gt; C00008 + C00063 | (${Variables:E2_7_4_6_kcat} * E2_7_4_6 * C00002 * C00112)/(${Variables:E2_7_4_6_km} + (E2_7_4_6 * C00002 * C00112))</v>
      </c>
    </row>
    <row r="826" spans="1:11">
      <c r="A826" t="s">
        <v>5772</v>
      </c>
      <c r="B826" t="s">
        <v>5773</v>
      </c>
      <c r="C826" t="s">
        <v>15625</v>
      </c>
      <c r="D826">
        <v>825</v>
      </c>
      <c r="E826" t="str">
        <f t="shared" si="36"/>
        <v>E2_7_4_6</v>
      </c>
      <c r="F826" t="s">
        <v>9644</v>
      </c>
      <c r="G826" t="s">
        <v>11788</v>
      </c>
      <c r="H826" t="s">
        <v>9645</v>
      </c>
      <c r="I826" t="s">
        <v>12494</v>
      </c>
      <c r="J826" t="str">
        <f t="shared" si="37"/>
        <v>(${Variables:E2_7_4_6_kcat} * E2_7_4_6 * C00002 * C00104 )/(${Variables:E2_7_4_6_km} + (E2_7_4_6 * C00002 * C00104 ))</v>
      </c>
      <c r="K826" s="21" t="str">
        <f t="shared" si="38"/>
        <v>r825: C00002 + C00104  -&gt; C00008 + C00081 | (${Variables:E2_7_4_6_kcat} * E2_7_4_6 * C00002 * C00104 )/(${Variables:E2_7_4_6_km} + (E2_7_4_6 * C00002 * C00104 ))</v>
      </c>
    </row>
    <row r="827" spans="1:11">
      <c r="A827" t="s">
        <v>5772</v>
      </c>
      <c r="B827" t="s">
        <v>5773</v>
      </c>
      <c r="C827" t="s">
        <v>15625</v>
      </c>
      <c r="D827">
        <v>826</v>
      </c>
      <c r="E827" t="str">
        <f t="shared" si="36"/>
        <v>E2_7_4_6</v>
      </c>
      <c r="F827" t="s">
        <v>9646</v>
      </c>
      <c r="G827" t="s">
        <v>11789</v>
      </c>
      <c r="H827" t="s">
        <v>9647</v>
      </c>
      <c r="I827" t="s">
        <v>12495</v>
      </c>
      <c r="J827" t="str">
        <f t="shared" si="37"/>
        <v>(${Variables:E2_7_4_6_kcat} * E2_7_4_6 * C00002 * C00206 )/(${Variables:E2_7_4_6_km} + (E2_7_4_6 * C00002 * C00206 ))</v>
      </c>
      <c r="K827" s="21" t="str">
        <f t="shared" si="38"/>
        <v>r826: C00002 + C00206  -&gt; C00008 + C00131 | (${Variables:E2_7_4_6_kcat} * E2_7_4_6 * C00002 * C00206 )/(${Variables:E2_7_4_6_km} + (E2_7_4_6 * C00002 * C00206 ))</v>
      </c>
    </row>
    <row r="828" spans="1:11">
      <c r="A828" t="s">
        <v>5772</v>
      </c>
      <c r="B828" t="s">
        <v>5773</v>
      </c>
      <c r="C828" t="s">
        <v>15625</v>
      </c>
      <c r="D828">
        <v>827</v>
      </c>
      <c r="E828" t="str">
        <f t="shared" si="36"/>
        <v>E2_7_4_6</v>
      </c>
      <c r="F828" t="s">
        <v>9648</v>
      </c>
      <c r="G828" t="s">
        <v>11790</v>
      </c>
      <c r="H828" t="s">
        <v>9649</v>
      </c>
      <c r="I828" t="s">
        <v>12496</v>
      </c>
      <c r="J828" t="str">
        <f t="shared" si="37"/>
        <v>(${Variables:E2_7_4_6_kcat} * E2_7_4_6 * C00002 * C00361 )/(${Variables:E2_7_4_6_km} + (E2_7_4_6 * C00002 * C00361 ))</v>
      </c>
      <c r="K828" s="21" t="str">
        <f t="shared" si="38"/>
        <v>r827: C00002 + C00361  -&gt; C00008 + C00286 | (${Variables:E2_7_4_6_kcat} * E2_7_4_6 * C00002 * C00361 )/(${Variables:E2_7_4_6_km} + (E2_7_4_6 * C00002 * C00361 ))</v>
      </c>
    </row>
    <row r="829" spans="1:11">
      <c r="A829" t="s">
        <v>5772</v>
      </c>
      <c r="B829" t="s">
        <v>5773</v>
      </c>
      <c r="C829" t="s">
        <v>15625</v>
      </c>
      <c r="D829">
        <v>828</v>
      </c>
      <c r="E829" t="str">
        <f t="shared" si="36"/>
        <v>E2_7_4_6</v>
      </c>
      <c r="F829" t="s">
        <v>9650</v>
      </c>
      <c r="G829" t="s">
        <v>11791</v>
      </c>
      <c r="H829" t="s">
        <v>9651</v>
      </c>
      <c r="I829" t="s">
        <v>12497</v>
      </c>
      <c r="J829" t="str">
        <f t="shared" si="37"/>
        <v>(${Variables:E2_7_4_6_kcat} * E2_7_4_6 * C00002 * C00363)/(${Variables:E2_7_4_6_km} + (E2_7_4_6 * C00002 * C00363))</v>
      </c>
      <c r="K829" s="21" t="str">
        <f t="shared" si="38"/>
        <v>r828: C00002 + C00363 -&gt; C00008 + C00459 | (${Variables:E2_7_4_6_kcat} * E2_7_4_6 * C00002 * C00363)/(${Variables:E2_7_4_6_km} + (E2_7_4_6 * C00002 * C00363))</v>
      </c>
    </row>
    <row r="830" spans="1:11">
      <c r="A830" t="s">
        <v>5772</v>
      </c>
      <c r="B830" t="s">
        <v>5773</v>
      </c>
      <c r="C830" t="s">
        <v>15625</v>
      </c>
      <c r="D830">
        <v>829</v>
      </c>
      <c r="E830" t="str">
        <f t="shared" si="36"/>
        <v>E2_7_4_6</v>
      </c>
      <c r="F830" t="s">
        <v>9652</v>
      </c>
      <c r="G830" t="s">
        <v>11792</v>
      </c>
      <c r="H830" t="s">
        <v>9653</v>
      </c>
      <c r="I830" t="s">
        <v>12498</v>
      </c>
      <c r="J830" t="str">
        <f t="shared" si="37"/>
        <v>(${Variables:E2_7_4_6_kcat} * E2_7_4_6 * C00002 * C00705)/(${Variables:E2_7_4_6_km} + (E2_7_4_6 * C00002 * C00705))</v>
      </c>
      <c r="K830" s="21" t="str">
        <f t="shared" si="38"/>
        <v>r829: C00002 + C00705 -&gt; C00008 + C00458 | (${Variables:E2_7_4_6_kcat} * E2_7_4_6 * C00002 * C00705)/(${Variables:E2_7_4_6_km} + (E2_7_4_6 * C00002 * C00705))</v>
      </c>
    </row>
    <row r="831" spans="1:11">
      <c r="A831" t="s">
        <v>5772</v>
      </c>
      <c r="B831" t="s">
        <v>5773</v>
      </c>
      <c r="C831" t="s">
        <v>15625</v>
      </c>
      <c r="D831">
        <v>830</v>
      </c>
      <c r="E831" t="str">
        <f t="shared" si="36"/>
        <v>E2_7_4_6</v>
      </c>
      <c r="F831" t="s">
        <v>9654</v>
      </c>
      <c r="G831" t="s">
        <v>11793</v>
      </c>
      <c r="H831" t="s">
        <v>9655</v>
      </c>
      <c r="I831" t="s">
        <v>12499</v>
      </c>
      <c r="J831" t="str">
        <f t="shared" si="37"/>
        <v>(${Variables:E2_7_4_6_kcat} * E2_7_4_6 * C00002 * C01346)/(${Variables:E2_7_4_6_km} + (E2_7_4_6 * C00002 * C01346))</v>
      </c>
      <c r="K831" s="21" t="str">
        <f t="shared" si="38"/>
        <v>r830: C00002 + C01346 -&gt; C00008 + C00460 | (${Variables:E2_7_4_6_kcat} * E2_7_4_6 * C00002 * C01346)/(${Variables:E2_7_4_6_km} + (E2_7_4_6 * C00002 * C01346))</v>
      </c>
    </row>
    <row r="832" spans="1:11">
      <c r="A832" t="s">
        <v>5772</v>
      </c>
      <c r="B832" t="s">
        <v>5773</v>
      </c>
      <c r="C832" t="s">
        <v>15625</v>
      </c>
      <c r="D832">
        <v>831</v>
      </c>
      <c r="E832" t="str">
        <f t="shared" si="36"/>
        <v>E2_7_4_6</v>
      </c>
      <c r="F832" t="s">
        <v>9656</v>
      </c>
      <c r="G832" t="s">
        <v>11794</v>
      </c>
      <c r="H832" t="s">
        <v>9657</v>
      </c>
      <c r="I832" t="s">
        <v>12500</v>
      </c>
      <c r="J832" t="str">
        <f t="shared" si="37"/>
        <v>(${Variables:E2_7_4_6_kcat} * E2_7_4_6 * C00002 * C01344)/(${Variables:E2_7_4_6_km} + (E2_7_4_6 * C00002 * C01344))</v>
      </c>
      <c r="K832" s="21" t="str">
        <f t="shared" si="38"/>
        <v>r831: C00002 + C01344 -&gt; C00008 + C01345 | (${Variables:E2_7_4_6_kcat} * E2_7_4_6 * C00002 * C01344)/(${Variables:E2_7_4_6_km} + (E2_7_4_6 * C00002 * C01344))</v>
      </c>
    </row>
    <row r="833" spans="1:11">
      <c r="A833" t="s">
        <v>5772</v>
      </c>
      <c r="B833" t="s">
        <v>5773</v>
      </c>
      <c r="C833" t="s">
        <v>15625</v>
      </c>
      <c r="D833">
        <v>832</v>
      </c>
      <c r="E833" t="str">
        <f t="shared" si="36"/>
        <v>E2_7_4_6</v>
      </c>
      <c r="F833" t="s">
        <v>9658</v>
      </c>
      <c r="G833" t="s">
        <v>11795</v>
      </c>
      <c r="H833" t="s">
        <v>9659</v>
      </c>
      <c r="I833" t="s">
        <v>12501</v>
      </c>
      <c r="J833" t="str">
        <f t="shared" si="37"/>
        <v>(${Variables:E2_7_4_6_kcat} * E2_7_4_6 * C22442 * C00002 )/(${Variables:E2_7_4_6_km} + (E2_7_4_6 * C22442 * C00002 ))</v>
      </c>
      <c r="K833" s="21" t="str">
        <f t="shared" si="38"/>
        <v>r832: C22442 + C00002  -&gt; C22443 + C00008 | (${Variables:E2_7_4_6_kcat} * E2_7_4_6 * C22442 * C00002 )/(${Variables:E2_7_4_6_km} + (E2_7_4_6 * C22442 * C00002 ))</v>
      </c>
    </row>
    <row r="834" spans="1:11">
      <c r="A834" t="s">
        <v>5772</v>
      </c>
      <c r="B834" t="s">
        <v>5773</v>
      </c>
      <c r="C834" t="s">
        <v>15625</v>
      </c>
      <c r="D834">
        <v>833</v>
      </c>
      <c r="E834" t="str">
        <f t="shared" si="36"/>
        <v>E2_7_4_6</v>
      </c>
      <c r="F834" t="s">
        <v>9660</v>
      </c>
      <c r="G834" t="s">
        <v>11796</v>
      </c>
      <c r="H834" t="s">
        <v>9661</v>
      </c>
      <c r="I834" t="s">
        <v>12502</v>
      </c>
      <c r="J834" t="str">
        <f t="shared" si="37"/>
        <v>(${Variables:E2_7_4_6_kcat} * E2_7_4_6 * C00002 * C21748)/(${Variables:E2_7_4_6_km} + (E2_7_4_6 * C00002 * C21748))</v>
      </c>
      <c r="K834" s="21" t="str">
        <f t="shared" si="38"/>
        <v>r833: C00002 + C21748 -&gt; C00008 + C21749 | (${Variables:E2_7_4_6_kcat} * E2_7_4_6 * C00002 * C21748)/(${Variables:E2_7_4_6_km} + (E2_7_4_6 * C00002 * C21748))</v>
      </c>
    </row>
    <row r="835" spans="1:11">
      <c r="A835" t="s">
        <v>5772</v>
      </c>
      <c r="B835" t="s">
        <v>5773</v>
      </c>
      <c r="C835" t="s">
        <v>15625</v>
      </c>
      <c r="D835">
        <v>834</v>
      </c>
      <c r="E835" t="str">
        <f t="shared" ref="E835:E898" si="39">"E" &amp; C835</f>
        <v>E2_7_4_6</v>
      </c>
      <c r="F835" t="s">
        <v>9662</v>
      </c>
      <c r="G835" t="s">
        <v>11797</v>
      </c>
      <c r="H835" t="s">
        <v>9663</v>
      </c>
      <c r="I835" t="s">
        <v>12503</v>
      </c>
      <c r="J835" t="str">
        <f t="shared" ref="J835:J898" si="40">CONCATENATE("(${Variables:",E835,"_kcat","} * ",E835," * ",G835,")","/(${Variables:",E835,"_km","} + (",E835," * ",G835,"))")</f>
        <v>(${Variables:E2_7_4_6_kcat} * E2_7_4_6 * C00002 * C21750)/(${Variables:E2_7_4_6_km} + (E2_7_4_6 * C00002 * C21750))</v>
      </c>
      <c r="K835" s="21" t="str">
        <f t="shared" ref="K835:K898" si="41">CONCATENATE("r",D835,": ",F835," -&gt; ",H835," | ",J835)</f>
        <v>r834: C00002 + C21750 -&gt; C00008 + C21751 | (${Variables:E2_7_4_6_kcat} * E2_7_4_6 * C00002 * C21750)/(${Variables:E2_7_4_6_km} + (E2_7_4_6 * C00002 * C21750))</v>
      </c>
    </row>
    <row r="836" spans="1:11">
      <c r="A836" t="s">
        <v>5780</v>
      </c>
      <c r="B836" t="s">
        <v>5781</v>
      </c>
      <c r="C836" t="s">
        <v>15626</v>
      </c>
      <c r="D836">
        <v>835</v>
      </c>
      <c r="E836" t="str">
        <f t="shared" si="39"/>
        <v>E6_3_2_17</v>
      </c>
      <c r="F836" t="s">
        <v>12728</v>
      </c>
      <c r="G836" t="s">
        <v>12729</v>
      </c>
      <c r="H836" t="s">
        <v>12734</v>
      </c>
      <c r="I836" t="s">
        <v>12740</v>
      </c>
      <c r="J836" t="str">
        <f t="shared" si="40"/>
        <v>(${Variables:E6_3_2_17_kcat} * E6_3_2_17 * C00002 * C03541 * C00025 )/(${Variables:E6_3_2_17_km} + (E6_3_2_17 * C00002 * C03541 * C00025 ))</v>
      </c>
      <c r="K836" s="21" t="str">
        <f t="shared" si="41"/>
        <v>r835: C00002 + C03541 + C00025  -&gt; C00008 + C00009 + C03541 | (${Variables:E6_3_2_17_kcat} * E6_3_2_17 * C00002 * C03541 * C00025 )/(${Variables:E6_3_2_17_km} + (E6_3_2_17 * C00002 * C03541 * C00025 ))</v>
      </c>
    </row>
    <row r="837" spans="1:11">
      <c r="A837" t="s">
        <v>5780</v>
      </c>
      <c r="B837" t="s">
        <v>5781</v>
      </c>
      <c r="C837" t="s">
        <v>15626</v>
      </c>
      <c r="D837">
        <v>836</v>
      </c>
      <c r="E837" t="str">
        <f t="shared" si="39"/>
        <v>E6_3_2_17</v>
      </c>
      <c r="F837" t="s">
        <v>9668</v>
      </c>
      <c r="G837" t="s">
        <v>11798</v>
      </c>
      <c r="H837" t="s">
        <v>9669</v>
      </c>
      <c r="I837" t="s">
        <v>12504</v>
      </c>
      <c r="J837" t="str">
        <f t="shared" si="40"/>
        <v>(${Variables:E6_3_2_17_kcat} * E6_3_2_17 * C00002 * C00101 * C00025)/(${Variables:E6_3_2_17_km} + (E6_3_2_17 * C00002 * C00101 * C00025))</v>
      </c>
      <c r="K837" s="21" t="str">
        <f t="shared" si="41"/>
        <v>r836: C00002 + C00101 + C00025 -&gt; C00008 + C00009 + C09332 | (${Variables:E6_3_2_17_kcat} * E6_3_2_17 * C00002 * C00101 * C00025)/(${Variables:E6_3_2_17_km} + (E6_3_2_17 * C00002 * C00101 * C00025))</v>
      </c>
    </row>
    <row r="838" spans="1:11">
      <c r="A838" t="s">
        <v>5780</v>
      </c>
      <c r="B838" t="s">
        <v>5781</v>
      </c>
      <c r="C838" t="s">
        <v>15626</v>
      </c>
      <c r="D838">
        <v>837</v>
      </c>
      <c r="E838" t="str">
        <f t="shared" si="39"/>
        <v>E6_3_2_17</v>
      </c>
      <c r="F838" t="s">
        <v>9670</v>
      </c>
      <c r="G838" t="s">
        <v>11799</v>
      </c>
      <c r="H838" t="s">
        <v>9671</v>
      </c>
      <c r="I838" t="s">
        <v>12505</v>
      </c>
      <c r="J838" t="str">
        <f t="shared" si="40"/>
        <v>(${Variables:E6_3_2_17_kcat} * E6_3_2_17 * C00002 * C00234 * C00025)/(${Variables:E6_3_2_17_km} + (E6_3_2_17 * C00002 * C00234 * C00025))</v>
      </c>
      <c r="K838" s="21" t="str">
        <f t="shared" si="41"/>
        <v>r837: C00002 + C00234 + C00025 -&gt; C00008 + C00009 + C05928 | (${Variables:E6_3_2_17_kcat} * E6_3_2_17 * C00002 * C00234 * C00025)/(${Variables:E6_3_2_17_km} + (E6_3_2_17 * C00002 * C00234 * C00025))</v>
      </c>
    </row>
    <row r="839" spans="1:11">
      <c r="A839" t="s">
        <v>5780</v>
      </c>
      <c r="B839" t="s">
        <v>5781</v>
      </c>
      <c r="C839" t="s">
        <v>15626</v>
      </c>
      <c r="D839">
        <v>838</v>
      </c>
      <c r="E839" t="str">
        <f t="shared" si="39"/>
        <v>E6_3_2_17</v>
      </c>
      <c r="F839" t="s">
        <v>9672</v>
      </c>
      <c r="G839" t="s">
        <v>11800</v>
      </c>
      <c r="H839" t="s">
        <v>9673</v>
      </c>
      <c r="I839" t="s">
        <v>12506</v>
      </c>
      <c r="J839" t="str">
        <f t="shared" si="40"/>
        <v>(${Variables:E6_3_2_17_kcat} * E6_3_2_17 * C00002 * C00921 * C00025)/(${Variables:E6_3_2_17_km} + (E6_3_2_17 * C00002 * C00921 * C00025))</v>
      </c>
      <c r="K839" s="21" t="str">
        <f t="shared" si="41"/>
        <v>r838: C00002 + C00921 + C00025 -&gt; C00008 + C00009 + C00415 | (${Variables:E6_3_2_17_kcat} * E6_3_2_17 * C00002 * C00921 * C00025)/(${Variables:E6_3_2_17_km} + (E6_3_2_17 * C00002 * C00921 * C00025))</v>
      </c>
    </row>
    <row r="840" spans="1:11">
      <c r="A840" t="s">
        <v>5780</v>
      </c>
      <c r="B840" t="s">
        <v>5781</v>
      </c>
      <c r="C840" t="s">
        <v>15626</v>
      </c>
      <c r="D840">
        <v>839</v>
      </c>
      <c r="E840" t="str">
        <f t="shared" si="39"/>
        <v>E6_3_2_17</v>
      </c>
      <c r="F840" t="s">
        <v>12742</v>
      </c>
      <c r="G840" t="s">
        <v>12743</v>
      </c>
      <c r="H840" t="s">
        <v>15940</v>
      </c>
      <c r="I840" t="s">
        <v>15943</v>
      </c>
      <c r="J840" t="str">
        <f t="shared" si="40"/>
        <v>(${Variables:E6_3_2_17_kcat} * E6_3_2_17 *  C00002 * C05928 *  C00025)/(${Variables:E6_3_2_17_km} + (E6_3_2_17 *  C00002 * C05928 *  C00025))</v>
      </c>
      <c r="K840" s="21" t="str">
        <f t="shared" si="41"/>
        <v>r839:  C00002 + C05928 +  C00025 -&gt; C00008 +  C00009 + C05929 | (${Variables:E6_3_2_17_kcat} * E6_3_2_17 *  C00002 * C05928 *  C00025)/(${Variables:E6_3_2_17_km} + (E6_3_2_17 *  C00002 * C05928 *  C00025))</v>
      </c>
    </row>
    <row r="841" spans="1:11">
      <c r="A841" t="s">
        <v>5784</v>
      </c>
      <c r="B841" t="s">
        <v>5785</v>
      </c>
      <c r="C841" t="s">
        <v>15627</v>
      </c>
      <c r="D841">
        <v>840</v>
      </c>
      <c r="E841" t="str">
        <f t="shared" si="39"/>
        <v>E6_1_1_9</v>
      </c>
      <c r="F841" t="s">
        <v>9678</v>
      </c>
      <c r="G841" t="s">
        <v>11801</v>
      </c>
      <c r="H841" t="s">
        <v>9679</v>
      </c>
      <c r="I841" t="s">
        <v>12507</v>
      </c>
      <c r="J841" t="str">
        <f t="shared" si="40"/>
        <v>(${Variables:E6_1_1_9_kcat} * E6_1_1_9 * C00002 * C00183 * C01653 )/(${Variables:E6_1_1_9_km} + (E6_1_1_9 * C00002 * C00183 * C01653 ))</v>
      </c>
      <c r="K841" s="21" t="str">
        <f t="shared" si="41"/>
        <v>r840: C00002 + C00183 + C01653  -&gt; C00020 + C00013 + C02554 | (${Variables:E6_1_1_9_kcat} * E6_1_1_9 * C00002 * C00183 * C01653 )/(${Variables:E6_1_1_9_km} + (E6_1_1_9 * C00002 * C00183 * C01653 ))</v>
      </c>
    </row>
    <row r="842" spans="1:11">
      <c r="A842" t="s">
        <v>5788</v>
      </c>
      <c r="B842" t="s">
        <v>5789</v>
      </c>
      <c r="C842" t="s">
        <v>15628</v>
      </c>
      <c r="D842">
        <v>841</v>
      </c>
      <c r="E842" t="str">
        <f t="shared" si="39"/>
        <v>E2_1_2_11</v>
      </c>
      <c r="F842" t="s">
        <v>9682</v>
      </c>
      <c r="G842" t="s">
        <v>11802</v>
      </c>
      <c r="H842" t="s">
        <v>9683</v>
      </c>
      <c r="I842" t="s">
        <v>12508</v>
      </c>
      <c r="J842" t="str">
        <f t="shared" si="40"/>
        <v>(${Variables:E2_1_2_11_kcat} * E2_1_2_11 * C00143 * C00141 * C00001 )/(${Variables:E2_1_2_11_km} + (E2_1_2_11 * C00143 * C00141 * C00001 ))</v>
      </c>
      <c r="K842" s="21" t="str">
        <f t="shared" si="41"/>
        <v>r841: C00143 + C00141 + C00001  -&gt; C00101 + C00966 | (${Variables:E2_1_2_11_kcat} * E2_1_2_11 * C00143 * C00141 * C00001 )/(${Variables:E2_1_2_11_km} + (E2_1_2_11 * C00143 * C00141 * C00001 ))</v>
      </c>
    </row>
    <row r="843" spans="1:11">
      <c r="A843" t="s">
        <v>5788</v>
      </c>
      <c r="B843" t="s">
        <v>5789</v>
      </c>
      <c r="C843" t="s">
        <v>15628</v>
      </c>
      <c r="D843">
        <v>842</v>
      </c>
      <c r="E843" t="str">
        <f t="shared" si="39"/>
        <v>E2_1_2_11</v>
      </c>
      <c r="F843" t="s">
        <v>9684</v>
      </c>
      <c r="G843" t="s">
        <v>9684</v>
      </c>
      <c r="H843" t="s">
        <v>9685</v>
      </c>
      <c r="I843" t="s">
        <v>12509</v>
      </c>
      <c r="J843" t="str">
        <f t="shared" si="40"/>
        <v>(${Variables:E2_1_2_11_kcat} * E2_1_2_11 * C00966)/(${Variables:E2_1_2_11_km} + (E2_1_2_11 * C00966))</v>
      </c>
      <c r="K843" s="21" t="str">
        <f t="shared" si="41"/>
        <v>r842: C00966 -&gt; C00141 + C00067 | (${Variables:E2_1_2_11_kcat} * E2_1_2_11 * C00966)/(${Variables:E2_1_2_11_km} + (E2_1_2_11 * C00966))</v>
      </c>
    </row>
    <row r="844" spans="1:11">
      <c r="A844" t="s">
        <v>5792</v>
      </c>
      <c r="B844" t="s">
        <v>5793</v>
      </c>
      <c r="C844" t="s">
        <v>15629</v>
      </c>
      <c r="D844">
        <v>843</v>
      </c>
      <c r="E844" t="str">
        <f t="shared" si="39"/>
        <v>E6_3_2_1</v>
      </c>
      <c r="F844" s="4" t="s">
        <v>9688</v>
      </c>
      <c r="G844" s="4" t="s">
        <v>11803</v>
      </c>
      <c r="H844" s="4" t="s">
        <v>9689</v>
      </c>
      <c r="I844" s="4" t="s">
        <v>15942</v>
      </c>
      <c r="J844" t="str">
        <f t="shared" si="40"/>
        <v>(${Variables:E6_3_2_1_kcat} * E6_3_2_1 * C00002 * C00522 * C00099 )/(${Variables:E6_3_2_1_km} + (E6_3_2_1 * C00002 * C00522 * C00099 ))</v>
      </c>
      <c r="K844" s="21" t="str">
        <f t="shared" si="41"/>
        <v>r843: C00002 + C00522 + C00099  -&gt;  C00020 + C00013 + C00864 | (${Variables:E6_3_2_1_kcat} * E6_3_2_1 * C00002 * C00522 * C00099 )/(${Variables:E6_3_2_1_km} + (E6_3_2_1 * C00002 * C00522 * C00099 ))</v>
      </c>
    </row>
    <row r="845" spans="1:11">
      <c r="A845" t="s">
        <v>5796</v>
      </c>
      <c r="B845" t="s">
        <v>5797</v>
      </c>
      <c r="C845" t="s">
        <v>15630</v>
      </c>
      <c r="D845">
        <v>844</v>
      </c>
      <c r="E845" t="str">
        <f t="shared" si="39"/>
        <v>E1_1_1_37</v>
      </c>
      <c r="F845" t="s">
        <v>9700</v>
      </c>
      <c r="G845" t="s">
        <v>11804</v>
      </c>
      <c r="H845" t="s">
        <v>9701</v>
      </c>
      <c r="I845" t="s">
        <v>12511</v>
      </c>
      <c r="J845" t="str">
        <f t="shared" si="40"/>
        <v>(${Variables:E1_1_1_37_kcat} * E1_1_1_37 * C00149 * C00003)/(${Variables:E1_1_1_37_km} + (E1_1_1_37 * C00149 * C00003))</v>
      </c>
      <c r="K845" s="21" t="str">
        <f t="shared" si="41"/>
        <v>r844: C00149 + C00003 -&gt; C00036 + C00004 + C00080 | (${Variables:E1_1_1_37_kcat} * E1_1_1_37 * C00149 * C00003)/(${Variables:E1_1_1_37_km} + (E1_1_1_37 * C00149 * C00003))</v>
      </c>
    </row>
    <row r="846" spans="1:11">
      <c r="A846" t="s">
        <v>5796</v>
      </c>
      <c r="B846" t="s">
        <v>5797</v>
      </c>
      <c r="C846" t="s">
        <v>15630</v>
      </c>
      <c r="D846">
        <v>845</v>
      </c>
      <c r="E846" t="str">
        <f t="shared" si="39"/>
        <v>E1_1_1_37</v>
      </c>
      <c r="F846" t="s">
        <v>9702</v>
      </c>
      <c r="G846" t="s">
        <v>11805</v>
      </c>
      <c r="H846" t="s">
        <v>9703</v>
      </c>
      <c r="I846" t="s">
        <v>12512</v>
      </c>
      <c r="J846" t="str">
        <f t="shared" si="40"/>
        <v>(${Variables:E1_1_1_37_kcat} * E1_1_1_37 * C11537 * C00003)/(${Variables:E1_1_1_37_km} + (E1_1_1_37 * C11537 * C00003))</v>
      </c>
      <c r="K846" s="21" t="str">
        <f t="shared" si="41"/>
        <v>r845: C11537 + C00003 -&gt; C05528 + C00004 + C00080 | (${Variables:E1_1_1_37_kcat} * E1_1_1_37 * C11537 * C00003)/(${Variables:E1_1_1_37_km} + (E1_1_1_37 * C11537 * C00003))</v>
      </c>
    </row>
    <row r="847" spans="1:11">
      <c r="A847" t="s">
        <v>5808</v>
      </c>
      <c r="B847" t="s">
        <v>5809</v>
      </c>
      <c r="C847" t="s">
        <v>15631</v>
      </c>
      <c r="D847">
        <v>846</v>
      </c>
      <c r="E847" t="str">
        <f t="shared" si="39"/>
        <v>E1_1_1_311</v>
      </c>
      <c r="F847" t="s">
        <v>9696</v>
      </c>
      <c r="G847" t="s">
        <v>11806</v>
      </c>
      <c r="H847" t="s">
        <v>9697</v>
      </c>
      <c r="I847" t="s">
        <v>12513</v>
      </c>
      <c r="J847" t="str">
        <f t="shared" si="40"/>
        <v>(${Variables:E1_1_1_311_kcat} * E1_1_1_311 * C11348 * C00003)/(${Variables:E1_1_1_311_km} + (E1_1_1_311 * C11348 * C00003))</v>
      </c>
      <c r="K847" s="21" t="str">
        <f t="shared" si="41"/>
        <v>r846: C11348 + C00003 -&gt; C07113 + C00004 + C00080 | (${Variables:E1_1_1_311_kcat} * E1_1_1_311 * C11348 * C00003)/(${Variables:E1_1_1_311_km} + (E1_1_1_311 * C11348 * C00003))</v>
      </c>
    </row>
    <row r="848" spans="1:11">
      <c r="A848" t="s">
        <v>5832</v>
      </c>
      <c r="B848" t="s">
        <v>5833</v>
      </c>
      <c r="C848" t="s">
        <v>15314</v>
      </c>
      <c r="D848">
        <v>847</v>
      </c>
      <c r="E848" t="str">
        <f t="shared" si="39"/>
        <v>E5_2_1_8</v>
      </c>
      <c r="F848" t="s">
        <v>7845</v>
      </c>
      <c r="G848" t="s">
        <v>7845</v>
      </c>
      <c r="H848" t="s">
        <v>7846</v>
      </c>
      <c r="I848" t="s">
        <v>7846</v>
      </c>
      <c r="J848" t="str">
        <f t="shared" si="40"/>
        <v>(${Variables:E5_2_1_8_kcat} * E5_2_1_8 * C03798)/(${Variables:E5_2_1_8_km} + (E5_2_1_8 * C03798))</v>
      </c>
      <c r="K848" s="21" t="str">
        <f t="shared" si="41"/>
        <v>r847: C03798 -&gt; C03633 | (${Variables:E5_2_1_8_kcat} * E5_2_1_8 * C03798)/(${Variables:E5_2_1_8_km} + (E5_2_1_8 * C03798))</v>
      </c>
    </row>
    <row r="849" spans="1:11">
      <c r="A849" t="s">
        <v>5842</v>
      </c>
      <c r="B849" t="s">
        <v>5843</v>
      </c>
      <c r="C849" t="s">
        <v>15632</v>
      </c>
      <c r="D849">
        <v>848</v>
      </c>
      <c r="E849" t="str">
        <f t="shared" si="39"/>
        <v>E1_1_1_346</v>
      </c>
      <c r="F849" t="s">
        <v>9707</v>
      </c>
      <c r="G849" t="s">
        <v>11807</v>
      </c>
      <c r="H849" t="s">
        <v>9708</v>
      </c>
      <c r="I849" t="s">
        <v>12514</v>
      </c>
      <c r="J849" t="str">
        <f t="shared" si="40"/>
        <v>(${Variables:E1_1_1_346_kcat} * E1_1_1_346 * C15673 * C00006)/(${Variables:E1_1_1_346_km} + (E1_1_1_346 * C15673 * C00006))</v>
      </c>
      <c r="K849" s="21" t="str">
        <f t="shared" si="41"/>
        <v>r848: C15673 + C00006 -&gt; C02780 + C00005 + C00080 | (${Variables:E1_1_1_346_kcat} * E1_1_1_346 * C15673 * C00006)/(${Variables:E1_1_1_346_km} + (E1_1_1_346 * C15673 * C00006))</v>
      </c>
    </row>
    <row r="850" spans="1:11">
      <c r="A850" t="s">
        <v>5846</v>
      </c>
      <c r="B850" t="s">
        <v>5847</v>
      </c>
      <c r="C850" t="s">
        <v>15633</v>
      </c>
      <c r="D850">
        <v>849</v>
      </c>
      <c r="E850" t="str">
        <f t="shared" si="39"/>
        <v>E5_3_1_6</v>
      </c>
      <c r="F850" t="s">
        <v>9728</v>
      </c>
      <c r="G850" t="s">
        <v>9728</v>
      </c>
      <c r="H850" t="s">
        <v>8698</v>
      </c>
      <c r="I850" t="s">
        <v>8698</v>
      </c>
      <c r="J850" t="str">
        <f t="shared" si="40"/>
        <v>(${Variables:E5_3_1_6_kcat} * E5_3_1_6 * C00117)/(${Variables:E5_3_1_6_km} + (E5_3_1_6 * C00117))</v>
      </c>
      <c r="K850" s="21" t="str">
        <f t="shared" si="41"/>
        <v>r849: C00117 -&gt; C00199 | (${Variables:E5_3_1_6_kcat} * E5_3_1_6 * C00117)/(${Variables:E5_3_1_6_km} + (E5_3_1_6 * C00117))</v>
      </c>
    </row>
    <row r="851" spans="1:11">
      <c r="A851" t="s">
        <v>5846</v>
      </c>
      <c r="B851" t="s">
        <v>5847</v>
      </c>
      <c r="C851" t="s">
        <v>15633</v>
      </c>
      <c r="D851">
        <v>850</v>
      </c>
      <c r="E851" t="str">
        <f t="shared" si="39"/>
        <v>E5_3_1_6</v>
      </c>
      <c r="F851" t="s">
        <v>9729</v>
      </c>
      <c r="G851" t="s">
        <v>9729</v>
      </c>
      <c r="H851" t="s">
        <v>9730</v>
      </c>
      <c r="I851" t="s">
        <v>9730</v>
      </c>
      <c r="J851" t="str">
        <f t="shared" si="40"/>
        <v>(${Variables:E5_3_1_6_kcat} * E5_3_1_6 * C02962 )/(${Variables:E5_3_1_6_km} + (E5_3_1_6 * C02962 ))</v>
      </c>
      <c r="K851" s="21" t="str">
        <f t="shared" si="41"/>
        <v>r850: C02962  -&gt; C18096 | (${Variables:E5_3_1_6_kcat} * E5_3_1_6 * C02962 )/(${Variables:E5_3_1_6_km} + (E5_3_1_6 * C02962 ))</v>
      </c>
    </row>
    <row r="852" spans="1:11">
      <c r="A852" t="s">
        <v>5854</v>
      </c>
      <c r="B852" t="s">
        <v>5855</v>
      </c>
      <c r="C852" t="s">
        <v>15349</v>
      </c>
      <c r="D852">
        <v>851</v>
      </c>
      <c r="E852" t="str">
        <f t="shared" si="39"/>
        <v>E3_4_11_2</v>
      </c>
      <c r="F852" t="s">
        <v>10535</v>
      </c>
      <c r="G852" t="s">
        <v>11351</v>
      </c>
      <c r="H852" t="s">
        <v>10536</v>
      </c>
      <c r="I852" t="s">
        <v>12036</v>
      </c>
      <c r="J852" t="str">
        <f t="shared" si="40"/>
        <v>(${Variables:E3_4_11_2_kcat} * E3_4_11_2 * C01419 * C00001)/(${Variables:E3_4_11_2_km} + (E3_4_11_2 * C01419 * C00001))</v>
      </c>
      <c r="K852" s="21" t="str">
        <f t="shared" si="41"/>
        <v>r851: C01419 + C00001 -&gt; C00097 + C00037 | (${Variables:E3_4_11_2_kcat} * E3_4_11_2 * C01419 * C00001)/(${Variables:E3_4_11_2_km} + (E3_4_11_2 * C01419 * C00001))</v>
      </c>
    </row>
    <row r="853" spans="1:11">
      <c r="A853" t="s">
        <v>5854</v>
      </c>
      <c r="B853" t="s">
        <v>5855</v>
      </c>
      <c r="C853" t="s">
        <v>15349</v>
      </c>
      <c r="D853">
        <v>852</v>
      </c>
      <c r="E853" t="str">
        <f t="shared" si="39"/>
        <v>E3_4_11_2</v>
      </c>
      <c r="F853" t="s">
        <v>10213</v>
      </c>
      <c r="G853" t="s">
        <v>11808</v>
      </c>
      <c r="H853" t="s">
        <v>10212</v>
      </c>
      <c r="I853" t="s">
        <v>12037</v>
      </c>
      <c r="J853" t="str">
        <f t="shared" si="40"/>
        <v>(${Variables:E3_4_11_2_kcat} * E3_4_11_2 * C05729 * C00001 )/(${Variables:E3_4_11_2_km} + (E3_4_11_2 * C05729 * C00001 ))</v>
      </c>
      <c r="K853" s="21" t="str">
        <f t="shared" si="41"/>
        <v>r852: C05729 + C00001  -&gt; C05726 + C00037 | (${Variables:E3_4_11_2_kcat} * E3_4_11_2 * C05729 * C00001 )/(${Variables:E3_4_11_2_km} + (E3_4_11_2 * C05729 * C00001 ))</v>
      </c>
    </row>
    <row r="854" spans="1:11">
      <c r="A854" t="s">
        <v>5862</v>
      </c>
      <c r="B854" t="s">
        <v>5863</v>
      </c>
      <c r="C854" t="s">
        <v>15634</v>
      </c>
      <c r="D854">
        <v>853</v>
      </c>
      <c r="E854" t="str">
        <f t="shared" si="39"/>
        <v>E2_5_1_48</v>
      </c>
      <c r="F854" t="s">
        <v>9711</v>
      </c>
      <c r="G854" t="s">
        <v>11809</v>
      </c>
      <c r="H854" t="s">
        <v>9712</v>
      </c>
      <c r="I854" t="s">
        <v>12515</v>
      </c>
      <c r="J854" t="str">
        <f t="shared" si="40"/>
        <v>(${Variables:E2_5_1_48_kcat} * E2_5_1_48 * C01118 * C00097)/(${Variables:E2_5_1_48_km} + (E2_5_1_48 * C01118 * C00097))</v>
      </c>
      <c r="K854" s="21" t="str">
        <f t="shared" si="41"/>
        <v>r853: C01118 + C00097 -&gt; C02291 + C00042 | (${Variables:E2_5_1_48_kcat} * E2_5_1_48 * C01118 * C00097)/(${Variables:E2_5_1_48_km} + (E2_5_1_48 * C01118 * C00097))</v>
      </c>
    </row>
    <row r="855" spans="1:11">
      <c r="A855" t="s">
        <v>5862</v>
      </c>
      <c r="B855" t="s">
        <v>5863</v>
      </c>
      <c r="C855" t="s">
        <v>15634</v>
      </c>
      <c r="D855">
        <v>854</v>
      </c>
      <c r="E855" t="str">
        <f t="shared" si="39"/>
        <v>E2_5_1_48</v>
      </c>
      <c r="F855" t="s">
        <v>9713</v>
      </c>
      <c r="G855" t="s">
        <v>11810</v>
      </c>
      <c r="H855" t="s">
        <v>9714</v>
      </c>
      <c r="I855" t="s">
        <v>15941</v>
      </c>
      <c r="J855" t="str">
        <f t="shared" si="40"/>
        <v>(${Variables:E2_5_1_48_kcat} * E2_5_1_48 * C01118 * C00001)/(${Variables:E2_5_1_48_km} + (E2_5_1_48 * C01118 * C00001))</v>
      </c>
      <c r="K855" s="21" t="str">
        <f t="shared" si="41"/>
        <v>r854: C01118 + C00001 -&gt;  C00109 + C00042 + C00014 | (${Variables:E2_5_1_48_kcat} * E2_5_1_48 * C01118 * C00001)/(${Variables:E2_5_1_48_km} + (E2_5_1_48 * C01118 * C00001))</v>
      </c>
    </row>
    <row r="856" spans="1:11">
      <c r="A856" t="s">
        <v>5862</v>
      </c>
      <c r="B856" t="s">
        <v>5863</v>
      </c>
      <c r="C856" t="s">
        <v>15634</v>
      </c>
      <c r="D856">
        <v>855</v>
      </c>
      <c r="E856" t="str">
        <f t="shared" si="39"/>
        <v>E2_5_1_48</v>
      </c>
      <c r="F856" t="s">
        <v>9715</v>
      </c>
      <c r="G856" t="s">
        <v>11811</v>
      </c>
      <c r="H856" s="6" t="s">
        <v>9716</v>
      </c>
      <c r="I856" s="6" t="s">
        <v>12516</v>
      </c>
      <c r="J856" t="str">
        <f t="shared" si="40"/>
        <v>(${Variables:E2_5_1_48_kcat} * E2_5_1_48 * C01118 * C00283)/(${Variables:E2_5_1_48_km} + (E2_5_1_48 * C01118 * C00283))</v>
      </c>
      <c r="K856" s="21" t="str">
        <f t="shared" si="41"/>
        <v>r855: C01118 + C00283 -&gt; C00155 + C00042 | (${Variables:E2_5_1_48_kcat} * E2_5_1_48 * C01118 * C00283)/(${Variables:E2_5_1_48_km} + (E2_5_1_48 * C01118 * C00283))</v>
      </c>
    </row>
    <row r="857" spans="1:11">
      <c r="A857" t="s">
        <v>5862</v>
      </c>
      <c r="B857" t="s">
        <v>5863</v>
      </c>
      <c r="C857" t="s">
        <v>15634</v>
      </c>
      <c r="D857">
        <v>856</v>
      </c>
      <c r="E857" t="str">
        <f t="shared" si="39"/>
        <v>E2_5_1_48</v>
      </c>
      <c r="F857" t="s">
        <v>9717</v>
      </c>
      <c r="G857" t="s">
        <v>11812</v>
      </c>
      <c r="H857" s="6" t="s">
        <v>9711</v>
      </c>
      <c r="I857" s="6" t="s">
        <v>11809</v>
      </c>
      <c r="J857" t="str">
        <f t="shared" si="40"/>
        <v>(${Variables:E2_5_1_48_kcat} * E2_5_1_48 * C00542 * C00042 )/(${Variables:E2_5_1_48_km} + (E2_5_1_48 * C00542 * C00042 ))</v>
      </c>
      <c r="K857" s="21" t="str">
        <f t="shared" si="41"/>
        <v>r856: C00542 + C00042  -&gt; C01118 + C00097 | (${Variables:E2_5_1_48_kcat} * E2_5_1_48 * C00542 * C00042 )/(${Variables:E2_5_1_48_km} + (E2_5_1_48 * C00542 * C00042 ))</v>
      </c>
    </row>
    <row r="858" spans="1:11">
      <c r="A858" t="s">
        <v>5862</v>
      </c>
      <c r="B858" t="s">
        <v>5863</v>
      </c>
      <c r="C858" t="s">
        <v>15634</v>
      </c>
      <c r="D858">
        <v>857</v>
      </c>
      <c r="E858" t="str">
        <f t="shared" si="39"/>
        <v>E2_5_1_48</v>
      </c>
      <c r="F858" t="s">
        <v>9718</v>
      </c>
      <c r="G858" t="s">
        <v>11813</v>
      </c>
      <c r="H858" s="6" t="s">
        <v>9719</v>
      </c>
      <c r="I858" s="6" t="s">
        <v>12517</v>
      </c>
      <c r="J858" t="str">
        <f t="shared" si="40"/>
        <v>(${Variables:E2_5_1_48_kcat} * E2_5_1_48 * C01077 * C00097)/(${Variables:E2_5_1_48_km} + (E2_5_1_48 * C01077 * C00097))</v>
      </c>
      <c r="K858" s="21" t="str">
        <f t="shared" si="41"/>
        <v>r857: C01077 + C00097 -&gt; C02291 + C00033 | (${Variables:E2_5_1_48_kcat} * E2_5_1_48 * C01077 * C00097)/(${Variables:E2_5_1_48_km} + (E2_5_1_48 * C01077 * C00097))</v>
      </c>
    </row>
    <row r="859" spans="1:11">
      <c r="A859" t="s">
        <v>5862</v>
      </c>
      <c r="B859" t="s">
        <v>5863</v>
      </c>
      <c r="C859" t="s">
        <v>15634</v>
      </c>
      <c r="D859">
        <v>858</v>
      </c>
      <c r="E859" t="str">
        <f t="shared" si="39"/>
        <v>E2_5_1_48</v>
      </c>
      <c r="F859" t="s">
        <v>9720</v>
      </c>
      <c r="G859" t="s">
        <v>11814</v>
      </c>
      <c r="H859" s="6" t="s">
        <v>9721</v>
      </c>
      <c r="I859" s="6" t="s">
        <v>12518</v>
      </c>
      <c r="J859" t="str">
        <f t="shared" si="40"/>
        <v>(${Variables:E2_5_1_48_kcat} * E2_5_1_48 * C05702 * C05688)/(${Variables:E2_5_1_48_km} + (E2_5_1_48 * C05702 * C05688))</v>
      </c>
      <c r="K859" s="21" t="str">
        <f t="shared" si="41"/>
        <v>r858: C05702 + C05688 -&gt; C05699 + C00009 | (${Variables:E2_5_1_48_kcat} * E2_5_1_48 * C05702 * C05688)/(${Variables:E2_5_1_48_km} + (E2_5_1_48 * C05702 * C05688))</v>
      </c>
    </row>
    <row r="860" spans="1:11">
      <c r="A860" t="s">
        <v>5862</v>
      </c>
      <c r="B860" t="s">
        <v>5863</v>
      </c>
      <c r="C860" t="s">
        <v>15634</v>
      </c>
      <c r="D860">
        <v>859</v>
      </c>
      <c r="E860" t="str">
        <f t="shared" si="39"/>
        <v>E2_5_1_48</v>
      </c>
      <c r="F860" t="s">
        <v>9722</v>
      </c>
      <c r="G860" t="s">
        <v>11815</v>
      </c>
      <c r="H860" s="6" t="s">
        <v>9723</v>
      </c>
      <c r="I860" s="6" t="s">
        <v>12519</v>
      </c>
      <c r="J860" t="str">
        <f t="shared" si="40"/>
        <v>(${Variables:E2_5_1_48_kcat} * E2_5_1_48 * C01077 * C05688 )/(${Variables:E2_5_1_48_km} + (E2_5_1_48 * C01077 * C05688 ))</v>
      </c>
      <c r="K860" s="21" t="str">
        <f t="shared" si="41"/>
        <v>r859: C01077 + C05688  -&gt; C05699 + C00033 | (${Variables:E2_5_1_48_kcat} * E2_5_1_48 * C01077 * C05688 )/(${Variables:E2_5_1_48_km} + (E2_5_1_48 * C01077 * C05688 ))</v>
      </c>
    </row>
    <row r="861" spans="1:11">
      <c r="A861" t="s">
        <v>5862</v>
      </c>
      <c r="B861" t="s">
        <v>5863</v>
      </c>
      <c r="C861" t="s">
        <v>15634</v>
      </c>
      <c r="D861">
        <v>860</v>
      </c>
      <c r="E861" t="str">
        <f t="shared" si="39"/>
        <v>E2_5_1_48</v>
      </c>
      <c r="F861" t="s">
        <v>9724</v>
      </c>
      <c r="G861" t="s">
        <v>11816</v>
      </c>
      <c r="H861" s="6" t="s">
        <v>9725</v>
      </c>
      <c r="I861" s="6" t="s">
        <v>12520</v>
      </c>
      <c r="J861" t="str">
        <f t="shared" si="40"/>
        <v>(${Variables:E2_5_1_48_kcat} * E2_5_1_48 * C01118 * C05688 )/(${Variables:E2_5_1_48_km} + (E2_5_1_48 * C01118 * C05688 ))</v>
      </c>
      <c r="K861" s="21" t="str">
        <f t="shared" si="41"/>
        <v>r860: C01118 + C05688  -&gt; C05699 + C00042 | (${Variables:E2_5_1_48_kcat} * E2_5_1_48 * C01118 * C05688 )/(${Variables:E2_5_1_48_km} + (E2_5_1_48 * C01118 * C05688 ))</v>
      </c>
    </row>
    <row r="862" spans="1:11">
      <c r="A862" t="s">
        <v>5873</v>
      </c>
      <c r="B862" t="s">
        <v>5874</v>
      </c>
      <c r="C862" t="s">
        <v>15635</v>
      </c>
      <c r="D862">
        <v>861</v>
      </c>
      <c r="E862" t="str">
        <f t="shared" si="39"/>
        <v>E1_4_1_1</v>
      </c>
      <c r="F862" t="s">
        <v>9733</v>
      </c>
      <c r="G862" t="s">
        <v>11817</v>
      </c>
      <c r="H862" t="s">
        <v>9734</v>
      </c>
      <c r="I862" t="s">
        <v>12521</v>
      </c>
      <c r="J862" t="str">
        <f t="shared" si="40"/>
        <v>(${Variables:E1_4_1_1_kcat} * E1_4_1_1 * C00041 * C00003 * C00001)/(${Variables:E1_4_1_1_km} + (E1_4_1_1 * C00041 * C00003 * C00001))</v>
      </c>
      <c r="K862" s="21" t="str">
        <f t="shared" si="41"/>
        <v>r861: C00041 + C00003 + C00001 -&gt; C00022 + C00014 + C00004 + C00080 | (${Variables:E1_4_1_1_kcat} * E1_4_1_1 * C00041 * C00003 * C00001)/(${Variables:E1_4_1_1_km} + (E1_4_1_1 * C00041 * C00003 * C00001))</v>
      </c>
    </row>
    <row r="863" spans="1:11">
      <c r="A863" t="s">
        <v>5873</v>
      </c>
      <c r="B863" t="s">
        <v>5874</v>
      </c>
      <c r="C863" t="s">
        <v>15635</v>
      </c>
      <c r="D863">
        <v>862</v>
      </c>
      <c r="E863" t="str">
        <f t="shared" si="39"/>
        <v>E1_4_1_1</v>
      </c>
      <c r="F863" t="s">
        <v>9735</v>
      </c>
      <c r="G863" t="s">
        <v>11644</v>
      </c>
      <c r="H863" t="s">
        <v>9736</v>
      </c>
      <c r="I863" t="s">
        <v>12355</v>
      </c>
      <c r="J863" t="str">
        <f t="shared" si="40"/>
        <v>(${Variables:E1_4_1_1_kcat} * E1_4_1_1 * C05167 * C00001 * C00003 )/(${Variables:E1_4_1_1_km} + (E1_4_1_1 * C05167 * C00001 * C00003 ))</v>
      </c>
      <c r="K863" s="21" t="str">
        <f t="shared" si="41"/>
        <v>r862: C05167 + C00001 + C00003  -&gt; C00161 + C00014 + C00004 + C00080 | (${Variables:E1_4_1_1_kcat} * E1_4_1_1 * C05167 * C00001 * C00003 )/(${Variables:E1_4_1_1_km} + (E1_4_1_1 * C05167 * C00001 * C00003 ))</v>
      </c>
    </row>
    <row r="864" spans="1:11">
      <c r="A864" t="s">
        <v>5873</v>
      </c>
      <c r="B864" t="s">
        <v>5874</v>
      </c>
      <c r="C864" t="s">
        <v>15635</v>
      </c>
      <c r="D864">
        <v>863</v>
      </c>
      <c r="E864" t="str">
        <f t="shared" si="39"/>
        <v>E1_4_1_1</v>
      </c>
      <c r="F864" t="s">
        <v>9737</v>
      </c>
      <c r="G864" t="s">
        <v>11818</v>
      </c>
      <c r="H864" t="s">
        <v>9738</v>
      </c>
      <c r="I864" t="s">
        <v>12356</v>
      </c>
      <c r="J864" t="str">
        <f t="shared" si="40"/>
        <v>(${Variables:E1_4_1_1_kcat} * E1_4_1_1 * C05167 * C00001 * C00006 )/(${Variables:E1_4_1_1_km} + (E1_4_1_1 * C05167 * C00001 * C00006 ))</v>
      </c>
      <c r="K864" s="21" t="str">
        <f t="shared" si="41"/>
        <v>r863: C05167 + C00001 + C00006  -&gt; C00161 + C00014 + C00005 + C00080 | (${Variables:E1_4_1_1_kcat} * E1_4_1_1 * C05167 * C00001 * C00006 )/(${Variables:E1_4_1_1_km} + (E1_4_1_1 * C05167 * C00001 * C00006 ))</v>
      </c>
    </row>
    <row r="865" spans="1:11">
      <c r="A865" t="s">
        <v>5873</v>
      </c>
      <c r="B865" t="s">
        <v>5874</v>
      </c>
      <c r="C865" t="s">
        <v>15635</v>
      </c>
      <c r="D865">
        <v>864</v>
      </c>
      <c r="E865" t="str">
        <f t="shared" si="39"/>
        <v>E1_4_1_1</v>
      </c>
      <c r="F865" t="s">
        <v>9739</v>
      </c>
      <c r="G865" t="s">
        <v>11819</v>
      </c>
      <c r="H865" t="s">
        <v>9740</v>
      </c>
      <c r="I865" t="s">
        <v>12522</v>
      </c>
      <c r="J865" t="str">
        <f t="shared" si="40"/>
        <v>(${Variables:E1_4_1_1_kcat} * E1_4_1_1 * C00037 * C00001 * C00003)/(${Variables:E1_4_1_1_km} + (E1_4_1_1 * C00037 * C00001 * C00003))</v>
      </c>
      <c r="K865" s="21" t="str">
        <f t="shared" si="41"/>
        <v>r864: C00037 + C00001 + C00003 -&gt; C00048 + C00014 + C00004 + C00080 | (${Variables:E1_4_1_1_kcat} * E1_4_1_1 * C00037 * C00001 * C00003)/(${Variables:E1_4_1_1_km} + (E1_4_1_1 * C00037 * C00001 * C00003))</v>
      </c>
    </row>
    <row r="866" spans="1:11">
      <c r="A866" t="s">
        <v>5894</v>
      </c>
      <c r="B866" t="s">
        <v>5895</v>
      </c>
      <c r="C866" t="s">
        <v>15427</v>
      </c>
      <c r="D866">
        <v>865</v>
      </c>
      <c r="E866" t="str">
        <f t="shared" si="39"/>
        <v>E1_1_1_100</v>
      </c>
      <c r="F866" s="3" t="s">
        <v>9741</v>
      </c>
      <c r="G866" s="3" t="s">
        <v>11467</v>
      </c>
      <c r="H866" t="s">
        <v>9742</v>
      </c>
      <c r="I866" t="s">
        <v>12157</v>
      </c>
      <c r="J866" t="str">
        <f t="shared" si="40"/>
        <v>(${Variables:E1_1_1_100_kcat} * E1_1_1_100 * C01271 * C00006)/(${Variables:E1_1_1_100_km} + (E1_1_1_100 * C01271 * C00006))</v>
      </c>
      <c r="K866" s="21" t="str">
        <f t="shared" si="41"/>
        <v>r865: C01271 + C00006 -&gt; C00685 + C00005 + C00080 | (${Variables:E1_1_1_100_kcat} * E1_1_1_100 * C01271 * C00006)/(${Variables:E1_1_1_100_km} + (E1_1_1_100 * C01271 * C00006))</v>
      </c>
    </row>
    <row r="867" spans="1:11">
      <c r="A867" t="s">
        <v>5894</v>
      </c>
      <c r="B867" t="s">
        <v>5895</v>
      </c>
      <c r="C867" t="s">
        <v>15427</v>
      </c>
      <c r="D867">
        <v>866</v>
      </c>
      <c r="E867" t="str">
        <f t="shared" si="39"/>
        <v>E1_1_1_100</v>
      </c>
      <c r="F867" s="3" t="s">
        <v>9743</v>
      </c>
      <c r="G867" s="3" t="s">
        <v>11468</v>
      </c>
      <c r="H867" t="s">
        <v>9744</v>
      </c>
      <c r="I867" t="s">
        <v>12158</v>
      </c>
      <c r="J867" t="str">
        <f t="shared" si="40"/>
        <v>(${Variables:E1_1_1_100_kcat} * E1_1_1_100 * C04618 * C00006 )/(${Variables:E1_1_1_100_km} + (E1_1_1_100 * C04618 * C00006 ))</v>
      </c>
      <c r="K867" s="21" t="str">
        <f t="shared" si="41"/>
        <v>r866: C04618 + C00006  -&gt; C05744 + C00005 + C00080 | (${Variables:E1_1_1_100_kcat} * E1_1_1_100 * C04618 * C00006 )/(${Variables:E1_1_1_100_km} + (E1_1_1_100 * C04618 * C00006 ))</v>
      </c>
    </row>
    <row r="868" spans="1:11">
      <c r="A868" t="s">
        <v>5894</v>
      </c>
      <c r="B868" t="s">
        <v>5895</v>
      </c>
      <c r="C868" t="s">
        <v>15427</v>
      </c>
      <c r="D868">
        <v>867</v>
      </c>
      <c r="E868" t="str">
        <f t="shared" si="39"/>
        <v>E1_1_1_100</v>
      </c>
      <c r="F868" s="3" t="s">
        <v>9745</v>
      </c>
      <c r="G868" s="3" t="s">
        <v>11469</v>
      </c>
      <c r="H868" t="s">
        <v>9746</v>
      </c>
      <c r="I868" t="s">
        <v>12159</v>
      </c>
      <c r="J868" t="str">
        <f t="shared" si="40"/>
        <v>(${Variables:E1_1_1_100_kcat} * E1_1_1_100 * C04619 * C00006)/(${Variables:E1_1_1_100_km} + (E1_1_1_100 * C04619 * C00006))</v>
      </c>
      <c r="K868" s="21" t="str">
        <f t="shared" si="41"/>
        <v>r867: C04619 + C00006 -&gt; C05753 + C00005 | (${Variables:E1_1_1_100_kcat} * E1_1_1_100 * C04619 * C00006)/(${Variables:E1_1_1_100_km} + (E1_1_1_100 * C04619 * C00006))</v>
      </c>
    </row>
    <row r="869" spans="1:11">
      <c r="A869" t="s">
        <v>5894</v>
      </c>
      <c r="B869" t="s">
        <v>5895</v>
      </c>
      <c r="C869" t="s">
        <v>15427</v>
      </c>
      <c r="D869">
        <v>868</v>
      </c>
      <c r="E869" t="str">
        <f t="shared" si="39"/>
        <v>E1_1_1_100</v>
      </c>
      <c r="F869" s="3" t="s">
        <v>9747</v>
      </c>
      <c r="G869" s="3" t="s">
        <v>11470</v>
      </c>
      <c r="H869" t="s">
        <v>9748</v>
      </c>
      <c r="I869" t="s">
        <v>12160</v>
      </c>
      <c r="J869" t="str">
        <f t="shared" si="40"/>
        <v>(${Variables:E1_1_1_100_kcat} * E1_1_1_100 * C04620 * C00006 )/(${Variables:E1_1_1_100_km} + (E1_1_1_100 * C04620 * C00006 ))</v>
      </c>
      <c r="K869" s="21" t="str">
        <f t="shared" si="41"/>
        <v>r868: C04620 + C00006  -&gt; C05750 + C00005 + C00080 | (${Variables:E1_1_1_100_kcat} * E1_1_1_100 * C04620 * C00006 )/(${Variables:E1_1_1_100_km} + (E1_1_1_100 * C04620 * C00006 ))</v>
      </c>
    </row>
    <row r="870" spans="1:11">
      <c r="A870" t="s">
        <v>5894</v>
      </c>
      <c r="B870" t="s">
        <v>5895</v>
      </c>
      <c r="C870" t="s">
        <v>15427</v>
      </c>
      <c r="D870">
        <v>869</v>
      </c>
      <c r="E870" t="str">
        <f t="shared" si="39"/>
        <v>E1_1_1_100</v>
      </c>
      <c r="F870" s="3" t="s">
        <v>9749</v>
      </c>
      <c r="G870" s="3" t="s">
        <v>11471</v>
      </c>
      <c r="H870" t="s">
        <v>9750</v>
      </c>
      <c r="I870" t="s">
        <v>12161</v>
      </c>
      <c r="J870" t="str">
        <f t="shared" si="40"/>
        <v>(${Variables:E1_1_1_100_kcat} * E1_1_1_100 * C04633 * C00006 )/(${Variables:E1_1_1_100_km} + (E1_1_1_100 * C04633 * C00006 ))</v>
      </c>
      <c r="K870" s="21" t="str">
        <f t="shared" si="41"/>
        <v>r869: C04633 + C00006  -&gt; C05762 + C00005 + C00080 | (${Variables:E1_1_1_100_kcat} * E1_1_1_100 * C04633 * C00006 )/(${Variables:E1_1_1_100_km} + (E1_1_1_100 * C04633 * C00006 ))</v>
      </c>
    </row>
    <row r="871" spans="1:11">
      <c r="A871" t="s">
        <v>5894</v>
      </c>
      <c r="B871" t="s">
        <v>5895</v>
      </c>
      <c r="C871" t="s">
        <v>15427</v>
      </c>
      <c r="D871">
        <v>870</v>
      </c>
      <c r="E871" t="str">
        <f t="shared" si="39"/>
        <v>E1_1_1_100</v>
      </c>
      <c r="F871" s="3" t="s">
        <v>9751</v>
      </c>
      <c r="G871" s="3" t="s">
        <v>11472</v>
      </c>
      <c r="H871" t="s">
        <v>9752</v>
      </c>
      <c r="I871" t="s">
        <v>12162</v>
      </c>
      <c r="J871" t="str">
        <f t="shared" si="40"/>
        <v>(${Variables:E1_1_1_100_kcat} * E1_1_1_100 * C04688 * C00006)/(${Variables:E1_1_1_100_km} + (E1_1_1_100 * C04688 * C00006))</v>
      </c>
      <c r="K871" s="21" t="str">
        <f t="shared" si="41"/>
        <v>r870: C04688 + C00006 -&gt; C05759 + C00005 + C00080 | (${Variables:E1_1_1_100_kcat} * E1_1_1_100 * C04688 * C00006)/(${Variables:E1_1_1_100_km} + (E1_1_1_100 * C04688 * C00006))</v>
      </c>
    </row>
    <row r="872" spans="1:11">
      <c r="A872" t="s">
        <v>5894</v>
      </c>
      <c r="B872" t="s">
        <v>5895</v>
      </c>
      <c r="C872" t="s">
        <v>15427</v>
      </c>
      <c r="D872">
        <v>871</v>
      </c>
      <c r="E872" t="str">
        <f t="shared" si="39"/>
        <v>E1_1_1_100</v>
      </c>
      <c r="F872" s="3" t="s">
        <v>9753</v>
      </c>
      <c r="G872" s="3" t="s">
        <v>11473</v>
      </c>
      <c r="H872" t="s">
        <v>9754</v>
      </c>
      <c r="I872" t="s">
        <v>12163</v>
      </c>
      <c r="J872" t="str">
        <f t="shared" si="40"/>
        <v>(${Variables:E1_1_1_100_kcat} * E1_1_1_100 * C05747 * C00006 )/(${Variables:E1_1_1_100_km} + (E1_1_1_100 * C05747 * C00006 ))</v>
      </c>
      <c r="K872" s="21" t="str">
        <f t="shared" si="41"/>
        <v>r871: C05747 + C00006  -&gt;  C05746 + C00005 + C00080 | (${Variables:E1_1_1_100_kcat} * E1_1_1_100 * C05747 * C00006 )/(${Variables:E1_1_1_100_km} + (E1_1_1_100 * C05747 * C00006 ))</v>
      </c>
    </row>
    <row r="873" spans="1:11">
      <c r="A873" t="s">
        <v>5894</v>
      </c>
      <c r="B873" t="s">
        <v>5895</v>
      </c>
      <c r="C873" t="s">
        <v>15427</v>
      </c>
      <c r="D873">
        <v>872</v>
      </c>
      <c r="E873" t="str">
        <f t="shared" si="39"/>
        <v>E1_1_1_100</v>
      </c>
      <c r="F873" s="3" t="s">
        <v>9755</v>
      </c>
      <c r="G873" s="3" t="s">
        <v>11474</v>
      </c>
      <c r="H873" t="s">
        <v>9756</v>
      </c>
      <c r="I873" t="s">
        <v>12164</v>
      </c>
      <c r="J873" t="str">
        <f t="shared" si="40"/>
        <v>(${Variables:E1_1_1_100_kcat} * E1_1_1_100 * C05757 * C00006 )/(${Variables:E1_1_1_100_km} + (E1_1_1_100 * C05757 * C00006 ))</v>
      </c>
      <c r="K873" s="21" t="str">
        <f t="shared" si="41"/>
        <v>r872: C05757 + C00006  -&gt; C05756 + C00005 + C00080 | (${Variables:E1_1_1_100_kcat} * E1_1_1_100 * C05757 * C00006 )/(${Variables:E1_1_1_100_km} + (E1_1_1_100 * C05757 * C00006 ))</v>
      </c>
    </row>
    <row r="874" spans="1:11">
      <c r="A874" t="s">
        <v>5894</v>
      </c>
      <c r="B874" t="s">
        <v>5895</v>
      </c>
      <c r="C874" t="s">
        <v>15427</v>
      </c>
      <c r="D874">
        <v>873</v>
      </c>
      <c r="E874" t="str">
        <f t="shared" si="39"/>
        <v>E1_1_1_100</v>
      </c>
      <c r="F874" s="3" t="s">
        <v>9757</v>
      </c>
      <c r="G874" s="3" t="s">
        <v>11475</v>
      </c>
      <c r="H874" t="s">
        <v>9758</v>
      </c>
      <c r="I874" t="s">
        <v>12165</v>
      </c>
      <c r="J874" t="str">
        <f t="shared" si="40"/>
        <v>(${Variables:E1_1_1_100_kcat} * E1_1_1_100 * C16219 * C00005 * C00080 )/(${Variables:E1_1_1_100_km} + (E1_1_1_100 * C16219 * C00005 * C00080 ))</v>
      </c>
      <c r="K874" s="21" t="str">
        <f t="shared" si="41"/>
        <v>r873: C16219 + C00005 + C00080  -&gt; C16220 + C00006 | (${Variables:E1_1_1_100_kcat} * E1_1_1_100 * C16219 * C00005 * C00080 )/(${Variables:E1_1_1_100_km} + (E1_1_1_100 * C16219 * C00005 * C00080 ))</v>
      </c>
    </row>
    <row r="875" spans="1:11">
      <c r="A875" t="s">
        <v>5894</v>
      </c>
      <c r="B875" t="s">
        <v>5895</v>
      </c>
      <c r="C875" t="s">
        <v>15427</v>
      </c>
      <c r="D875">
        <v>874</v>
      </c>
      <c r="E875" t="str">
        <f t="shared" si="39"/>
        <v>E1_1_1_100</v>
      </c>
      <c r="F875" s="3" t="s">
        <v>9759</v>
      </c>
      <c r="G875" s="3" t="s">
        <v>11476</v>
      </c>
      <c r="H875" t="s">
        <v>9760</v>
      </c>
      <c r="I875" t="s">
        <v>12166</v>
      </c>
      <c r="J875" t="str">
        <f t="shared" si="40"/>
        <v>(${Variables:E1_1_1_100_kcat} * E1_1_1_100 * C20372 * C00005 * C00080)/(${Variables:E1_1_1_100_km} + (E1_1_1_100 * C20372 * C00005 * C00080))</v>
      </c>
      <c r="K875" s="21" t="str">
        <f t="shared" si="41"/>
        <v>r874: C20372 + C00005 + C00080 -&gt; C20373 + C00006 | (${Variables:E1_1_1_100_kcat} * E1_1_1_100 * C20372 * C00005 * C00080)/(${Variables:E1_1_1_100_km} + (E1_1_1_100 * C20372 * C00005 * C00080))</v>
      </c>
    </row>
    <row r="876" spans="1:11">
      <c r="A876" t="s">
        <v>5894</v>
      </c>
      <c r="B876" t="s">
        <v>5895</v>
      </c>
      <c r="C876" t="s">
        <v>15427</v>
      </c>
      <c r="D876">
        <v>875</v>
      </c>
      <c r="E876" t="str">
        <f t="shared" si="39"/>
        <v>E1_1_1_100</v>
      </c>
      <c r="F876" s="3" t="s">
        <v>9761</v>
      </c>
      <c r="G876" s="3" t="s">
        <v>11477</v>
      </c>
      <c r="H876" t="s">
        <v>9762</v>
      </c>
      <c r="I876" t="s">
        <v>12167</v>
      </c>
      <c r="J876" t="str">
        <f t="shared" si="40"/>
        <v>(${Variables:E1_1_1_100_kcat} * E1_1_1_100 * C20376 * C00005 * C00080)/(${Variables:E1_1_1_100_km} + (E1_1_1_100 * C20376 * C00005 * C00080))</v>
      </c>
      <c r="K876" s="21" t="str">
        <f t="shared" si="41"/>
        <v>r875: C20376 + C00005 + C00080 -&gt; C20377 + C00006 | (${Variables:E1_1_1_100_kcat} * E1_1_1_100 * C20376 * C00005 * C00080)/(${Variables:E1_1_1_100_km} + (E1_1_1_100 * C20376 * C00005 * C00080))</v>
      </c>
    </row>
    <row r="877" spans="1:11">
      <c r="A877" t="s">
        <v>5906</v>
      </c>
      <c r="B877" t="s">
        <v>5907</v>
      </c>
      <c r="C877" t="s">
        <v>15618</v>
      </c>
      <c r="D877">
        <v>876</v>
      </c>
      <c r="E877" t="str">
        <f t="shared" si="39"/>
        <v>E1_14_13_107</v>
      </c>
      <c r="F877" s="4" t="s">
        <v>11138</v>
      </c>
      <c r="G877" s="4" t="s">
        <v>11765</v>
      </c>
      <c r="H877" s="4" t="s">
        <v>11139</v>
      </c>
      <c r="I877" s="4" t="s">
        <v>12471</v>
      </c>
      <c r="J877" t="str">
        <f t="shared" si="40"/>
        <v>(${Variables:E1_14_13_107_kcat} * E1_14_13_107 * C06099 * C00004 * C00007 * C00080)/(${Variables:E1_14_13_107_km} + (E1_14_13_107 * C06099 * C00004 * C00007 * C00080))</v>
      </c>
      <c r="K877" s="21" t="str">
        <f t="shared" si="41"/>
        <v>r876: C06099 + C00004 + C00007 + C00080 -&gt; C07271 + C00003 + C00001 | (${Variables:E1_14_13_107_kcat} * E1_14_13_107 * C06099 * C00004 * C00007 * C00080)/(${Variables:E1_14_13_107_km} + (E1_14_13_107 * C06099 * C00004 * C00007 * C00080))</v>
      </c>
    </row>
    <row r="878" spans="1:11">
      <c r="A878" t="s">
        <v>5906</v>
      </c>
      <c r="B878" t="s">
        <v>5907</v>
      </c>
      <c r="C878" t="s">
        <v>15618</v>
      </c>
      <c r="D878">
        <v>877</v>
      </c>
      <c r="E878" t="str">
        <f t="shared" si="39"/>
        <v>E1_14_13_107</v>
      </c>
      <c r="F878" s="4" t="s">
        <v>11140</v>
      </c>
      <c r="G878" s="4" t="s">
        <v>11766</v>
      </c>
      <c r="H878" s="4" t="s">
        <v>11141</v>
      </c>
      <c r="I878" s="4" t="s">
        <v>12472</v>
      </c>
      <c r="J878" t="str">
        <f t="shared" si="40"/>
        <v>(${Variables:E1_14_13_107_kcat} * E1_14_13_107 * C00521 * C00004 * C00080 * C00007)/(${Variables:E1_14_13_107_km} + (E1_14_13_107 * C00521 * C00004 * C00080 * C00007))</v>
      </c>
      <c r="K878" s="21" t="str">
        <f t="shared" si="41"/>
        <v>r877: C00521 + C00004 + C00080 + C00007 -&gt; C19081 + C00003 + C00001 | (${Variables:E1_14_13_107_kcat} * E1_14_13_107 * C00521 * C00004 * C00080 * C00007)/(${Variables:E1_14_13_107_km} + (E1_14_13_107 * C00521 * C00004 * C00080 * C00007))</v>
      </c>
    </row>
    <row r="879" spans="1:11">
      <c r="A879" t="s">
        <v>5906</v>
      </c>
      <c r="B879" t="s">
        <v>5907</v>
      </c>
      <c r="C879" t="s">
        <v>15618</v>
      </c>
      <c r="D879">
        <v>878</v>
      </c>
      <c r="E879" t="str">
        <f t="shared" si="39"/>
        <v>E1_14_13_107</v>
      </c>
      <c r="F879" s="4" t="s">
        <v>11142</v>
      </c>
      <c r="G879" s="4" t="s">
        <v>11767</v>
      </c>
      <c r="H879" s="4" t="s">
        <v>11143</v>
      </c>
      <c r="I879" s="4" t="s">
        <v>12473</v>
      </c>
      <c r="J879" t="str">
        <f t="shared" si="40"/>
        <v>(${Variables:E1_14_13_107_kcat} * E1_14_13_107 * C00521 * C00005 * C00007 * C00080)/(${Variables:E1_14_13_107_km} + (E1_14_13_107 * C00521 * C00005 * C00007 * C00080))</v>
      </c>
      <c r="K879" s="21" t="str">
        <f t="shared" si="41"/>
        <v>r878: C00521 + C00005 + C00007 + C00080 -&gt; C19081 + C00006 + C00001 | (${Variables:E1_14_13_107_kcat} * E1_14_13_107 * C00521 * C00005 * C00007 * C00080)/(${Variables:E1_14_13_107_km} + (E1_14_13_107 * C00521 * C00005 * C00007 * C00080))</v>
      </c>
    </row>
    <row r="880" spans="1:11">
      <c r="A880" t="s">
        <v>5906</v>
      </c>
      <c r="B880" t="s">
        <v>5907</v>
      </c>
      <c r="C880" t="s">
        <v>15618</v>
      </c>
      <c r="D880">
        <v>879</v>
      </c>
      <c r="E880" t="str">
        <f t="shared" si="39"/>
        <v>E1_14_13_107</v>
      </c>
      <c r="F880" s="4" t="s">
        <v>11144</v>
      </c>
      <c r="G880" s="4" t="s">
        <v>11768</v>
      </c>
      <c r="H880" s="4" t="s">
        <v>11145</v>
      </c>
      <c r="I880" s="4" t="s">
        <v>12474</v>
      </c>
      <c r="J880" t="str">
        <f t="shared" si="40"/>
        <v>(${Variables:E1_14_13_107_kcat} * E1_14_13_107 * C06099 * C00005 * C00007 * C00080)/(${Variables:E1_14_13_107_km} + (E1_14_13_107 * C06099 * C00005 * C00007 * C00080))</v>
      </c>
      <c r="K880" s="21" t="str">
        <f t="shared" si="41"/>
        <v>r879: C06099 + C00005 + C00007 + C00080 -&gt; C07271 + C00006 + C00001 | (${Variables:E1_14_13_107_kcat} * E1_14_13_107 * C06099 * C00005 * C00007 * C00080)/(${Variables:E1_14_13_107_km} + (E1_14_13_107 * C06099 * C00005 * C00007 * C00080))</v>
      </c>
    </row>
    <row r="881" spans="1:11">
      <c r="A881" t="s">
        <v>5925</v>
      </c>
      <c r="B881" t="s">
        <v>5926</v>
      </c>
      <c r="C881" t="s">
        <v>15636</v>
      </c>
      <c r="D881">
        <v>880</v>
      </c>
      <c r="E881" t="str">
        <f t="shared" si="39"/>
        <v>E3_5_1_2</v>
      </c>
      <c r="F881" t="s">
        <v>9765</v>
      </c>
      <c r="G881" t="s">
        <v>11820</v>
      </c>
      <c r="H881" t="s">
        <v>9766</v>
      </c>
      <c r="I881" t="s">
        <v>12294</v>
      </c>
      <c r="J881" t="str">
        <f t="shared" si="40"/>
        <v>(${Variables:E3_5_1_2_kcat} * E3_5_1_2 * C00064 * C00001 )/(${Variables:E3_5_1_2_km} + (E3_5_1_2 * C00064 * C00001 ))</v>
      </c>
      <c r="K881" s="21" t="str">
        <f t="shared" si="41"/>
        <v>r880: C00064 + C00001  -&gt; C00025 + C00014 | (${Variables:E3_5_1_2_kcat} * E3_5_1_2 * C00064 * C00001 )/(${Variables:E3_5_1_2_km} + (E3_5_1_2 * C00064 * C00001 ))</v>
      </c>
    </row>
    <row r="882" spans="1:11">
      <c r="A882" t="s">
        <v>5925</v>
      </c>
      <c r="B882" t="s">
        <v>5926</v>
      </c>
      <c r="C882" t="s">
        <v>15636</v>
      </c>
      <c r="D882">
        <v>881</v>
      </c>
      <c r="E882" t="str">
        <f t="shared" si="39"/>
        <v>E3_5_1_2</v>
      </c>
      <c r="F882" t="s">
        <v>9767</v>
      </c>
      <c r="G882" t="s">
        <v>11821</v>
      </c>
      <c r="H882" t="s">
        <v>9768</v>
      </c>
      <c r="I882" t="s">
        <v>12523</v>
      </c>
      <c r="J882" t="str">
        <f t="shared" si="40"/>
        <v>(${Variables:E3_5_1_2_kcat} * E3_5_1_2 * C00819 * C00001)/(${Variables:E3_5_1_2_km} + (E3_5_1_2 * C00819 * C00001))</v>
      </c>
      <c r="K882" s="21" t="str">
        <f t="shared" si="41"/>
        <v>r881: C00819 + C00001 -&gt; C00217 + C00014 | (${Variables:E3_5_1_2_kcat} * E3_5_1_2 * C00819 * C00001)/(${Variables:E3_5_1_2_km} + (E3_5_1_2 * C00819 * C00001))</v>
      </c>
    </row>
    <row r="883" spans="1:11">
      <c r="A883" t="s">
        <v>5925</v>
      </c>
      <c r="B883" t="s">
        <v>5926</v>
      </c>
      <c r="C883" t="s">
        <v>15636</v>
      </c>
      <c r="D883">
        <v>882</v>
      </c>
      <c r="E883" t="str">
        <f t="shared" si="39"/>
        <v>E3_5_1_2</v>
      </c>
      <c r="F883" t="s">
        <v>9769</v>
      </c>
      <c r="G883" t="s">
        <v>11663</v>
      </c>
      <c r="H883" t="s">
        <v>9770</v>
      </c>
      <c r="I883" t="s">
        <v>12374</v>
      </c>
      <c r="J883" t="str">
        <f t="shared" si="40"/>
        <v>(${Variables:E3_5_1_2_kcat} * E3_5_1_2 * C00241 * C00001)/(${Variables:E3_5_1_2_km} + (E3_5_1_2 * C00241 * C00001))</v>
      </c>
      <c r="K883" s="21" t="str">
        <f t="shared" si="41"/>
        <v>r882: C00241 + C00001 -&gt; C00060 + C00014 | (${Variables:E3_5_1_2_kcat} * E3_5_1_2 * C00241 * C00001)/(${Variables:E3_5_1_2_km} + (E3_5_1_2 * C00241 * C00001))</v>
      </c>
    </row>
    <row r="884" spans="1:11">
      <c r="A884" t="s">
        <v>5931</v>
      </c>
      <c r="B884" t="s">
        <v>5932</v>
      </c>
      <c r="C884" t="s">
        <v>15547</v>
      </c>
      <c r="D884">
        <v>883</v>
      </c>
      <c r="E884" t="str">
        <f t="shared" si="39"/>
        <v>E1_11_1_24</v>
      </c>
      <c r="F884" t="s">
        <v>10860</v>
      </c>
      <c r="G884" t="s">
        <v>11624</v>
      </c>
      <c r="H884" t="s">
        <v>10861</v>
      </c>
      <c r="I884" t="s">
        <v>12328</v>
      </c>
      <c r="J884" t="str">
        <f t="shared" si="40"/>
        <v>(${Variables:E1_11_1_24_kcat} * E1_11_1_24 * C00342 * C15498)/(${Variables:E1_11_1_24_km} + (E1_11_1_24 * C00342 * C15498))</v>
      </c>
      <c r="K884" s="21" t="str">
        <f t="shared" si="41"/>
        <v>r883: C00342 + C15498 -&gt; C00343 + C00001 + C01335 | (${Variables:E1_11_1_24_kcat} * E1_11_1_24 * C00342 * C15498)/(${Variables:E1_11_1_24_km} + (E1_11_1_24 * C00342 * C15498))</v>
      </c>
    </row>
    <row r="885" spans="1:11">
      <c r="A885" t="s">
        <v>5939</v>
      </c>
      <c r="B885" t="s">
        <v>5940</v>
      </c>
      <c r="C885" t="s">
        <v>15637</v>
      </c>
      <c r="D885">
        <v>884</v>
      </c>
      <c r="E885" t="str">
        <f t="shared" si="39"/>
        <v>E6_3_3_3</v>
      </c>
      <c r="F885" t="s">
        <v>9773</v>
      </c>
      <c r="G885" t="s">
        <v>11822</v>
      </c>
      <c r="H885" t="s">
        <v>9774</v>
      </c>
      <c r="I885" t="s">
        <v>12524</v>
      </c>
      <c r="J885" t="str">
        <f t="shared" si="40"/>
        <v>(${Variables:E6_3_3_3_kcat} * E6_3_3_3 * C00002 * C01037 * C00011 )/(${Variables:E6_3_3_3_km} + (E6_3_3_3 * C00002 * C01037 * C00011 ))</v>
      </c>
      <c r="K885" s="21" t="str">
        <f t="shared" si="41"/>
        <v>r884: C00002 + C01037 + C00011  -&gt; C00008 + C00009 + C01909 | (${Variables:E6_3_3_3_kcat} * E6_3_3_3 * C00002 * C01037 * C00011 )/(${Variables:E6_3_3_3_km} + (E6_3_3_3 * C00002 * C01037 * C00011 ))</v>
      </c>
    </row>
    <row r="886" spans="1:11">
      <c r="A886" t="s">
        <v>5939</v>
      </c>
      <c r="B886" t="s">
        <v>5940</v>
      </c>
      <c r="C886" t="s">
        <v>15637</v>
      </c>
      <c r="D886">
        <v>885</v>
      </c>
      <c r="E886" t="str">
        <f t="shared" si="39"/>
        <v>E6_3_3_3</v>
      </c>
      <c r="F886" t="s">
        <v>9775</v>
      </c>
      <c r="G886" t="s">
        <v>11823</v>
      </c>
      <c r="H886" t="s">
        <v>9776</v>
      </c>
      <c r="I886" t="s">
        <v>9776</v>
      </c>
      <c r="J886" t="str">
        <f t="shared" si="40"/>
        <v>(${Variables:E6_3_3_3_kcat} * E6_3_3_3 * C01037 * C00011 )/(${Variables:E6_3_3_3_km} + (E6_3_3_3 * C01037 * C00011 ))</v>
      </c>
      <c r="K886" s="21" t="str">
        <f t="shared" si="41"/>
        <v>r885: C01037 + C00011  -&gt; C22458 | (${Variables:E6_3_3_3_kcat} * E6_3_3_3 * C01037 * C00011 )/(${Variables:E6_3_3_3_km} + (E6_3_3_3 * C01037 * C00011 ))</v>
      </c>
    </row>
    <row r="887" spans="1:11">
      <c r="A887" t="s">
        <v>5939</v>
      </c>
      <c r="B887" t="s">
        <v>5940</v>
      </c>
      <c r="C887" t="s">
        <v>15637</v>
      </c>
      <c r="D887">
        <v>886</v>
      </c>
      <c r="E887" t="str">
        <f t="shared" si="39"/>
        <v>E6_3_3_3</v>
      </c>
      <c r="F887" t="s">
        <v>9777</v>
      </c>
      <c r="G887" t="s">
        <v>11824</v>
      </c>
      <c r="H887" t="s">
        <v>9778</v>
      </c>
      <c r="I887" t="s">
        <v>12525</v>
      </c>
      <c r="J887" t="str">
        <f t="shared" si="40"/>
        <v>(${Variables:E6_3_3_3_kcat} * E6_3_3_3 * C22458 * C00002 )/(${Variables:E6_3_3_3_km} + (E6_3_3_3 * C22458 * C00002 ))</v>
      </c>
      <c r="K887" s="21" t="str">
        <f t="shared" si="41"/>
        <v>r886: C22458 + C00002  -&gt; C01909 + C00008 + C00009 | (${Variables:E6_3_3_3_kcat} * E6_3_3_3 * C22458 * C00002 )/(${Variables:E6_3_3_3_km} + (E6_3_3_3 * C22458 * C00002 ))</v>
      </c>
    </row>
    <row r="888" spans="1:11">
      <c r="A888" t="s">
        <v>5943</v>
      </c>
      <c r="B888" t="s">
        <v>5944</v>
      </c>
      <c r="C888" t="s">
        <v>15638</v>
      </c>
      <c r="D888">
        <v>887</v>
      </c>
      <c r="E888" t="str">
        <f t="shared" si="39"/>
        <v>E2_6_1_62</v>
      </c>
      <c r="F888" t="s">
        <v>9781</v>
      </c>
      <c r="G888" t="s">
        <v>11825</v>
      </c>
      <c r="H888" t="s">
        <v>9782</v>
      </c>
      <c r="I888" t="s">
        <v>12526</v>
      </c>
      <c r="J888" t="str">
        <f t="shared" si="40"/>
        <v>(${Variables:E2_6_1_62_kcat} * E2_6_1_62 * C00019 * C01092 )/(${Variables:E2_6_1_62_km} + (E2_6_1_62 * C00019 * C01092 ))</v>
      </c>
      <c r="K888" s="21" t="str">
        <f t="shared" si="41"/>
        <v>r887: C00019 + C01092  -&gt; C04425 + C01037 | (${Variables:E2_6_1_62_kcat} * E2_6_1_62 * C00019 * C01092 )/(${Variables:E2_6_1_62_km} + (E2_6_1_62 * C00019 * C01092 ))</v>
      </c>
    </row>
    <row r="889" spans="1:11">
      <c r="A889" t="s">
        <v>5954</v>
      </c>
      <c r="B889" t="s">
        <v>5955</v>
      </c>
      <c r="C889" t="s">
        <v>15639</v>
      </c>
      <c r="D889">
        <v>888</v>
      </c>
      <c r="E889" t="str">
        <f t="shared" si="39"/>
        <v>E3_4_11_5</v>
      </c>
      <c r="F889" t="s">
        <v>9785</v>
      </c>
      <c r="G889" t="s">
        <v>11826</v>
      </c>
      <c r="H889" t="s">
        <v>9786</v>
      </c>
      <c r="I889" t="s">
        <v>12527</v>
      </c>
      <c r="J889" t="str">
        <f t="shared" si="40"/>
        <v>(${Variables:E3_4_11_5_kcat} * E3_4_11_5 * C00012 * C00001 )/(${Variables:E3_4_11_5_km} + (E3_4_11_5 * C00012 * C00001 ))</v>
      </c>
      <c r="K889" s="21" t="str">
        <f t="shared" si="41"/>
        <v>r888: C00012 + C00001  -&gt; C00148 + C00012 | (${Variables:E3_4_11_5_kcat} * E3_4_11_5 * C00012 * C00001 )/(${Variables:E3_4_11_5_km} + (E3_4_11_5 * C00012 * C00001 ))</v>
      </c>
    </row>
    <row r="890" spans="1:11">
      <c r="A890" t="s">
        <v>5958</v>
      </c>
      <c r="B890" t="s">
        <v>5959</v>
      </c>
      <c r="C890" t="s">
        <v>15640</v>
      </c>
      <c r="D890">
        <v>889</v>
      </c>
      <c r="E890" t="str">
        <f t="shared" si="39"/>
        <v>E1_97_1_4</v>
      </c>
      <c r="F890" t="s">
        <v>9789</v>
      </c>
      <c r="G890" t="s">
        <v>11827</v>
      </c>
      <c r="H890" t="s">
        <v>9790</v>
      </c>
      <c r="I890" t="s">
        <v>12528</v>
      </c>
      <c r="J890" t="str">
        <f t="shared" si="40"/>
        <v>(${Variables:E1_97_1_4_kcat} * E1_97_1_4 * C00019 * C05196 * C05197 )/(${Variables:E1_97_1_4_km} + (E1_97_1_4 * C00019 * C05196 * C05197 ))</v>
      </c>
      <c r="K890" s="21" t="str">
        <f t="shared" si="41"/>
        <v>r889: C00019 + C05196 + C05197  -&gt; C05198 + C00073 + C05199 + C05312 | (${Variables:E1_97_1_4_kcat} * E1_97_1_4 * C00019 * C05196 * C05197 )/(${Variables:E1_97_1_4_km} + (E1_97_1_4 * C00019 * C05196 * C05197 ))</v>
      </c>
    </row>
    <row r="891" spans="1:11">
      <c r="A891" t="s">
        <v>5962</v>
      </c>
      <c r="B891" t="s">
        <v>5963</v>
      </c>
      <c r="C891" t="s">
        <v>15641</v>
      </c>
      <c r="D891">
        <v>890</v>
      </c>
      <c r="E891" t="str">
        <f t="shared" si="39"/>
        <v>E2_3_1_54</v>
      </c>
      <c r="F891" t="s">
        <v>9793</v>
      </c>
      <c r="G891" t="s">
        <v>11828</v>
      </c>
      <c r="H891" t="s">
        <v>9794</v>
      </c>
      <c r="I891" t="s">
        <v>12529</v>
      </c>
      <c r="J891" t="str">
        <f t="shared" si="40"/>
        <v>(${Variables:E2_3_1_54_kcat} * E2_3_1_54 * C00024 * C00058 )/(${Variables:E2_3_1_54_km} + (E2_3_1_54 * C00024 * C00058 ))</v>
      </c>
      <c r="K891" s="21" t="str">
        <f t="shared" si="41"/>
        <v>r890: C00024 + C00058  -&gt; C00010 + C00022 | (${Variables:E2_3_1_54_kcat} * E2_3_1_54 * C00024 * C00058 )/(${Variables:E2_3_1_54_km} + (E2_3_1_54 * C00024 * C00058 ))</v>
      </c>
    </row>
    <row r="892" spans="1:11">
      <c r="A892" t="s">
        <v>5962</v>
      </c>
      <c r="B892" t="s">
        <v>5963</v>
      </c>
      <c r="C892" t="s">
        <v>15641</v>
      </c>
      <c r="D892">
        <v>891</v>
      </c>
      <c r="E892" t="str">
        <f t="shared" si="39"/>
        <v>E2_3_1_54</v>
      </c>
      <c r="F892" t="s">
        <v>9795</v>
      </c>
      <c r="G892" t="s">
        <v>11829</v>
      </c>
      <c r="H892" t="s">
        <v>9796</v>
      </c>
      <c r="I892" t="s">
        <v>12530</v>
      </c>
      <c r="J892" t="str">
        <f t="shared" si="40"/>
        <v>(${Variables:E2_3_1_54_kcat} * E2_3_1_54 * C00109 * C00010)/(${Variables:E2_3_1_54_km} + (E2_3_1_54 * C00109 * C00010))</v>
      </c>
      <c r="K892" s="21" t="str">
        <f t="shared" si="41"/>
        <v>r891: C00109 + C00010 -&gt; C00100 + C00058 | (${Variables:E2_3_1_54_kcat} * E2_3_1_54 * C00109 * C00010)/(${Variables:E2_3_1_54_km} + (E2_3_1_54 * C00109 * C00010))</v>
      </c>
    </row>
    <row r="893" spans="1:11">
      <c r="A893" t="s">
        <v>5966</v>
      </c>
      <c r="B893" t="s">
        <v>5967</v>
      </c>
      <c r="C893" t="s">
        <v>15641</v>
      </c>
      <c r="D893">
        <v>892</v>
      </c>
      <c r="E893" t="str">
        <f t="shared" si="39"/>
        <v>E2_3_1_54</v>
      </c>
      <c r="F893" t="s">
        <v>9793</v>
      </c>
      <c r="G893" t="s">
        <v>11828</v>
      </c>
      <c r="H893" t="s">
        <v>9794</v>
      </c>
      <c r="I893" t="s">
        <v>12529</v>
      </c>
      <c r="J893" t="str">
        <f t="shared" si="40"/>
        <v>(${Variables:E2_3_1_54_kcat} * E2_3_1_54 * C00024 * C00058 )/(${Variables:E2_3_1_54_km} + (E2_3_1_54 * C00024 * C00058 ))</v>
      </c>
      <c r="K893" s="21" t="str">
        <f t="shared" si="41"/>
        <v>r892: C00024 + C00058  -&gt; C00010 + C00022 | (${Variables:E2_3_1_54_kcat} * E2_3_1_54 * C00024 * C00058 )/(${Variables:E2_3_1_54_km} + (E2_3_1_54 * C00024 * C00058 ))</v>
      </c>
    </row>
    <row r="894" spans="1:11">
      <c r="A894" t="s">
        <v>5966</v>
      </c>
      <c r="B894" t="s">
        <v>5967</v>
      </c>
      <c r="C894" t="s">
        <v>15641</v>
      </c>
      <c r="D894">
        <v>893</v>
      </c>
      <c r="E894" t="str">
        <f t="shared" si="39"/>
        <v>E2_3_1_54</v>
      </c>
      <c r="F894" t="s">
        <v>9795</v>
      </c>
      <c r="G894" t="s">
        <v>11829</v>
      </c>
      <c r="H894" t="s">
        <v>9796</v>
      </c>
      <c r="I894" t="s">
        <v>12530</v>
      </c>
      <c r="J894" t="str">
        <f t="shared" si="40"/>
        <v>(${Variables:E2_3_1_54_kcat} * E2_3_1_54 * C00109 * C00010)/(${Variables:E2_3_1_54_km} + (E2_3_1_54 * C00109 * C00010))</v>
      </c>
      <c r="K894" s="21" t="str">
        <f t="shared" si="41"/>
        <v>r893: C00109 + C00010 -&gt; C00100 + C00058 | (${Variables:E2_3_1_54_kcat} * E2_3_1_54 * C00109 * C00010)/(${Variables:E2_3_1_54_km} + (E2_3_1_54 * C00109 * C00010))</v>
      </c>
    </row>
    <row r="895" spans="1:11">
      <c r="A895" t="s">
        <v>5978</v>
      </c>
      <c r="B895" t="s">
        <v>5979</v>
      </c>
      <c r="C895" t="s">
        <v>15642</v>
      </c>
      <c r="D895">
        <v>894</v>
      </c>
      <c r="E895" t="str">
        <f t="shared" si="39"/>
        <v>E3_6_1_9</v>
      </c>
      <c r="F895" t="s">
        <v>9799</v>
      </c>
      <c r="G895" t="s">
        <v>11830</v>
      </c>
      <c r="H895" t="s">
        <v>9800</v>
      </c>
      <c r="I895" t="s">
        <v>12531</v>
      </c>
      <c r="J895" t="str">
        <f t="shared" si="40"/>
        <v>(${Variables:E3_6_1_9_kcat} * E3_6_1_9 * C00201 * C00001)/(${Variables:E3_6_1_9_km} + (E3_6_1_9 * C00201 * C00001))</v>
      </c>
      <c r="K895" s="21" t="str">
        <f t="shared" si="41"/>
        <v>r894: C00201 + C00001 -&gt; C00215 + C00013 | (${Variables:E3_6_1_9_kcat} * E3_6_1_9 * C00201 * C00001)/(${Variables:E3_6_1_9_km} + (E3_6_1_9 * C00201 * C00001))</v>
      </c>
    </row>
    <row r="896" spans="1:11">
      <c r="A896" t="s">
        <v>5978</v>
      </c>
      <c r="B896" t="s">
        <v>5979</v>
      </c>
      <c r="C896" t="s">
        <v>15642</v>
      </c>
      <c r="D896">
        <v>895</v>
      </c>
      <c r="E896" t="str">
        <f t="shared" si="39"/>
        <v>E3_6_1_9</v>
      </c>
      <c r="F896" t="s">
        <v>9801</v>
      </c>
      <c r="G896" t="s">
        <v>11482</v>
      </c>
      <c r="H896" t="s">
        <v>9802</v>
      </c>
      <c r="I896" t="s">
        <v>11609</v>
      </c>
      <c r="J896" t="str">
        <f t="shared" si="40"/>
        <v>(${Variables:E3_6_1_9_kcat} * E3_6_1_9 * C00002 * C00001)/(${Variables:E3_6_1_9_km} + (E3_6_1_9 * C00002 * C00001))</v>
      </c>
      <c r="K896" s="21" t="str">
        <f t="shared" si="41"/>
        <v>r895: C00002 + C00001 -&gt; C00020 + C00013 | (${Variables:E3_6_1_9_kcat} * E3_6_1_9 * C00002 * C00001)/(${Variables:E3_6_1_9_km} + (E3_6_1_9 * C00002 * C00001))</v>
      </c>
    </row>
    <row r="897" spans="1:11">
      <c r="A897" t="s">
        <v>5978</v>
      </c>
      <c r="B897" t="s">
        <v>5979</v>
      </c>
      <c r="C897" t="s">
        <v>15642</v>
      </c>
      <c r="D897">
        <v>896</v>
      </c>
      <c r="E897" t="str">
        <f t="shared" si="39"/>
        <v>E3_6_1_9</v>
      </c>
      <c r="F897" t="s">
        <v>9803</v>
      </c>
      <c r="G897" t="s">
        <v>11722</v>
      </c>
      <c r="H897" t="s">
        <v>9804</v>
      </c>
      <c r="I897" t="s">
        <v>11886</v>
      </c>
      <c r="J897" t="str">
        <f t="shared" si="40"/>
        <v>(${Variables:E3_6_1_9_kcat} * E3_6_1_9 * C00044 * C00001)/(${Variables:E3_6_1_9_km} + (E3_6_1_9 * C00044 * C00001))</v>
      </c>
      <c r="K897" s="21" t="str">
        <f t="shared" si="41"/>
        <v>r896: C00044 + C00001 -&gt; C00144 + C00013 | (${Variables:E3_6_1_9_kcat} * E3_6_1_9 * C00044 * C00001)/(${Variables:E3_6_1_9_km} + (E3_6_1_9 * C00044 * C00001))</v>
      </c>
    </row>
    <row r="898" spans="1:11">
      <c r="A898" t="s">
        <v>5978</v>
      </c>
      <c r="B898" t="s">
        <v>5979</v>
      </c>
      <c r="C898" t="s">
        <v>15642</v>
      </c>
      <c r="D898">
        <v>897</v>
      </c>
      <c r="E898" t="str">
        <f t="shared" si="39"/>
        <v>E3_6_1_9</v>
      </c>
      <c r="F898" t="s">
        <v>9805</v>
      </c>
      <c r="G898" t="s">
        <v>11831</v>
      </c>
      <c r="H898" t="s">
        <v>9806</v>
      </c>
      <c r="I898" t="s">
        <v>12202</v>
      </c>
      <c r="J898" t="str">
        <f t="shared" si="40"/>
        <v>(${Variables:E3_6_1_9_kcat} * E3_6_1_9 * C00063 * C00001 )/(${Variables:E3_6_1_9_km} + (E3_6_1_9 * C00063 * C00001 ))</v>
      </c>
      <c r="K898" s="21" t="str">
        <f t="shared" si="41"/>
        <v>r897: C00063 + C00001  -&gt; C00055 + C00013 | (${Variables:E3_6_1_9_kcat} * E3_6_1_9 * C00063 * C00001 )/(${Variables:E3_6_1_9_km} + (E3_6_1_9 * C00063 * C00001 ))</v>
      </c>
    </row>
    <row r="899" spans="1:11">
      <c r="A899" t="s">
        <v>5978</v>
      </c>
      <c r="B899" t="s">
        <v>5979</v>
      </c>
      <c r="C899" t="s">
        <v>15642</v>
      </c>
      <c r="D899">
        <v>898</v>
      </c>
      <c r="E899" t="str">
        <f t="shared" ref="E899:E962" si="42">"E" &amp; C899</f>
        <v>E3_6_1_9</v>
      </c>
      <c r="F899" t="s">
        <v>9807</v>
      </c>
      <c r="G899" t="s">
        <v>11832</v>
      </c>
      <c r="H899" t="s">
        <v>9808</v>
      </c>
      <c r="I899" t="s">
        <v>12532</v>
      </c>
      <c r="J899" t="str">
        <f t="shared" ref="J899:J962" si="43">CONCATENATE("(${Variables:",E899,"_kcat","} * ",E899," * ",G899,")","/(${Variables:",E899,"_km","} + (",E899," * ",G899,"))")</f>
        <v>(${Variables:E3_6_1_9_kcat} * E3_6_1_9 * C00075 * C00001)/(${Variables:E3_6_1_9_km} + (E3_6_1_9 * C00075 * C00001))</v>
      </c>
      <c r="K899" s="21" t="str">
        <f t="shared" ref="K899:K962" si="44">CONCATENATE("r",D899,": ",F899," -&gt; ",H899," | ",J899)</f>
        <v>r898: C00075 + C00001 -&gt; C00105 + C00013 | (${Variables:E3_6_1_9_kcat} * E3_6_1_9 * C00075 * C00001)/(${Variables:E3_6_1_9_km} + (E3_6_1_9 * C00075 * C00001))</v>
      </c>
    </row>
    <row r="900" spans="1:11">
      <c r="A900" t="s">
        <v>5978</v>
      </c>
      <c r="B900" t="s">
        <v>5979</v>
      </c>
      <c r="C900" t="s">
        <v>15642</v>
      </c>
      <c r="D900">
        <v>899</v>
      </c>
      <c r="E900" t="str">
        <f t="shared" si="42"/>
        <v>E3_6_1_9</v>
      </c>
      <c r="F900" t="s">
        <v>9809</v>
      </c>
      <c r="G900" t="s">
        <v>11833</v>
      </c>
      <c r="H900" t="s">
        <v>9810</v>
      </c>
      <c r="I900" t="s">
        <v>12533</v>
      </c>
      <c r="J900" t="str">
        <f t="shared" si="43"/>
        <v>(${Variables:E3_6_1_9_kcat} * E3_6_1_9 * C00459 * C00001)/(${Variables:E3_6_1_9_km} + (E3_6_1_9 * C00459 * C00001))</v>
      </c>
      <c r="K900" s="21" t="str">
        <f t="shared" si="44"/>
        <v>r899: C00459 + C00001 -&gt; C00364 + C00013 | (${Variables:E3_6_1_9_kcat} * E3_6_1_9 * C00459 * C00001)/(${Variables:E3_6_1_9_km} + (E3_6_1_9 * C00459 * C00001))</v>
      </c>
    </row>
    <row r="901" spans="1:11">
      <c r="A901" t="s">
        <v>5978</v>
      </c>
      <c r="B901" t="s">
        <v>5979</v>
      </c>
      <c r="C901" t="s">
        <v>15642</v>
      </c>
      <c r="D901">
        <v>900</v>
      </c>
      <c r="E901" t="str">
        <f t="shared" si="42"/>
        <v>E3_6_1_9</v>
      </c>
      <c r="F901" t="s">
        <v>9811</v>
      </c>
      <c r="G901" t="s">
        <v>11834</v>
      </c>
      <c r="H901" t="s">
        <v>9812</v>
      </c>
      <c r="I901" t="s">
        <v>12118</v>
      </c>
      <c r="J901" t="str">
        <f t="shared" si="43"/>
        <v>(${Variables:E3_6_1_9_kcat} * E3_6_1_9 * C00003 * C00001)/(${Variables:E3_6_1_9_km} + (E3_6_1_9 * C00003 * C00001))</v>
      </c>
      <c r="K901" s="21" t="str">
        <f t="shared" si="44"/>
        <v>r900: C00003 + C00001 -&gt; C00020 + C00455 | (${Variables:E3_6_1_9_kcat} * E3_6_1_9 * C00003 * C00001)/(${Variables:E3_6_1_9_km} + (E3_6_1_9 * C00003 * C00001))</v>
      </c>
    </row>
    <row r="902" spans="1:11">
      <c r="A902" t="s">
        <v>5978</v>
      </c>
      <c r="B902" t="s">
        <v>5979</v>
      </c>
      <c r="C902" t="s">
        <v>15642</v>
      </c>
      <c r="D902">
        <v>901</v>
      </c>
      <c r="E902" t="str">
        <f t="shared" si="42"/>
        <v>E3_6_1_9</v>
      </c>
      <c r="F902" t="s">
        <v>9813</v>
      </c>
      <c r="G902" t="s">
        <v>11835</v>
      </c>
      <c r="H902" t="s">
        <v>9814</v>
      </c>
      <c r="I902" t="s">
        <v>12534</v>
      </c>
      <c r="J902" t="str">
        <f t="shared" si="43"/>
        <v>(${Variables:E3_6_1_9_kcat} * E3_6_1_9 * C00016 * C00001)/(${Variables:E3_6_1_9_km} + (E3_6_1_9 * C00016 * C00001))</v>
      </c>
      <c r="K902" s="21" t="str">
        <f t="shared" si="44"/>
        <v>r901: C00016 + C00001 -&gt; C00020 + C00061 | (${Variables:E3_6_1_9_kcat} * E3_6_1_9 * C00016 * C00001)/(${Variables:E3_6_1_9_km} + (E3_6_1_9 * C00016 * C00001))</v>
      </c>
    </row>
    <row r="903" spans="1:11">
      <c r="A903" t="s">
        <v>5978</v>
      </c>
      <c r="B903" t="s">
        <v>5979</v>
      </c>
      <c r="C903" t="s">
        <v>15642</v>
      </c>
      <c r="D903">
        <v>902</v>
      </c>
      <c r="E903" t="str">
        <f t="shared" si="42"/>
        <v>E3_6_1_9</v>
      </c>
      <c r="F903" t="s">
        <v>9815</v>
      </c>
      <c r="G903" t="s">
        <v>11836</v>
      </c>
      <c r="H903" t="s">
        <v>9816</v>
      </c>
      <c r="I903" t="s">
        <v>12535</v>
      </c>
      <c r="J903" t="str">
        <f t="shared" si="43"/>
        <v>(${Variables:E3_6_1_9_kcat} * E3_6_1_9 * C00029 * C00001)/(${Variables:E3_6_1_9_km} + (E3_6_1_9 * C00029 * C00001))</v>
      </c>
      <c r="K903" s="21" t="str">
        <f t="shared" si="44"/>
        <v>r902: C00029 + C00001 -&gt; C00105 + C00103 | (${Variables:E3_6_1_9_kcat} * E3_6_1_9 * C00029 * C00001)/(${Variables:E3_6_1_9_km} + (E3_6_1_9 * C00029 * C00001))</v>
      </c>
    </row>
    <row r="904" spans="1:11">
      <c r="A904" t="s">
        <v>5978</v>
      </c>
      <c r="B904" t="s">
        <v>5979</v>
      </c>
      <c r="C904" t="s">
        <v>15642</v>
      </c>
      <c r="D904">
        <v>903</v>
      </c>
      <c r="E904" t="str">
        <f t="shared" si="42"/>
        <v>E3_6_1_9</v>
      </c>
      <c r="F904" t="s">
        <v>9817</v>
      </c>
      <c r="G904" t="s">
        <v>11434</v>
      </c>
      <c r="H904" t="s">
        <v>9818</v>
      </c>
      <c r="I904" t="s">
        <v>12120</v>
      </c>
      <c r="J904" t="str">
        <f t="shared" si="43"/>
        <v>(${Variables:E3_6_1_9_kcat} * E3_6_1_9 * C00857 * C00001)/(${Variables:E3_6_1_9_km} + (E3_6_1_9 * C00857 * C00001))</v>
      </c>
      <c r="K904" s="21" t="str">
        <f t="shared" si="44"/>
        <v>r903: C00857 + C00001 -&gt; C00020 + C01185 | (${Variables:E3_6_1_9_kcat} * E3_6_1_9 * C00857 * C00001)/(${Variables:E3_6_1_9_km} + (E3_6_1_9 * C00857 * C00001))</v>
      </c>
    </row>
    <row r="905" spans="1:11">
      <c r="A905" t="s">
        <v>5978</v>
      </c>
      <c r="B905" t="s">
        <v>5979</v>
      </c>
      <c r="C905" t="s">
        <v>15642</v>
      </c>
      <c r="D905">
        <v>904</v>
      </c>
      <c r="E905" t="str">
        <f t="shared" si="42"/>
        <v>E3_6_1_9</v>
      </c>
      <c r="F905" t="s">
        <v>9819</v>
      </c>
      <c r="G905" t="s">
        <v>11837</v>
      </c>
      <c r="H905" t="s">
        <v>9820</v>
      </c>
      <c r="I905" t="s">
        <v>12536</v>
      </c>
      <c r="J905" t="str">
        <f t="shared" si="43"/>
        <v>(${Variables:E3_6_1_9_kcat} * E3_6_1_9 * C00882 * C00001)/(${Variables:E3_6_1_9_km} + (E3_6_1_9 * C00882 * C00001))</v>
      </c>
      <c r="K905" s="21" t="str">
        <f t="shared" si="44"/>
        <v>r904: C00882 + C00001 -&gt; C01134 + C00020 | (${Variables:E3_6_1_9_kcat} * E3_6_1_9 * C00882 * C00001)/(${Variables:E3_6_1_9_km} + (E3_6_1_9 * C00882 * C00001))</v>
      </c>
    </row>
    <row r="906" spans="1:11">
      <c r="A906" t="s">
        <v>5982</v>
      </c>
      <c r="B906" t="s">
        <v>5983</v>
      </c>
      <c r="C906" t="s">
        <v>15643</v>
      </c>
      <c r="D906">
        <v>905</v>
      </c>
      <c r="E906" t="str">
        <f t="shared" si="42"/>
        <v>E2_7_7_56</v>
      </c>
      <c r="F906" t="s">
        <v>9823</v>
      </c>
      <c r="G906" t="s">
        <v>11838</v>
      </c>
      <c r="H906" t="s">
        <v>9824</v>
      </c>
      <c r="I906" t="s">
        <v>12537</v>
      </c>
      <c r="J906" t="str">
        <f t="shared" si="43"/>
        <v>(${Variables:E2_7_7_56_kcat} * E2_7_7_56 * C00066 * C00009)/(${Variables:E2_7_7_56_km} + (E2_7_7_56 * C00066 * C00009))</v>
      </c>
      <c r="K906" s="21" t="str">
        <f t="shared" si="44"/>
        <v>r905: C00066 + C00009 -&gt; C00066 + C00454 | (${Variables:E2_7_7_56_kcat} * E2_7_7_56 * C00066 * C00009)/(${Variables:E2_7_7_56_km} + (E2_7_7_56 * C00066 * C00009))</v>
      </c>
    </row>
    <row r="907" spans="1:11">
      <c r="A907" t="s">
        <v>5990</v>
      </c>
      <c r="B907" t="s">
        <v>5991</v>
      </c>
      <c r="C907" t="s">
        <v>15644</v>
      </c>
      <c r="D907">
        <v>906</v>
      </c>
      <c r="E907" t="str">
        <f t="shared" si="42"/>
        <v>E5_1_1_3</v>
      </c>
      <c r="F907" t="s">
        <v>9827</v>
      </c>
      <c r="G907" t="s">
        <v>9827</v>
      </c>
      <c r="H907" t="s">
        <v>9828</v>
      </c>
      <c r="I907" t="s">
        <v>9828</v>
      </c>
      <c r="J907" t="str">
        <f t="shared" si="43"/>
        <v>(${Variables:E5_1_1_3_kcat} * E5_1_1_3 * C00025)/(${Variables:E5_1_1_3_km} + (E5_1_1_3 * C00025))</v>
      </c>
      <c r="K907" s="21" t="str">
        <f t="shared" si="44"/>
        <v>r906: C00025 -&gt; C00217 | (${Variables:E5_1_1_3_kcat} * E5_1_1_3 * C00025)/(${Variables:E5_1_1_3_km} + (E5_1_1_3 * C00025))</v>
      </c>
    </row>
    <row r="908" spans="1:11">
      <c r="A908" t="s">
        <v>6005</v>
      </c>
      <c r="B908" t="s">
        <v>6006</v>
      </c>
      <c r="C908" t="s">
        <v>15645</v>
      </c>
      <c r="D908">
        <v>907</v>
      </c>
      <c r="E908" t="str">
        <f t="shared" si="42"/>
        <v>E6_3_4_21</v>
      </c>
      <c r="F908" t="s">
        <v>9831</v>
      </c>
      <c r="G908" t="s">
        <v>11839</v>
      </c>
      <c r="H908" t="s">
        <v>9832</v>
      </c>
      <c r="I908" t="s">
        <v>12538</v>
      </c>
      <c r="J908" t="str">
        <f t="shared" si="43"/>
        <v>(${Variables:E6_3_4_21_kcat} * E6_3_4_21 * C01185 * C00013 * C00008 * C00009)/(${Variables:E6_3_4_21_km} + (E6_3_4_21 * C01185 * C00013 * C00008 * C00009))</v>
      </c>
      <c r="K908" s="21" t="str">
        <f t="shared" si="44"/>
        <v>r907: C01185 + C00013 + C00008 + C00009 -&gt; C00253 + C00119 + C00002 + C00001 + C00080 | (${Variables:E6_3_4_21_kcat} * E6_3_4_21 * C01185 * C00013 * C00008 * C00009)/(${Variables:E6_3_4_21_km} + (E6_3_4_21 * C01185 * C00013 * C00008 * C00009))</v>
      </c>
    </row>
    <row r="909" spans="1:11">
      <c r="A909" t="s">
        <v>6015</v>
      </c>
      <c r="B909" t="s">
        <v>6016</v>
      </c>
      <c r="C909" t="s">
        <v>15358</v>
      </c>
      <c r="D909">
        <v>908</v>
      </c>
      <c r="E909" t="str">
        <f t="shared" si="42"/>
        <v>E3_1_3_3</v>
      </c>
      <c r="F909" t="s">
        <v>10549</v>
      </c>
      <c r="G909" t="s">
        <v>11368</v>
      </c>
      <c r="H909" t="s">
        <v>10550</v>
      </c>
      <c r="I909" t="s">
        <v>12055</v>
      </c>
      <c r="J909" t="str">
        <f t="shared" si="43"/>
        <v>(${Variables:E3_1_3_3_kcat} * E3_1_3_3 * C01005 * C00001)/(${Variables:E3_1_3_3_km} + (E3_1_3_3 * C01005 * C00001))</v>
      </c>
      <c r="K909" s="21" t="str">
        <f t="shared" si="44"/>
        <v>r908: C01005 + C00001 -&gt; C00065 + C00009 | (${Variables:E3_1_3_3_kcat} * E3_1_3_3 * C01005 * C00001)/(${Variables:E3_1_3_3_km} + (E3_1_3_3 * C01005 * C00001))</v>
      </c>
    </row>
    <row r="910" spans="1:11">
      <c r="A910" t="s">
        <v>6015</v>
      </c>
      <c r="B910" t="s">
        <v>6016</v>
      </c>
      <c r="C910" t="s">
        <v>15358</v>
      </c>
      <c r="D910">
        <v>909</v>
      </c>
      <c r="E910" t="str">
        <f t="shared" si="42"/>
        <v>E3_1_3_3</v>
      </c>
      <c r="F910" t="s">
        <v>10155</v>
      </c>
      <c r="G910" t="s">
        <v>11840</v>
      </c>
      <c r="H910" t="s">
        <v>10154</v>
      </c>
      <c r="I910" t="s">
        <v>12430</v>
      </c>
      <c r="J910" t="str">
        <f t="shared" si="43"/>
        <v>(${Variables:E3_1_3_3_kcat} * E3_1_3_3 * C02532 * C00001 )/(${Variables:E3_1_3_3_km} + (E3_1_3_3 * C02532 * C00001 ))</v>
      </c>
      <c r="K910" s="21" t="str">
        <f t="shared" si="44"/>
        <v>r909: C02532 + C00001  -&gt; C00740 + C00009 | (${Variables:E3_1_3_3_kcat} * E3_1_3_3 * C02532 * C00001 )/(${Variables:E3_1_3_3_km} + (E3_1_3_3 * C02532 * C00001 ))</v>
      </c>
    </row>
    <row r="911" spans="1:11">
      <c r="A911" t="s">
        <v>6019</v>
      </c>
      <c r="B911" t="s">
        <v>6020</v>
      </c>
      <c r="C911" t="s">
        <v>15588</v>
      </c>
      <c r="D911">
        <v>910</v>
      </c>
      <c r="E911" t="str">
        <f t="shared" si="42"/>
        <v>E7_1_1_9</v>
      </c>
      <c r="F911" t="s">
        <v>15858</v>
      </c>
      <c r="G911" t="s">
        <v>15857</v>
      </c>
      <c r="H911" t="s">
        <v>15825</v>
      </c>
      <c r="I911" t="s">
        <v>15832</v>
      </c>
      <c r="J911" t="str">
        <f t="shared" si="43"/>
        <v>(${Variables:E7_1_1_9_kcat} * E7_1_1_9 * C00007 * C00126 *  C00080)/(${Variables:E7_1_1_9_km} + (E7_1_1_9 * C00007 * C00126 *  C00080))</v>
      </c>
      <c r="K911" s="21" t="str">
        <f t="shared" si="44"/>
        <v>r910: C00007 + C00126 + C00080 -&gt; C00125 + C00001 + C00080 | (${Variables:E7_1_1_9_kcat} * E7_1_1_9 * C00007 * C00126 *  C00080)/(${Variables:E7_1_1_9_km} + (E7_1_1_9 * C00007 * C00126 *  C00080))</v>
      </c>
    </row>
    <row r="912" spans="1:11">
      <c r="A912" t="s">
        <v>6019</v>
      </c>
      <c r="B912" t="s">
        <v>6020</v>
      </c>
      <c r="C912" t="s">
        <v>15588</v>
      </c>
      <c r="D912">
        <v>911</v>
      </c>
      <c r="E912" t="str">
        <f t="shared" si="42"/>
        <v>E7_1_1_9</v>
      </c>
      <c r="F912" t="s">
        <v>15859</v>
      </c>
      <c r="G912" t="s">
        <v>15856</v>
      </c>
      <c r="H912" t="s">
        <v>15826</v>
      </c>
      <c r="I912" t="s">
        <v>15833</v>
      </c>
      <c r="J912" t="str">
        <f t="shared" si="43"/>
        <v>(${Variables:E7_1_1_9_kcat} * E7_1_1_9 * C00007 * C01000)/(${Variables:E7_1_1_9_km} + (E7_1_1_9 * C00007 * C01000))</v>
      </c>
      <c r="K912" s="21" t="str">
        <f t="shared" si="44"/>
        <v>r911: C00007 + C01000 -&gt; C00997 + C00001 | (${Variables:E7_1_1_9_kcat} * E7_1_1_9 * C00007 * C01000)/(${Variables:E7_1_1_9_km} + (E7_1_1_9 * C00007 * C01000))</v>
      </c>
    </row>
    <row r="913" spans="1:11">
      <c r="A913" t="s">
        <v>6030</v>
      </c>
      <c r="B913" t="s">
        <v>6031</v>
      </c>
      <c r="C913" t="s">
        <v>15646</v>
      </c>
      <c r="D913">
        <v>912</v>
      </c>
      <c r="E913" t="str">
        <f t="shared" si="42"/>
        <v>E1_17_4_1</v>
      </c>
      <c r="F913" t="s">
        <v>11172</v>
      </c>
      <c r="G913" t="s">
        <v>11841</v>
      </c>
      <c r="H913" t="s">
        <v>11173</v>
      </c>
      <c r="I913" t="s">
        <v>12539</v>
      </c>
      <c r="J913" t="str">
        <f t="shared" si="43"/>
        <v>(${Variables:E1_17_4_1_kcat} * E1_17_4_1 * C04232 * C00343 * C00001)/(${Variables:E1_17_4_1_km} + (E1_17_4_1 * C04232 * C00343 * C00001))</v>
      </c>
      <c r="K913" s="21" t="str">
        <f t="shared" si="44"/>
        <v>r912: C04232 + C00343 + C00001 -&gt; C03723 + C00342 | (${Variables:E1_17_4_1_kcat} * E1_17_4_1 * C04232 * C00343 * C00001)/(${Variables:E1_17_4_1_km} + (E1_17_4_1 * C04232 * C00343 * C00001))</v>
      </c>
    </row>
    <row r="914" spans="1:11">
      <c r="A914" t="s">
        <v>6030</v>
      </c>
      <c r="B914" t="s">
        <v>6031</v>
      </c>
      <c r="C914" t="s">
        <v>15646</v>
      </c>
      <c r="D914">
        <v>913</v>
      </c>
      <c r="E914" t="str">
        <f t="shared" si="42"/>
        <v>E1_17_4_1</v>
      </c>
      <c r="F914" t="s">
        <v>11174</v>
      </c>
      <c r="G914" t="s">
        <v>11842</v>
      </c>
      <c r="H914" t="s">
        <v>11175</v>
      </c>
      <c r="I914" t="s">
        <v>12540</v>
      </c>
      <c r="J914" t="str">
        <f t="shared" si="43"/>
        <v>(${Variables:E1_17_4_1_kcat} * E1_17_4_1 * C00206 * C00343 * C00001)/(${Variables:E1_17_4_1_km} + (E1_17_4_1 * C00206 * C00343 * C00001))</v>
      </c>
      <c r="K914" s="21" t="str">
        <f t="shared" si="44"/>
        <v>r913: C00206 + C00343 + C00001 -&gt; C00342 + C00008 | (${Variables:E1_17_4_1_kcat} * E1_17_4_1 * C00206 * C00343 * C00001)/(${Variables:E1_17_4_1_km} + (E1_17_4_1 * C00206 * C00343 * C00001))</v>
      </c>
    </row>
    <row r="915" spans="1:11">
      <c r="A915" t="s">
        <v>6030</v>
      </c>
      <c r="B915" t="s">
        <v>6031</v>
      </c>
      <c r="C915" t="s">
        <v>15646</v>
      </c>
      <c r="D915">
        <v>914</v>
      </c>
      <c r="E915" t="str">
        <f t="shared" si="42"/>
        <v>E1_17_4_1</v>
      </c>
      <c r="F915" t="s">
        <v>11176</v>
      </c>
      <c r="G915" t="s">
        <v>11843</v>
      </c>
      <c r="H915" t="s">
        <v>11177</v>
      </c>
      <c r="I915" t="s">
        <v>12541</v>
      </c>
      <c r="J915" t="str">
        <f t="shared" si="43"/>
        <v>(${Variables:E1_17_4_1_kcat} * E1_17_4_1 * C01346 * C00343 * C00001)/(${Variables:E1_17_4_1_km} + (E1_17_4_1 * C01346 * C00343 * C00001))</v>
      </c>
      <c r="K915" s="21" t="str">
        <f t="shared" si="44"/>
        <v>r914: C01346 + C00343 + C00001 -&gt; C00342 + C00015 | (${Variables:E1_17_4_1_kcat} * E1_17_4_1 * C01346 * C00343 * C00001)/(${Variables:E1_17_4_1_km} + (E1_17_4_1 * C01346 * C00343 * C00001))</v>
      </c>
    </row>
    <row r="916" spans="1:11">
      <c r="A916" t="s">
        <v>6030</v>
      </c>
      <c r="B916" t="s">
        <v>6031</v>
      </c>
      <c r="C916" t="s">
        <v>15646</v>
      </c>
      <c r="D916">
        <v>915</v>
      </c>
      <c r="E916" t="str">
        <f t="shared" si="42"/>
        <v>E1_17_4_1</v>
      </c>
      <c r="F916" t="s">
        <v>11178</v>
      </c>
      <c r="G916" t="s">
        <v>11844</v>
      </c>
      <c r="H916" t="s">
        <v>11179</v>
      </c>
      <c r="I916" t="s">
        <v>12542</v>
      </c>
      <c r="J916" t="str">
        <f t="shared" si="43"/>
        <v>(${Variables:E1_17_4_1_kcat} * E1_17_4_1 * C00361 * C00343 * C00001)/(${Variables:E1_17_4_1_km} + (E1_17_4_1 * C00361 * C00343 * C00001))</v>
      </c>
      <c r="K916" s="21" t="str">
        <f t="shared" si="44"/>
        <v>r915: C00361 + C00343 + C00001 -&gt; C00035 + C00342 | (${Variables:E1_17_4_1_kcat} * E1_17_4_1 * C00361 * C00343 * C00001)/(${Variables:E1_17_4_1_km} + (E1_17_4_1 * C00361 * C00343 * C00001))</v>
      </c>
    </row>
    <row r="917" spans="1:11">
      <c r="A917" t="s">
        <v>6030</v>
      </c>
      <c r="B917" t="s">
        <v>6031</v>
      </c>
      <c r="C917" t="s">
        <v>15646</v>
      </c>
      <c r="D917">
        <v>916</v>
      </c>
      <c r="E917" t="str">
        <f t="shared" si="42"/>
        <v>E1_17_4_1</v>
      </c>
      <c r="F917" t="s">
        <v>11180</v>
      </c>
      <c r="G917" t="s">
        <v>11845</v>
      </c>
      <c r="H917" t="s">
        <v>11181</v>
      </c>
      <c r="I917" t="s">
        <v>15944</v>
      </c>
      <c r="J917" t="str">
        <f t="shared" si="43"/>
        <v>(${Variables:E1_17_4_1_kcat} * E1_17_4_1 * C00705 * C00343 * C00001)/(${Variables:E1_17_4_1_km} + (E1_17_4_1 * C00705 * C00343 * C00001))</v>
      </c>
      <c r="K917" s="21" t="str">
        <f t="shared" si="44"/>
        <v>r916: C00705 + C00343 + C00001 -&gt;  C00342 + C00112 | (${Variables:E1_17_4_1_kcat} * E1_17_4_1 * C00705 * C00343 * C00001)/(${Variables:E1_17_4_1_km} + (E1_17_4_1 * C00705 * C00343 * C00001))</v>
      </c>
    </row>
    <row r="918" spans="1:11">
      <c r="A918" t="s">
        <v>6030</v>
      </c>
      <c r="B918" t="s">
        <v>6031</v>
      </c>
      <c r="C918" t="s">
        <v>15646</v>
      </c>
      <c r="D918">
        <v>917</v>
      </c>
      <c r="E918" t="str">
        <f t="shared" si="42"/>
        <v>E1_17_4_1</v>
      </c>
      <c r="F918" t="s">
        <v>11182</v>
      </c>
      <c r="G918" t="s">
        <v>11846</v>
      </c>
      <c r="H918" t="s">
        <v>11183</v>
      </c>
      <c r="I918" t="s">
        <v>12543</v>
      </c>
      <c r="J918" t="str">
        <f t="shared" si="43"/>
        <v>(${Variables:E1_17_4_1_kcat} * E1_17_4_1 * C04232 * C16664 * C00001)/(${Variables:E1_17_4_1_km} + (E1_17_4_1 * C04232 * C16664 * C00001))</v>
      </c>
      <c r="K918" s="21" t="str">
        <f t="shared" si="44"/>
        <v>r917: C04232 + C16664 + C00001 -&gt; C03723 + C16663 | (${Variables:E1_17_4_1_kcat} * E1_17_4_1 * C04232 * C16664 * C00001)/(${Variables:E1_17_4_1_km} + (E1_17_4_1 * C04232 * C16664 * C00001))</v>
      </c>
    </row>
    <row r="919" spans="1:11">
      <c r="A919" t="s">
        <v>6030</v>
      </c>
      <c r="B919" t="s">
        <v>6031</v>
      </c>
      <c r="C919" t="s">
        <v>15646</v>
      </c>
      <c r="D919">
        <v>918</v>
      </c>
      <c r="E919" t="str">
        <f t="shared" si="42"/>
        <v>E1_17_4_1</v>
      </c>
      <c r="F919" t="s">
        <v>11184</v>
      </c>
      <c r="G919" t="s">
        <v>11847</v>
      </c>
      <c r="H919" t="s">
        <v>11185</v>
      </c>
      <c r="I919" t="s">
        <v>12544</v>
      </c>
      <c r="J919" t="str">
        <f t="shared" si="43"/>
        <v>(${Variables:E1_17_4_1_kcat} * E1_17_4_1 * C04232 * C03170 * C00001)/(${Variables:E1_17_4_1_km} + (E1_17_4_1 * C04232 * C03170 * C00001))</v>
      </c>
      <c r="K919" s="21" t="str">
        <f t="shared" si="44"/>
        <v>r918: C04232 + C03170 + C00001 -&gt; C03723 + C02090 | (${Variables:E1_17_4_1_kcat} * E1_17_4_1 * C04232 * C03170 * C00001)/(${Variables:E1_17_4_1_km} + (E1_17_4_1 * C04232 * C03170 * C00001))</v>
      </c>
    </row>
    <row r="920" spans="1:11">
      <c r="A920" t="s">
        <v>6030</v>
      </c>
      <c r="B920" t="s">
        <v>6031</v>
      </c>
      <c r="C920" t="s">
        <v>15646</v>
      </c>
      <c r="D920">
        <v>919</v>
      </c>
      <c r="E920" t="str">
        <f t="shared" si="42"/>
        <v>E1_17_4_1</v>
      </c>
      <c r="F920" t="s">
        <v>11186</v>
      </c>
      <c r="G920" t="s">
        <v>11848</v>
      </c>
      <c r="H920" t="s">
        <v>11187</v>
      </c>
      <c r="I920" t="s">
        <v>12545</v>
      </c>
      <c r="J920" t="str">
        <f t="shared" si="43"/>
        <v>(${Variables:E1_17_4_1_kcat} * E1_17_4_1 * C21750 * C00343 * C00001)/(${Variables:E1_17_4_1_km} + (E1_17_4_1 * C21750 * C00343 * C00001))</v>
      </c>
      <c r="K920" s="21" t="str">
        <f t="shared" si="44"/>
        <v>r919: C21750 + C00343 + C00001 -&gt; C21748 + C00342 | (${Variables:E1_17_4_1_kcat} * E1_17_4_1 * C21750 * C00343 * C00001)/(${Variables:E1_17_4_1_km} + (E1_17_4_1 * C21750 * C00343 * C00001))</v>
      </c>
    </row>
    <row r="921" spans="1:11">
      <c r="A921" t="s">
        <v>6049</v>
      </c>
      <c r="B921" t="s">
        <v>6050</v>
      </c>
      <c r="C921" t="s">
        <v>15647</v>
      </c>
      <c r="D921">
        <v>920</v>
      </c>
      <c r="E921" t="str">
        <f t="shared" si="42"/>
        <v>E6_3_1_5</v>
      </c>
      <c r="F921" t="s">
        <v>9692</v>
      </c>
      <c r="G921" t="s">
        <v>11849</v>
      </c>
      <c r="H921" t="s">
        <v>9693</v>
      </c>
      <c r="I921" t="s">
        <v>12546</v>
      </c>
      <c r="J921" t="str">
        <f t="shared" si="43"/>
        <v>(${Variables:E6_3_1_5_kcat} * E6_3_1_5 * C00002 * C00857 * C00014 )/(${Variables:E6_3_1_5_km} + (E6_3_1_5 * C00002 * C00857 * C00014 ))</v>
      </c>
      <c r="K921" s="21" t="str">
        <f t="shared" si="44"/>
        <v>r920: C00002 + C00857 + C00014  -&gt; C00020 + C00013 + C00003 | (${Variables:E6_3_1_5_kcat} * E6_3_1_5 * C00002 * C00857 * C00014 )/(${Variables:E6_3_1_5_km} + (E6_3_1_5 * C00002 * C00857 * C00014 ))</v>
      </c>
    </row>
    <row r="922" spans="1:11">
      <c r="A922" t="s">
        <v>6059</v>
      </c>
      <c r="B922" t="s">
        <v>6060</v>
      </c>
      <c r="C922" t="s">
        <v>15317</v>
      </c>
      <c r="D922">
        <v>921</v>
      </c>
      <c r="E922" t="str">
        <f t="shared" si="42"/>
        <v>E2_7_11_1</v>
      </c>
      <c r="F922" t="s">
        <v>10495</v>
      </c>
      <c r="G922" t="s">
        <v>11312</v>
      </c>
      <c r="H922" t="s">
        <v>10496</v>
      </c>
      <c r="I922" t="s">
        <v>12005</v>
      </c>
      <c r="J922" t="str">
        <f t="shared" si="43"/>
        <v>(${Variables:E2_7_11_1_kcat} * E2_7_11_1 * C00002 *C00017)/(${Variables:E2_7_11_1_km} + (E2_7_11_1 * C00002 *C00017))</v>
      </c>
      <c r="K922" s="21" t="str">
        <f t="shared" si="44"/>
        <v>r921: C00002 +C00017 -&gt; C00008 + C00562 | (${Variables:E2_7_11_1_kcat} * E2_7_11_1 * C00002 *C00017)/(${Variables:E2_7_11_1_km} + (E2_7_11_1 * C00002 *C00017))</v>
      </c>
    </row>
    <row r="923" spans="1:11">
      <c r="A923" t="s">
        <v>6059</v>
      </c>
      <c r="B923" t="s">
        <v>6060</v>
      </c>
      <c r="C923" t="s">
        <v>15317</v>
      </c>
      <c r="D923">
        <v>922</v>
      </c>
      <c r="E923" t="str">
        <f t="shared" si="42"/>
        <v>E2_7_11_1</v>
      </c>
      <c r="F923" t="s">
        <v>10161</v>
      </c>
      <c r="G923" t="s">
        <v>11680</v>
      </c>
      <c r="H923" t="s">
        <v>10160</v>
      </c>
      <c r="I923" t="s">
        <v>12006</v>
      </c>
      <c r="J923" t="str">
        <f t="shared" si="43"/>
        <v>(${Variables:E2_7_11_1_kcat} * E2_7_11_1 * C00002 * C01609 )/(${Variables:E2_7_11_1_km} + (E2_7_11_1 * C00002 * C01609 ))</v>
      </c>
      <c r="K923" s="21" t="str">
        <f t="shared" si="44"/>
        <v>r922: C00002 + C01609  -&gt; C00008 + C02729 | (${Variables:E2_7_11_1_kcat} * E2_7_11_1 * C00002 * C01609 )/(${Variables:E2_7_11_1_km} + (E2_7_11_1 * C00002 * C01609 ))</v>
      </c>
    </row>
    <row r="924" spans="1:11">
      <c r="A924" t="s">
        <v>6103</v>
      </c>
      <c r="B924" t="s">
        <v>6104</v>
      </c>
      <c r="C924" t="s">
        <v>15648</v>
      </c>
      <c r="D924">
        <v>923</v>
      </c>
      <c r="E924" t="str">
        <f t="shared" si="42"/>
        <v>E2_5_1_7</v>
      </c>
      <c r="F924" t="s">
        <v>9835</v>
      </c>
      <c r="G924" t="s">
        <v>11850</v>
      </c>
      <c r="H924" t="s">
        <v>9836</v>
      </c>
      <c r="I924" t="s">
        <v>12547</v>
      </c>
      <c r="J924" t="str">
        <f t="shared" si="43"/>
        <v>(${Variables:E2_5_1_7_kcat} * E2_5_1_7 * C00074 * C00043 )/(${Variables:E2_5_1_7_km} + (E2_5_1_7 * C00074 * C00043 ))</v>
      </c>
      <c r="K924" s="21" t="str">
        <f t="shared" si="44"/>
        <v>r923: C00074 + C00043  -&gt; C04631 + C00009 | (${Variables:E2_5_1_7_kcat} * E2_5_1_7 * C00074 * C00043 )/(${Variables:E2_5_1_7_km} + (E2_5_1_7 * C00074 * C00043 ))</v>
      </c>
    </row>
    <row r="925" spans="1:11">
      <c r="A925" t="s">
        <v>6110</v>
      </c>
      <c r="B925" t="s">
        <v>6111</v>
      </c>
      <c r="C925" t="s">
        <v>15649</v>
      </c>
      <c r="D925">
        <v>924</v>
      </c>
      <c r="E925" t="str">
        <f t="shared" si="42"/>
        <v>E2_5_1_47</v>
      </c>
      <c r="F925" t="s">
        <v>9839</v>
      </c>
      <c r="G925" t="s">
        <v>11851</v>
      </c>
      <c r="H925" t="s">
        <v>9840</v>
      </c>
      <c r="I925" t="s">
        <v>12548</v>
      </c>
      <c r="J925" t="str">
        <f t="shared" si="43"/>
        <v>(${Variables:E2_5_1_47_kcat} * E2_5_1_47 * C00979 * C00283)/(${Variables:E2_5_1_47_km} + (E2_5_1_47 * C00979 * C00283))</v>
      </c>
      <c r="K925" s="21" t="str">
        <f t="shared" si="44"/>
        <v>r924: C00979 + C00283 -&gt; C00097 + C00033 | (${Variables:E2_5_1_47_kcat} * E2_5_1_47 * C00979 * C00283)/(${Variables:E2_5_1_47_km} + (E2_5_1_47 * C00979 * C00283))</v>
      </c>
    </row>
    <row r="926" spans="1:11">
      <c r="A926" t="s">
        <v>6110</v>
      </c>
      <c r="B926" t="s">
        <v>6111</v>
      </c>
      <c r="C926" t="s">
        <v>15649</v>
      </c>
      <c r="D926">
        <v>925</v>
      </c>
      <c r="E926" t="str">
        <f t="shared" si="42"/>
        <v>E2_5_1_47</v>
      </c>
      <c r="F926" t="s">
        <v>9841</v>
      </c>
      <c r="G926" t="s">
        <v>11852</v>
      </c>
      <c r="H926" t="s">
        <v>9842</v>
      </c>
      <c r="I926" t="s">
        <v>12549</v>
      </c>
      <c r="J926" t="str">
        <f t="shared" si="43"/>
        <v>(${Variables:E2_5_1_47_kcat} * E2_5_1_47 * C00979 * C01528)/(${Variables:E2_5_1_47_km} + (E2_5_1_47 * C00979 * C01528))</v>
      </c>
      <c r="K926" s="21" t="str">
        <f t="shared" si="44"/>
        <v>r925: C00979 + C01528 -&gt; C05688 + C00033 | (${Variables:E2_5_1_47_kcat} * E2_5_1_47 * C00979 * C01528)/(${Variables:E2_5_1_47_km} + (E2_5_1_47 * C00979 * C01528))</v>
      </c>
    </row>
    <row r="927" spans="1:11">
      <c r="A927" t="s">
        <v>6110</v>
      </c>
      <c r="B927" t="s">
        <v>6111</v>
      </c>
      <c r="C927" t="s">
        <v>15649</v>
      </c>
      <c r="D927">
        <v>926</v>
      </c>
      <c r="E927" t="str">
        <f t="shared" si="42"/>
        <v>E2_5_1_47</v>
      </c>
      <c r="F927" t="s">
        <v>9843</v>
      </c>
      <c r="G927" t="s">
        <v>11853</v>
      </c>
      <c r="H927" t="s">
        <v>9844</v>
      </c>
      <c r="I927" t="s">
        <v>12550</v>
      </c>
      <c r="J927" t="str">
        <f t="shared" si="43"/>
        <v>(${Variables:E2_5_1_47_kcat} * E2_5_1_47 * C00979 * C00320 * C00342 * C00080)/(${Variables:E2_5_1_47_km} + (E2_5_1_47 * C00979 * C00320 * C00342 * C00080))</v>
      </c>
      <c r="K927" s="21" t="str">
        <f t="shared" si="44"/>
        <v>r926: C00979 + C00320 + C00342 + C00080 -&gt; C00097 + C00094 + C00343 + C00033 | (${Variables:E2_5_1_47_kcat} * E2_5_1_47 * C00979 * C00320 * C00342 * C00080)/(${Variables:E2_5_1_47_km} + (E2_5_1_47 * C00979 * C00320 * C00342 * C00080))</v>
      </c>
    </row>
    <row r="928" spans="1:11">
      <c r="A928" t="s">
        <v>6110</v>
      </c>
      <c r="B928" t="s">
        <v>6111</v>
      </c>
      <c r="C928" t="s">
        <v>15649</v>
      </c>
      <c r="D928">
        <v>927</v>
      </c>
      <c r="E928" t="str">
        <f t="shared" si="42"/>
        <v>E2_5_1_47</v>
      </c>
      <c r="F928" t="s">
        <v>9845</v>
      </c>
      <c r="G928" t="s">
        <v>11854</v>
      </c>
      <c r="H928" t="s">
        <v>9846</v>
      </c>
      <c r="I928" t="s">
        <v>12551</v>
      </c>
      <c r="J928" t="str">
        <f t="shared" si="43"/>
        <v>(${Variables:E2_5_1_47_kcat} * E2_5_1_47 * C01005 * C00283)/(${Variables:E2_5_1_47_km} + (E2_5_1_47 * C01005 * C00283))</v>
      </c>
      <c r="K928" s="21" t="str">
        <f t="shared" si="44"/>
        <v>r927: C01005 + C00283 -&gt; C00097 + C00009 | (${Variables:E2_5_1_47_kcat} * E2_5_1_47 * C01005 * C00283)/(${Variables:E2_5_1_47_km} + (E2_5_1_47 * C01005 * C00283))</v>
      </c>
    </row>
    <row r="929" spans="1:11">
      <c r="A929" t="s">
        <v>6114</v>
      </c>
      <c r="B929" t="s">
        <v>6115</v>
      </c>
      <c r="C929" t="s">
        <v>15650</v>
      </c>
      <c r="D929">
        <v>928</v>
      </c>
      <c r="E929" t="str">
        <f t="shared" si="42"/>
        <v>E2_3_1_30</v>
      </c>
      <c r="F929" t="s">
        <v>9849</v>
      </c>
      <c r="G929" t="s">
        <v>11855</v>
      </c>
      <c r="H929" t="s">
        <v>9850</v>
      </c>
      <c r="I929" t="s">
        <v>12552</v>
      </c>
      <c r="J929" t="str">
        <f t="shared" si="43"/>
        <v>(${Variables:E2_3_1_30_kcat} * E2_3_1_30 * C00065 * C00024)/(${Variables:E2_3_1_30_km} + (E2_3_1_30 * C00065 * C00024))</v>
      </c>
      <c r="K929" s="21" t="str">
        <f t="shared" si="44"/>
        <v>r928: C00065 + C00024 -&gt; C00979 + C00010 | (${Variables:E2_3_1_30_kcat} * E2_3_1_30 * C00065 * C00024)/(${Variables:E2_3_1_30_km} + (E2_3_1_30 * C00065 * C00024))</v>
      </c>
    </row>
    <row r="930" spans="1:11">
      <c r="A930" t="s">
        <v>6157</v>
      </c>
      <c r="B930" t="s">
        <v>6158</v>
      </c>
      <c r="C930" t="s">
        <v>15651</v>
      </c>
      <c r="D930">
        <v>929</v>
      </c>
      <c r="E930" t="str">
        <f t="shared" si="42"/>
        <v>E2_3_1_189</v>
      </c>
      <c r="F930" t="s">
        <v>9854</v>
      </c>
      <c r="G930" t="s">
        <v>11856</v>
      </c>
      <c r="H930" t="s">
        <v>9855</v>
      </c>
      <c r="I930" t="s">
        <v>12553</v>
      </c>
      <c r="J930" t="str">
        <f t="shared" si="43"/>
        <v>(${Variables:E2_3_1_189_kcat} * E2_3_1_189 * C19703 * C00024)/(${Variables:E2_3_1_189_km} + (E2_3_1_189 * C19703 * C00024))</v>
      </c>
      <c r="K930" s="21" t="str">
        <f t="shared" si="44"/>
        <v>r929: C19703 + C00024 -&gt; C06717 + C00010 | (${Variables:E2_3_1_189_kcat} * E2_3_1_189 * C19703 * C00024)/(${Variables:E2_3_1_189_km} + (E2_3_1_189 * C19703 * C00024))</v>
      </c>
    </row>
    <row r="931" spans="1:11">
      <c r="A931" t="s">
        <v>6163</v>
      </c>
      <c r="B931" t="s">
        <v>6164</v>
      </c>
      <c r="C931" t="s">
        <v>15652</v>
      </c>
      <c r="D931">
        <v>930</v>
      </c>
      <c r="E931" t="str">
        <f t="shared" si="42"/>
        <v>E2_7_1_107</v>
      </c>
      <c r="F931" t="s">
        <v>9858</v>
      </c>
      <c r="G931" t="s">
        <v>11857</v>
      </c>
      <c r="H931" t="s">
        <v>9859</v>
      </c>
      <c r="I931" t="s">
        <v>12554</v>
      </c>
      <c r="J931" t="str">
        <f t="shared" si="43"/>
        <v>(${Variables:E2_7_1_107_kcat} * E2_7_1_107 * C00002 * C00641 )/(${Variables:E2_7_1_107_km} + (E2_7_1_107 * C00002 * C00641 ))</v>
      </c>
      <c r="K931" s="21" t="str">
        <f t="shared" si="44"/>
        <v>r930: C00002 + C00641  -&gt; C00008 + C00416 | (${Variables:E2_7_1_107_kcat} * E2_7_1_107 * C00002 * C00641 )/(${Variables:E2_7_1_107_km} + (E2_7_1_107 * C00002 * C00641 ))</v>
      </c>
    </row>
    <row r="932" spans="1:11">
      <c r="A932" t="s">
        <v>6169</v>
      </c>
      <c r="B932" t="s">
        <v>6170</v>
      </c>
      <c r="C932" t="s">
        <v>15653</v>
      </c>
      <c r="D932">
        <v>931</v>
      </c>
      <c r="E932" t="str">
        <f t="shared" si="42"/>
        <v>E2_6_1_21</v>
      </c>
      <c r="F932" t="s">
        <v>9862</v>
      </c>
      <c r="G932" t="s">
        <v>11858</v>
      </c>
      <c r="H932" t="s">
        <v>9863</v>
      </c>
      <c r="I932" t="s">
        <v>12555</v>
      </c>
      <c r="J932" t="str">
        <f t="shared" si="43"/>
        <v>(${Variables:E2_6_1_21_kcat} * E2_6_1_21 * C00133 * C00026)/(${Variables:E2_6_1_21_km} + (E2_6_1_21 * C00133 * C00026))</v>
      </c>
      <c r="K932" s="21" t="str">
        <f t="shared" si="44"/>
        <v>r931: C00133 + C00026 -&gt; C00022 + C00217 | (${Variables:E2_6_1_21_kcat} * E2_6_1_21 * C00133 * C00026)/(${Variables:E2_6_1_21_km} + (E2_6_1_21 * C00133 * C00026))</v>
      </c>
    </row>
    <row r="933" spans="1:11">
      <c r="A933" t="s">
        <v>6169</v>
      </c>
      <c r="B933" t="s">
        <v>6170</v>
      </c>
      <c r="C933" t="s">
        <v>15653</v>
      </c>
      <c r="D933">
        <v>932</v>
      </c>
      <c r="E933" t="str">
        <f t="shared" si="42"/>
        <v>E2_6_1_21</v>
      </c>
      <c r="F933" t="s">
        <v>9864</v>
      </c>
      <c r="G933" t="s">
        <v>11859</v>
      </c>
      <c r="H933" t="s">
        <v>9865</v>
      </c>
      <c r="I933" t="s">
        <v>12556</v>
      </c>
      <c r="J933" t="str">
        <f t="shared" si="43"/>
        <v>(${Variables:E2_6_1_21_kcat} * E2_6_1_21 * C00405 * C00022 )/(${Variables:E2_6_1_21_km} + (E2_6_1_21 * C00405 * C00022 ))</v>
      </c>
      <c r="K933" s="21" t="str">
        <f t="shared" si="44"/>
        <v>r932: C00405 + C00022  -&gt; C00161 + C00133 | (${Variables:E2_6_1_21_kcat} * E2_6_1_21 * C00405 * C00022 )/(${Variables:E2_6_1_21_km} + (E2_6_1_21 * C00405 * C00022 ))</v>
      </c>
    </row>
    <row r="934" spans="1:11">
      <c r="A934" t="s">
        <v>6169</v>
      </c>
      <c r="B934" t="s">
        <v>6170</v>
      </c>
      <c r="C934" t="s">
        <v>15653</v>
      </c>
      <c r="D934">
        <v>933</v>
      </c>
      <c r="E934" t="str">
        <f t="shared" si="42"/>
        <v>E2_6_1_21</v>
      </c>
      <c r="F934" t="s">
        <v>9866</v>
      </c>
      <c r="G934" t="s">
        <v>11860</v>
      </c>
      <c r="H934" t="s">
        <v>9867</v>
      </c>
      <c r="I934" t="s">
        <v>12557</v>
      </c>
      <c r="J934" t="str">
        <f t="shared" si="43"/>
        <v>(${Variables:E2_6_1_21_kcat} * E2_6_1_21 * C02265 * C00026)/(${Variables:E2_6_1_21_km} + (E2_6_1_21 * C02265 * C00026))</v>
      </c>
      <c r="K934" s="21" t="str">
        <f t="shared" si="44"/>
        <v>r933: C02265 + C00026 -&gt; C00166 + C00217 | (${Variables:E2_6_1_21_kcat} * E2_6_1_21 * C02265 * C00026)/(${Variables:E2_6_1_21_km} + (E2_6_1_21 * C02265 * C00026))</v>
      </c>
    </row>
    <row r="935" spans="1:11">
      <c r="A935" t="s">
        <v>6169</v>
      </c>
      <c r="B935" t="s">
        <v>6170</v>
      </c>
      <c r="C935" t="s">
        <v>15653</v>
      </c>
      <c r="D935">
        <v>934</v>
      </c>
      <c r="E935" t="str">
        <f t="shared" si="42"/>
        <v>E2_6_1_21</v>
      </c>
      <c r="F935" t="s">
        <v>9868</v>
      </c>
      <c r="G935" t="s">
        <v>11861</v>
      </c>
      <c r="H935" t="s">
        <v>9869</v>
      </c>
      <c r="I935" t="s">
        <v>12558</v>
      </c>
      <c r="J935" t="str">
        <f t="shared" si="43"/>
        <v>(${Variables:E2_6_1_21_kcat} * E2_6_1_21 * C00515 * C00161)/(${Variables:E2_6_1_21_km} + (E2_6_1_21 * C00515 * C00161))</v>
      </c>
      <c r="K935" s="21" t="str">
        <f t="shared" si="44"/>
        <v>r934: C00515 + C00161 -&gt; C01110 + C00405 | (${Variables:E2_6_1_21_kcat} * E2_6_1_21 * C00515 * C00161)/(${Variables:E2_6_1_21_km} + (E2_6_1_21 * C00515 * C00161))</v>
      </c>
    </row>
    <row r="936" spans="1:11">
      <c r="A936" t="s">
        <v>6169</v>
      </c>
      <c r="B936" t="s">
        <v>6170</v>
      </c>
      <c r="C936" t="s">
        <v>15653</v>
      </c>
      <c r="D936">
        <v>935</v>
      </c>
      <c r="E936" t="str">
        <f t="shared" si="42"/>
        <v>E2_6_1_21</v>
      </c>
      <c r="F936" t="s">
        <v>9870</v>
      </c>
      <c r="G936" t="s">
        <v>11862</v>
      </c>
      <c r="H936" t="s">
        <v>9871</v>
      </c>
      <c r="I936" t="s">
        <v>12559</v>
      </c>
      <c r="J936" t="str">
        <f t="shared" si="43"/>
        <v>(${Variables:E2_6_1_21_kcat} * E2_6_1_21 * C00739 * C00161)/(${Variables:E2_6_1_21_km} + (E2_6_1_21 * C00739 * C00161))</v>
      </c>
      <c r="K936" s="21" t="str">
        <f t="shared" si="44"/>
        <v>r935: C00739 + C00161 -&gt; C03239 + C00405 | (${Variables:E2_6_1_21_kcat} * E2_6_1_21 * C00739 * C00161)/(${Variables:E2_6_1_21_km} + (E2_6_1_21 * C00739 * C00161))</v>
      </c>
    </row>
    <row r="937" spans="1:11">
      <c r="A937" t="s">
        <v>6169</v>
      </c>
      <c r="B937" t="s">
        <v>6170</v>
      </c>
      <c r="C937" t="s">
        <v>15653</v>
      </c>
      <c r="D937">
        <v>936</v>
      </c>
      <c r="E937" t="str">
        <f t="shared" si="42"/>
        <v>E2_6_1_21</v>
      </c>
      <c r="F937" t="s">
        <v>9872</v>
      </c>
      <c r="G937" t="s">
        <v>11863</v>
      </c>
      <c r="H937" t="s">
        <v>9873</v>
      </c>
      <c r="I937" t="s">
        <v>12560</v>
      </c>
      <c r="J937" t="str">
        <f t="shared" si="43"/>
        <v>(${Variables:E2_6_1_21_kcat} * E2_6_1_21 * C00792 * C00161)/(${Variables:E2_6_1_21_km} + (E2_6_1_21 * C00792 * C00161))</v>
      </c>
      <c r="K937" s="21" t="str">
        <f t="shared" si="44"/>
        <v>r936: C00792 + C00161 -&gt; C03771 + C00405 | (${Variables:E2_6_1_21_kcat} * E2_6_1_21 * C00792 * C00161)/(${Variables:E2_6_1_21_km} + (E2_6_1_21 * C00792 * C00161))</v>
      </c>
    </row>
    <row r="938" spans="1:11">
      <c r="A938" t="s">
        <v>6169</v>
      </c>
      <c r="B938" t="s">
        <v>6170</v>
      </c>
      <c r="C938" t="s">
        <v>15653</v>
      </c>
      <c r="D938">
        <v>937</v>
      </c>
      <c r="E938" t="str">
        <f t="shared" si="42"/>
        <v>E2_6_1_21</v>
      </c>
      <c r="F938" t="s">
        <v>9874</v>
      </c>
      <c r="G938" t="s">
        <v>11864</v>
      </c>
      <c r="H938" t="s">
        <v>9875</v>
      </c>
      <c r="I938" t="s">
        <v>12561</v>
      </c>
      <c r="J938" t="str">
        <f t="shared" si="43"/>
        <v>(${Variables:E2_6_1_21_kcat} * E2_6_1_21 * C00402 * C05946)/(${Variables:E2_6_1_21_km} + (E2_6_1_21 * C00402 * C05946))</v>
      </c>
      <c r="K938" s="21" t="str">
        <f t="shared" si="44"/>
        <v>r937: C00402 + C05946 -&gt; C00036 + C05947 | (${Variables:E2_6_1_21_kcat} * E2_6_1_21 * C00402 * C05946)/(${Variables:E2_6_1_21_km} + (E2_6_1_21 * C00402 * C05946))</v>
      </c>
    </row>
    <row r="939" spans="1:11">
      <c r="A939" t="s">
        <v>6178</v>
      </c>
      <c r="B939" t="s">
        <v>6179</v>
      </c>
      <c r="C939" t="s">
        <v>15654</v>
      </c>
      <c r="D939">
        <v>938</v>
      </c>
      <c r="E939" t="str">
        <f t="shared" si="42"/>
        <v>E6_3_3_1</v>
      </c>
      <c r="F939" t="s">
        <v>9878</v>
      </c>
      <c r="G939" t="s">
        <v>11865</v>
      </c>
      <c r="H939" t="s">
        <v>9879</v>
      </c>
      <c r="I939" t="s">
        <v>12562</v>
      </c>
      <c r="J939" t="str">
        <f t="shared" si="43"/>
        <v>(${Variables:E6_3_3_1_kcat} * E6_3_3_1 * C00002 * C04640)/(${Variables:E6_3_3_1_km} + (E6_3_3_1 * C00002 * C04640))</v>
      </c>
      <c r="K939" s="21" t="str">
        <f t="shared" si="44"/>
        <v>r938: C00002 + C04640 -&gt; C00008 + C00009 + C03373 | (${Variables:E6_3_3_1_kcat} * E6_3_3_1 * C00002 * C04640)/(${Variables:E6_3_3_1_km} + (E6_3_3_1 * C00002 * C04640))</v>
      </c>
    </row>
    <row r="940" spans="1:11">
      <c r="A940" t="s">
        <v>6182</v>
      </c>
      <c r="B940" t="s">
        <v>6183</v>
      </c>
      <c r="C940" t="s">
        <v>15655</v>
      </c>
      <c r="D940">
        <v>939</v>
      </c>
      <c r="E940" t="str">
        <f t="shared" si="42"/>
        <v>E2_4_2_14</v>
      </c>
      <c r="F940" t="s">
        <v>9882</v>
      </c>
      <c r="G940" t="s">
        <v>11866</v>
      </c>
      <c r="H940" t="s">
        <v>9883</v>
      </c>
      <c r="I940" t="s">
        <v>12563</v>
      </c>
      <c r="J940" t="str">
        <f t="shared" si="43"/>
        <v>(${Variables:E2_4_2_14_kcat} * E2_4_2_14 * C03090 * C00013 * C00025)/(${Variables:E2_4_2_14_km} + (E2_4_2_14 * C03090 * C00013 * C00025))</v>
      </c>
      <c r="K940" s="21" t="str">
        <f t="shared" si="44"/>
        <v>r939: C03090 + C00013 + C00025 -&gt; C00064 + C00119 + C00001 | (${Variables:E2_4_2_14_kcat} * E2_4_2_14 * C03090 * C00013 * C00025)/(${Variables:E2_4_2_14_km} + (E2_4_2_14 * C03090 * C00013 * C00025))</v>
      </c>
    </row>
    <row r="941" spans="1:11">
      <c r="A941" t="s">
        <v>6191</v>
      </c>
      <c r="B941" t="s">
        <v>6192</v>
      </c>
      <c r="C941" t="s">
        <v>15575</v>
      </c>
      <c r="D941">
        <v>940</v>
      </c>
      <c r="E941" t="str">
        <f t="shared" si="42"/>
        <v>E3_5_1_1</v>
      </c>
      <c r="F941" t="s">
        <v>10940</v>
      </c>
      <c r="G941" t="s">
        <v>11662</v>
      </c>
      <c r="H941" t="s">
        <v>10941</v>
      </c>
      <c r="I941" t="s">
        <v>12373</v>
      </c>
      <c r="J941" t="str">
        <f t="shared" si="43"/>
        <v>(${Variables:E3_5_1_1_kcat} * E3_5_1_1 * C00152 * C00001 )/(${Variables:E3_5_1_1_km} + (E3_5_1_1 * C00152 * C00001 ))</v>
      </c>
      <c r="K941" s="21" t="str">
        <f t="shared" si="44"/>
        <v>r940: C00152 + C00001  -&gt; C00049 + C00014 | (${Variables:E3_5_1_1_kcat} * E3_5_1_1 * C00152 * C00001 )/(${Variables:E3_5_1_1_km} + (E3_5_1_1 * C00152 * C00001 ))</v>
      </c>
    </row>
    <row r="942" spans="1:11">
      <c r="A942" t="s">
        <v>6191</v>
      </c>
      <c r="B942" t="s">
        <v>6192</v>
      </c>
      <c r="C942" t="s">
        <v>15575</v>
      </c>
      <c r="D942">
        <v>941</v>
      </c>
      <c r="E942" t="str">
        <f t="shared" si="42"/>
        <v>E3_5_1_1</v>
      </c>
      <c r="F942" t="s">
        <v>9769</v>
      </c>
      <c r="G942" t="s">
        <v>11663</v>
      </c>
      <c r="H942" t="s">
        <v>9770</v>
      </c>
      <c r="I942" t="s">
        <v>12374</v>
      </c>
      <c r="J942" t="str">
        <f t="shared" si="43"/>
        <v>(${Variables:E3_5_1_1_kcat} * E3_5_1_1 * C00241 * C00001)/(${Variables:E3_5_1_1_km} + (E3_5_1_1 * C00241 * C00001))</v>
      </c>
      <c r="K942" s="21" t="str">
        <f t="shared" si="44"/>
        <v>r941: C00241 + C00001 -&gt; C00060 + C00014 | (${Variables:E3_5_1_1_kcat} * E3_5_1_1 * C00241 * C00001)/(${Variables:E3_5_1_1_km} + (E3_5_1_1 * C00241 * C00001))</v>
      </c>
    </row>
    <row r="943" spans="1:11">
      <c r="A943" t="s">
        <v>6213</v>
      </c>
      <c r="B943" t="s">
        <v>6214</v>
      </c>
      <c r="C943" t="s">
        <v>15388</v>
      </c>
      <c r="D943">
        <v>942</v>
      </c>
      <c r="E943" t="str">
        <f t="shared" si="42"/>
        <v>E3_1_1_1</v>
      </c>
      <c r="F943" t="s">
        <v>10575</v>
      </c>
      <c r="G943" t="s">
        <v>11393</v>
      </c>
      <c r="H943" t="s">
        <v>10576</v>
      </c>
      <c r="I943" t="s">
        <v>12079</v>
      </c>
      <c r="J943" t="str">
        <f t="shared" si="43"/>
        <v>(${Variables:E3_1_1_1_kcat} * E3_1_1_1 * C02391 * C00001)/(${Variables:E3_1_1_1_km} + (E3_1_1_1 * C02391 * C00001))</v>
      </c>
      <c r="K943" s="21" t="str">
        <f t="shared" si="44"/>
        <v>r942: C02391 + C00001 -&gt; C00069 + C00060 | (${Variables:E3_1_1_1_kcat} * E3_1_1_1 * C02391 * C00001)/(${Variables:E3_1_1_1_km} + (E3_1_1_1 * C02391 * C00001))</v>
      </c>
    </row>
    <row r="944" spans="1:11">
      <c r="A944" t="s">
        <v>6213</v>
      </c>
      <c r="B944" t="s">
        <v>6214</v>
      </c>
      <c r="C944" t="s">
        <v>15388</v>
      </c>
      <c r="D944">
        <v>943</v>
      </c>
      <c r="E944" t="str">
        <f t="shared" si="42"/>
        <v>E3_1_1_1</v>
      </c>
      <c r="F944" t="s">
        <v>11120</v>
      </c>
      <c r="G944" t="s">
        <v>11755</v>
      </c>
      <c r="H944" t="s">
        <v>10578</v>
      </c>
      <c r="I944" t="s">
        <v>12080</v>
      </c>
      <c r="J944" t="str">
        <f t="shared" si="43"/>
        <v>(${Variables:E3_1_1_1_kcat} * E3_1_1_1 * C01416 * C00001 )/(${Variables:E3_1_1_1_km} + (E3_1_1_1 * C01416 * C00001 ))</v>
      </c>
      <c r="K944" s="21" t="str">
        <f t="shared" si="44"/>
        <v>r943: C01416 + C00001  -&gt; C12448 + C00180 | (${Variables:E3_1_1_1_kcat} * E3_1_1_1 * C01416 * C00001 )/(${Variables:E3_1_1_1_km} + (E3_1_1_1 * C01416 * C00001 ))</v>
      </c>
    </row>
    <row r="945" spans="1:11">
      <c r="A945" t="s">
        <v>6213</v>
      </c>
      <c r="B945" t="s">
        <v>6214</v>
      </c>
      <c r="C945" t="s">
        <v>15388</v>
      </c>
      <c r="D945">
        <v>944</v>
      </c>
      <c r="E945" t="str">
        <f t="shared" si="42"/>
        <v>E3_1_1_1</v>
      </c>
      <c r="F945" t="s">
        <v>10579</v>
      </c>
      <c r="G945" t="s">
        <v>11395</v>
      </c>
      <c r="H945" t="s">
        <v>10580</v>
      </c>
      <c r="I945" t="s">
        <v>12081</v>
      </c>
      <c r="J945" t="str">
        <f t="shared" si="43"/>
        <v>(${Variables:E3_1_1_1_kcat} * E3_1_1_1 * C16641 * C00001)/(${Variables:E3_1_1_1_km} + (E3_1_1_1 * C16641 * C00001))</v>
      </c>
      <c r="K945" s="21" t="str">
        <f t="shared" si="44"/>
        <v>r944: C16641 + C00001 -&gt; C11173 + C16836 | (${Variables:E3_1_1_1_kcat} * E3_1_1_1 * C16641 * C00001)/(${Variables:E3_1_1_1_km} + (E3_1_1_1 * C16641 * C00001))</v>
      </c>
    </row>
    <row r="946" spans="1:11">
      <c r="A946" t="s">
        <v>6213</v>
      </c>
      <c r="B946" t="s">
        <v>6214</v>
      </c>
      <c r="C946" t="s">
        <v>15388</v>
      </c>
      <c r="D946">
        <v>945</v>
      </c>
      <c r="E946" t="str">
        <f t="shared" si="42"/>
        <v>E3_1_1_1</v>
      </c>
      <c r="F946" t="s">
        <v>11121</v>
      </c>
      <c r="G946" t="s">
        <v>11756</v>
      </c>
      <c r="H946" t="s">
        <v>10582</v>
      </c>
      <c r="I946" t="s">
        <v>12082</v>
      </c>
      <c r="J946" t="str">
        <f t="shared" si="43"/>
        <v>(${Variables:E3_1_1_1_kcat} * E3_1_1_1 * C16543 * C00001)/(${Variables:E3_1_1_1_km} + (E3_1_1_1 * C16543 * C00001))</v>
      </c>
      <c r="K946" s="21" t="str">
        <f t="shared" si="44"/>
        <v>r945: C16543 + C00001 -&gt; C11173 + C16837 | (${Variables:E3_1_1_1_kcat} * E3_1_1_1 * C16543 * C00001)/(${Variables:E3_1_1_1_km} + (E3_1_1_1 * C16543 * C00001))</v>
      </c>
    </row>
    <row r="947" spans="1:11">
      <c r="A947" t="s">
        <v>6213</v>
      </c>
      <c r="B947" t="s">
        <v>6214</v>
      </c>
      <c r="C947" t="s">
        <v>15388</v>
      </c>
      <c r="D947">
        <v>946</v>
      </c>
      <c r="E947" t="str">
        <f t="shared" si="42"/>
        <v>E3_1_1_1</v>
      </c>
      <c r="F947" t="s">
        <v>10583</v>
      </c>
      <c r="G947" t="s">
        <v>11397</v>
      </c>
      <c r="H947" t="s">
        <v>10584</v>
      </c>
      <c r="I947" t="s">
        <v>12083</v>
      </c>
      <c r="J947" t="str">
        <f t="shared" si="43"/>
        <v>(${Variables:E3_1_1_1_kcat} * E3_1_1_1 * C12650 * C00001)/(${Variables:E3_1_1_1_km} + (E3_1_1_1 * C12650 * C00001))</v>
      </c>
      <c r="K947" s="21" t="str">
        <f t="shared" si="44"/>
        <v>r946: C12650 + C00001 -&gt; C16635 + C16834 + C00011 | (${Variables:E3_1_1_1_kcat} * E3_1_1_1 * C12650 * C00001)/(${Variables:E3_1_1_1_km} + (E3_1_1_1 * C12650 * C00001))</v>
      </c>
    </row>
    <row r="948" spans="1:11">
      <c r="A948" t="s">
        <v>6213</v>
      </c>
      <c r="B948" t="s">
        <v>6214</v>
      </c>
      <c r="C948" t="s">
        <v>15388</v>
      </c>
      <c r="D948">
        <v>947</v>
      </c>
      <c r="E948" t="str">
        <f t="shared" si="42"/>
        <v>E3_1_1_1</v>
      </c>
      <c r="F948" t="s">
        <v>10585</v>
      </c>
      <c r="G948" t="s">
        <v>11398</v>
      </c>
      <c r="H948" t="s">
        <v>10586</v>
      </c>
      <c r="I948" t="s">
        <v>12084</v>
      </c>
      <c r="J948" t="str">
        <f t="shared" si="43"/>
        <v>(${Variables:E3_1_1_1_kcat} * E3_1_1_1 * C07585 * C00001)/(${Variables:E3_1_1_1_km} + (E3_1_1_1 * C07585 * C00001))</v>
      </c>
      <c r="K948" s="21" t="str">
        <f t="shared" si="44"/>
        <v>r947: C07585 + C00001 -&gt; C07447 + C07446 | (${Variables:E3_1_1_1_kcat} * E3_1_1_1 * C07585 * C00001)/(${Variables:E3_1_1_1_km} + (E3_1_1_1 * C07585 * C00001))</v>
      </c>
    </row>
    <row r="949" spans="1:11">
      <c r="A949" t="s">
        <v>6213</v>
      </c>
      <c r="B949" t="s">
        <v>6214</v>
      </c>
      <c r="C949" t="s">
        <v>15388</v>
      </c>
      <c r="D949">
        <v>948</v>
      </c>
      <c r="E949" t="str">
        <f t="shared" si="42"/>
        <v>E3_1_1_1</v>
      </c>
      <c r="F949" t="s">
        <v>11122</v>
      </c>
      <c r="G949" t="s">
        <v>11757</v>
      </c>
      <c r="H949" t="s">
        <v>10588</v>
      </c>
      <c r="I949" t="s">
        <v>12085</v>
      </c>
      <c r="J949" t="str">
        <f t="shared" si="43"/>
        <v>(${Variables:E3_1_1_1_kcat} * E3_1_1_1 * C07054 * C00001 )/(${Variables:E3_1_1_1_km} + (E3_1_1_1 * C07054 * C00001 ))</v>
      </c>
      <c r="K949" s="21" t="str">
        <f t="shared" si="44"/>
        <v>r948: C07054 + C00001  -&gt; C07446 + C05361 | (${Variables:E3_1_1_1_kcat} * E3_1_1_1 * C07054 * C00001 )/(${Variables:E3_1_1_1_km} + (E3_1_1_1 * C07054 * C00001 ))</v>
      </c>
    </row>
    <row r="950" spans="1:11">
      <c r="A950" t="s">
        <v>6213</v>
      </c>
      <c r="B950" t="s">
        <v>6214</v>
      </c>
      <c r="C950" t="s">
        <v>15388</v>
      </c>
      <c r="D950">
        <v>949</v>
      </c>
      <c r="E950" t="str">
        <f t="shared" si="42"/>
        <v>E3_1_1_1</v>
      </c>
      <c r="F950" t="s">
        <v>10589</v>
      </c>
      <c r="G950" t="s">
        <v>11400</v>
      </c>
      <c r="H950" t="s">
        <v>10590</v>
      </c>
      <c r="I950" t="s">
        <v>12086</v>
      </c>
      <c r="J950" t="str">
        <f t="shared" si="43"/>
        <v>(${Variables:E3_1_1_1_kcat} * E3_1_1_1 * C16561 * C00001)/(${Variables:E3_1_1_1_km} + (E3_1_1_1 * C16561 * C00001))</v>
      </c>
      <c r="K950" s="21" t="str">
        <f t="shared" si="44"/>
        <v>r949: C16561 + C00001 -&gt; C11004 + C11735 | (${Variables:E3_1_1_1_kcat} * E3_1_1_1 * C16561 * C00001)/(${Variables:E3_1_1_1_km} + (E3_1_1_1 * C16561 * C00001))</v>
      </c>
    </row>
    <row r="951" spans="1:11">
      <c r="A951" t="s">
        <v>6213</v>
      </c>
      <c r="B951" t="s">
        <v>6214</v>
      </c>
      <c r="C951" t="s">
        <v>15388</v>
      </c>
      <c r="D951">
        <v>950</v>
      </c>
      <c r="E951" t="str">
        <f t="shared" si="42"/>
        <v>E3_1_1_1</v>
      </c>
      <c r="F951" t="s">
        <v>10591</v>
      </c>
      <c r="G951" t="s">
        <v>11401</v>
      </c>
      <c r="H951" t="s">
        <v>10592</v>
      </c>
      <c r="I951" t="s">
        <v>12087</v>
      </c>
      <c r="J951" t="str">
        <f t="shared" si="43"/>
        <v>(${Variables:E3_1_1_1_kcat} * E3_1_1_1 * C07073 * C00001)/(${Variables:E3_1_1_1_km} + (E3_1_1_1 * C07073 * C00001))</v>
      </c>
      <c r="K951" s="21" t="str">
        <f t="shared" si="44"/>
        <v>r950: C07073 + C00001 -&gt; C11004 + C16647 | (${Variables:E3_1_1_1_kcat} * E3_1_1_1 * C07073 * C00001)/(${Variables:E3_1_1_1_km} + (E3_1_1_1 * C07073 * C00001))</v>
      </c>
    </row>
    <row r="952" spans="1:11">
      <c r="A952" t="s">
        <v>6223</v>
      </c>
      <c r="B952" t="s">
        <v>6224</v>
      </c>
      <c r="C952" t="s">
        <v>15656</v>
      </c>
      <c r="D952">
        <v>951</v>
      </c>
      <c r="E952" t="str">
        <f t="shared" si="42"/>
        <v>E6_3_5_3</v>
      </c>
      <c r="F952" t="s">
        <v>9886</v>
      </c>
      <c r="G952" t="s">
        <v>11867</v>
      </c>
      <c r="H952" t="s">
        <v>9887</v>
      </c>
      <c r="I952" t="s">
        <v>12564</v>
      </c>
      <c r="J952" t="str">
        <f t="shared" si="43"/>
        <v>(${Variables:E6_3_5_3_kcat} * E6_3_5_3 * C00002 * C04376 * C00064 * C00001)/(${Variables:E6_3_5_3_km} + (E6_3_5_3 * C00002 * C04376 * C00064 * C00001))</v>
      </c>
      <c r="K952" s="21" t="str">
        <f t="shared" si="44"/>
        <v>r951: C00002 + C04376 + C00064 + C00001 -&gt; C00008 + C00009 + C04640 + C00025 | (${Variables:E6_3_5_3_kcat} * E6_3_5_3 * C00002 * C04376 * C00064 * C00001)/(${Variables:E6_3_5_3_km} + (E6_3_5_3 * C00002 * C04376 * C00064 * C00001))</v>
      </c>
    </row>
    <row r="953" spans="1:11">
      <c r="A953" t="s">
        <v>6227</v>
      </c>
      <c r="B953" t="s">
        <v>6228</v>
      </c>
      <c r="C953" t="s">
        <v>15656</v>
      </c>
      <c r="D953">
        <v>952</v>
      </c>
      <c r="E953" t="str">
        <f t="shared" si="42"/>
        <v>E6_3_5_3</v>
      </c>
      <c r="F953" t="s">
        <v>9886</v>
      </c>
      <c r="G953" t="s">
        <v>11867</v>
      </c>
      <c r="H953" t="s">
        <v>9887</v>
      </c>
      <c r="I953" t="s">
        <v>12564</v>
      </c>
      <c r="J953" t="str">
        <f t="shared" si="43"/>
        <v>(${Variables:E6_3_5_3_kcat} * E6_3_5_3 * C00002 * C04376 * C00064 * C00001)/(${Variables:E6_3_5_3_km} + (E6_3_5_3 * C00002 * C04376 * C00064 * C00001))</v>
      </c>
      <c r="K953" s="21" t="str">
        <f t="shared" si="44"/>
        <v>r952: C00002 + C04376 + C00064 + C00001 -&gt; C00008 + C00009 + C04640 + C00025 | (${Variables:E6_3_5_3_kcat} * E6_3_5_3 * C00002 * C04376 * C00064 * C00001)/(${Variables:E6_3_5_3_km} + (E6_3_5_3 * C00002 * C04376 * C00064 * C00001))</v>
      </c>
    </row>
    <row r="954" spans="1:11">
      <c r="A954" t="s">
        <v>6245</v>
      </c>
      <c r="B954" t="s">
        <v>6246</v>
      </c>
      <c r="C954" t="s">
        <v>15657</v>
      </c>
      <c r="D954">
        <v>953</v>
      </c>
      <c r="E954" t="str">
        <f t="shared" si="42"/>
        <v>E6_3_2_6</v>
      </c>
      <c r="F954" t="s">
        <v>9891</v>
      </c>
      <c r="G954" t="s">
        <v>11868</v>
      </c>
      <c r="H954" t="s">
        <v>9892</v>
      </c>
      <c r="I954" t="s">
        <v>12565</v>
      </c>
      <c r="J954" t="str">
        <f t="shared" si="43"/>
        <v>(${Variables:E6_3_2_6_kcat} * E6_3_2_6 * C00002 * C04751 * C00049)/(${Variables:E6_3_2_6_km} + (E6_3_2_6 * C00002 * C04751 * C00049))</v>
      </c>
      <c r="K954" s="21" t="str">
        <f t="shared" si="44"/>
        <v>r953: C00002 + C04751 + C00049 -&gt; C00008 + C00009 + C04823 | (${Variables:E6_3_2_6_kcat} * E6_3_2_6 * C00002 * C04751 * C00049)/(${Variables:E6_3_2_6_km} + (E6_3_2_6 * C00002 * C04751 * C00049))</v>
      </c>
    </row>
    <row r="955" spans="1:11">
      <c r="A955" t="s">
        <v>6249</v>
      </c>
      <c r="B955" t="s">
        <v>6250</v>
      </c>
      <c r="C955" t="s">
        <v>15658</v>
      </c>
      <c r="D955">
        <v>954</v>
      </c>
      <c r="E955" t="str">
        <f t="shared" si="42"/>
        <v>E4_3_2_2</v>
      </c>
      <c r="F955" t="s">
        <v>9895</v>
      </c>
      <c r="G955" t="s">
        <v>9895</v>
      </c>
      <c r="H955" t="s">
        <v>9896</v>
      </c>
      <c r="I955" t="s">
        <v>12566</v>
      </c>
      <c r="J955" t="str">
        <f t="shared" si="43"/>
        <v>(${Variables:E4_3_2_2_kcat} * E4_3_2_2 * C03794 )/(${Variables:E4_3_2_2_km} + (E4_3_2_2 * C03794 ))</v>
      </c>
      <c r="K955" s="21" t="str">
        <f t="shared" si="44"/>
        <v>r954: C03794  -&gt; C00122 + C00020 | (${Variables:E4_3_2_2_kcat} * E4_3_2_2 * C03794 )/(${Variables:E4_3_2_2_km} + (E4_3_2_2 * C03794 ))</v>
      </c>
    </row>
    <row r="956" spans="1:11">
      <c r="A956" t="s">
        <v>6249</v>
      </c>
      <c r="B956" t="s">
        <v>6250</v>
      </c>
      <c r="C956" t="s">
        <v>15658</v>
      </c>
      <c r="D956">
        <v>955</v>
      </c>
      <c r="E956" t="str">
        <f t="shared" si="42"/>
        <v>E4_3_2_2</v>
      </c>
      <c r="F956" t="s">
        <v>9897</v>
      </c>
      <c r="G956" t="s">
        <v>9897</v>
      </c>
      <c r="H956" t="s">
        <v>9898</v>
      </c>
      <c r="I956" t="s">
        <v>12567</v>
      </c>
      <c r="J956" t="str">
        <f t="shared" si="43"/>
        <v>(${Variables:E4_3_2_2_kcat} * E4_3_2_2 * C04823)/(${Variables:E4_3_2_2_km} + (E4_3_2_2 * C04823))</v>
      </c>
      <c r="K956" s="21" t="str">
        <f t="shared" si="44"/>
        <v>r955: C04823 -&gt; C00122 + C04677 | (${Variables:E4_3_2_2_kcat} * E4_3_2_2 * C04823)/(${Variables:E4_3_2_2_km} + (E4_3_2_2 * C04823))</v>
      </c>
    </row>
    <row r="957" spans="1:11">
      <c r="A957" t="s">
        <v>6249</v>
      </c>
      <c r="B957" t="s">
        <v>6250</v>
      </c>
      <c r="C957" t="s">
        <v>15658</v>
      </c>
      <c r="D957">
        <v>956</v>
      </c>
      <c r="E957" t="str">
        <f t="shared" si="42"/>
        <v>E4_3_2_2</v>
      </c>
      <c r="F957" t="s">
        <v>9899</v>
      </c>
      <c r="G957" t="s">
        <v>9899</v>
      </c>
      <c r="H957" t="s">
        <v>9900</v>
      </c>
      <c r="I957" t="s">
        <v>12568</v>
      </c>
      <c r="J957" t="str">
        <f t="shared" si="43"/>
        <v>(${Variables:E4_3_2_2_kcat} * E4_3_2_2 * C22395 )/(${Variables:E4_3_2_2_km} + (E4_3_2_2 * C22395 ))</v>
      </c>
      <c r="K957" s="21" t="str">
        <f t="shared" si="44"/>
        <v>r956: C22395  -&gt; C22441 + C00122 | (${Variables:E4_3_2_2_kcat} * E4_3_2_2 * C22395 )/(${Variables:E4_3_2_2_km} + (E4_3_2_2 * C22395 ))</v>
      </c>
    </row>
    <row r="958" spans="1:11">
      <c r="A958" t="s">
        <v>6253</v>
      </c>
      <c r="B958" t="s">
        <v>6254</v>
      </c>
      <c r="C958" t="s">
        <v>15659</v>
      </c>
      <c r="D958">
        <v>957</v>
      </c>
      <c r="E958" t="str">
        <f t="shared" si="42"/>
        <v>E6_3_4_13</v>
      </c>
      <c r="F958" t="s">
        <v>9903</v>
      </c>
      <c r="G958" t="s">
        <v>11869</v>
      </c>
      <c r="H958" t="s">
        <v>9904</v>
      </c>
      <c r="I958" t="s">
        <v>12569</v>
      </c>
      <c r="J958" t="str">
        <f t="shared" si="43"/>
        <v>(${Variables:E6_3_4_13_kcat} * E6_3_4_13 * C00002 * C03090 * C00037)/(${Variables:E6_3_4_13_km} + (E6_3_4_13 * C00002 * C03090 * C00037))</v>
      </c>
      <c r="K958" s="21" t="str">
        <f t="shared" si="44"/>
        <v>r957: C00002 + C03090 + C00037 -&gt; C00008 + C00009 + C03838 | (${Variables:E6_3_4_13_kcat} * E6_3_4_13 * C00002 * C03090 * C00037)/(${Variables:E6_3_4_13_km} + (E6_3_4_13 * C00002 * C03090 * C00037))</v>
      </c>
    </row>
    <row r="959" spans="1:11">
      <c r="A959" t="s">
        <v>6268</v>
      </c>
      <c r="B959" t="s">
        <v>6269</v>
      </c>
      <c r="C959" t="s">
        <v>15660</v>
      </c>
      <c r="D959">
        <v>958</v>
      </c>
      <c r="E959" t="str">
        <f t="shared" si="42"/>
        <v>E1_2_5_1</v>
      </c>
      <c r="F959" t="s">
        <v>9907</v>
      </c>
      <c r="G959" t="s">
        <v>11870</v>
      </c>
      <c r="H959" t="s">
        <v>9908</v>
      </c>
      <c r="I959" t="s">
        <v>12570</v>
      </c>
      <c r="J959" t="str">
        <f t="shared" si="43"/>
        <v>(${Variables:E1_2_5_1_kcat} * E1_2_5_1 * C00022 * C00399 * C00001)/(${Variables:E1_2_5_1_km} + (E1_2_5_1 * C00022 * C00399 * C00001))</v>
      </c>
      <c r="K959" s="21" t="str">
        <f t="shared" si="44"/>
        <v>r958: C00022 + C00399 + C00001 -&gt; C00033 + C00390 + C00011 | (${Variables:E1_2_5_1_kcat} * E1_2_5_1 * C00022 * C00399 * C00001)/(${Variables:E1_2_5_1_km} + (E1_2_5_1 * C00022 * C00399 * C00001))</v>
      </c>
    </row>
    <row r="960" spans="1:11">
      <c r="A960" t="s">
        <v>6286</v>
      </c>
      <c r="B960" t="s">
        <v>6287</v>
      </c>
      <c r="C960" t="s">
        <v>15661</v>
      </c>
      <c r="D960">
        <v>959</v>
      </c>
      <c r="E960" t="str">
        <f t="shared" si="42"/>
        <v>E3_1_3_12</v>
      </c>
      <c r="F960" t="s">
        <v>9911</v>
      </c>
      <c r="G960" t="s">
        <v>11871</v>
      </c>
      <c r="H960" t="s">
        <v>9912</v>
      </c>
      <c r="I960" t="s">
        <v>12571</v>
      </c>
      <c r="J960" t="str">
        <f t="shared" si="43"/>
        <v>(${Variables:E3_1_3_12_kcat} * E3_1_3_12 * C00689 * C00001)/(${Variables:E3_1_3_12_km} + (E3_1_3_12 * C00689 * C00001))</v>
      </c>
      <c r="K960" s="21" t="str">
        <f t="shared" si="44"/>
        <v>r959: C00689 + C00001 -&gt; C01083 + C00009 | (${Variables:E3_1_3_12_kcat} * E3_1_3_12 * C00689 * C00001)/(${Variables:E3_1_3_12_km} + (E3_1_3_12 * C00689 * C00001))</v>
      </c>
    </row>
    <row r="961" spans="1:11">
      <c r="A961" t="s">
        <v>6286</v>
      </c>
      <c r="B961" t="s">
        <v>6287</v>
      </c>
      <c r="C961" t="s">
        <v>15661</v>
      </c>
      <c r="D961">
        <v>960</v>
      </c>
      <c r="E961" t="str">
        <f t="shared" si="42"/>
        <v>E3_1_3_12</v>
      </c>
      <c r="F961" t="s">
        <v>9913</v>
      </c>
      <c r="G961" t="s">
        <v>11872</v>
      </c>
      <c r="H961" t="s">
        <v>9914</v>
      </c>
      <c r="I961" t="s">
        <v>12572</v>
      </c>
      <c r="J961" t="str">
        <f t="shared" si="43"/>
        <v>(${Variables:E3_1_3_12_kcat} * E3_1_3_12 * G09795 * C00001)/(${Variables:E3_1_3_12_km} + (E3_1_3_12 * G09795 * C00001))</v>
      </c>
      <c r="K961" s="21" t="str">
        <f t="shared" si="44"/>
        <v>r960: G09795 + C00001 -&gt; G00293 + C00009 | (${Variables:E3_1_3_12_kcat} * E3_1_3_12 * G09795 * C00001)/(${Variables:E3_1_3_12_km} + (E3_1_3_12 * G09795 * C00001))</v>
      </c>
    </row>
    <row r="962" spans="1:11">
      <c r="A962" t="s">
        <v>6308</v>
      </c>
      <c r="B962" t="s">
        <v>6309</v>
      </c>
      <c r="C962" t="s">
        <v>15662</v>
      </c>
      <c r="D962">
        <v>961</v>
      </c>
      <c r="E962" t="str">
        <f t="shared" si="42"/>
        <v>E6_1_1_16</v>
      </c>
      <c r="F962" t="s">
        <v>9917</v>
      </c>
      <c r="G962" t="s">
        <v>11873</v>
      </c>
      <c r="H962" t="s">
        <v>9918</v>
      </c>
      <c r="I962" t="s">
        <v>12573</v>
      </c>
      <c r="J962" t="str">
        <f t="shared" si="43"/>
        <v>(${Variables:E6_1_1_16_kcat} * E6_1_1_16 * C00002 * C00097 * C01639 )/(${Variables:E6_1_1_16_km} + (E6_1_1_16 * C00002 * C00097 * C01639 ))</v>
      </c>
      <c r="K962" s="21" t="str">
        <f t="shared" si="44"/>
        <v>r961: C00002 + C00097 + C01639  -&gt; C00020 + C00013 + C03125 | (${Variables:E6_1_1_16_kcat} * E6_1_1_16 * C00002 * C00097 * C01639 )/(${Variables:E6_1_1_16_km} + (E6_1_1_16 * C00002 * C00097 * C01639 ))</v>
      </c>
    </row>
    <row r="963" spans="1:11">
      <c r="A963" t="s">
        <v>6312</v>
      </c>
      <c r="B963" t="s">
        <v>6313</v>
      </c>
      <c r="C963" t="s">
        <v>15663</v>
      </c>
      <c r="D963">
        <v>962</v>
      </c>
      <c r="E963" t="str">
        <f t="shared" ref="E963:E1026" si="45">"E" &amp; C963</f>
        <v>E4_6_1_12</v>
      </c>
      <c r="F963" t="s">
        <v>9921</v>
      </c>
      <c r="G963" t="s">
        <v>9921</v>
      </c>
      <c r="H963" t="s">
        <v>9922</v>
      </c>
      <c r="I963" t="s">
        <v>12574</v>
      </c>
      <c r="J963" t="str">
        <f t="shared" ref="J963:J1026" si="46">CONCATENATE("(${Variables:",E963,"_kcat","} * ",E963," * ",G963,")","/(${Variables:",E963,"_km","} + (",E963," * ",G963,"))")</f>
        <v>(${Variables:E4_6_1_12_kcat} * E4_6_1_12 * C11436)/(${Variables:E4_6_1_12_km} + (E4_6_1_12 * C11436))</v>
      </c>
      <c r="K963" s="21" t="str">
        <f t="shared" ref="K963:K1026" si="47">CONCATENATE("r",D963,": ",F963," -&gt; ",H963," | ",J963)</f>
        <v>r962: C11436 -&gt; C11453 + C00055 | (${Variables:E4_6_1_12_kcat} * E4_6_1_12 * C11436)/(${Variables:E4_6_1_12_km} + (E4_6_1_12 * C11436))</v>
      </c>
    </row>
    <row r="964" spans="1:11">
      <c r="A964" t="s">
        <v>6316</v>
      </c>
      <c r="B964" t="s">
        <v>6317</v>
      </c>
      <c r="C964" t="s">
        <v>15664</v>
      </c>
      <c r="D964">
        <v>963</v>
      </c>
      <c r="E964" t="str">
        <f t="shared" si="45"/>
        <v>E2_7_7_60</v>
      </c>
      <c r="F964" t="s">
        <v>9925</v>
      </c>
      <c r="G964" t="s">
        <v>11874</v>
      </c>
      <c r="H964" t="s">
        <v>9926</v>
      </c>
      <c r="I964" t="s">
        <v>12575</v>
      </c>
      <c r="J964" t="str">
        <f t="shared" si="46"/>
        <v>(${Variables:E2_7_7_60_kcat} * E2_7_7_60 * C11434 * C00063 )/(${Variables:E2_7_7_60_km} + (E2_7_7_60 * C11434 * C00063 ))</v>
      </c>
      <c r="K964" s="21" t="str">
        <f t="shared" si="47"/>
        <v>r963: C11434 + C00063  -&gt; C11435 + C00013 | (${Variables:E2_7_7_60_kcat} * E2_7_7_60 * C11434 * C00063 )/(${Variables:E2_7_7_60_km} + (E2_7_7_60 * C11434 * C00063 ))</v>
      </c>
    </row>
    <row r="965" spans="1:11">
      <c r="A965" t="s">
        <v>6330</v>
      </c>
      <c r="B965" t="s">
        <v>6331</v>
      </c>
      <c r="C965" t="s">
        <v>15665</v>
      </c>
      <c r="D965">
        <v>964</v>
      </c>
      <c r="E965" t="str">
        <f t="shared" si="45"/>
        <v>E4_2_1_1</v>
      </c>
      <c r="F965" t="s">
        <v>9929</v>
      </c>
      <c r="G965" t="s">
        <v>9929</v>
      </c>
      <c r="H965" t="s">
        <v>9930</v>
      </c>
      <c r="I965" t="s">
        <v>12576</v>
      </c>
      <c r="J965" t="str">
        <f t="shared" si="46"/>
        <v>(${Variables:E4_2_1_1_kcat} * E4_2_1_1 * C01353)/(${Variables:E4_2_1_1_km} + (E4_2_1_1 * C01353))</v>
      </c>
      <c r="K965" s="21" t="str">
        <f t="shared" si="47"/>
        <v>r964: C01353 -&gt; C00011 + C00001 | (${Variables:E4_2_1_1_kcat} * E4_2_1_1 * C01353)/(${Variables:E4_2_1_1_km} + (E4_2_1_1 * C01353))</v>
      </c>
    </row>
    <row r="966" spans="1:11">
      <c r="A966" t="s">
        <v>6330</v>
      </c>
      <c r="B966" t="s">
        <v>6331</v>
      </c>
      <c r="C966" t="s">
        <v>15665</v>
      </c>
      <c r="D966">
        <v>965</v>
      </c>
      <c r="E966" t="str">
        <f t="shared" si="45"/>
        <v>E4_2_1_1</v>
      </c>
      <c r="F966" t="s">
        <v>9931</v>
      </c>
      <c r="G966" t="s">
        <v>11875</v>
      </c>
      <c r="H966" t="s">
        <v>9930</v>
      </c>
      <c r="I966" t="s">
        <v>12576</v>
      </c>
      <c r="J966" t="str">
        <f t="shared" si="46"/>
        <v>(${Variables:E4_2_1_1_kcat} * E4_2_1_1 * C00288 * C00080 )/(${Variables:E4_2_1_1_km} + (E4_2_1_1 * C00288 * C00080 ))</v>
      </c>
      <c r="K966" s="21" t="str">
        <f t="shared" si="47"/>
        <v>r965: C00288 + C00080  -&gt; C00011 + C00001 | (${Variables:E4_2_1_1_kcat} * E4_2_1_1 * C00288 * C00080 )/(${Variables:E4_2_1_1_km} + (E4_2_1_1 * C00288 * C00080 ))</v>
      </c>
    </row>
    <row r="967" spans="1:11">
      <c r="A967" t="s">
        <v>6349</v>
      </c>
      <c r="B967" t="s">
        <v>6350</v>
      </c>
      <c r="C967" t="s">
        <v>15383</v>
      </c>
      <c r="D967">
        <v>966</v>
      </c>
      <c r="E967" t="str">
        <f t="shared" si="45"/>
        <v>E1_1_1_205</v>
      </c>
      <c r="F967" t="s">
        <v>10569</v>
      </c>
      <c r="G967" t="s">
        <v>11389</v>
      </c>
      <c r="H967" t="s">
        <v>10570</v>
      </c>
      <c r="I967" t="s">
        <v>12073</v>
      </c>
      <c r="J967" t="str">
        <f t="shared" si="46"/>
        <v>(${Variables:E1_1_1_205_kcat} * E1_1_1_205 * C00130 * C00003 * C00001)/(${Variables:E1_1_1_205_km} + (E1_1_1_205 * C00130 * C00003 * C00001))</v>
      </c>
      <c r="K967" s="21" t="str">
        <f t="shared" si="47"/>
        <v>r966: C00130 + C00003 + C00001 -&gt; C00655 + C00004 + C00080 | (${Variables:E1_1_1_205_kcat} * E1_1_1_205 * C00130 * C00003 * C00001)/(${Variables:E1_1_1_205_km} + (E1_1_1_205 * C00130 * C00003 * C00001))</v>
      </c>
    </row>
    <row r="968" spans="1:11">
      <c r="A968" t="s">
        <v>6349</v>
      </c>
      <c r="B968" t="s">
        <v>6350</v>
      </c>
      <c r="C968" t="s">
        <v>15383</v>
      </c>
      <c r="D968">
        <v>967</v>
      </c>
      <c r="E968" t="str">
        <f t="shared" si="45"/>
        <v>E1_1_1_205</v>
      </c>
      <c r="F968" t="s">
        <v>10262</v>
      </c>
      <c r="G968" t="s">
        <v>11390</v>
      </c>
      <c r="H968" t="s">
        <v>10263</v>
      </c>
      <c r="I968" t="s">
        <v>12074</v>
      </c>
      <c r="J968" t="str">
        <f t="shared" si="46"/>
        <v>(${Variables:E1_1_1_205_kcat} * E1_1_1_205 * C04646 * C00003 * C00001)/(${Variables:E1_1_1_205_km} + (E1_1_1_205 * C04646 * C00003 * C00001))</v>
      </c>
      <c r="K968" s="21" t="str">
        <f t="shared" si="47"/>
        <v>r967: C04646 + C00003 + C00001 -&gt; C16618 + C00004 + C00080 | (${Variables:E1_1_1_205_kcat} * E1_1_1_205 * C04646 * C00003 * C00001)/(${Variables:E1_1_1_205_km} + (E1_1_1_205 * C04646 * C00003 * C00001))</v>
      </c>
    </row>
    <row r="969" spans="1:11">
      <c r="A969" t="s">
        <v>6353</v>
      </c>
      <c r="B969" t="s">
        <v>6354</v>
      </c>
      <c r="C969" t="s">
        <v>15666</v>
      </c>
      <c r="D969">
        <v>968</v>
      </c>
      <c r="E969" t="str">
        <f t="shared" si="45"/>
        <v>E2_5_1_32</v>
      </c>
      <c r="F969" t="s">
        <v>14104</v>
      </c>
      <c r="G969" t="s">
        <v>14104</v>
      </c>
      <c r="H969" t="s">
        <v>9935</v>
      </c>
      <c r="I969" t="s">
        <v>12577</v>
      </c>
      <c r="J969" t="str">
        <f t="shared" si="46"/>
        <v>(${Variables:E2_5_1_32_kcat} * E2_5_1_32 * C00353)/(${Variables:E2_5_1_32_km} + (E2_5_1_32 * C00353))</v>
      </c>
      <c r="K969" s="21" t="str">
        <f t="shared" si="47"/>
        <v>r968: C00353 -&gt; C00013 + C03427 | (${Variables:E2_5_1_32_kcat} * E2_5_1_32 * C00353)/(${Variables:E2_5_1_32_km} + (E2_5_1_32 * C00353))</v>
      </c>
    </row>
    <row r="970" spans="1:11">
      <c r="A970" t="s">
        <v>6353</v>
      </c>
      <c r="B970" t="s">
        <v>6354</v>
      </c>
      <c r="C970" t="s">
        <v>15666</v>
      </c>
      <c r="D970">
        <v>969</v>
      </c>
      <c r="E970" t="str">
        <f t="shared" si="45"/>
        <v>E2_5_1_32</v>
      </c>
      <c r="F970" t="s">
        <v>9936</v>
      </c>
      <c r="G970" t="s">
        <v>9936</v>
      </c>
      <c r="H970" t="s">
        <v>9937</v>
      </c>
      <c r="I970" t="s">
        <v>12578</v>
      </c>
      <c r="J970" t="str">
        <f t="shared" si="46"/>
        <v>(${Variables:E2_5_1_32_kcat} * E2_5_1_32 * C03427)/(${Variables:E2_5_1_32_km} + (E2_5_1_32 * C03427))</v>
      </c>
      <c r="K970" s="21" t="str">
        <f t="shared" si="47"/>
        <v>r969: C03427 -&gt; C00013 + C05421 | (${Variables:E2_5_1_32_kcat} * E2_5_1_32 * C03427)/(${Variables:E2_5_1_32_km} + (E2_5_1_32 * C03427))</v>
      </c>
    </row>
    <row r="971" spans="1:11">
      <c r="A971" t="s">
        <v>6353</v>
      </c>
      <c r="B971" t="s">
        <v>6354</v>
      </c>
      <c r="C971" t="s">
        <v>15666</v>
      </c>
      <c r="D971">
        <v>970</v>
      </c>
      <c r="E971" t="str">
        <f t="shared" si="45"/>
        <v>E2_5_1_32</v>
      </c>
      <c r="F971" t="s">
        <v>14104</v>
      </c>
      <c r="G971" t="s">
        <v>14104</v>
      </c>
      <c r="H971" t="s">
        <v>15861</v>
      </c>
      <c r="I971" t="s">
        <v>15860</v>
      </c>
      <c r="J971" t="str">
        <f t="shared" si="46"/>
        <v>(${Variables:E2_5_1_32_kcat} * E2_5_1_32 * C00353)/(${Variables:E2_5_1_32_km} + (E2_5_1_32 * C00353))</v>
      </c>
      <c r="K971" s="21" t="str">
        <f t="shared" si="47"/>
        <v>r970: C00353 -&gt; C05421 + C00013 | (${Variables:E2_5_1_32_kcat} * E2_5_1_32 * C00353)/(${Variables:E2_5_1_32_km} + (E2_5_1_32 * C00353))</v>
      </c>
    </row>
    <row r="972" spans="1:11">
      <c r="A972" t="s">
        <v>6353</v>
      </c>
      <c r="B972" t="s">
        <v>6354</v>
      </c>
      <c r="C972" t="s">
        <v>15666</v>
      </c>
      <c r="D972">
        <v>971</v>
      </c>
      <c r="E972" t="str">
        <f t="shared" si="45"/>
        <v>E2_5_1_32</v>
      </c>
      <c r="F972" t="s">
        <v>9939</v>
      </c>
      <c r="G972" t="s">
        <v>9939</v>
      </c>
      <c r="H972" t="s">
        <v>9940</v>
      </c>
      <c r="I972" t="s">
        <v>12579</v>
      </c>
      <c r="J972" t="str">
        <f t="shared" si="46"/>
        <v>(${Variables:E2_5_1_32_kcat} * E2_5_1_32 * C03427 )/(${Variables:E2_5_1_32_km} + (E2_5_1_32 * C03427 ))</v>
      </c>
      <c r="K972" s="21" t="str">
        <f t="shared" si="47"/>
        <v>r971: C03427  -&gt; C05413 + C00013 | (${Variables:E2_5_1_32_kcat} * E2_5_1_32 * C03427 )/(${Variables:E2_5_1_32_km} + (E2_5_1_32 * C03427 ))</v>
      </c>
    </row>
    <row r="973" spans="1:11">
      <c r="A973" t="s">
        <v>6353</v>
      </c>
      <c r="B973" t="s">
        <v>6354</v>
      </c>
      <c r="C973" t="s">
        <v>15666</v>
      </c>
      <c r="D973">
        <v>972</v>
      </c>
      <c r="E973" t="str">
        <f t="shared" si="45"/>
        <v>E2_5_1_32</v>
      </c>
      <c r="F973" t="s">
        <v>15862</v>
      </c>
      <c r="G973" t="s">
        <v>15862</v>
      </c>
      <c r="H973" t="s">
        <v>9940</v>
      </c>
      <c r="I973" t="s">
        <v>15863</v>
      </c>
      <c r="J973" t="str">
        <f t="shared" si="46"/>
        <v>(${Variables:E2_5_1_32_kcat} * E2_5_1_32 * C00353 )/(${Variables:E2_5_1_32_km} + (E2_5_1_32 * C00353 ))</v>
      </c>
      <c r="K973" s="21" t="str">
        <f t="shared" si="47"/>
        <v>r972: C00353  -&gt; C05413 + C00013 | (${Variables:E2_5_1_32_kcat} * E2_5_1_32 * C00353 )/(${Variables:E2_5_1_32_km} + (E2_5_1_32 * C00353 ))</v>
      </c>
    </row>
    <row r="974" spans="1:11">
      <c r="A974" t="s">
        <v>6357</v>
      </c>
      <c r="B974" t="s">
        <v>6358</v>
      </c>
      <c r="C974" t="s">
        <v>15667</v>
      </c>
      <c r="D974">
        <v>973</v>
      </c>
      <c r="E974" t="str">
        <f t="shared" si="45"/>
        <v>E1_3_8_2</v>
      </c>
      <c r="F974" t="s">
        <v>15945</v>
      </c>
      <c r="G974" t="s">
        <v>15865</v>
      </c>
      <c r="H974" t="s">
        <v>9954</v>
      </c>
      <c r="I974" t="s">
        <v>15864</v>
      </c>
      <c r="J974" t="str">
        <f t="shared" si="46"/>
        <v>(${Variables:E1_3_8_2_kcat} * E1_3_8_2 * C16144 * C00016 )/(${Variables:E1_3_8_2_km} + (E1_3_8_2 * C16144 * C00016 ))</v>
      </c>
      <c r="K974" s="21" t="str">
        <f t="shared" si="47"/>
        <v>r973: C16144 + C00016  -&gt; C19797 + C01352 | (${Variables:E1_3_8_2_kcat} * E1_3_8_2 * C16144 * C00016 )/(${Variables:E1_3_8_2_km} + (E1_3_8_2 * C16144 * C00016 ))</v>
      </c>
    </row>
    <row r="975" spans="1:11">
      <c r="A975" t="s">
        <v>6357</v>
      </c>
      <c r="B975" t="s">
        <v>6358</v>
      </c>
      <c r="C975" t="s">
        <v>15667</v>
      </c>
      <c r="D975">
        <v>974</v>
      </c>
      <c r="E975" t="str">
        <f t="shared" si="45"/>
        <v>E1_3_8_2</v>
      </c>
      <c r="F975" t="s">
        <v>9947</v>
      </c>
      <c r="G975" t="s">
        <v>11876</v>
      </c>
      <c r="H975" t="s">
        <v>9948</v>
      </c>
      <c r="I975" t="s">
        <v>12580</v>
      </c>
      <c r="J975" t="str">
        <f t="shared" si="46"/>
        <v>(${Variables:E1_3_8_2_kcat} * E1_3_8_2 * C16144 * C00016)/(${Variables:E1_3_8_2_km} + (E1_3_8_2 * C16144 * C00016))</v>
      </c>
      <c r="K975" s="21" t="str">
        <f t="shared" si="47"/>
        <v>r974: C16144 + C00016 -&gt; C19840 + C01352 | (${Variables:E1_3_8_2_kcat} * E1_3_8_2 * C16144 * C00016)/(${Variables:E1_3_8_2_km} + (E1_3_8_2 * C16144 * C00016))</v>
      </c>
    </row>
    <row r="976" spans="1:11">
      <c r="A976" t="s">
        <v>6357</v>
      </c>
      <c r="B976" t="s">
        <v>6358</v>
      </c>
      <c r="C976" t="s">
        <v>15667</v>
      </c>
      <c r="D976">
        <v>975</v>
      </c>
      <c r="E976" t="str">
        <f t="shared" si="45"/>
        <v>E1_3_8_2</v>
      </c>
      <c r="F976" t="s">
        <v>9949</v>
      </c>
      <c r="G976" t="s">
        <v>11877</v>
      </c>
      <c r="H976" t="s">
        <v>15946</v>
      </c>
      <c r="I976" t="s">
        <v>12581</v>
      </c>
      <c r="J976" t="str">
        <f t="shared" si="46"/>
        <v>(${Variables:E1_3_8_2_kcat} * E1_3_8_2 * C19840 * C00016)/(${Variables:E1_3_8_2_km} + (E1_3_8_2 * C19840 * C00016))</v>
      </c>
      <c r="K976" s="21" t="str">
        <f t="shared" si="47"/>
        <v>r975: C19840 + C00016 -&gt; C19841 + C01352 | (${Variables:E1_3_8_2_kcat} * E1_3_8_2 * C19840 * C00016)/(${Variables:E1_3_8_2_km} + (E1_3_8_2 * C19840 * C00016))</v>
      </c>
    </row>
    <row r="977" spans="1:11">
      <c r="A977" t="s">
        <v>6357</v>
      </c>
      <c r="B977" t="s">
        <v>6358</v>
      </c>
      <c r="C977" t="s">
        <v>15667</v>
      </c>
      <c r="D977">
        <v>976</v>
      </c>
      <c r="E977" t="str">
        <f t="shared" si="45"/>
        <v>E1_3_8_2</v>
      </c>
      <c r="F977" t="s">
        <v>9951</v>
      </c>
      <c r="G977" t="s">
        <v>11878</v>
      </c>
      <c r="H977" t="s">
        <v>9952</v>
      </c>
      <c r="I977" t="s">
        <v>12582</v>
      </c>
      <c r="J977" t="str">
        <f t="shared" si="46"/>
        <v>(${Variables:E1_3_8_2_kcat} * E1_3_8_2 * C19841 * C00016)/(${Variables:E1_3_8_2_km} + (E1_3_8_2 * C19841 * C00016))</v>
      </c>
      <c r="K977" s="21" t="str">
        <f t="shared" si="47"/>
        <v>r976: C19841 + C00016 -&gt; C16145 + C01352 | (${Variables:E1_3_8_2_kcat} * E1_3_8_2 * C19841 * C00016)/(${Variables:E1_3_8_2_km} + (E1_3_8_2 * C19841 * C00016))</v>
      </c>
    </row>
    <row r="978" spans="1:11">
      <c r="A978" t="s">
        <v>6357</v>
      </c>
      <c r="B978" t="s">
        <v>6358</v>
      </c>
      <c r="C978" t="s">
        <v>15667</v>
      </c>
      <c r="D978">
        <v>977</v>
      </c>
      <c r="E978" t="str">
        <f t="shared" si="45"/>
        <v>E1_3_8_2</v>
      </c>
      <c r="F978" t="s">
        <v>9953</v>
      </c>
      <c r="G978" t="s">
        <v>11879</v>
      </c>
      <c r="H978" t="s">
        <v>9954</v>
      </c>
      <c r="I978" t="s">
        <v>12583</v>
      </c>
      <c r="J978" t="str">
        <f t="shared" si="46"/>
        <v>(${Variables:E1_3_8_2_kcat} * E1_3_8_2 * C16145 * C00016)/(${Variables:E1_3_8_2_km} + (E1_3_8_2 * C16145 * C00016))</v>
      </c>
      <c r="K978" s="21" t="str">
        <f t="shared" si="47"/>
        <v>r977: C16145 + C00016 -&gt; C19797 + C01352 | (${Variables:E1_3_8_2_kcat} * E1_3_8_2 * C16145 * C00016)/(${Variables:E1_3_8_2_km} + (E1_3_8_2 * C16145 * C00016))</v>
      </c>
    </row>
    <row r="979" spans="1:11">
      <c r="A979" t="s">
        <v>6357</v>
      </c>
      <c r="B979" t="s">
        <v>6358</v>
      </c>
      <c r="C979" t="s">
        <v>15667</v>
      </c>
      <c r="D979">
        <v>978</v>
      </c>
      <c r="E979" t="str">
        <f t="shared" si="45"/>
        <v>E1_3_8_2</v>
      </c>
      <c r="F979" t="s">
        <v>15945</v>
      </c>
      <c r="G979" t="s">
        <v>15865</v>
      </c>
      <c r="H979" t="s">
        <v>9952</v>
      </c>
      <c r="I979" t="s">
        <v>12582</v>
      </c>
      <c r="J979" t="str">
        <f t="shared" si="46"/>
        <v>(${Variables:E1_3_8_2_kcat} * E1_3_8_2 * C16144 * C00016 )/(${Variables:E1_3_8_2_km} + (E1_3_8_2 * C16144 * C00016 ))</v>
      </c>
      <c r="K979" s="21" t="str">
        <f t="shared" si="47"/>
        <v>r978: C16144 + C00016  -&gt; C16145 + C01352 | (${Variables:E1_3_8_2_kcat} * E1_3_8_2 * C16144 * C00016 )/(${Variables:E1_3_8_2_km} + (E1_3_8_2 * C16144 * C00016 ))</v>
      </c>
    </row>
    <row r="980" spans="1:11">
      <c r="A980" t="s">
        <v>6361</v>
      </c>
      <c r="B980" t="s">
        <v>6362</v>
      </c>
      <c r="C980" t="s">
        <v>15668</v>
      </c>
      <c r="D980">
        <v>979</v>
      </c>
      <c r="E980" t="str">
        <f t="shared" si="45"/>
        <v>E6_1_1_6</v>
      </c>
      <c r="F980" t="s">
        <v>9959</v>
      </c>
      <c r="G980" t="s">
        <v>11880</v>
      </c>
      <c r="H980" t="s">
        <v>9960</v>
      </c>
      <c r="I980" t="s">
        <v>12584</v>
      </c>
      <c r="J980" t="str">
        <f t="shared" si="46"/>
        <v>(${Variables:E6_1_1_6_kcat} * E6_1_1_6 * C00002 * C00047 * C01646 )/(${Variables:E6_1_1_6_km} + (E6_1_1_6 * C00002 * C00047 * C01646 ))</v>
      </c>
      <c r="K980" s="21" t="str">
        <f t="shared" si="47"/>
        <v>r979: C00002 + C00047 + C01646  -&gt; C00020 + C00013 + C01931 | (${Variables:E6_1_1_6_kcat} * E6_1_1_6 * C00002 * C00047 * C01646 )/(${Variables:E6_1_1_6_km} + (E6_1_1_6 * C00002 * C00047 * C01646 ))</v>
      </c>
    </row>
    <row r="981" spans="1:11">
      <c r="A981" t="s">
        <v>6386</v>
      </c>
      <c r="B981" t="s">
        <v>6387</v>
      </c>
      <c r="C981" t="s">
        <v>15629</v>
      </c>
      <c r="D981">
        <v>980</v>
      </c>
      <c r="E981" t="str">
        <f t="shared" si="45"/>
        <v>E6_3_2_1</v>
      </c>
      <c r="F981" t="s">
        <v>9688</v>
      </c>
      <c r="G981" t="s">
        <v>11803</v>
      </c>
      <c r="H981" t="s">
        <v>15947</v>
      </c>
      <c r="I981" t="s">
        <v>12510</v>
      </c>
      <c r="J981" t="str">
        <f t="shared" si="46"/>
        <v>(${Variables:E6_3_2_1_kcat} * E6_3_2_1 * C00002 * C00522 * C00099 )/(${Variables:E6_3_2_1_km} + (E6_3_2_1 * C00002 * C00522 * C00099 ))</v>
      </c>
      <c r="K981" s="21" t="str">
        <f t="shared" si="47"/>
        <v>r980: C00002 + C00522 + C00099  -&gt; C00020 + C00013 + C00864 | (${Variables:E6_3_2_1_kcat} * E6_3_2_1 * C00002 * C00522 * C00099 )/(${Variables:E6_3_2_1_km} + (E6_3_2_1 * C00002 * C00522 * C00099 ))</v>
      </c>
    </row>
    <row r="982" spans="1:11">
      <c r="A982" t="s">
        <v>6397</v>
      </c>
      <c r="B982" t="s">
        <v>6398</v>
      </c>
      <c r="C982" t="s">
        <v>15669</v>
      </c>
      <c r="D982">
        <v>981</v>
      </c>
      <c r="E982" t="str">
        <f t="shared" si="45"/>
        <v>E2_7_6_3</v>
      </c>
      <c r="F982" t="s">
        <v>9964</v>
      </c>
      <c r="G982" t="s">
        <v>11881</v>
      </c>
      <c r="H982" t="s">
        <v>9965</v>
      </c>
      <c r="I982" t="s">
        <v>12585</v>
      </c>
      <c r="J982" t="str">
        <f t="shared" si="46"/>
        <v>(${Variables:E2_7_6_3_kcat} * E2_7_6_3 * C00002 * C01300)/(${Variables:E2_7_6_3_km} + (E2_7_6_3 * C00002 * C01300))</v>
      </c>
      <c r="K982" s="21" t="str">
        <f t="shared" si="47"/>
        <v>r981: C00002 + C01300 -&gt; C00020 + C04807 | (${Variables:E2_7_6_3_kcat} * E2_7_6_3 * C00002 * C01300)/(${Variables:E2_7_6_3_km} + (E2_7_6_3 * C00002 * C01300))</v>
      </c>
    </row>
    <row r="983" spans="1:11">
      <c r="A983" t="s">
        <v>6401</v>
      </c>
      <c r="B983" t="s">
        <v>6402</v>
      </c>
      <c r="C983" t="s">
        <v>15670</v>
      </c>
      <c r="D983">
        <v>982</v>
      </c>
      <c r="E983" t="str">
        <f t="shared" si="45"/>
        <v>E4_1_2_25</v>
      </c>
      <c r="F983" t="s">
        <v>9968</v>
      </c>
      <c r="G983" t="s">
        <v>9968</v>
      </c>
      <c r="H983" t="s">
        <v>9969</v>
      </c>
      <c r="I983" t="s">
        <v>12586</v>
      </c>
      <c r="J983" t="str">
        <f t="shared" si="46"/>
        <v>(${Variables:E4_1_2_25_kcat} * E4_1_2_25 * C04874 )/(${Variables:E4_1_2_25_km} + (E4_1_2_25 * C04874 ))</v>
      </c>
      <c r="K983" s="21" t="str">
        <f t="shared" si="47"/>
        <v>r982: C04874  -&gt; C00266 + C01300 | (${Variables:E4_1_2_25_kcat} * E4_1_2_25 * C04874 )/(${Variables:E4_1_2_25_km} + (E4_1_2_25 * C04874 ))</v>
      </c>
    </row>
    <row r="984" spans="1:11">
      <c r="A984" t="s">
        <v>6405</v>
      </c>
      <c r="B984" t="s">
        <v>6406</v>
      </c>
      <c r="C984" t="s">
        <v>15671</v>
      </c>
      <c r="D984">
        <v>983</v>
      </c>
      <c r="E984" t="str">
        <f t="shared" si="45"/>
        <v>E2_5_1_15</v>
      </c>
      <c r="F984" t="s">
        <v>9972</v>
      </c>
      <c r="G984" t="s">
        <v>11882</v>
      </c>
      <c r="H984" t="s">
        <v>15866</v>
      </c>
      <c r="I984" t="s">
        <v>12587</v>
      </c>
      <c r="J984" t="str">
        <f t="shared" si="46"/>
        <v>(${Variables:E2_5_1_15_kcat} * E2_5_1_15 * C04807 * C00568 )/(${Variables:E2_5_1_15_km} + (E2_5_1_15 * C04807 * C00568 ))</v>
      </c>
      <c r="K984" s="21" t="str">
        <f t="shared" si="47"/>
        <v>r983: C04807 + C00568  -&gt; C00013 + C00921 | (${Variables:E2_5_1_15_kcat} * E2_5_1_15 * C04807 * C00568 )/(${Variables:E2_5_1_15_km} + (E2_5_1_15 * C04807 * C00568 ))</v>
      </c>
    </row>
    <row r="985" spans="1:11">
      <c r="A985" t="s">
        <v>6405</v>
      </c>
      <c r="B985" t="s">
        <v>6406</v>
      </c>
      <c r="C985" t="s">
        <v>15671</v>
      </c>
      <c r="D985">
        <v>984</v>
      </c>
      <c r="E985" t="str">
        <f t="shared" si="45"/>
        <v>E2_5_1_15</v>
      </c>
      <c r="F985" t="s">
        <v>9974</v>
      </c>
      <c r="G985" t="s">
        <v>11883</v>
      </c>
      <c r="H985" t="s">
        <v>9975</v>
      </c>
      <c r="I985" t="s">
        <v>12588</v>
      </c>
      <c r="J985" t="str">
        <f t="shared" si="46"/>
        <v>(${Variables:E2_5_1_15_kcat} * E2_5_1_15 * C01300 * C00568 )/(${Variables:E2_5_1_15_km} + (E2_5_1_15 * C01300 * C00568 ))</v>
      </c>
      <c r="K985" s="21" t="str">
        <f t="shared" si="47"/>
        <v>r984: C01300 + C00568  -&gt; C00921 + C00001 | (${Variables:E2_5_1_15_kcat} * E2_5_1_15 * C01300 * C00568 )/(${Variables:E2_5_1_15_km} + (E2_5_1_15 * C01300 * C00568 ))</v>
      </c>
    </row>
    <row r="986" spans="1:11">
      <c r="A986" t="s">
        <v>6409</v>
      </c>
      <c r="B986" t="s">
        <v>6410</v>
      </c>
      <c r="C986" t="s">
        <v>15602</v>
      </c>
      <c r="D986">
        <v>985</v>
      </c>
      <c r="E986" t="str">
        <f t="shared" si="45"/>
        <v>E3_5_4_16</v>
      </c>
      <c r="F986" t="s">
        <v>9803</v>
      </c>
      <c r="G986" t="s">
        <v>11722</v>
      </c>
      <c r="H986" t="s">
        <v>11056</v>
      </c>
      <c r="I986" t="s">
        <v>12431</v>
      </c>
      <c r="J986" t="str">
        <f t="shared" si="46"/>
        <v>(${Variables:E3_5_4_16_kcat} * E3_5_4_16 * C00044 * C00001)/(${Variables:E3_5_4_16_km} + (E3_5_4_16 * C00044 * C00001))</v>
      </c>
      <c r="K986" s="21" t="str">
        <f t="shared" si="47"/>
        <v>r985: C00044 + C00001 -&gt; C04895 + C00058 | (${Variables:E3_5_4_16_kcat} * E3_5_4_16 * C00044 * C00001)/(${Variables:E3_5_4_16_km} + (E3_5_4_16 * C00044 * C00001))</v>
      </c>
    </row>
    <row r="987" spans="1:11">
      <c r="A987" t="s">
        <v>6409</v>
      </c>
      <c r="B987" t="s">
        <v>6410</v>
      </c>
      <c r="C987" t="s">
        <v>15602</v>
      </c>
      <c r="D987">
        <v>986</v>
      </c>
      <c r="E987" t="str">
        <f t="shared" si="45"/>
        <v>E3_5_4_16</v>
      </c>
      <c r="F987" t="s">
        <v>9803</v>
      </c>
      <c r="G987" t="s">
        <v>11722</v>
      </c>
      <c r="H987" t="s">
        <v>9276</v>
      </c>
      <c r="I987" t="s">
        <v>9276</v>
      </c>
      <c r="J987" t="str">
        <f t="shared" si="46"/>
        <v>(${Variables:E3_5_4_16_kcat} * E3_5_4_16 * C00044 * C00001)/(${Variables:E3_5_4_16_km} + (E3_5_4_16 * C00044 * C00001))</v>
      </c>
      <c r="K987" s="21" t="str">
        <f t="shared" si="47"/>
        <v>r986: C00044 + C00001 -&gt; C05922 | (${Variables:E3_5_4_16_kcat} * E3_5_4_16 * C00044 * C00001)/(${Variables:E3_5_4_16_km} + (E3_5_4_16 * C00044 * C00001))</v>
      </c>
    </row>
    <row r="988" spans="1:11">
      <c r="A988" t="s">
        <v>6409</v>
      </c>
      <c r="B988" t="s">
        <v>6410</v>
      </c>
      <c r="C988" t="s">
        <v>15602</v>
      </c>
      <c r="D988">
        <v>987</v>
      </c>
      <c r="E988" t="str">
        <f t="shared" si="45"/>
        <v>E3_5_4_16</v>
      </c>
      <c r="F988" t="s">
        <v>11188</v>
      </c>
      <c r="G988" t="s">
        <v>11884</v>
      </c>
      <c r="H988" t="s">
        <v>9278</v>
      </c>
      <c r="I988" t="s">
        <v>9278</v>
      </c>
      <c r="J988" t="str">
        <f t="shared" si="46"/>
        <v>(${Variables:E3_5_4_16_kcat} * E3_5_4_16 * C04895 * C00001 )/(${Variables:E3_5_4_16_km} + (E3_5_4_16 * C04895 * C00001 ))</v>
      </c>
      <c r="K988" s="21" t="str">
        <f t="shared" si="47"/>
        <v>r987: C04895 + C00001  -&gt; C06148 | (${Variables:E3_5_4_16_kcat} * E3_5_4_16 * C04895 * C00001 )/(${Variables:E3_5_4_16_km} + (E3_5_4_16 * C04895 * C00001 ))</v>
      </c>
    </row>
    <row r="989" spans="1:11">
      <c r="A989" t="s">
        <v>6409</v>
      </c>
      <c r="B989" t="s">
        <v>6410</v>
      </c>
      <c r="C989" t="s">
        <v>15602</v>
      </c>
      <c r="D989">
        <v>988</v>
      </c>
      <c r="E989" t="str">
        <f t="shared" si="45"/>
        <v>E3_5_4_16</v>
      </c>
      <c r="F989" t="s">
        <v>11058</v>
      </c>
      <c r="G989" t="s">
        <v>11724</v>
      </c>
      <c r="H989" t="s">
        <v>11059</v>
      </c>
      <c r="I989" t="s">
        <v>12432</v>
      </c>
      <c r="J989" t="str">
        <f t="shared" si="46"/>
        <v>(${Variables:E3_5_4_16_kcat} * E3_5_4_16 * C05922 * C00001)/(${Variables:E3_5_4_16_km} + (E3_5_4_16 * C05922 * C00001))</v>
      </c>
      <c r="K989" s="21" t="str">
        <f t="shared" si="47"/>
        <v>r988: C05922 + C00001 -&gt; C05923 + C00058 | (${Variables:E3_5_4_16_kcat} * E3_5_4_16 * C05922 * C00001)/(${Variables:E3_5_4_16_km} + (E3_5_4_16 * C05922 * C00001))</v>
      </c>
    </row>
    <row r="990" spans="1:11">
      <c r="A990" t="s">
        <v>6409</v>
      </c>
      <c r="B990" t="s">
        <v>6410</v>
      </c>
      <c r="C990" t="s">
        <v>15602</v>
      </c>
      <c r="D990">
        <v>989</v>
      </c>
      <c r="E990" t="str">
        <f t="shared" si="45"/>
        <v>E3_5_4_16</v>
      </c>
      <c r="F990" t="s">
        <v>9282</v>
      </c>
      <c r="G990" t="s">
        <v>9282</v>
      </c>
      <c r="H990" t="s">
        <v>9278</v>
      </c>
      <c r="I990" t="s">
        <v>9278</v>
      </c>
      <c r="J990" t="str">
        <f t="shared" si="46"/>
        <v>(${Variables:E3_5_4_16_kcat} * E3_5_4_16 * C05923)/(${Variables:E3_5_4_16_km} + (E3_5_4_16 * C05923))</v>
      </c>
      <c r="K990" s="21" t="str">
        <f t="shared" si="47"/>
        <v>r989: C05923 -&gt; C06148 | (${Variables:E3_5_4_16_kcat} * E3_5_4_16 * C05923)/(${Variables:E3_5_4_16_km} + (E3_5_4_16 * C05923))</v>
      </c>
    </row>
    <row r="991" spans="1:11">
      <c r="A991" t="s">
        <v>6417</v>
      </c>
      <c r="B991" t="s">
        <v>6418</v>
      </c>
      <c r="C991" t="s">
        <v>15672</v>
      </c>
      <c r="D991">
        <v>990</v>
      </c>
      <c r="E991" t="str">
        <f t="shared" si="45"/>
        <v>E2_4_2_8</v>
      </c>
      <c r="F991" t="s">
        <v>9978</v>
      </c>
      <c r="G991" t="s">
        <v>11885</v>
      </c>
      <c r="H991" t="s">
        <v>9979</v>
      </c>
      <c r="I991" t="s">
        <v>12589</v>
      </c>
      <c r="J991" t="str">
        <f t="shared" si="46"/>
        <v>(${Variables:E2_4_2_8_kcat} * E2_4_2_8 * C00130 * C00013)/(${Variables:E2_4_2_8_km} + (E2_4_2_8 * C00130 * C00013))</v>
      </c>
      <c r="K991" s="21" t="str">
        <f t="shared" si="47"/>
        <v>r990: C00130 + C00013 -&gt; C00262 + C00119 | (${Variables:E2_4_2_8_kcat} * E2_4_2_8 * C00130 * C00013)/(${Variables:E2_4_2_8_km} + (E2_4_2_8 * C00130 * C00013))</v>
      </c>
    </row>
    <row r="992" spans="1:11">
      <c r="A992" t="s">
        <v>6417</v>
      </c>
      <c r="B992" t="s">
        <v>6418</v>
      </c>
      <c r="C992" t="s">
        <v>15672</v>
      </c>
      <c r="D992">
        <v>991</v>
      </c>
      <c r="E992" t="str">
        <f t="shared" si="45"/>
        <v>E2_4_2_8</v>
      </c>
      <c r="F992" t="s">
        <v>9804</v>
      </c>
      <c r="G992" t="s">
        <v>11886</v>
      </c>
      <c r="H992" t="s">
        <v>9980</v>
      </c>
      <c r="I992" t="s">
        <v>12590</v>
      </c>
      <c r="J992" t="str">
        <f t="shared" si="46"/>
        <v>(${Variables:E2_4_2_8_kcat} * E2_4_2_8 * C00144 * C00013)/(${Variables:E2_4_2_8_km} + (E2_4_2_8 * C00144 * C00013))</v>
      </c>
      <c r="K992" s="21" t="str">
        <f t="shared" si="47"/>
        <v>r991: C00144 + C00013 -&gt; C00242 + C00119 | (${Variables:E2_4_2_8_kcat} * E2_4_2_8 * C00144 * C00013)/(${Variables:E2_4_2_8_km} + (E2_4_2_8 * C00144 * C00013))</v>
      </c>
    </row>
    <row r="993" spans="1:11">
      <c r="A993" t="s">
        <v>6417</v>
      </c>
      <c r="B993" t="s">
        <v>6418</v>
      </c>
      <c r="C993" t="s">
        <v>15672</v>
      </c>
      <c r="D993">
        <v>992</v>
      </c>
      <c r="E993" t="str">
        <f t="shared" si="45"/>
        <v>E2_4_2_8</v>
      </c>
      <c r="F993" t="s">
        <v>9981</v>
      </c>
      <c r="G993" t="s">
        <v>11887</v>
      </c>
      <c r="H993" t="s">
        <v>9982</v>
      </c>
      <c r="I993" t="s">
        <v>12591</v>
      </c>
      <c r="J993" t="str">
        <f t="shared" si="46"/>
        <v>(${Variables:E2_4_2_8_kcat} * E2_4_2_8 * C00655 * C00013 )/(${Variables:E2_4_2_8_km} + (E2_4_2_8 * C00655 * C00013 ))</v>
      </c>
      <c r="K993" s="21" t="str">
        <f t="shared" si="47"/>
        <v>r992: C00655 + C00013  -&gt; C00385 + C00119 | (${Variables:E2_4_2_8_kcat} * E2_4_2_8 * C00655 * C00013 )/(${Variables:E2_4_2_8_km} + (E2_4_2_8 * C00655 * C00013 ))</v>
      </c>
    </row>
    <row r="994" spans="1:11">
      <c r="A994" t="s">
        <v>6417</v>
      </c>
      <c r="B994" t="s">
        <v>6418</v>
      </c>
      <c r="C994" t="s">
        <v>15672</v>
      </c>
      <c r="D994">
        <v>993</v>
      </c>
      <c r="E994" t="str">
        <f t="shared" si="45"/>
        <v>E2_4_2_8</v>
      </c>
      <c r="F994" t="s">
        <v>9983</v>
      </c>
      <c r="G994" t="s">
        <v>11888</v>
      </c>
      <c r="H994" t="s">
        <v>9984</v>
      </c>
      <c r="I994" t="s">
        <v>12592</v>
      </c>
      <c r="J994" t="str">
        <f t="shared" si="46"/>
        <v>(${Variables:E2_4_2_8_kcat} * E2_4_2_8 * C02380 * C00119 )/(${Variables:E2_4_2_8_km} + (E2_4_2_8 * C02380 * C00119 ))</v>
      </c>
      <c r="K994" s="21" t="str">
        <f t="shared" si="47"/>
        <v>r993: C02380 + C00119  -&gt; C04646 + C00013 | (${Variables:E2_4_2_8_kcat} * E2_4_2_8 * C02380 * C00119 )/(${Variables:E2_4_2_8_km} + (E2_4_2_8 * C02380 * C00119 ))</v>
      </c>
    </row>
    <row r="995" spans="1:11">
      <c r="A995" t="s">
        <v>6417</v>
      </c>
      <c r="B995" t="s">
        <v>6418</v>
      </c>
      <c r="C995" t="s">
        <v>15672</v>
      </c>
      <c r="D995">
        <v>994</v>
      </c>
      <c r="E995" t="str">
        <f t="shared" si="45"/>
        <v>E2_4_2_8</v>
      </c>
      <c r="F995" t="s">
        <v>9985</v>
      </c>
      <c r="G995" t="s">
        <v>11889</v>
      </c>
      <c r="H995" t="s">
        <v>9986</v>
      </c>
      <c r="I995" t="s">
        <v>12593</v>
      </c>
      <c r="J995" t="str">
        <f t="shared" si="46"/>
        <v>(${Variables:E2_4_2_8_kcat} * E2_4_2_8 * C16614 * C00119 )/(${Variables:E2_4_2_8_km} + (E2_4_2_8 * C16614 * C00119 ))</v>
      </c>
      <c r="K995" s="21" t="str">
        <f t="shared" si="47"/>
        <v>r994: C16614 + C00119  -&gt; C16615 + C00013 | (${Variables:E2_4_2_8_kcat} * E2_4_2_8 * C16614 * C00119 )/(${Variables:E2_4_2_8_km} + (E2_4_2_8 * C16614 * C00119 ))</v>
      </c>
    </row>
    <row r="996" spans="1:11">
      <c r="A996" t="s">
        <v>6417</v>
      </c>
      <c r="B996" t="s">
        <v>6418</v>
      </c>
      <c r="C996" t="s">
        <v>15672</v>
      </c>
      <c r="D996">
        <v>995</v>
      </c>
      <c r="E996" t="str">
        <f t="shared" si="45"/>
        <v>E2_4_2_8</v>
      </c>
      <c r="F996" t="s">
        <v>9987</v>
      </c>
      <c r="G996" t="s">
        <v>11890</v>
      </c>
      <c r="H996" t="s">
        <v>9988</v>
      </c>
      <c r="I996" t="s">
        <v>12594</v>
      </c>
      <c r="J996" t="str">
        <f t="shared" si="46"/>
        <v>(${Variables:E2_4_2_8_kcat} * E2_4_2_8 * C07648 * C00119)/(${Variables:E2_4_2_8_km} + (E2_4_2_8 * C07648 * C00119))</v>
      </c>
      <c r="K996" s="21" t="str">
        <f t="shared" si="47"/>
        <v>r995: C07648 + C00119 -&gt; C16619 + C00013 | (${Variables:E2_4_2_8_kcat} * E2_4_2_8 * C07648 * C00119)/(${Variables:E2_4_2_8_km} + (E2_4_2_8 * C07648 * C00119))</v>
      </c>
    </row>
    <row r="997" spans="1:11">
      <c r="A997" t="s">
        <v>6429</v>
      </c>
      <c r="B997" t="s">
        <v>6430</v>
      </c>
      <c r="C997" t="s">
        <v>15673</v>
      </c>
      <c r="D997">
        <v>996</v>
      </c>
      <c r="E997" t="str">
        <f t="shared" si="45"/>
        <v>E3_6_1_1</v>
      </c>
      <c r="F997" t="s">
        <v>9992</v>
      </c>
      <c r="G997" t="s">
        <v>11891</v>
      </c>
      <c r="H997" t="s">
        <v>13196</v>
      </c>
      <c r="I997" t="s">
        <v>13196</v>
      </c>
      <c r="J997" t="str">
        <f t="shared" si="46"/>
        <v>(${Variables:E3_6_1_1_kcat} * E3_6_1_1 * C00013 * C00001)/(${Variables:E3_6_1_1_km} + (E3_6_1_1 * C00013 * C00001))</v>
      </c>
      <c r="K997" s="21" t="str">
        <f t="shared" si="47"/>
        <v>r996: C00013 + C00001 -&gt; C00009 | (${Variables:E3_6_1_1_kcat} * E3_6_1_1 * C00013 * C00001)/(${Variables:E3_6_1_1_km} + (E3_6_1_1 * C00013 * C00001))</v>
      </c>
    </row>
    <row r="998" spans="1:11">
      <c r="A998" t="s">
        <v>6447</v>
      </c>
      <c r="B998" t="s">
        <v>6448</v>
      </c>
      <c r="C998" t="s">
        <v>15396</v>
      </c>
      <c r="D998">
        <v>997</v>
      </c>
      <c r="E998" t="str">
        <f t="shared" si="45"/>
        <v>E2_8_1_1</v>
      </c>
      <c r="F998" s="4" t="s">
        <v>10602</v>
      </c>
      <c r="G998" s="4" t="s">
        <v>11417</v>
      </c>
      <c r="H998" s="4" t="s">
        <v>10603</v>
      </c>
      <c r="I998" s="4" t="s">
        <v>12103</v>
      </c>
      <c r="J998" t="str">
        <f t="shared" si="46"/>
        <v>(${Variables:E2_8_1_1_kcat} * E2_8_1_1 * C00320 * C00177)/(${Variables:E2_8_1_1_km} + (E2_8_1_1 * C00320 * C00177))</v>
      </c>
      <c r="K998" s="21" t="str">
        <f t="shared" si="47"/>
        <v>r997: C00320 + C00177 -&gt; C00094 + C01755 | (${Variables:E2_8_1_1_kcat} * E2_8_1_1 * C00320 * C00177)/(${Variables:E2_8_1_1_km} + (E2_8_1_1 * C00320 * C00177))</v>
      </c>
    </row>
    <row r="999" spans="1:11">
      <c r="A999" t="s">
        <v>6475</v>
      </c>
      <c r="B999" t="s">
        <v>6476</v>
      </c>
      <c r="C999" t="s">
        <v>15319</v>
      </c>
      <c r="D999">
        <v>998</v>
      </c>
      <c r="E999" t="str">
        <f t="shared" si="45"/>
        <v>E3_5_1_18</v>
      </c>
      <c r="F999" t="s">
        <v>10675</v>
      </c>
      <c r="G999" t="s">
        <v>11501</v>
      </c>
      <c r="H999" t="s">
        <v>10500</v>
      </c>
      <c r="I999" t="s">
        <v>12008</v>
      </c>
      <c r="J999" t="str">
        <f t="shared" si="46"/>
        <v>(${Variables:E3_5_1_18_kcat} * E3_5_1_18 * C04421 * C00001)/(${Variables:E3_5_1_18_km} + (E3_5_1_18 * C04421 * C00001))</v>
      </c>
      <c r="K999" s="21" t="str">
        <f t="shared" si="47"/>
        <v>r998: C04421 + C00001 -&gt; C00042 + C00666 | (${Variables:E3_5_1_18_kcat} * E3_5_1_18 * C04421 * C00001)/(${Variables:E3_5_1_18_km} + (E3_5_1_18 * C04421 * C00001))</v>
      </c>
    </row>
    <row r="1000" spans="1:11">
      <c r="A1000" t="s">
        <v>6507</v>
      </c>
      <c r="B1000" t="s">
        <v>6508</v>
      </c>
      <c r="C1000" t="s">
        <v>15518</v>
      </c>
      <c r="D1000">
        <v>999</v>
      </c>
      <c r="E1000" t="str">
        <f t="shared" si="45"/>
        <v>E3_5_1_88</v>
      </c>
      <c r="F1000" t="s">
        <v>10785</v>
      </c>
      <c r="G1000" t="s">
        <v>11587</v>
      </c>
      <c r="H1000" t="s">
        <v>10786</v>
      </c>
      <c r="I1000" t="s">
        <v>12287</v>
      </c>
      <c r="J1000" t="str">
        <f t="shared" si="46"/>
        <v>(${Variables:E3_5_1_88_kcat} * E3_5_1_88 * C11439 * C00001)/(${Variables:E3_5_1_88_km} + (E3_5_1_88 * C11439 * C00001))</v>
      </c>
      <c r="K1000" s="21" t="str">
        <f t="shared" si="47"/>
        <v>r999: C11439 + C00001 -&gt; C11440 + C00058 | (${Variables:E3_5_1_88_kcat} * E3_5_1_88 * C11439 * C00001)/(${Variables:E3_5_1_88_km} + (E3_5_1_88 * C11439 * C00001))</v>
      </c>
    </row>
    <row r="1001" spans="1:11">
      <c r="A1001" t="s">
        <v>6507</v>
      </c>
      <c r="B1001" t="s">
        <v>6508</v>
      </c>
      <c r="C1001" t="s">
        <v>15518</v>
      </c>
      <c r="D1001">
        <v>1000</v>
      </c>
      <c r="E1001" t="str">
        <f t="shared" si="45"/>
        <v>E3_5_1_88</v>
      </c>
      <c r="F1001" t="s">
        <v>10787</v>
      </c>
      <c r="G1001" t="s">
        <v>11588</v>
      </c>
      <c r="H1001" t="s">
        <v>10788</v>
      </c>
      <c r="I1001" t="s">
        <v>12288</v>
      </c>
      <c r="J1001" t="str">
        <f t="shared" si="46"/>
        <v>(${Variables:E3_5_1_88_kcat} * E3_5_1_88 * C04258 * C00001)/(${Variables:E3_5_1_88_km} + (E3_5_1_88 * C04258 * C00001))</v>
      </c>
      <c r="K1001" s="21" t="str">
        <f t="shared" si="47"/>
        <v>r1000: C04258 + C00001 -&gt; C00058 + C03617 | (${Variables:E3_5_1_88_kcat} * E3_5_1_88 * C04258 * C00001)/(${Variables:E3_5_1_88_km} + (E3_5_1_88 * C04258 * C00001))</v>
      </c>
    </row>
    <row r="1002" spans="1:11">
      <c r="A1002" t="s">
        <v>6511</v>
      </c>
      <c r="B1002" t="s">
        <v>6512</v>
      </c>
      <c r="C1002" t="s">
        <v>15674</v>
      </c>
      <c r="D1002">
        <v>1001</v>
      </c>
      <c r="E1002" t="str">
        <f t="shared" si="45"/>
        <v>E2_3_1_183</v>
      </c>
      <c r="F1002" t="s">
        <v>11189</v>
      </c>
      <c r="G1002" t="s">
        <v>11892</v>
      </c>
      <c r="H1002" t="s">
        <v>11190</v>
      </c>
      <c r="I1002" t="s">
        <v>12595</v>
      </c>
      <c r="J1002" t="str">
        <f t="shared" si="46"/>
        <v>(${Variables:E2_3_1_183_kcat} * E2_3_1_183 * C00024 * C04650 )/(${Variables:E2_3_1_183_km} + (E2_3_1_183 * C00024 * C04650 ))</v>
      </c>
      <c r="K1002" s="21" t="str">
        <f t="shared" si="47"/>
        <v>r1001: C00024 + C04650  -&gt; C00010 + C17952 | (${Variables:E2_3_1_183_kcat} * E2_3_1_183 * C00024 * C04650 )/(${Variables:E2_3_1_183_km} + (E2_3_1_183 * C00024 * C04650 ))</v>
      </c>
    </row>
    <row r="1003" spans="1:11">
      <c r="A1003" t="s">
        <v>6511</v>
      </c>
      <c r="B1003" t="s">
        <v>6512</v>
      </c>
      <c r="C1003" t="s">
        <v>15674</v>
      </c>
      <c r="D1003">
        <v>1002</v>
      </c>
      <c r="E1003" t="str">
        <f t="shared" si="45"/>
        <v>E2_3_1_183</v>
      </c>
      <c r="F1003" t="s">
        <v>11191</v>
      </c>
      <c r="G1003" t="s">
        <v>11893</v>
      </c>
      <c r="H1003" t="s">
        <v>11192</v>
      </c>
      <c r="I1003" t="s">
        <v>12596</v>
      </c>
      <c r="J1003" t="str">
        <f t="shared" si="46"/>
        <v>(${Variables:E2_3_1_183_kcat} * E2_3_1_183 * C17962 * C00024 )/(${Variables:E2_3_1_183_km} + (E2_3_1_183 * C17962 * C00024 ))</v>
      </c>
      <c r="K1003" s="21" t="str">
        <f t="shared" si="47"/>
        <v>r1002: C17962 + C00024  -&gt; C17949 + C00010 | (${Variables:E2_3_1_183_kcat} * E2_3_1_183 * C17962 * C00024 )/(${Variables:E2_3_1_183_km} + (E2_3_1_183 * C17962 * C00024 ))</v>
      </c>
    </row>
    <row r="1004" spans="1:11">
      <c r="A1004" t="s">
        <v>6536</v>
      </c>
      <c r="B1004" t="s">
        <v>6537</v>
      </c>
      <c r="C1004" t="s">
        <v>15317</v>
      </c>
      <c r="D1004">
        <v>1003</v>
      </c>
      <c r="E1004" t="str">
        <f t="shared" si="45"/>
        <v>E2_7_11_1</v>
      </c>
      <c r="F1004" t="s">
        <v>10495</v>
      </c>
      <c r="G1004" t="s">
        <v>11312</v>
      </c>
      <c r="H1004" t="s">
        <v>10496</v>
      </c>
      <c r="I1004" t="s">
        <v>12005</v>
      </c>
      <c r="J1004" t="str">
        <f t="shared" si="46"/>
        <v>(${Variables:E2_7_11_1_kcat} * E2_7_11_1 * C00002 *C00017)/(${Variables:E2_7_11_1_km} + (E2_7_11_1 * C00002 *C00017))</v>
      </c>
      <c r="K1004" s="21" t="str">
        <f t="shared" si="47"/>
        <v>r1003: C00002 +C00017 -&gt; C00008 + C00562 | (${Variables:E2_7_11_1_kcat} * E2_7_11_1 * C00002 *C00017)/(${Variables:E2_7_11_1_km} + (E2_7_11_1 * C00002 *C00017))</v>
      </c>
    </row>
    <row r="1005" spans="1:11">
      <c r="A1005" t="s">
        <v>6536</v>
      </c>
      <c r="B1005" t="s">
        <v>6537</v>
      </c>
      <c r="C1005" t="s">
        <v>15317</v>
      </c>
      <c r="D1005">
        <v>1004</v>
      </c>
      <c r="E1005" t="str">
        <f t="shared" si="45"/>
        <v>E2_7_11_1</v>
      </c>
      <c r="F1005" s="4" t="s">
        <v>10161</v>
      </c>
      <c r="G1005" s="4" t="s">
        <v>11680</v>
      </c>
      <c r="H1005" s="4" t="s">
        <v>10160</v>
      </c>
      <c r="I1005" s="4" t="s">
        <v>12006</v>
      </c>
      <c r="J1005" t="str">
        <f t="shared" si="46"/>
        <v>(${Variables:E2_7_11_1_kcat} * E2_7_11_1 * C00002 * C01609 )/(${Variables:E2_7_11_1_km} + (E2_7_11_1 * C00002 * C01609 ))</v>
      </c>
      <c r="K1005" s="21" t="str">
        <f t="shared" si="47"/>
        <v>r1004: C00002 + C01609  -&gt; C00008 + C02729 | (${Variables:E2_7_11_1_kcat} * E2_7_11_1 * C00002 * C01609 )/(${Variables:E2_7_11_1_km} + (E2_7_11_1 * C00002 * C01609 ))</v>
      </c>
    </row>
    <row r="1006" spans="1:11">
      <c r="A1006" t="s">
        <v>6540</v>
      </c>
      <c r="B1006" t="s">
        <v>6541</v>
      </c>
      <c r="C1006" t="s">
        <v>15675</v>
      </c>
      <c r="D1006">
        <v>1005</v>
      </c>
      <c r="E1006" t="str">
        <f t="shared" si="45"/>
        <v>E2_7_2_1</v>
      </c>
      <c r="F1006" t="s">
        <v>11193</v>
      </c>
      <c r="G1006" t="s">
        <v>11894</v>
      </c>
      <c r="H1006" t="s">
        <v>11194</v>
      </c>
      <c r="I1006" t="s">
        <v>12597</v>
      </c>
      <c r="J1006" t="str">
        <f t="shared" si="46"/>
        <v>(${Variables:E2_7_2_1_kcat} * E2_7_2_1 * C00002 * C00033)/(${Variables:E2_7_2_1_km} + (E2_7_2_1 * C00002 * C00033))</v>
      </c>
      <c r="K1006" s="21" t="str">
        <f t="shared" si="47"/>
        <v>r1005: C00002 + C00033 -&gt; C00008 + C00227 | (${Variables:E2_7_2_1_kcat} * E2_7_2_1 * C00002 * C00033)/(${Variables:E2_7_2_1_km} + (E2_7_2_1 * C00002 * C00033))</v>
      </c>
    </row>
    <row r="1007" spans="1:11">
      <c r="A1007" t="s">
        <v>6540</v>
      </c>
      <c r="B1007" t="s">
        <v>6541</v>
      </c>
      <c r="C1007" t="s">
        <v>15675</v>
      </c>
      <c r="D1007">
        <v>1006</v>
      </c>
      <c r="E1007" t="str">
        <f t="shared" si="45"/>
        <v>E2_7_2_1</v>
      </c>
      <c r="F1007" t="s">
        <v>11195</v>
      </c>
      <c r="G1007" t="s">
        <v>11895</v>
      </c>
      <c r="H1007" t="s">
        <v>11196</v>
      </c>
      <c r="I1007" t="s">
        <v>12598</v>
      </c>
      <c r="J1007" t="str">
        <f t="shared" si="46"/>
        <v>(${Variables:E2_7_2_1_kcat} * E2_7_2_1 * C00002 * C00163)/(${Variables:E2_7_2_1_km} + (E2_7_2_1 * C00002 * C00163))</v>
      </c>
      <c r="K1007" s="21" t="str">
        <f t="shared" si="47"/>
        <v>r1006: C00002 + C00163 -&gt; C00008 + C02876 | (${Variables:E2_7_2_1_kcat} * E2_7_2_1 * C00002 * C00163)/(${Variables:E2_7_2_1_km} + (E2_7_2_1 * C00002 * C00163))</v>
      </c>
    </row>
    <row r="1008" spans="1:11">
      <c r="A1008" t="s">
        <v>6544</v>
      </c>
      <c r="B1008" t="s">
        <v>6545</v>
      </c>
      <c r="C1008" t="s">
        <v>15676</v>
      </c>
      <c r="D1008">
        <v>1007</v>
      </c>
      <c r="E1008" t="str">
        <f t="shared" si="45"/>
        <v>E2_3_1_8</v>
      </c>
      <c r="F1008" t="s">
        <v>11197</v>
      </c>
      <c r="G1008" t="s">
        <v>11896</v>
      </c>
      <c r="H1008" t="s">
        <v>11198</v>
      </c>
      <c r="I1008" t="s">
        <v>12599</v>
      </c>
      <c r="J1008" t="str">
        <f t="shared" si="46"/>
        <v>(${Variables:E2_3_1_8_kcat} * E2_3_1_8 * C00024 * C00009)/(${Variables:E2_3_1_8_km} + (E2_3_1_8 * C00024 * C00009))</v>
      </c>
      <c r="K1008" s="21" t="str">
        <f t="shared" si="47"/>
        <v>r1007: C00024 + C00009 -&gt; C00010 + C00227 | (${Variables:E2_3_1_8_kcat} * E2_3_1_8 * C00024 * C00009)/(${Variables:E2_3_1_8_km} + (E2_3_1_8 * C00024 * C00009))</v>
      </c>
    </row>
    <row r="1009" spans="1:11">
      <c r="A1009" t="s">
        <v>6544</v>
      </c>
      <c r="B1009" t="s">
        <v>6545</v>
      </c>
      <c r="C1009" t="s">
        <v>15676</v>
      </c>
      <c r="D1009">
        <v>1008</v>
      </c>
      <c r="E1009" t="str">
        <f t="shared" si="45"/>
        <v>E2_3_1_8</v>
      </c>
      <c r="F1009" t="s">
        <v>11199</v>
      </c>
      <c r="G1009" t="s">
        <v>11897</v>
      </c>
      <c r="H1009" t="s">
        <v>11200</v>
      </c>
      <c r="I1009" t="s">
        <v>12600</v>
      </c>
      <c r="J1009" t="str">
        <f t="shared" si="46"/>
        <v>(${Variables:E2_3_1_8_kcat} * E2_3_1_8 * C00100 * C00009)/(${Variables:E2_3_1_8_km} + (E2_3_1_8 * C00100 * C00009))</v>
      </c>
      <c r="K1009" s="21" t="str">
        <f t="shared" si="47"/>
        <v>r1008: C00100 + C00009 -&gt; C02876 + C00010 | (${Variables:E2_3_1_8_kcat} * E2_3_1_8 * C00100 * C00009)/(${Variables:E2_3_1_8_km} + (E2_3_1_8 * C00100 * C00009))</v>
      </c>
    </row>
    <row r="1010" spans="1:11">
      <c r="A1010" t="s">
        <v>6547</v>
      </c>
      <c r="B1010" t="s">
        <v>6548</v>
      </c>
      <c r="C1010" t="s">
        <v>15407</v>
      </c>
      <c r="D1010">
        <v>1009</v>
      </c>
      <c r="E1010" t="str">
        <f t="shared" si="45"/>
        <v>E1_18_1_2</v>
      </c>
      <c r="F1010" t="s">
        <v>15868</v>
      </c>
      <c r="G1010" t="s">
        <v>15763</v>
      </c>
      <c r="H1010" t="s">
        <v>15764</v>
      </c>
      <c r="I1010" t="s">
        <v>15765</v>
      </c>
      <c r="J1010" t="str">
        <f t="shared" si="46"/>
        <v>(${Variables:E1_18_1_2_kcat} * E1_18_1_2 * C00138 * C00006 * C00080)/(${Variables:E1_18_1_2_km} + (E1_18_1_2 * C00138 * C00006 * C00080))</v>
      </c>
      <c r="K1010" s="21" t="str">
        <f t="shared" si="47"/>
        <v>r1009: C00138 + C00006 + C00080 -&gt; C00139 + C00005 | (${Variables:E1_18_1_2_kcat} * E1_18_1_2 * C00138 * C00006 * C00080)/(${Variables:E1_18_1_2_km} + (E1_18_1_2 * C00138 * C00006 * C00080))</v>
      </c>
    </row>
    <row r="1011" spans="1:11">
      <c r="A1011" t="s">
        <v>6547</v>
      </c>
      <c r="B1011" t="s">
        <v>6548</v>
      </c>
      <c r="C1011" t="s">
        <v>15407</v>
      </c>
      <c r="D1011">
        <v>1010</v>
      </c>
      <c r="E1011" t="str">
        <f t="shared" si="45"/>
        <v>E1_18_1_2</v>
      </c>
      <c r="F1011" t="s">
        <v>15869</v>
      </c>
      <c r="G1011" t="s">
        <v>15768</v>
      </c>
      <c r="H1011" t="s">
        <v>15767</v>
      </c>
      <c r="I1011" t="s">
        <v>15766</v>
      </c>
      <c r="J1011" t="str">
        <f t="shared" si="46"/>
        <v>(${Variables:E1_18_1_2_kcat} * E1_18_1_2 * C00662 * C00006 * C00080)/(${Variables:E1_18_1_2_km} + (E1_18_1_2 * C00662 * C00006 * C00080))</v>
      </c>
      <c r="K1011" s="21" t="str">
        <f t="shared" si="47"/>
        <v>r1010: C00662 + C00006 + C00080 -&gt; C00667 + C00005 | (${Variables:E1_18_1_2_kcat} * E1_18_1_2 * C00662 * C00006 * C00080)/(${Variables:E1_18_1_2_km} + (E1_18_1_2 * C00662 * C00006 * C00080))</v>
      </c>
    </row>
    <row r="1012" spans="1:11">
      <c r="A1012" t="s">
        <v>6562</v>
      </c>
      <c r="B1012" t="s">
        <v>6563</v>
      </c>
      <c r="C1012" t="s">
        <v>15677</v>
      </c>
      <c r="D1012">
        <v>1011</v>
      </c>
      <c r="E1012" t="str">
        <f t="shared" si="45"/>
        <v>E6_3_4_4</v>
      </c>
      <c r="F1012" t="s">
        <v>11201</v>
      </c>
      <c r="G1012" t="s">
        <v>11898</v>
      </c>
      <c r="H1012" t="s">
        <v>11202</v>
      </c>
      <c r="I1012" t="s">
        <v>12601</v>
      </c>
      <c r="J1012" t="str">
        <f t="shared" si="46"/>
        <v>(${Variables:E6_3_4_4_kcat} * E6_3_4_4 * C00044 * C00130 * C00049)/(${Variables:E6_3_4_4_km} + (E6_3_4_4 * C00044 * C00130 * C00049))</v>
      </c>
      <c r="K1012" s="21" t="str">
        <f t="shared" si="47"/>
        <v>r1011: C00044 + C00130 + C00049 -&gt; C00035 + C00009 + C03794 | (${Variables:E6_3_4_4_kcat} * E6_3_4_4 * C00044 * C00130 * C00049)/(${Variables:E6_3_4_4_km} + (E6_3_4_4 * C00044 * C00130 * C00049))</v>
      </c>
    </row>
    <row r="1013" spans="1:11">
      <c r="A1013" t="s">
        <v>6572</v>
      </c>
      <c r="B1013" t="s">
        <v>6573</v>
      </c>
      <c r="C1013" t="s">
        <v>15678</v>
      </c>
      <c r="D1013">
        <v>1012</v>
      </c>
      <c r="E1013" t="str">
        <f t="shared" si="45"/>
        <v>E4_1_2_13</v>
      </c>
      <c r="F1013" s="4" t="s">
        <v>9996</v>
      </c>
      <c r="G1013" s="4" t="s">
        <v>9996</v>
      </c>
      <c r="H1013" s="4" t="s">
        <v>9997</v>
      </c>
      <c r="I1013" s="4" t="s">
        <v>12602</v>
      </c>
      <c r="J1013" t="str">
        <f t="shared" si="46"/>
        <v>(${Variables:E4_1_2_13_kcat} * E4_1_2_13 * C00354)/(${Variables:E4_1_2_13_km} + (E4_1_2_13 * C00354))</v>
      </c>
      <c r="K1013" s="21" t="str">
        <f t="shared" si="47"/>
        <v>r1012: C00354 -&gt; C00111 + C00118 | (${Variables:E4_1_2_13_kcat} * E4_1_2_13 * C00354)/(${Variables:E4_1_2_13_km} + (E4_1_2_13 * C00354))</v>
      </c>
    </row>
    <row r="1014" spans="1:11">
      <c r="A1014" t="s">
        <v>6572</v>
      </c>
      <c r="B1014" t="s">
        <v>6573</v>
      </c>
      <c r="C1014" t="s">
        <v>15678</v>
      </c>
      <c r="D1014">
        <v>1013</v>
      </c>
      <c r="E1014" t="str">
        <f t="shared" si="45"/>
        <v>E4_1_2_13</v>
      </c>
      <c r="F1014" t="s">
        <v>10000</v>
      </c>
      <c r="G1014" t="s">
        <v>10000</v>
      </c>
      <c r="H1014" t="s">
        <v>9997</v>
      </c>
      <c r="I1014" t="s">
        <v>12602</v>
      </c>
      <c r="J1014" t="str">
        <f t="shared" si="46"/>
        <v>(${Variables:E4_1_2_13_kcat} * E4_1_2_13 * C05378)/(${Variables:E4_1_2_13_km} + (E4_1_2_13 * C05378))</v>
      </c>
      <c r="K1014" s="21" t="str">
        <f t="shared" si="47"/>
        <v>r1013: C05378 -&gt; C00111 + C00118 | (${Variables:E4_1_2_13_kcat} * E4_1_2_13 * C05378)/(${Variables:E4_1_2_13_km} + (E4_1_2_13 * C05378))</v>
      </c>
    </row>
    <row r="1015" spans="1:11">
      <c r="A1015" t="s">
        <v>6572</v>
      </c>
      <c r="B1015" t="s">
        <v>6573</v>
      </c>
      <c r="C1015" t="s">
        <v>15678</v>
      </c>
      <c r="D1015">
        <v>1014</v>
      </c>
      <c r="E1015" t="str">
        <f t="shared" si="45"/>
        <v>E4_1_2_13</v>
      </c>
      <c r="F1015" t="s">
        <v>10001</v>
      </c>
      <c r="G1015" t="s">
        <v>10001</v>
      </c>
      <c r="H1015" t="s">
        <v>15948</v>
      </c>
      <c r="I1015" t="s">
        <v>12603</v>
      </c>
      <c r="J1015" t="str">
        <f t="shared" si="46"/>
        <v>(${Variables:E4_1_2_13_kcat} * E4_1_2_13 * C00447 )/(${Variables:E4_1_2_13_km} + (E4_1_2_13 * C00447 ))</v>
      </c>
      <c r="K1015" s="21" t="str">
        <f t="shared" si="47"/>
        <v>r1014: C00447  -&gt; C00111 + C00279 | (${Variables:E4_1_2_13_kcat} * E4_1_2_13 * C00447 )/(${Variables:E4_1_2_13_km} + (E4_1_2_13 * C00447 ))</v>
      </c>
    </row>
    <row r="1016" spans="1:11">
      <c r="A1016" t="s">
        <v>6572</v>
      </c>
      <c r="B1016" t="s">
        <v>6573</v>
      </c>
      <c r="C1016" t="s">
        <v>15678</v>
      </c>
      <c r="D1016">
        <v>1015</v>
      </c>
      <c r="E1016" t="str">
        <f t="shared" si="45"/>
        <v>E4_1_2_13</v>
      </c>
      <c r="F1016" t="s">
        <v>9998</v>
      </c>
      <c r="G1016" t="s">
        <v>9998</v>
      </c>
      <c r="H1016" t="s">
        <v>9999</v>
      </c>
      <c r="I1016" t="s">
        <v>12604</v>
      </c>
      <c r="J1016" t="str">
        <f t="shared" si="46"/>
        <v>(${Variables:E4_1_2_13_kcat} * E4_1_2_13 * C01094)/(${Variables:E4_1_2_13_km} + (E4_1_2_13 * C01094))</v>
      </c>
      <c r="K1016" s="21" t="str">
        <f t="shared" si="47"/>
        <v>r1015: C01094 -&gt; C00111 + C00577 | (${Variables:E4_1_2_13_kcat} * E4_1_2_13 * C01094)/(${Variables:E4_1_2_13_km} + (E4_1_2_13 * C01094))</v>
      </c>
    </row>
    <row r="1017" spans="1:11">
      <c r="A1017" t="s">
        <v>6579</v>
      </c>
      <c r="B1017" t="s">
        <v>6580</v>
      </c>
      <c r="C1017" t="s">
        <v>15679</v>
      </c>
      <c r="D1017">
        <v>1016</v>
      </c>
      <c r="E1017" t="str">
        <f t="shared" si="45"/>
        <v>E2_1_1_34</v>
      </c>
      <c r="F1017" t="s">
        <v>10005</v>
      </c>
      <c r="G1017" t="s">
        <v>11899</v>
      </c>
      <c r="H1017" t="s">
        <v>10006</v>
      </c>
      <c r="I1017" t="s">
        <v>12605</v>
      </c>
      <c r="J1017" t="str">
        <f t="shared" si="46"/>
        <v>(${Variables:E2_1_1_34_kcat} * E2_1_1_34 * C00019 * C01977)/(${Variables:E2_1_1_34_km} + (E2_1_1_34 * C00019 * C01977))</v>
      </c>
      <c r="K1017" s="21" t="str">
        <f t="shared" si="47"/>
        <v>r1016: C00019 + C01977 -&gt; C00021 + C04545 | (${Variables:E2_1_1_34_kcat} * E2_1_1_34 * C00019 * C01977)/(${Variables:E2_1_1_34_km} + (E2_1_1_34 * C00019 * C01977))</v>
      </c>
    </row>
    <row r="1018" spans="1:11">
      <c r="A1018" t="s">
        <v>6583</v>
      </c>
      <c r="B1018" t="s">
        <v>6584</v>
      </c>
      <c r="C1018" t="s">
        <v>15680</v>
      </c>
      <c r="D1018">
        <v>1017</v>
      </c>
      <c r="E1018" t="str">
        <f t="shared" si="45"/>
        <v>E2_4_2_10</v>
      </c>
      <c r="F1018" t="s">
        <v>10009</v>
      </c>
      <c r="G1018" t="s">
        <v>11900</v>
      </c>
      <c r="H1018" t="s">
        <v>10010</v>
      </c>
      <c r="I1018" t="s">
        <v>12606</v>
      </c>
      <c r="J1018" t="str">
        <f t="shared" si="46"/>
        <v>(${Variables:E2_4_2_10_kcat} * E2_4_2_10 * C01103 * C00013)/(${Variables:E2_4_2_10_km} + (E2_4_2_10 * C01103 * C00013))</v>
      </c>
      <c r="K1018" s="21" t="str">
        <f t="shared" si="47"/>
        <v>r1017: C01103 + C00013 -&gt; C00295 + C00119 | (${Variables:E2_4_2_10_kcat} * E2_4_2_10 * C01103 * C00013)/(${Variables:E2_4_2_10_km} + (E2_4_2_10 * C01103 * C00013))</v>
      </c>
    </row>
    <row r="1019" spans="1:11">
      <c r="A1019" t="s">
        <v>6583</v>
      </c>
      <c r="B1019" t="s">
        <v>6584</v>
      </c>
      <c r="C1019" t="s">
        <v>15680</v>
      </c>
      <c r="D1019">
        <v>1018</v>
      </c>
      <c r="E1019" t="str">
        <f t="shared" si="45"/>
        <v>E2_4_2_10</v>
      </c>
      <c r="F1019" t="s">
        <v>10011</v>
      </c>
      <c r="G1019" t="s">
        <v>11901</v>
      </c>
      <c r="H1019" t="s">
        <v>10012</v>
      </c>
      <c r="I1019" t="s">
        <v>12607</v>
      </c>
      <c r="J1019" t="str">
        <f t="shared" si="46"/>
        <v>(${Variables:E2_4_2_10_kcat} * E2_4_2_10 * C07649 * C00119)/(${Variables:E2_4_2_10_km} + (E2_4_2_10 * C07649 * C00119))</v>
      </c>
      <c r="K1019" s="21" t="str">
        <f t="shared" si="47"/>
        <v>r1018: C07649 + C00119 -&gt; C16634 + C00013 | (${Variables:E2_4_2_10_kcat} * E2_4_2_10 * C07649 * C00119)/(${Variables:E2_4_2_10_km} + (E2_4_2_10 * C07649 * C00119))</v>
      </c>
    </row>
    <row r="1020" spans="1:11">
      <c r="A1020" t="s">
        <v>6589</v>
      </c>
      <c r="B1020" t="s">
        <v>6590</v>
      </c>
      <c r="C1020" t="s">
        <v>15681</v>
      </c>
      <c r="D1020">
        <v>1019</v>
      </c>
      <c r="E1020" t="str">
        <f t="shared" si="45"/>
        <v>E2_8_1_2</v>
      </c>
      <c r="F1020" t="s">
        <v>10015</v>
      </c>
      <c r="G1020" t="s">
        <v>11902</v>
      </c>
      <c r="H1020" t="s">
        <v>10018</v>
      </c>
      <c r="I1020" t="s">
        <v>12608</v>
      </c>
      <c r="J1020" t="str">
        <f t="shared" si="46"/>
        <v>(${Variables:E2_8_1_2_kcat} * E2_8_1_2 * C00957 * C00342 )/(${Variables:E2_8_1_2_km} + (E2_8_1_2 * C00957 * C00342 ))</v>
      </c>
      <c r="K1020" s="21" t="str">
        <f t="shared" si="47"/>
        <v>r1019: C00957 + C00342  -&gt; C00283 + C00022 + C00343 | (${Variables:E2_8_1_2_kcat} * E2_8_1_2 * C00957 * C00342 )/(${Variables:E2_8_1_2_km} + (E2_8_1_2 * C00957 * C00342 ))</v>
      </c>
    </row>
    <row r="1021" spans="1:11">
      <c r="A1021" t="s">
        <v>6589</v>
      </c>
      <c r="B1021" t="s">
        <v>6590</v>
      </c>
      <c r="C1021" t="s">
        <v>15681</v>
      </c>
      <c r="D1021">
        <v>1020</v>
      </c>
      <c r="E1021" t="str">
        <f t="shared" si="45"/>
        <v>E2_8_1_2</v>
      </c>
      <c r="F1021" t="s">
        <v>10016</v>
      </c>
      <c r="G1021" t="s">
        <v>11903</v>
      </c>
      <c r="H1021" t="s">
        <v>10017</v>
      </c>
      <c r="I1021" t="s">
        <v>12609</v>
      </c>
      <c r="J1021" t="str">
        <f t="shared" si="46"/>
        <v>(${Variables:E2_8_1_2_kcat} * E2_8_1_2 * C00957 * C02743)/(${Variables:E2_8_1_2_km} + (E2_8_1_2 * C00957 * C02743))</v>
      </c>
      <c r="K1021" s="21" t="str">
        <f t="shared" si="47"/>
        <v>r1020: C00957 + C02743 -&gt; C00022 + C21440 | (${Variables:E2_8_1_2_kcat} * E2_8_1_2 * C00957 * C02743)/(${Variables:E2_8_1_2_km} + (E2_8_1_2 * C00957 * C02743))</v>
      </c>
    </row>
    <row r="1022" spans="1:11">
      <c r="A1022" t="s">
        <v>6589</v>
      </c>
      <c r="B1022" t="s">
        <v>6590</v>
      </c>
      <c r="C1022" t="s">
        <v>15681</v>
      </c>
      <c r="D1022">
        <v>1021</v>
      </c>
      <c r="E1022" t="str">
        <f t="shared" si="45"/>
        <v>E2_8_1_2</v>
      </c>
      <c r="F1022" t="s">
        <v>10019</v>
      </c>
      <c r="G1022" t="s">
        <v>11904</v>
      </c>
      <c r="H1022" t="s">
        <v>10020</v>
      </c>
      <c r="I1022" t="s">
        <v>12610</v>
      </c>
      <c r="J1022" t="str">
        <f t="shared" si="46"/>
        <v>(${Variables:E2_8_1_2_kcat} * E2_8_1_2 * C21440 * C00342)/(${Variables:E2_8_1_2_km} + (E2_8_1_2 * C21440 * C00342))</v>
      </c>
      <c r="K1022" s="21" t="str">
        <f t="shared" si="47"/>
        <v>r1021: C21440 + C00342 -&gt; C00283 + C02743 + C00343 | (${Variables:E2_8_1_2_kcat} * E2_8_1_2 * C21440 * C00342)/(${Variables:E2_8_1_2_km} + (E2_8_1_2 * C21440 * C00342))</v>
      </c>
    </row>
    <row r="1023" spans="1:11">
      <c r="A1023" t="s">
        <v>6603</v>
      </c>
      <c r="B1023" t="s">
        <v>6604</v>
      </c>
      <c r="C1023" t="s">
        <v>15682</v>
      </c>
      <c r="D1023">
        <v>1022</v>
      </c>
      <c r="E1023" t="str">
        <f t="shared" si="45"/>
        <v>E1_18_1_7</v>
      </c>
      <c r="F1023" t="s">
        <v>15876</v>
      </c>
      <c r="G1023" t="s">
        <v>15867</v>
      </c>
      <c r="H1023" t="s">
        <v>15872</v>
      </c>
      <c r="I1023" t="s">
        <v>15874</v>
      </c>
      <c r="J1023" t="str">
        <f t="shared" si="46"/>
        <v>(${Variables:E1_18_1_7_kcat} * E1_18_1_7 * C22150 * C00003 * C00080)/(${Variables:E1_18_1_7_km} + (E1_18_1_7 * C22150 * C00003 * C00080))</v>
      </c>
      <c r="K1023" s="21" t="str">
        <f t="shared" si="47"/>
        <v>r1022: C22150 + C00003 + C00080 -&gt; C22151 + C00004 | (${Variables:E1_18_1_7_kcat} * E1_18_1_7 * C22150 * C00003 * C00080)/(${Variables:E1_18_1_7_km} + (E1_18_1_7 * C22150 * C00003 * C00080))</v>
      </c>
    </row>
    <row r="1024" spans="1:11">
      <c r="A1024" t="s">
        <v>6603</v>
      </c>
      <c r="B1024" t="s">
        <v>6604</v>
      </c>
      <c r="C1024" t="s">
        <v>15682</v>
      </c>
      <c r="D1024">
        <v>1023</v>
      </c>
      <c r="E1024" t="str">
        <f t="shared" si="45"/>
        <v>E1_18_1_7</v>
      </c>
      <c r="F1024" t="s">
        <v>15870</v>
      </c>
      <c r="G1024" t="s">
        <v>15871</v>
      </c>
      <c r="H1024" t="s">
        <v>15873</v>
      </c>
      <c r="I1024" t="s">
        <v>15875</v>
      </c>
      <c r="J1024" t="str">
        <f t="shared" si="46"/>
        <v>(${Variables:E1_18_1_7_kcat} * E1_18_1_7 * C22150 * C00006 * C00080 )/(${Variables:E1_18_1_7_km} + (E1_18_1_7 * C22150 * C00006 * C00080 ))</v>
      </c>
      <c r="K1024" s="21" t="str">
        <f t="shared" si="47"/>
        <v>r1023: C22150 + C00006 + C00080  -&gt; C22151 + C00005 | (${Variables:E1_18_1_7_kcat} * E1_18_1_7 * C22150 * C00006 * C00080 )/(${Variables:E1_18_1_7_km} + (E1_18_1_7 * C22150 * C00006 * C00080 ))</v>
      </c>
    </row>
    <row r="1025" spans="1:11">
      <c r="A1025" t="s">
        <v>6606</v>
      </c>
      <c r="B1025" t="s">
        <v>6607</v>
      </c>
      <c r="C1025" t="s">
        <v>15683</v>
      </c>
      <c r="D1025">
        <v>1024</v>
      </c>
      <c r="E1025" t="str">
        <f t="shared" si="45"/>
        <v>E3_5_1_111</v>
      </c>
      <c r="F1025" t="s">
        <v>10226</v>
      </c>
      <c r="G1025" t="s">
        <v>11905</v>
      </c>
      <c r="H1025" t="s">
        <v>10227</v>
      </c>
      <c r="I1025" t="s">
        <v>12611</v>
      </c>
      <c r="J1025" t="str">
        <f t="shared" si="46"/>
        <v>(${Variables:E3_5_1_111_kcat} * E3_5_1_111 * C00940 * C00001)/(${Variables:E3_5_1_111_km} + (E3_5_1_111 * C00940 * C00001))</v>
      </c>
      <c r="K1025" s="21" t="str">
        <f t="shared" si="47"/>
        <v>r1024: C00940 + C00001 -&gt; C00026 + C00014 | (${Variables:E3_5_1_111_kcat} * E3_5_1_111 * C00940 * C00001)/(${Variables:E3_5_1_111_km} + (E3_5_1_111 * C00940 * C00001))</v>
      </c>
    </row>
    <row r="1026" spans="1:11">
      <c r="A1026" t="s">
        <v>6614</v>
      </c>
      <c r="B1026" t="s">
        <v>6615</v>
      </c>
      <c r="C1026" t="s">
        <v>15684</v>
      </c>
      <c r="D1026">
        <v>1025</v>
      </c>
      <c r="E1026" t="str">
        <f t="shared" si="45"/>
        <v>E1_2_1_3</v>
      </c>
      <c r="F1026" t="s">
        <v>10029</v>
      </c>
      <c r="G1026" t="s">
        <v>11906</v>
      </c>
      <c r="H1026" t="s">
        <v>10030</v>
      </c>
      <c r="I1026" t="s">
        <v>12612</v>
      </c>
      <c r="J1026" t="str">
        <f t="shared" si="46"/>
        <v>(${Variables:E1_2_1_3_kcat} * E1_2_1_3 * C00071 * C00003 * C00001 )/(${Variables:E1_2_1_3_km} + (E1_2_1_3 * C00071 * C00003 * C00001 ))</v>
      </c>
      <c r="K1026" s="21" t="str">
        <f t="shared" si="47"/>
        <v>r1025: C00071 + C00003 + C00001  -&gt; C00060 + C00004 + C00080 | (${Variables:E1_2_1_3_kcat} * E1_2_1_3 * C00071 * C00003 * C00001 )/(${Variables:E1_2_1_3_km} + (E1_2_1_3 * C00071 * C00003 * C00001 ))</v>
      </c>
    </row>
    <row r="1027" spans="1:11">
      <c r="A1027" t="s">
        <v>6614</v>
      </c>
      <c r="B1027" t="s">
        <v>6615</v>
      </c>
      <c r="C1027" t="s">
        <v>15684</v>
      </c>
      <c r="D1027">
        <v>1026</v>
      </c>
      <c r="E1027" t="str">
        <f t="shared" ref="E1027:E1090" si="48">"E" &amp; C1027</f>
        <v>E1_2_1_3</v>
      </c>
      <c r="F1027" t="s">
        <v>10031</v>
      </c>
      <c r="G1027" t="s">
        <v>11907</v>
      </c>
      <c r="H1027" t="s">
        <v>10032</v>
      </c>
      <c r="I1027" t="s">
        <v>12613</v>
      </c>
      <c r="J1027" t="str">
        <f t="shared" ref="J1027:J1090" si="49">CONCATENATE("(${Variables:",E1027,"_kcat","} * ",E1027," * ",G1027,")","/(${Variables:",E1027,"_km","} + (",E1027," * ",G1027,"))")</f>
        <v>(${Variables:E1_2_1_3_kcat} * E1_2_1_3 * C00071 * C00003 * C00001)/(${Variables:E1_2_1_3_km} + (E1_2_1_3 * C00071 * C00003 * C00001))</v>
      </c>
      <c r="K1027" s="21" t="str">
        <f t="shared" ref="K1027:K1090" si="50">CONCATENATE("r",D1027,": ",F1027," -&gt; ",H1027," | ",J1027)</f>
        <v>r1026: C00071 + C00003 + C00001 -&gt; C00162 + C00004 + C00080 | (${Variables:E1_2_1_3_kcat} * E1_2_1_3 * C00071 * C00003 * C00001)/(${Variables:E1_2_1_3_km} + (E1_2_1_3 * C00071 * C00003 * C00001))</v>
      </c>
    </row>
    <row r="1028" spans="1:11">
      <c r="A1028" t="s">
        <v>6614</v>
      </c>
      <c r="B1028" t="s">
        <v>6615</v>
      </c>
      <c r="C1028" t="s">
        <v>15684</v>
      </c>
      <c r="D1028">
        <v>1027</v>
      </c>
      <c r="E1028" t="str">
        <f t="shared" si="48"/>
        <v>E1_2_1_3</v>
      </c>
      <c r="F1028" t="s">
        <v>10033</v>
      </c>
      <c r="G1028" t="s">
        <v>11908</v>
      </c>
      <c r="H1028" t="s">
        <v>10034</v>
      </c>
      <c r="I1028" t="s">
        <v>12614</v>
      </c>
      <c r="J1028" t="str">
        <f t="shared" si="49"/>
        <v>(${Variables:E1_2_1_3_kcat} * E1_2_1_3 * C00084 * C00003 * C00001)/(${Variables:E1_2_1_3_km} + (E1_2_1_3 * C00084 * C00003 * C00001))</v>
      </c>
      <c r="K1028" s="21" t="str">
        <f t="shared" si="50"/>
        <v>r1027: C00084 + C00003 + C00001 -&gt; C00033 + C00004 + C00080 | (${Variables:E1_2_1_3_kcat} * E1_2_1_3 * C00084 * C00003 * C00001)/(${Variables:E1_2_1_3_km} + (E1_2_1_3 * C00084 * C00003 * C00001))</v>
      </c>
    </row>
    <row r="1029" spans="1:11">
      <c r="A1029" t="s">
        <v>6614</v>
      </c>
      <c r="B1029" t="s">
        <v>6615</v>
      </c>
      <c r="C1029" t="s">
        <v>15684</v>
      </c>
      <c r="D1029">
        <v>1028</v>
      </c>
      <c r="E1029" t="str">
        <f t="shared" si="48"/>
        <v>E1_2_1_3</v>
      </c>
      <c r="F1029" t="s">
        <v>10035</v>
      </c>
      <c r="G1029" t="s">
        <v>11909</v>
      </c>
      <c r="H1029" t="s">
        <v>10036</v>
      </c>
      <c r="I1029" t="s">
        <v>12615</v>
      </c>
      <c r="J1029" t="str">
        <f t="shared" si="49"/>
        <v>(${Variables:E1_2_1_3_kcat} * E1_2_1_3 * C05665 * C00003 * C00001 )/(${Variables:E1_2_1_3_km} + (E1_2_1_3 * C05665 * C00003 * C00001 ))</v>
      </c>
      <c r="K1029" s="21" t="str">
        <f t="shared" si="50"/>
        <v>r1028: C05665 + C00003 + C00001  -&gt; C00099 + C00004 + C00080 | (${Variables:E1_2_1_3_kcat} * E1_2_1_3 * C05665 * C00003 * C00001 )/(${Variables:E1_2_1_3_km} + (E1_2_1_3 * C05665 * C00003 * C00001 ))</v>
      </c>
    </row>
    <row r="1030" spans="1:11">
      <c r="A1030" t="s">
        <v>6614</v>
      </c>
      <c r="B1030" t="s">
        <v>6615</v>
      </c>
      <c r="C1030" t="s">
        <v>15684</v>
      </c>
      <c r="D1030">
        <v>1029</v>
      </c>
      <c r="E1030" t="str">
        <f t="shared" si="48"/>
        <v>E1_2_1_3</v>
      </c>
      <c r="F1030" t="s">
        <v>10037</v>
      </c>
      <c r="G1030" t="s">
        <v>11910</v>
      </c>
      <c r="H1030" t="s">
        <v>10038</v>
      </c>
      <c r="I1030" t="s">
        <v>12616</v>
      </c>
      <c r="J1030" t="str">
        <f t="shared" si="49"/>
        <v>(${Variables:E1_2_1_3_kcat} * E1_2_1_3 * C00577 * C00003 * C00001)/(${Variables:E1_2_1_3_km} + (E1_2_1_3 * C00577 * C00003 * C00001))</v>
      </c>
      <c r="K1030" s="21" t="str">
        <f t="shared" si="50"/>
        <v>r1029: C00577 + C00003 + C00001 -&gt; C00258 + C00004 + C00080 | (${Variables:E1_2_1_3_kcat} * E1_2_1_3 * C00577 * C00003 * C00001)/(${Variables:E1_2_1_3_km} + (E1_2_1_3 * C00577 * C00003 * C00001))</v>
      </c>
    </row>
    <row r="1031" spans="1:11">
      <c r="A1031" t="s">
        <v>6614</v>
      </c>
      <c r="B1031" t="s">
        <v>6615</v>
      </c>
      <c r="C1031" t="s">
        <v>15684</v>
      </c>
      <c r="D1031">
        <v>1030</v>
      </c>
      <c r="E1031" t="str">
        <f t="shared" si="48"/>
        <v>E1_2_1_3</v>
      </c>
      <c r="F1031" t="s">
        <v>10039</v>
      </c>
      <c r="G1031" t="s">
        <v>11911</v>
      </c>
      <c r="H1031" t="s">
        <v>10040</v>
      </c>
      <c r="I1031" t="s">
        <v>12617</v>
      </c>
      <c r="J1031" t="str">
        <f t="shared" si="49"/>
        <v>(${Variables:E1_2_1_3_kcat} * E1_2_1_3 * C00555 * C00003 * C00001)/(${Variables:E1_2_1_3_km} + (E1_2_1_3 * C00555 * C00003 * C00001))</v>
      </c>
      <c r="K1031" s="21" t="str">
        <f t="shared" si="50"/>
        <v>r1030: C00555 + C00003 + C00001 -&gt; C00334 + C00004 + C00080 | (${Variables:E1_2_1_3_kcat} * E1_2_1_3 * C00555 * C00003 * C00001)/(${Variables:E1_2_1_3_km} + (E1_2_1_3 * C00555 * C00003 * C00001))</v>
      </c>
    </row>
    <row r="1032" spans="1:11">
      <c r="A1032" t="s">
        <v>6614</v>
      </c>
      <c r="B1032" t="s">
        <v>6615</v>
      </c>
      <c r="C1032" t="s">
        <v>15684</v>
      </c>
      <c r="D1032">
        <v>1031</v>
      </c>
      <c r="E1032" t="str">
        <f t="shared" si="48"/>
        <v>E1_2_1_3</v>
      </c>
      <c r="F1032" t="s">
        <v>10041</v>
      </c>
      <c r="G1032" t="s">
        <v>11912</v>
      </c>
      <c r="H1032" s="6" t="s">
        <v>10042</v>
      </c>
      <c r="I1032" s="6" t="s">
        <v>12618</v>
      </c>
      <c r="J1032" t="str">
        <f t="shared" si="49"/>
        <v>(${Variables:E1_2_1_3_kcat} * E1_2_1_3 * C00637 * C00003 * C00001 )/(${Variables:E1_2_1_3_km} + (E1_2_1_3 * C00637 * C00003 * C00001 ))</v>
      </c>
      <c r="K1032" s="21" t="str">
        <f t="shared" si="50"/>
        <v>r1031: C00637 + C00003 + C00001  -&gt; C00954 + C00004 + C00080 | (${Variables:E1_2_1_3_kcat} * E1_2_1_3 * C00637 * C00003 * C00001 )/(${Variables:E1_2_1_3_km} + (E1_2_1_3 * C00637 * C00003 * C00001 ))</v>
      </c>
    </row>
    <row r="1033" spans="1:11">
      <c r="A1033" t="s">
        <v>6614</v>
      </c>
      <c r="B1033" t="s">
        <v>6615</v>
      </c>
      <c r="C1033" t="s">
        <v>15684</v>
      </c>
      <c r="D1033">
        <v>1032</v>
      </c>
      <c r="E1033" t="str">
        <f t="shared" si="48"/>
        <v>E1_2_1_3</v>
      </c>
      <c r="F1033" t="s">
        <v>10043</v>
      </c>
      <c r="G1033" t="s">
        <v>11913</v>
      </c>
      <c r="H1033" s="6" t="s">
        <v>10044</v>
      </c>
      <c r="I1033" s="6" t="s">
        <v>12619</v>
      </c>
      <c r="J1033" t="str">
        <f t="shared" si="49"/>
        <v>(${Variables:E1_2_1_3_kcat} * E1_2_1_3 * C05985 * C00003 * C00001)/(${Variables:E1_2_1_3_km} + (E1_2_1_3 * C05985 * C00003 * C00001))</v>
      </c>
      <c r="K1033" s="21" t="str">
        <f t="shared" si="50"/>
        <v>r1032: C05985 + C00003 + C00001 -&gt; C00804 + C00004 + C00080 | (${Variables:E1_2_1_3_kcat} * E1_2_1_3 * C05985 * C00003 * C00001)/(${Variables:E1_2_1_3_km} + (E1_2_1_3 * C05985 * C00003 * C00001))</v>
      </c>
    </row>
    <row r="1034" spans="1:11">
      <c r="A1034" t="s">
        <v>6614</v>
      </c>
      <c r="B1034" t="s">
        <v>6615</v>
      </c>
      <c r="C1034" t="s">
        <v>15684</v>
      </c>
      <c r="D1034">
        <v>1033</v>
      </c>
      <c r="E1034" t="str">
        <f t="shared" si="48"/>
        <v>E1_2_1_3</v>
      </c>
      <c r="F1034" t="s">
        <v>10045</v>
      </c>
      <c r="G1034" t="s">
        <v>11914</v>
      </c>
      <c r="H1034" s="6" t="s">
        <v>10046</v>
      </c>
      <c r="I1034" s="6" t="s">
        <v>12620</v>
      </c>
      <c r="J1034" t="str">
        <f t="shared" si="49"/>
        <v>(${Variables:E1_2_1_3_kcat} * E1_2_1_3 * C01149 * C00003 * C00001 )/(${Variables:E1_2_1_3_km} + (E1_2_1_3 * C01149 * C00003 * C00001 ))</v>
      </c>
      <c r="K1034" s="21" t="str">
        <f t="shared" si="50"/>
        <v>r1033: C01149 + C00003 + C00001  -&gt; C01181 + C00004 + C00080 | (${Variables:E1_2_1_3_kcat} * E1_2_1_3 * C01149 * C00003 * C00001 )/(${Variables:E1_2_1_3_km} + (E1_2_1_3 * C01149 * C00003 * C00001 ))</v>
      </c>
    </row>
    <row r="1035" spans="1:11">
      <c r="A1035" t="s">
        <v>6614</v>
      </c>
      <c r="B1035" t="s">
        <v>6615</v>
      </c>
      <c r="C1035" t="s">
        <v>15684</v>
      </c>
      <c r="D1035">
        <v>1034</v>
      </c>
      <c r="E1035" t="str">
        <f t="shared" si="48"/>
        <v>E1_2_1_3</v>
      </c>
      <c r="F1035" t="s">
        <v>10047</v>
      </c>
      <c r="G1035" t="s">
        <v>11915</v>
      </c>
      <c r="H1035" s="6" t="s">
        <v>10048</v>
      </c>
      <c r="I1035" s="6" t="s">
        <v>12621</v>
      </c>
      <c r="J1035" t="str">
        <f t="shared" si="49"/>
        <v>(${Variables:E1_2_1_3_kcat} * E1_2_1_3 * C06002 * C00003 * C00001)/(${Variables:E1_2_1_3_km} + (E1_2_1_3 * C06002 * C00003 * C00001))</v>
      </c>
      <c r="K1035" s="21" t="str">
        <f t="shared" si="50"/>
        <v>r1034: C06002 + C00003 + C00001 -&gt; C02170 + C00004 + C00080 | (${Variables:E1_2_1_3_kcat} * E1_2_1_3 * C06002 * C00003 * C00001)/(${Variables:E1_2_1_3_km} + (E1_2_1_3 * C06002 * C00003 * C00001))</v>
      </c>
    </row>
    <row r="1036" spans="1:11">
      <c r="A1036" t="s">
        <v>6614</v>
      </c>
      <c r="B1036" t="s">
        <v>6615</v>
      </c>
      <c r="C1036" t="s">
        <v>15684</v>
      </c>
      <c r="D1036">
        <v>1035</v>
      </c>
      <c r="E1036" t="str">
        <f t="shared" si="48"/>
        <v>E1_2_1_3</v>
      </c>
      <c r="F1036" t="s">
        <v>10049</v>
      </c>
      <c r="G1036" t="s">
        <v>11916</v>
      </c>
      <c r="H1036" s="6" t="s">
        <v>10050</v>
      </c>
      <c r="I1036" s="6" t="s">
        <v>12622</v>
      </c>
      <c r="J1036" t="str">
        <f t="shared" si="49"/>
        <v>(${Variables:E1_2_1_3_kcat} * E1_2_1_3 * C05130 * C00003 * C00001 )/(${Variables:E1_2_1_3_km} + (E1_2_1_3 * C05130 * C00003 * C00001 ))</v>
      </c>
      <c r="K1036" s="21" t="str">
        <f t="shared" si="50"/>
        <v>r1035: C05130 + C00003 + C00001  -&gt; C02835 + C00004 + C00080 | (${Variables:E1_2_1_3_kcat} * E1_2_1_3 * C05130 * C00003 * C00001 )/(${Variables:E1_2_1_3_km} + (E1_2_1_3 * C05130 * C00003 * C00001 ))</v>
      </c>
    </row>
    <row r="1037" spans="1:11">
      <c r="A1037" t="s">
        <v>6614</v>
      </c>
      <c r="B1037" t="s">
        <v>6615</v>
      </c>
      <c r="C1037" t="s">
        <v>15684</v>
      </c>
      <c r="D1037">
        <v>1036</v>
      </c>
      <c r="E1037" t="str">
        <f t="shared" si="48"/>
        <v>E1_2_1_3</v>
      </c>
      <c r="F1037" t="s">
        <v>10051</v>
      </c>
      <c r="G1037" t="s">
        <v>11917</v>
      </c>
      <c r="H1037" s="6" t="s">
        <v>10052</v>
      </c>
      <c r="I1037" s="6" t="s">
        <v>12623</v>
      </c>
      <c r="J1037" t="str">
        <f t="shared" si="49"/>
        <v>(${Variables:E1_2_1_3_kcat} * E1_2_1_3 * C05445 * C00003 * C00001 )/(${Variables:E1_2_1_3_km} + (E1_2_1_3 * C05445 * C00003 * C00001 ))</v>
      </c>
      <c r="K1037" s="21" t="str">
        <f t="shared" si="50"/>
        <v>r1036: C05445 + C00003 + C00001  -&gt;  C04554 + C00004 + C00080 | (${Variables:E1_2_1_3_kcat} * E1_2_1_3 * C05445 * C00003 * C00001 )/(${Variables:E1_2_1_3_km} + (E1_2_1_3 * C05445 * C00003 * C00001 ))</v>
      </c>
    </row>
    <row r="1038" spans="1:11">
      <c r="A1038" t="s">
        <v>6614</v>
      </c>
      <c r="B1038" t="s">
        <v>6615</v>
      </c>
      <c r="C1038" t="s">
        <v>15684</v>
      </c>
      <c r="D1038">
        <v>1037</v>
      </c>
      <c r="E1038" t="str">
        <f t="shared" si="48"/>
        <v>E1_2_1_3</v>
      </c>
      <c r="F1038" t="s">
        <v>10053</v>
      </c>
      <c r="G1038" t="s">
        <v>11918</v>
      </c>
      <c r="H1038" s="6" t="s">
        <v>10054</v>
      </c>
      <c r="I1038" s="6" t="s">
        <v>12624</v>
      </c>
      <c r="J1038" t="str">
        <f t="shared" si="49"/>
        <v>(${Variables:E1_2_1_3_kcat} * E1_2_1_3 * C05634 * C00003 * C00001 )/(${Variables:E1_2_1_3_km} + (E1_2_1_3 * C05634 * C00003 * C00001 ))</v>
      </c>
      <c r="K1038" s="21" t="str">
        <f t="shared" si="50"/>
        <v>r1037: C05634 + C00003 + C00001  -&gt; C05635 + C00080 + C00004 | (${Variables:E1_2_1_3_kcat} * E1_2_1_3 * C05634 * C00003 * C00001 )/(${Variables:E1_2_1_3_km} + (E1_2_1_3 * C05634 * C00003 * C00001 ))</v>
      </c>
    </row>
    <row r="1039" spans="1:11">
      <c r="A1039" t="s">
        <v>6614</v>
      </c>
      <c r="B1039" t="s">
        <v>6615</v>
      </c>
      <c r="C1039" t="s">
        <v>15684</v>
      </c>
      <c r="D1039">
        <v>1038</v>
      </c>
      <c r="E1039" t="str">
        <f t="shared" si="48"/>
        <v>E1_2_1_3</v>
      </c>
      <c r="F1039" t="s">
        <v>10055</v>
      </c>
      <c r="G1039" t="s">
        <v>11919</v>
      </c>
      <c r="H1039" s="6" t="s">
        <v>10056</v>
      </c>
      <c r="I1039" s="6" t="s">
        <v>12625</v>
      </c>
      <c r="J1039" t="str">
        <f t="shared" si="49"/>
        <v>(${Variables:E1_2_1_3_kcat} * E1_2_1_3 * C05936 * C00003 * C00001 )/(${Variables:E1_2_1_3_km} + (E1_2_1_3 * C05936 * C00003 * C00001 ))</v>
      </c>
      <c r="K1039" s="21" t="str">
        <f t="shared" si="50"/>
        <v>r1038: C05936 + C00003 + C00001  -&gt; C02946 + C00004 + C00080 | (${Variables:E1_2_1_3_kcat} * E1_2_1_3 * C05936 * C00003 * C00001 )/(${Variables:E1_2_1_3_km} + (E1_2_1_3 * C05936 * C00003 * C00001 ))</v>
      </c>
    </row>
    <row r="1040" spans="1:11">
      <c r="A1040" t="s">
        <v>6614</v>
      </c>
      <c r="B1040" t="s">
        <v>6615</v>
      </c>
      <c r="C1040" t="s">
        <v>15684</v>
      </c>
      <c r="D1040">
        <v>1039</v>
      </c>
      <c r="E1040" t="str">
        <f t="shared" si="48"/>
        <v>E1_2_1_3</v>
      </c>
      <c r="F1040" t="s">
        <v>10057</v>
      </c>
      <c r="G1040" t="s">
        <v>11920</v>
      </c>
      <c r="H1040" s="6" t="s">
        <v>10058</v>
      </c>
      <c r="I1040" s="6" t="s">
        <v>12626</v>
      </c>
      <c r="J1040" t="str">
        <f t="shared" si="49"/>
        <v>(${Variables:E1_2_1_3_kcat} * E1_2_1_3 * C06754 * C00003 * C00001)/(${Variables:E1_2_1_3_km} + (E1_2_1_3 * C06754 * C00003 * C00001))</v>
      </c>
      <c r="K1040" s="21" t="str">
        <f t="shared" si="50"/>
        <v>r1039: C06754 + C00003 + C00001 -&gt; C06755 + C00004 + C00080 | (${Variables:E1_2_1_3_kcat} * E1_2_1_3 * C06754 * C00003 * C00001)/(${Variables:E1_2_1_3_km} + (E1_2_1_3 * C06754 * C00003 * C00001))</v>
      </c>
    </row>
    <row r="1041" spans="1:11">
      <c r="A1041" t="s">
        <v>6614</v>
      </c>
      <c r="B1041" t="s">
        <v>6615</v>
      </c>
      <c r="C1041" t="s">
        <v>15684</v>
      </c>
      <c r="D1041">
        <v>1040</v>
      </c>
      <c r="E1041" t="str">
        <f t="shared" si="48"/>
        <v>E1_2_1_3</v>
      </c>
      <c r="F1041" t="s">
        <v>10059</v>
      </c>
      <c r="G1041" t="s">
        <v>11921</v>
      </c>
      <c r="H1041" s="6" t="s">
        <v>10060</v>
      </c>
      <c r="I1041" s="6" t="s">
        <v>11922</v>
      </c>
      <c r="J1041" t="str">
        <f t="shared" si="49"/>
        <v>(${Variables:E1_2_1_3_kcat} * E1_2_1_3 * C02576 * C00001 * C00003)/(${Variables:E1_2_1_3_km} + (E1_2_1_3 * C02576 * C00001 * C00003))</v>
      </c>
      <c r="K1041" s="21" t="str">
        <f t="shared" si="50"/>
        <v>r1040: C02576 + C00001 + C00003 -&gt; C11924 + C00004 + C00080 | (${Variables:E1_2_1_3_kcat} * E1_2_1_3 * C02576 * C00001 * C00003)/(${Variables:E1_2_1_3_km} + (E1_2_1_3 * C02576 * C00001 * C00003))</v>
      </c>
    </row>
    <row r="1042" spans="1:11">
      <c r="A1042" t="s">
        <v>6614</v>
      </c>
      <c r="B1042" t="s">
        <v>6615</v>
      </c>
      <c r="C1042" t="s">
        <v>15684</v>
      </c>
      <c r="D1042">
        <v>1041</v>
      </c>
      <c r="E1042" t="str">
        <f t="shared" si="48"/>
        <v>E1_2_1_3</v>
      </c>
      <c r="F1042" t="s">
        <v>10060</v>
      </c>
      <c r="G1042" t="s">
        <v>11922</v>
      </c>
      <c r="H1042" s="6" t="s">
        <v>10061</v>
      </c>
      <c r="I1042" s="6" t="s">
        <v>12627</v>
      </c>
      <c r="J1042" t="str">
        <f t="shared" si="49"/>
        <v>(${Variables:E1_2_1_3_kcat} * E1_2_1_3 * C11924 * C00004 * C00080)/(${Variables:E1_2_1_3_km} + (E1_2_1_3 * C11924 * C00004 * C00080))</v>
      </c>
      <c r="K1042" s="21" t="str">
        <f t="shared" si="50"/>
        <v>r1041: C11924 + C00004 + C00080 -&gt; C16502 + C00004 + C00080 | (${Variables:E1_2_1_3_kcat} * E1_2_1_3 * C11924 * C00004 * C00080)/(${Variables:E1_2_1_3_km} + (E1_2_1_3 * C11924 * C00004 * C00080))</v>
      </c>
    </row>
    <row r="1043" spans="1:11">
      <c r="A1043" t="s">
        <v>6614</v>
      </c>
      <c r="B1043" t="s">
        <v>6615</v>
      </c>
      <c r="C1043" t="s">
        <v>15684</v>
      </c>
      <c r="D1043">
        <v>1042</v>
      </c>
      <c r="E1043" t="str">
        <f t="shared" si="48"/>
        <v>E1_2_1_3</v>
      </c>
      <c r="F1043" t="s">
        <v>10062</v>
      </c>
      <c r="G1043" t="s">
        <v>11923</v>
      </c>
      <c r="H1043" s="6" t="s">
        <v>10063</v>
      </c>
      <c r="I1043" s="6" t="s">
        <v>12628</v>
      </c>
      <c r="J1043" t="str">
        <f t="shared" si="49"/>
        <v>(${Variables:E1_2_1_3_kcat} * E1_2_1_3 * C00433 * C00006 * C00001)/(${Variables:E1_2_1_3_km} + (E1_2_1_3 * C00433 * C00006 * C00001))</v>
      </c>
      <c r="K1043" s="21" t="str">
        <f t="shared" si="50"/>
        <v>r1042: C00433 + C00006 + C00001 -&gt; C00026 + C00005 + C00080 | (${Variables:E1_2_1_3_kcat} * E1_2_1_3 * C00433 * C00006 * C00001)/(${Variables:E1_2_1_3_km} + (E1_2_1_3 * C00433 * C00006 * C00001))</v>
      </c>
    </row>
    <row r="1044" spans="1:11">
      <c r="A1044" t="s">
        <v>6614</v>
      </c>
      <c r="B1044" t="s">
        <v>6615</v>
      </c>
      <c r="C1044" t="s">
        <v>15684</v>
      </c>
      <c r="D1044">
        <v>1043</v>
      </c>
      <c r="E1044" t="str">
        <f t="shared" si="48"/>
        <v>E1_2_1_3</v>
      </c>
      <c r="F1044" t="s">
        <v>10064</v>
      </c>
      <c r="G1044" t="s">
        <v>11924</v>
      </c>
      <c r="H1044" s="6" t="s">
        <v>10065</v>
      </c>
      <c r="I1044" s="6" t="s">
        <v>12629</v>
      </c>
      <c r="J1044" t="str">
        <f t="shared" si="49"/>
        <v>(${Variables:E1_2_1_3_kcat} * E1_2_1_3 * C00555 * C00006 * C00001 )/(${Variables:E1_2_1_3_km} + (E1_2_1_3 * C00555 * C00006 * C00001 ))</v>
      </c>
      <c r="K1044" s="21" t="str">
        <f t="shared" si="50"/>
        <v>r1043: C00555 + C00006 + C00001  -&gt; C00334 + C00005 + C00080 | (${Variables:E1_2_1_3_kcat} * E1_2_1_3 * C00555 * C00006 * C00001 )/(${Variables:E1_2_1_3_km} + (E1_2_1_3 * C00555 * C00006 * C00001 ))</v>
      </c>
    </row>
    <row r="1045" spans="1:11">
      <c r="A1045" t="s">
        <v>6614</v>
      </c>
      <c r="B1045" t="s">
        <v>6615</v>
      </c>
      <c r="C1045" t="s">
        <v>15684</v>
      </c>
      <c r="D1045">
        <v>1044</v>
      </c>
      <c r="E1045" t="str">
        <f t="shared" si="48"/>
        <v>E1_2_1_3</v>
      </c>
      <c r="F1045" t="s">
        <v>15877</v>
      </c>
      <c r="G1045" t="s">
        <v>15878</v>
      </c>
      <c r="H1045" s="6" t="s">
        <v>10067</v>
      </c>
      <c r="I1045" s="6" t="s">
        <v>12630</v>
      </c>
      <c r="J1045" t="str">
        <f t="shared" si="49"/>
        <v>(${Variables:E1_2_1_3_kcat} * E1_2_1_3 * C02670 * C00003 * C00001 )/(${Variables:E1_2_1_3_km} + (E1_2_1_3 * C02670 * C00003 * C00001 ))</v>
      </c>
      <c r="K1045" s="21" t="str">
        <f t="shared" si="50"/>
        <v>r1044: C02670 + C00003 + C00001  -&gt; C00818 + C00004 + C00080 | (${Variables:E1_2_1_3_kcat} * E1_2_1_3 * C02670 * C00003 * C00001 )/(${Variables:E1_2_1_3_km} + (E1_2_1_3 * C02670 * C00003 * C00001 ))</v>
      </c>
    </row>
    <row r="1046" spans="1:11">
      <c r="A1046" t="s">
        <v>6614</v>
      </c>
      <c r="B1046" t="s">
        <v>6615</v>
      </c>
      <c r="C1046" t="s">
        <v>15684</v>
      </c>
      <c r="D1046">
        <v>1045</v>
      </c>
      <c r="E1046" t="str">
        <f t="shared" si="48"/>
        <v>E1_2_1_3</v>
      </c>
      <c r="F1046" t="s">
        <v>10068</v>
      </c>
      <c r="G1046" t="s">
        <v>11925</v>
      </c>
      <c r="H1046" s="6" t="s">
        <v>15881</v>
      </c>
      <c r="I1046" s="6" t="s">
        <v>15879</v>
      </c>
      <c r="J1046" t="str">
        <f t="shared" si="49"/>
        <v>(${Variables:E1_2_1_3_kcat} * E1_2_1_3 * C06613 * C00001)/(${Variables:E1_2_1_3_km} + (E1_2_1_3 * C06613 * C00001))</v>
      </c>
      <c r="K1046" s="21" t="str">
        <f t="shared" si="50"/>
        <v>r1045: C06613 + C00001 -&gt; C06614 + C00080 | (${Variables:E1_2_1_3_kcat} * E1_2_1_3 * C06613 * C00001)/(${Variables:E1_2_1_3_km} + (E1_2_1_3 * C06613 * C00001))</v>
      </c>
    </row>
    <row r="1047" spans="1:11">
      <c r="A1047" t="s">
        <v>6614</v>
      </c>
      <c r="B1047" t="s">
        <v>6615</v>
      </c>
      <c r="C1047" t="s">
        <v>15684</v>
      </c>
      <c r="D1047">
        <v>1046</v>
      </c>
      <c r="E1047" t="str">
        <f t="shared" si="48"/>
        <v>E1_2_1_3</v>
      </c>
      <c r="F1047" t="s">
        <v>10070</v>
      </c>
      <c r="G1047" t="s">
        <v>11926</v>
      </c>
      <c r="H1047" s="6" t="s">
        <v>15882</v>
      </c>
      <c r="I1047" s="6" t="s">
        <v>15880</v>
      </c>
      <c r="J1047" t="str">
        <f t="shared" si="49"/>
        <v>(${Variables:E1_2_1_3_kcat} * E1_2_1_3 * C16348 * C00001 )/(${Variables:E1_2_1_3_km} + (E1_2_1_3 * C16348 * C00001 ))</v>
      </c>
      <c r="K1047" s="21" t="str">
        <f t="shared" si="50"/>
        <v>r1046: C16348 + C00001  -&gt; C06615 + C00080 | (${Variables:E1_2_1_3_kcat} * E1_2_1_3 * C16348 * C00001 )/(${Variables:E1_2_1_3_km} + (E1_2_1_3 * C16348 * C00001 ))</v>
      </c>
    </row>
    <row r="1048" spans="1:11">
      <c r="A1048" t="s">
        <v>6669</v>
      </c>
      <c r="B1048" t="s">
        <v>6670</v>
      </c>
      <c r="C1048" t="s">
        <v>15685</v>
      </c>
      <c r="D1048">
        <v>1047</v>
      </c>
      <c r="E1048" t="str">
        <f t="shared" si="48"/>
        <v>E2_7_7_4</v>
      </c>
      <c r="F1048" t="s">
        <v>10113</v>
      </c>
      <c r="G1048" t="s">
        <v>11927</v>
      </c>
      <c r="H1048" t="s">
        <v>10114</v>
      </c>
      <c r="I1048" t="s">
        <v>12631</v>
      </c>
      <c r="J1048" t="str">
        <f t="shared" si="49"/>
        <v>(${Variables:E2_7_7_4_kcat} * E2_7_7_4 * C00002 * C00059 )/(${Variables:E2_7_7_4_km} + (E2_7_7_4 * C00002 * C00059 ))</v>
      </c>
      <c r="K1048" s="21" t="str">
        <f t="shared" si="50"/>
        <v>r1047: C00002 + C00059  -&gt; C00013 + C00224 | (${Variables:E2_7_7_4_kcat} * E2_7_7_4 * C00002 * C00059 )/(${Variables:E2_7_7_4_km} + (E2_7_7_4 * C00002 * C00059 ))</v>
      </c>
    </row>
    <row r="1049" spans="1:11">
      <c r="A1049" t="s">
        <v>6669</v>
      </c>
      <c r="B1049" t="s">
        <v>6670</v>
      </c>
      <c r="C1049" t="s">
        <v>15685</v>
      </c>
      <c r="D1049">
        <v>1048</v>
      </c>
      <c r="E1049" t="str">
        <f t="shared" si="48"/>
        <v>E2_7_7_4</v>
      </c>
      <c r="F1049" t="s">
        <v>10115</v>
      </c>
      <c r="G1049" t="s">
        <v>11928</v>
      </c>
      <c r="H1049" t="s">
        <v>10116</v>
      </c>
      <c r="I1049" t="s">
        <v>12632</v>
      </c>
      <c r="J1049" t="str">
        <f t="shared" si="49"/>
        <v>(${Variables:E2_7_7_4_kcat} * E2_7_7_4 * C00002 * C05697)/(${Variables:E2_7_7_4_km} + (E2_7_7_4 * C00002 * C05697))</v>
      </c>
      <c r="K1049" s="21" t="str">
        <f t="shared" si="50"/>
        <v>r1048: C00002 + C05697 -&gt; C00013 + C05686 | (${Variables:E2_7_7_4_kcat} * E2_7_7_4 * C00002 * C05697)/(${Variables:E2_7_7_4_km} + (E2_7_7_4 * C00002 * C05697))</v>
      </c>
    </row>
    <row r="1050" spans="1:11">
      <c r="A1050" t="s">
        <v>6673</v>
      </c>
      <c r="B1050" t="s">
        <v>6674</v>
      </c>
      <c r="C1050" t="s">
        <v>15686</v>
      </c>
      <c r="D1050">
        <v>1049</v>
      </c>
      <c r="E1050" t="str">
        <f t="shared" si="48"/>
        <v>E1_8_4_8</v>
      </c>
      <c r="F1050" t="s">
        <v>10119</v>
      </c>
      <c r="G1050" t="s">
        <v>11929</v>
      </c>
      <c r="H1050" t="s">
        <v>10120</v>
      </c>
      <c r="I1050" t="s">
        <v>12633</v>
      </c>
      <c r="J1050" t="str">
        <f t="shared" si="49"/>
        <v>(${Variables:E1_8_4_8_kcat} * E1_8_4_8 * C00342 * C00053)/(${Variables:E1_8_4_8_km} + (E1_8_4_8 * C00342 * C00053))</v>
      </c>
      <c r="K1050" s="21" t="str">
        <f t="shared" si="50"/>
        <v>r1049: C00342 + C00053 -&gt; C00343 + C00094 + C00054 | (${Variables:E1_8_4_8_kcat} * E1_8_4_8 * C00342 * C00053)/(${Variables:E1_8_4_8_km} + (E1_8_4_8 * C00342 * C00053))</v>
      </c>
    </row>
    <row r="1051" spans="1:11">
      <c r="A1051" t="s">
        <v>6691</v>
      </c>
      <c r="B1051" t="s">
        <v>6692</v>
      </c>
      <c r="C1051" t="s">
        <v>15607</v>
      </c>
      <c r="D1051">
        <v>1050</v>
      </c>
      <c r="E1051" t="str">
        <f t="shared" si="48"/>
        <v>E1_2_1_79</v>
      </c>
      <c r="F1051" t="s">
        <v>11203</v>
      </c>
      <c r="G1051" t="s">
        <v>11930</v>
      </c>
      <c r="H1051" t="s">
        <v>11099</v>
      </c>
      <c r="I1051" t="s">
        <v>12451</v>
      </c>
      <c r="J1051" t="str">
        <f t="shared" si="49"/>
        <v>(${Variables:E1_2_1_79_kcat} * E1_2_1_79 * C00232 * C00006 * C00001)/(${Variables:E1_2_1_79_km} + (E1_2_1_79 * C00232 * C00006 * C00001))</v>
      </c>
      <c r="K1051" s="21" t="str">
        <f t="shared" si="50"/>
        <v>r1050: C00232 + C00006 + C00001 -&gt; C00042 + C00005 + C00080 | (${Variables:E1_2_1_79_kcat} * E1_2_1_79 * C00232 * C00006 * C00001)/(${Variables:E1_2_1_79_km} + (E1_2_1_79 * C00232 * C00006 * C00001))</v>
      </c>
    </row>
    <row r="1052" spans="1:11">
      <c r="A1052" t="s">
        <v>6709</v>
      </c>
      <c r="B1052" t="s">
        <v>6710</v>
      </c>
      <c r="C1052" t="s">
        <v>15687</v>
      </c>
      <c r="D1052">
        <v>1051</v>
      </c>
      <c r="E1052" t="str">
        <f t="shared" si="48"/>
        <v>E2_6_1_2</v>
      </c>
      <c r="F1052" t="s">
        <v>10074</v>
      </c>
      <c r="G1052" t="s">
        <v>11931</v>
      </c>
      <c r="H1052" t="s">
        <v>10075</v>
      </c>
      <c r="I1052" t="s">
        <v>15950</v>
      </c>
      <c r="J1052" t="str">
        <f t="shared" si="49"/>
        <v>(${Variables:E2_6_1_2_kcat} * E2_6_1_2 * C00041 * C00026)/(${Variables:E2_6_1_2_km} + (E2_6_1_2 * C00041 * C00026))</v>
      </c>
      <c r="K1052" s="21" t="str">
        <f t="shared" si="50"/>
        <v>r1051: C00041 + C00026 -&gt;  C00022 + C00025 | (${Variables:E2_6_1_2_kcat} * E2_6_1_2 * C00041 * C00026)/(${Variables:E2_6_1_2_km} + (E2_6_1_2 * C00041 * C00026))</v>
      </c>
    </row>
    <row r="1053" spans="1:11">
      <c r="A1053" t="s">
        <v>6716</v>
      </c>
      <c r="B1053" t="s">
        <v>6717</v>
      </c>
      <c r="C1053" t="s">
        <v>15688</v>
      </c>
      <c r="D1053">
        <v>1052</v>
      </c>
      <c r="E1053" t="str">
        <f t="shared" si="48"/>
        <v>E1_1_1_22</v>
      </c>
      <c r="F1053" t="s">
        <v>15883</v>
      </c>
      <c r="G1053" t="s">
        <v>15884</v>
      </c>
      <c r="H1053" t="s">
        <v>15949</v>
      </c>
      <c r="I1053" t="s">
        <v>15885</v>
      </c>
      <c r="J1053" t="str">
        <f t="shared" si="49"/>
        <v>(${Variables:E1_1_1_22_kcat} * E1_1_1_22 * C00029 * C00001 * C00003 )/(${Variables:E1_1_1_22_km} + (E1_1_1_22 * C00029 * C00001 * C00003 ))</v>
      </c>
      <c r="K1053" s="21" t="str">
        <f t="shared" si="50"/>
        <v>r1052: C00029 + C00001 + C00003  -&gt; C00167 + C00004 + C00080 | (${Variables:E1_1_1_22_kcat} * E1_1_1_22 * C00029 * C00001 * C00003 )/(${Variables:E1_1_1_22_km} + (E1_1_1_22 * C00029 * C00001 * C00003 ))</v>
      </c>
    </row>
    <row r="1054" spans="1:11">
      <c r="A1054" t="s">
        <v>6732</v>
      </c>
      <c r="B1054" t="s">
        <v>6733</v>
      </c>
      <c r="C1054" t="s">
        <v>15689</v>
      </c>
      <c r="D1054">
        <v>1053</v>
      </c>
      <c r="E1054" t="str">
        <f t="shared" si="48"/>
        <v>E3_2_1_52</v>
      </c>
      <c r="F1054" t="s">
        <v>10082</v>
      </c>
      <c r="G1054" t="s">
        <v>11932</v>
      </c>
      <c r="H1054" t="s">
        <v>14028</v>
      </c>
      <c r="I1054" t="s">
        <v>14028</v>
      </c>
      <c r="J1054" t="str">
        <f t="shared" si="49"/>
        <v>(${Variables:E3_2_1_52_kcat} * E3_2_1_52 * C01674 * C00001 )/(${Variables:E3_2_1_52_km} + (E3_2_1_52 * C01674 * C00001 ))</v>
      </c>
      <c r="K1054" s="21" t="str">
        <f t="shared" si="50"/>
        <v>r1053: C01674 + C00001  -&gt; C00140 | (${Variables:E3_2_1_52_kcat} * E3_2_1_52 * C01674 * C00001 )/(${Variables:E3_2_1_52_km} + (E3_2_1_52 * C01674 * C00001 ))</v>
      </c>
    </row>
    <row r="1055" spans="1:11">
      <c r="A1055" t="s">
        <v>6732</v>
      </c>
      <c r="B1055" t="s">
        <v>6733</v>
      </c>
      <c r="C1055" t="s">
        <v>15689</v>
      </c>
      <c r="D1055">
        <v>1054</v>
      </c>
      <c r="E1055" t="str">
        <f t="shared" si="48"/>
        <v>E3_2_1_52</v>
      </c>
      <c r="F1055" t="s">
        <v>10084</v>
      </c>
      <c r="G1055" t="s">
        <v>11933</v>
      </c>
      <c r="H1055" t="s">
        <v>10085</v>
      </c>
      <c r="I1055" t="s">
        <v>12634</v>
      </c>
      <c r="J1055" t="str">
        <f t="shared" si="49"/>
        <v>(${Variables:E3_2_1_52_kcat} * E3_2_1_52 * C06135 * C00001 )/(${Variables:E3_2_1_52_km} + (E3_2_1_52 * C06135 * C00001 ))</v>
      </c>
      <c r="K1055" s="21" t="str">
        <f t="shared" si="50"/>
        <v>r1054: C06135 + C00001  -&gt; C01290 + C01132 | (${Variables:E3_2_1_52_kcat} * E3_2_1_52 * C06135 * C00001 )/(${Variables:E3_2_1_52_km} + (E3_2_1_52 * C06135 * C00001 ))</v>
      </c>
    </row>
    <row r="1056" spans="1:11">
      <c r="A1056" t="s">
        <v>6732</v>
      </c>
      <c r="B1056" t="s">
        <v>6733</v>
      </c>
      <c r="C1056" t="s">
        <v>15689</v>
      </c>
      <c r="D1056">
        <v>1055</v>
      </c>
      <c r="E1056" t="str">
        <f t="shared" si="48"/>
        <v>E3_2_1_52</v>
      </c>
      <c r="F1056" t="s">
        <v>10086</v>
      </c>
      <c r="G1056" t="s">
        <v>11934</v>
      </c>
      <c r="H1056" t="s">
        <v>10087</v>
      </c>
      <c r="I1056" t="s">
        <v>12635</v>
      </c>
      <c r="J1056" t="str">
        <f t="shared" si="49"/>
        <v>(${Variables:E3_2_1_52_kcat} * E3_2_1_52 * C04737 * C01132 )/(${Variables:E3_2_1_52_km} + (E3_2_1_52 * C04737 * C01132 ))</v>
      </c>
      <c r="K1056" s="21" t="str">
        <f t="shared" si="50"/>
        <v>r1055: C04737 + C01132  -&gt; C03272 + C00001 | (${Variables:E3_2_1_52_kcat} * E3_2_1_52 * C04737 * C01132 )/(${Variables:E3_2_1_52_km} + (E3_2_1_52 * C04737 * C01132 ))</v>
      </c>
    </row>
    <row r="1057" spans="1:11">
      <c r="A1057" t="s">
        <v>6732</v>
      </c>
      <c r="B1057" t="s">
        <v>6733</v>
      </c>
      <c r="C1057" t="s">
        <v>15689</v>
      </c>
      <c r="D1057">
        <v>1056</v>
      </c>
      <c r="E1057" t="str">
        <f t="shared" si="48"/>
        <v>E3_2_1_52</v>
      </c>
      <c r="F1057" t="s">
        <v>10088</v>
      </c>
      <c r="G1057" t="s">
        <v>11935</v>
      </c>
      <c r="H1057" t="s">
        <v>10089</v>
      </c>
      <c r="I1057" t="s">
        <v>12636</v>
      </c>
      <c r="J1057" t="str">
        <f t="shared" si="49"/>
        <v>(${Variables:E3_2_1_52_kcat} * E3_2_1_52 * C04884 * C00001 )/(${Variables:E3_2_1_52_km} + (E3_2_1_52 * C04884 * C00001 ))</v>
      </c>
      <c r="K1057" s="21" t="str">
        <f t="shared" si="50"/>
        <v>r1056: C04884 + C00001  -&gt; C04730 + C01132 | (${Variables:E3_2_1_52_kcat} * E3_2_1_52 * C04884 * C00001 )/(${Variables:E3_2_1_52_km} + (E3_2_1_52 * C04884 * C00001 ))</v>
      </c>
    </row>
    <row r="1058" spans="1:11">
      <c r="A1058" t="s">
        <v>6732</v>
      </c>
      <c r="B1058" t="s">
        <v>6733</v>
      </c>
      <c r="C1058" t="s">
        <v>15689</v>
      </c>
      <c r="D1058">
        <v>1057</v>
      </c>
      <c r="E1058" t="str">
        <f t="shared" si="48"/>
        <v>E3_2_1_52</v>
      </c>
      <c r="F1058" t="s">
        <v>10090</v>
      </c>
      <c r="G1058" t="s">
        <v>11936</v>
      </c>
      <c r="H1058" t="s">
        <v>10091</v>
      </c>
      <c r="I1058" t="s">
        <v>12637</v>
      </c>
      <c r="J1058" t="str">
        <f t="shared" si="49"/>
        <v>(${Variables:E3_2_1_52_kcat} * E3_2_1_52 * C00001 * G00094)/(${Variables:E3_2_1_52_km} + (E3_2_1_52 * C00001 * G00094))</v>
      </c>
      <c r="K1058" s="21" t="str">
        <f t="shared" si="50"/>
        <v>r1057: C00001 + G00094 -&gt; C01132 + G00093 | (${Variables:E3_2_1_52_kcat} * E3_2_1_52 * C00001 * G00094)/(${Variables:E3_2_1_52_km} + (E3_2_1_52 * C00001 * G00094))</v>
      </c>
    </row>
    <row r="1059" spans="1:11">
      <c r="A1059" t="s">
        <v>6732</v>
      </c>
      <c r="B1059" t="s">
        <v>6733</v>
      </c>
      <c r="C1059" t="s">
        <v>15689</v>
      </c>
      <c r="D1059">
        <v>1058</v>
      </c>
      <c r="E1059" t="str">
        <f t="shared" si="48"/>
        <v>E3_2_1_52</v>
      </c>
      <c r="F1059" t="s">
        <v>10092</v>
      </c>
      <c r="G1059" t="s">
        <v>11937</v>
      </c>
      <c r="H1059" t="s">
        <v>10093</v>
      </c>
      <c r="I1059" t="s">
        <v>12638</v>
      </c>
      <c r="J1059" t="str">
        <f t="shared" si="49"/>
        <v>(${Variables:E3_2_1_52_kcat} * E3_2_1_52 * G00123 * C00001)/(${Variables:E3_2_1_52_km} + (E3_2_1_52 * G00123 * C00001))</v>
      </c>
      <c r="K1059" s="21" t="str">
        <f t="shared" si="50"/>
        <v>r1058: G00123 + C00001 -&gt; G00092 + C01132 | (${Variables:E3_2_1_52_kcat} * E3_2_1_52 * G00123 * C00001)/(${Variables:E3_2_1_52_km} + (E3_2_1_52 * G00123 * C00001))</v>
      </c>
    </row>
    <row r="1060" spans="1:11">
      <c r="A1060" t="s">
        <v>6732</v>
      </c>
      <c r="B1060" t="s">
        <v>6733</v>
      </c>
      <c r="C1060" t="s">
        <v>15689</v>
      </c>
      <c r="D1060">
        <v>1059</v>
      </c>
      <c r="E1060" t="str">
        <f t="shared" si="48"/>
        <v>E3_2_1_52</v>
      </c>
      <c r="F1060" t="s">
        <v>10094</v>
      </c>
      <c r="G1060" t="s">
        <v>11938</v>
      </c>
      <c r="H1060" t="s">
        <v>10095</v>
      </c>
      <c r="I1060" t="s">
        <v>12639</v>
      </c>
      <c r="J1060" t="str">
        <f t="shared" si="49"/>
        <v>(${Variables:E3_2_1_52_kcat} * E3_2_1_52 * G00109 * C00001)/(${Variables:E3_2_1_52_km} + (E3_2_1_52 * G00109 * C00001))</v>
      </c>
      <c r="K1060" s="21" t="str">
        <f t="shared" si="50"/>
        <v>r1059: G00109 + C00001 -&gt; G00108 + C01132 | (${Variables:E3_2_1_52_kcat} * E3_2_1_52 * G00109 * C00001)/(${Variables:E3_2_1_52_km} + (E3_2_1_52 * G00109 * C00001))</v>
      </c>
    </row>
    <row r="1061" spans="1:11">
      <c r="A1061" t="s">
        <v>6732</v>
      </c>
      <c r="B1061" t="s">
        <v>6733</v>
      </c>
      <c r="C1061" t="s">
        <v>15689</v>
      </c>
      <c r="D1061">
        <v>1060</v>
      </c>
      <c r="E1061" t="str">
        <f t="shared" si="48"/>
        <v>E3_2_1_52</v>
      </c>
      <c r="F1061" t="s">
        <v>10096</v>
      </c>
      <c r="G1061" t="s">
        <v>11939</v>
      </c>
      <c r="H1061" t="s">
        <v>14028</v>
      </c>
      <c r="I1061" t="s">
        <v>14028</v>
      </c>
      <c r="J1061" t="str">
        <f t="shared" si="49"/>
        <v>(${Variables:E3_2_1_52_kcat} * E3_2_1_52 * G10336 * C00001 )/(${Variables:E3_2_1_52_km} + (E3_2_1_52 * G10336 * C00001 ))</v>
      </c>
      <c r="K1061" s="21" t="str">
        <f t="shared" si="50"/>
        <v>r1060: G10336 + C00001  -&gt; C00140 | (${Variables:E3_2_1_52_kcat} * E3_2_1_52 * G10336 * C00001 )/(${Variables:E3_2_1_52_km} + (E3_2_1_52 * G10336 * C00001 ))</v>
      </c>
    </row>
    <row r="1062" spans="1:11">
      <c r="A1062" t="s">
        <v>6732</v>
      </c>
      <c r="B1062" t="s">
        <v>6733</v>
      </c>
      <c r="C1062" t="s">
        <v>15689</v>
      </c>
      <c r="D1062">
        <v>1061</v>
      </c>
      <c r="E1062" t="str">
        <f t="shared" si="48"/>
        <v>E3_2_1_52</v>
      </c>
      <c r="F1062" t="s">
        <v>10097</v>
      </c>
      <c r="G1062" t="s">
        <v>11940</v>
      </c>
      <c r="H1062" t="s">
        <v>10098</v>
      </c>
      <c r="I1062" t="s">
        <v>12640</v>
      </c>
      <c r="J1062" t="str">
        <f t="shared" si="49"/>
        <v>(${Variables:E3_2_1_52_kcat} * E3_2_1_52 * G13074 * C00001)/(${Variables:E3_2_1_52_km} + (E3_2_1_52 * G13074 * C00001))</v>
      </c>
      <c r="K1062" s="21" t="str">
        <f t="shared" si="50"/>
        <v>r1061: G13074 + C00001 -&gt; G01391 + C00140 | (${Variables:E3_2_1_52_kcat} * E3_2_1_52 * G13074 * C00001)/(${Variables:E3_2_1_52_km} + (E3_2_1_52 * G13074 * C00001))</v>
      </c>
    </row>
    <row r="1063" spans="1:11">
      <c r="A1063" t="s">
        <v>6732</v>
      </c>
      <c r="B1063" t="s">
        <v>6733</v>
      </c>
      <c r="C1063" t="s">
        <v>15689</v>
      </c>
      <c r="D1063">
        <v>1062</v>
      </c>
      <c r="E1063" t="str">
        <f t="shared" si="48"/>
        <v>E3_2_1_52</v>
      </c>
      <c r="F1063" t="s">
        <v>10099</v>
      </c>
      <c r="G1063" t="s">
        <v>11941</v>
      </c>
      <c r="H1063" t="s">
        <v>10100</v>
      </c>
      <c r="I1063" t="s">
        <v>12641</v>
      </c>
      <c r="J1063" t="str">
        <f t="shared" si="49"/>
        <v>(${Variables:E3_2_1_52_kcat} * E3_2_1_52 * G13073 * C00001)/(${Variables:E3_2_1_52_km} + (E3_2_1_52 * G13073 * C00001))</v>
      </c>
      <c r="K1063" s="21" t="str">
        <f t="shared" si="50"/>
        <v>r1062: G13073 + C00001 -&gt; G01391 + C04132 | (${Variables:E3_2_1_52_kcat} * E3_2_1_52 * G13073 * C00001)/(${Variables:E3_2_1_52_km} + (E3_2_1_52 * G13073 * C00001))</v>
      </c>
    </row>
    <row r="1064" spans="1:11">
      <c r="A1064" t="s">
        <v>6732</v>
      </c>
      <c r="B1064" t="s">
        <v>6733</v>
      </c>
      <c r="C1064" t="s">
        <v>15689</v>
      </c>
      <c r="D1064">
        <v>1063</v>
      </c>
      <c r="E1064" t="str">
        <f t="shared" si="48"/>
        <v>E3_2_1_52</v>
      </c>
      <c r="F1064" t="s">
        <v>10101</v>
      </c>
      <c r="G1064" t="s">
        <v>11942</v>
      </c>
      <c r="H1064" t="s">
        <v>10102</v>
      </c>
      <c r="I1064" t="s">
        <v>12642</v>
      </c>
      <c r="J1064" t="str">
        <f t="shared" si="49"/>
        <v>(${Variables:E3_2_1_52_kcat} * E3_2_1_52 * G13057 * C00001 )/(${Variables:E3_2_1_52_km} + (E3_2_1_52 * G13057 * C00001 ))</v>
      </c>
      <c r="K1064" s="21" t="str">
        <f t="shared" si="50"/>
        <v>r1063: G13057 + C00001  -&gt; C00140 + G13058 | (${Variables:E3_2_1_52_kcat} * E3_2_1_52 * G13057 * C00001 )/(${Variables:E3_2_1_52_km} + (E3_2_1_52 * G13057 * C00001 ))</v>
      </c>
    </row>
    <row r="1065" spans="1:11">
      <c r="A1065" t="s">
        <v>6732</v>
      </c>
      <c r="B1065" t="s">
        <v>6733</v>
      </c>
      <c r="C1065" t="s">
        <v>15689</v>
      </c>
      <c r="D1065">
        <v>1064</v>
      </c>
      <c r="E1065" t="str">
        <f t="shared" si="48"/>
        <v>E3_2_1_52</v>
      </c>
      <c r="F1065" t="s">
        <v>10103</v>
      </c>
      <c r="G1065" t="s">
        <v>11943</v>
      </c>
      <c r="H1065" t="s">
        <v>10104</v>
      </c>
      <c r="I1065" t="s">
        <v>12643</v>
      </c>
      <c r="J1065" t="str">
        <f t="shared" si="49"/>
        <v>(${Variables:E3_2_1_52_kcat} * E3_2_1_52 * G00711 * C00001 )/(${Variables:E3_2_1_52_km} + (E3_2_1_52 * G00711 * C00001 ))</v>
      </c>
      <c r="K1065" s="21" t="str">
        <f t="shared" si="50"/>
        <v>r1064: G00711 + C00001  -&gt; G10008 + C00140 | (${Variables:E3_2_1_52_kcat} * E3_2_1_52 * G00711 * C00001 )/(${Variables:E3_2_1_52_km} + (E3_2_1_52 * G00711 * C00001 ))</v>
      </c>
    </row>
    <row r="1066" spans="1:11">
      <c r="A1066" t="s">
        <v>6732</v>
      </c>
      <c r="B1066" t="s">
        <v>6733</v>
      </c>
      <c r="C1066" t="s">
        <v>15689</v>
      </c>
      <c r="D1066">
        <v>1065</v>
      </c>
      <c r="E1066" t="str">
        <f t="shared" si="48"/>
        <v>E3_2_1_52</v>
      </c>
      <c r="F1066" t="s">
        <v>10105</v>
      </c>
      <c r="G1066" t="s">
        <v>11944</v>
      </c>
      <c r="H1066" t="s">
        <v>10106</v>
      </c>
      <c r="I1066" t="s">
        <v>12644</v>
      </c>
      <c r="J1066" t="str">
        <f t="shared" si="49"/>
        <v>(${Variables:E3_2_1_52_kcat} * E3_2_1_52 * G13056 * C00001)/(${Variables:E3_2_1_52_km} + (E3_2_1_52 * G13056 * C00001))</v>
      </c>
      <c r="K1066" s="21" t="str">
        <f t="shared" si="50"/>
        <v>r1065: G13056 + C00001 -&gt; C00140 + G10665 | (${Variables:E3_2_1_52_kcat} * E3_2_1_52 * G13056 * C00001)/(${Variables:E3_2_1_52_km} + (E3_2_1_52 * G13056 * C00001))</v>
      </c>
    </row>
    <row r="1067" spans="1:11">
      <c r="A1067" t="s">
        <v>6732</v>
      </c>
      <c r="B1067" t="s">
        <v>6733</v>
      </c>
      <c r="C1067" t="s">
        <v>15689</v>
      </c>
      <c r="D1067">
        <v>1066</v>
      </c>
      <c r="E1067" t="str">
        <f t="shared" si="48"/>
        <v>E3_2_1_52</v>
      </c>
      <c r="F1067" t="s">
        <v>10107</v>
      </c>
      <c r="G1067" t="s">
        <v>11945</v>
      </c>
      <c r="H1067" t="s">
        <v>10108</v>
      </c>
      <c r="I1067" t="s">
        <v>12645</v>
      </c>
      <c r="J1067" t="str">
        <f t="shared" si="49"/>
        <v>(${Variables:E3_2_1_52_kcat} * E3_2_1_52 * G05477 * C00001 )/(${Variables:E3_2_1_52_km} + (E3_2_1_52 * G05477 * C00001 ))</v>
      </c>
      <c r="K1067" s="21" t="str">
        <f t="shared" si="50"/>
        <v>r1066: G05477 + C00001  -&gt; G10920 + C00140 | (${Variables:E3_2_1_52_kcat} * E3_2_1_52 * G05477 * C00001 )/(${Variables:E3_2_1_52_km} + (E3_2_1_52 * G05477 * C00001 ))</v>
      </c>
    </row>
    <row r="1068" spans="1:11">
      <c r="A1068" t="s">
        <v>6732</v>
      </c>
      <c r="B1068" t="s">
        <v>6733</v>
      </c>
      <c r="C1068" t="s">
        <v>15689</v>
      </c>
      <c r="D1068">
        <v>1067</v>
      </c>
      <c r="E1068" t="str">
        <f t="shared" si="48"/>
        <v>E3_2_1_52</v>
      </c>
      <c r="F1068" t="s">
        <v>10109</v>
      </c>
      <c r="G1068" t="s">
        <v>11946</v>
      </c>
      <c r="H1068" t="s">
        <v>10110</v>
      </c>
      <c r="I1068" t="s">
        <v>12646</v>
      </c>
      <c r="J1068" t="str">
        <f t="shared" si="49"/>
        <v>(${Variables:E3_2_1_52_kcat} * E3_2_1_52 * C22467 * C00001 )/(${Variables:E3_2_1_52_km} + (E3_2_1_52 * C22467 * C00001 ))</v>
      </c>
      <c r="K1068" s="21" t="str">
        <f t="shared" si="50"/>
        <v>r1067: C22467 + C00001  -&gt; C03405 + C01132 | (${Variables:E3_2_1_52_kcat} * E3_2_1_52 * C22467 * C00001 )/(${Variables:E3_2_1_52_km} + (E3_2_1_52 * C22467 * C00001 ))</v>
      </c>
    </row>
    <row r="1069" spans="1:11">
      <c r="A1069" t="s">
        <v>6750</v>
      </c>
      <c r="B1069" t="s">
        <v>6751</v>
      </c>
      <c r="C1069" t="s">
        <v>15690</v>
      </c>
      <c r="D1069">
        <v>1068</v>
      </c>
      <c r="E1069" t="str">
        <f t="shared" si="48"/>
        <v>E2_4_1_11</v>
      </c>
      <c r="F1069" t="s">
        <v>10123</v>
      </c>
      <c r="G1069" t="s">
        <v>11947</v>
      </c>
      <c r="H1069" t="s">
        <v>10124</v>
      </c>
      <c r="I1069" t="s">
        <v>12647</v>
      </c>
      <c r="J1069" t="str">
        <f t="shared" si="49"/>
        <v>(${Variables:E2_4_1_11_kcat} * E2_4_1_11 * C00029 * C00718)/(${Variables:E2_4_1_11_km} + (E2_4_1_11 * C00029 * C00718))</v>
      </c>
      <c r="K1069" s="21" t="str">
        <f t="shared" si="50"/>
        <v>r1068: C00029 + C00718 -&gt; C00015 + C00718 | (${Variables:E2_4_1_11_kcat} * E2_4_1_11 * C00029 * C00718)/(${Variables:E2_4_1_11_km} + (E2_4_1_11 * C00029 * C00718))</v>
      </c>
    </row>
    <row r="1070" spans="1:11">
      <c r="A1070" t="s">
        <v>6750</v>
      </c>
      <c r="B1070" t="s">
        <v>6751</v>
      </c>
      <c r="C1070" t="s">
        <v>15690</v>
      </c>
      <c r="D1070">
        <v>1069</v>
      </c>
      <c r="E1070" t="str">
        <f t="shared" si="48"/>
        <v>E2_4_1_11</v>
      </c>
      <c r="F1070" t="s">
        <v>12730</v>
      </c>
      <c r="G1070" t="s">
        <v>12731</v>
      </c>
      <c r="H1070" t="s">
        <v>12735</v>
      </c>
      <c r="I1070" t="s">
        <v>12741</v>
      </c>
      <c r="J1070" t="str">
        <f t="shared" si="49"/>
        <v>(${Variables:E2_4_1_11_kcat} * E2_4_1_11 * G10495 * G10608)/(${Variables:E2_4_1_11_km} + (E2_4_1_11 * G10495 * G10608))</v>
      </c>
      <c r="K1070" s="21" t="str">
        <f t="shared" si="50"/>
        <v>r1069: G10495 + G10608 -&gt; G10495 + G10619 | (${Variables:E2_4_1_11_kcat} * E2_4_1_11 * G10495 * G10608)/(${Variables:E2_4_1_11_km} + (E2_4_1_11 * G10495 * G10608))</v>
      </c>
    </row>
    <row r="1071" spans="1:11">
      <c r="A1071" t="s">
        <v>6763</v>
      </c>
      <c r="B1071" t="s">
        <v>6764</v>
      </c>
      <c r="C1071" t="s">
        <v>15691</v>
      </c>
      <c r="D1071">
        <v>1070</v>
      </c>
      <c r="E1071" t="str">
        <f t="shared" si="48"/>
        <v>E3_5_3_6</v>
      </c>
      <c r="F1071" t="s">
        <v>10129</v>
      </c>
      <c r="G1071" t="s">
        <v>11948</v>
      </c>
      <c r="H1071" t="s">
        <v>10130</v>
      </c>
      <c r="I1071" t="s">
        <v>12648</v>
      </c>
      <c r="J1071" t="str">
        <f t="shared" si="49"/>
        <v>(${Variables:E3_5_3_6_kcat} * E3_5_3_6 * C00062 * C00001)/(${Variables:E3_5_3_6_km} + (E3_5_3_6 * C00062 * C00001))</v>
      </c>
      <c r="K1071" s="21" t="str">
        <f t="shared" si="50"/>
        <v>r1070: C00062 + C00001 -&gt;  C00327 + C00014 | (${Variables:E3_5_3_6_kcat} * E3_5_3_6 * C00062 * C00001)/(${Variables:E3_5_3_6_km} + (E3_5_3_6 * C00062 * C00001))</v>
      </c>
    </row>
    <row r="1072" spans="1:11">
      <c r="A1072" t="s">
        <v>6763</v>
      </c>
      <c r="B1072" t="s">
        <v>6764</v>
      </c>
      <c r="C1072" t="s">
        <v>15691</v>
      </c>
      <c r="D1072">
        <v>1071</v>
      </c>
      <c r="E1072" t="str">
        <f t="shared" si="48"/>
        <v>E3_5_3_6</v>
      </c>
      <c r="F1072" t="s">
        <v>10131</v>
      </c>
      <c r="G1072" t="s">
        <v>11949</v>
      </c>
      <c r="H1072" t="s">
        <v>10132</v>
      </c>
      <c r="I1072" t="s">
        <v>12649</v>
      </c>
      <c r="J1072" t="str">
        <f t="shared" si="49"/>
        <v>(${Variables:E3_5_3_6_kcat} * E3_5_3_6 * C06060 * C00001)/(${Variables:E3_5_3_6_km} + (E3_5_3_6 * C06060 * C00001))</v>
      </c>
      <c r="K1072" s="21" t="str">
        <f t="shared" si="50"/>
        <v>r1071: C06060 + C00001 -&gt; C00241 + C00014 | (${Variables:E3_5_3_6_kcat} * E3_5_3_6 * C06060 * C00001)/(${Variables:E3_5_3_6_km} + (E3_5_3_6 * C06060 * C00001))</v>
      </c>
    </row>
    <row r="1073" spans="1:11">
      <c r="A1073" t="s">
        <v>6782</v>
      </c>
      <c r="B1073" t="s">
        <v>6783</v>
      </c>
      <c r="C1073" t="s">
        <v>15311</v>
      </c>
      <c r="D1073">
        <v>1072</v>
      </c>
      <c r="E1073" t="str">
        <f t="shared" si="48"/>
        <v>E2_7_7_7</v>
      </c>
      <c r="F1073" t="s">
        <v>12722</v>
      </c>
      <c r="G1073" t="s">
        <v>12723</v>
      </c>
      <c r="H1073" t="s">
        <v>10163</v>
      </c>
      <c r="I1073" t="s">
        <v>11305</v>
      </c>
      <c r="J1073" t="str">
        <f t="shared" si="49"/>
        <v>(${Variables:E2_7_7_7_kcat} * E2_7_7_7 * C00677 * C00039 )/(${Variables:E2_7_7_7_km} + (E2_7_7_7 * C00677 * C00039 ))</v>
      </c>
      <c r="K1073" s="21" t="str">
        <f t="shared" si="50"/>
        <v>r1072: C00677 + C00039  -&gt; C00013 + C00039 | (${Variables:E2_7_7_7_kcat} * E2_7_7_7 * C00677 * C00039 )/(${Variables:E2_7_7_7_km} + (E2_7_7_7 * C00677 * C00039 ))</v>
      </c>
    </row>
    <row r="1074" spans="1:11">
      <c r="A1074" t="s">
        <v>6782</v>
      </c>
      <c r="B1074" t="s">
        <v>6783</v>
      </c>
      <c r="C1074" t="s">
        <v>15311</v>
      </c>
      <c r="D1074">
        <v>1073</v>
      </c>
      <c r="E1074" t="str">
        <f t="shared" si="48"/>
        <v>E2_7_7_7</v>
      </c>
      <c r="F1074" s="4" t="s">
        <v>10162</v>
      </c>
      <c r="G1074" s="4" t="s">
        <v>11301</v>
      </c>
      <c r="H1074" s="10" t="s">
        <v>10163</v>
      </c>
      <c r="I1074" s="10" t="s">
        <v>11305</v>
      </c>
      <c r="J1074" t="str">
        <f t="shared" si="49"/>
        <v>(${Variables:E2_7_7_7_kcat} * E2_7_7_7 * C00131 * C00039)/(${Variables:E2_7_7_7_km} + (E2_7_7_7 * C00131 * C00039))</v>
      </c>
      <c r="K1074" s="21" t="str">
        <f t="shared" si="50"/>
        <v>r1073: C00131 + C00039 -&gt; C00013 + C00039 | (${Variables:E2_7_7_7_kcat} * E2_7_7_7 * C00131 * C00039)/(${Variables:E2_7_7_7_km} + (E2_7_7_7 * C00131 * C00039))</v>
      </c>
    </row>
    <row r="1075" spans="1:11">
      <c r="A1075" t="s">
        <v>6782</v>
      </c>
      <c r="B1075" t="s">
        <v>6783</v>
      </c>
      <c r="C1075" t="s">
        <v>15311</v>
      </c>
      <c r="D1075">
        <v>1074</v>
      </c>
      <c r="E1075" t="str">
        <f t="shared" si="48"/>
        <v>E2_7_7_7</v>
      </c>
      <c r="F1075" s="4" t="s">
        <v>10164</v>
      </c>
      <c r="G1075" s="4" t="s">
        <v>11302</v>
      </c>
      <c r="H1075" s="10" t="s">
        <v>10163</v>
      </c>
      <c r="I1075" s="10" t="s">
        <v>11305</v>
      </c>
      <c r="J1075" t="str">
        <f t="shared" si="49"/>
        <v>(${Variables:E2_7_7_7_kcat} * E2_7_7_7 * C00286 * C00039 )/(${Variables:E2_7_7_7_km} + (E2_7_7_7 * C00286 * C00039 ))</v>
      </c>
      <c r="K1075" s="21" t="str">
        <f t="shared" si="50"/>
        <v>r1074: C00286 + C00039  -&gt; C00013 + C00039 | (${Variables:E2_7_7_7_kcat} * E2_7_7_7 * C00286 * C00039 )/(${Variables:E2_7_7_7_km} + (E2_7_7_7 * C00286 * C00039 ))</v>
      </c>
    </row>
    <row r="1076" spans="1:11">
      <c r="A1076" t="s">
        <v>6782</v>
      </c>
      <c r="B1076" t="s">
        <v>6783</v>
      </c>
      <c r="C1076" t="s">
        <v>15311</v>
      </c>
      <c r="D1076">
        <v>1075</v>
      </c>
      <c r="E1076" t="str">
        <f t="shared" si="48"/>
        <v>E2_7_7_7</v>
      </c>
      <c r="F1076" s="4" t="s">
        <v>10165</v>
      </c>
      <c r="G1076" s="4" t="s">
        <v>11303</v>
      </c>
      <c r="H1076" s="10" t="s">
        <v>10163</v>
      </c>
      <c r="I1076" s="10" t="s">
        <v>11305</v>
      </c>
      <c r="J1076" t="str">
        <f t="shared" si="49"/>
        <v>(${Variables:E2_7_7_7_kcat} * E2_7_7_7 * C00458 * C00039)/(${Variables:E2_7_7_7_km} + (E2_7_7_7 * C00458 * C00039))</v>
      </c>
      <c r="K1076" s="21" t="str">
        <f t="shared" si="50"/>
        <v>r1075: C00458 + C00039 -&gt; C00013 + C00039 | (${Variables:E2_7_7_7_kcat} * E2_7_7_7 * C00458 * C00039)/(${Variables:E2_7_7_7_km} + (E2_7_7_7 * C00458 * C00039))</v>
      </c>
    </row>
    <row r="1077" spans="1:11">
      <c r="A1077" t="s">
        <v>6782</v>
      </c>
      <c r="B1077" t="s">
        <v>6783</v>
      </c>
      <c r="C1077" t="s">
        <v>15311</v>
      </c>
      <c r="D1077">
        <v>1076</v>
      </c>
      <c r="E1077" t="str">
        <f t="shared" si="48"/>
        <v>E2_7_7_7</v>
      </c>
      <c r="F1077" s="4" t="s">
        <v>10166</v>
      </c>
      <c r="G1077" s="4" t="s">
        <v>11304</v>
      </c>
      <c r="H1077" s="10" t="s">
        <v>10163</v>
      </c>
      <c r="I1077" s="10" t="s">
        <v>11305</v>
      </c>
      <c r="J1077" t="str">
        <f t="shared" si="49"/>
        <v>(${Variables:E2_7_7_7_kcat} * E2_7_7_7 * C00459 * C00039 )/(${Variables:E2_7_7_7_km} + (E2_7_7_7 * C00459 * C00039 ))</v>
      </c>
      <c r="K1077" s="21" t="str">
        <f t="shared" si="50"/>
        <v>r1076: C00459 + C00039  -&gt; C00013 + C00039 | (${Variables:E2_7_7_7_kcat} * E2_7_7_7 * C00459 * C00039 )/(${Variables:E2_7_7_7_km} + (E2_7_7_7 * C00459 * C00039 ))</v>
      </c>
    </row>
    <row r="1078" spans="1:11">
      <c r="A1078" t="s">
        <v>6782</v>
      </c>
      <c r="B1078" t="s">
        <v>6783</v>
      </c>
      <c r="C1078" t="s">
        <v>15311</v>
      </c>
      <c r="D1078">
        <v>1077</v>
      </c>
      <c r="E1078" t="str">
        <f t="shared" si="48"/>
        <v>E2_7_7_7</v>
      </c>
      <c r="F1078" s="4" t="s">
        <v>10167</v>
      </c>
      <c r="G1078" s="4" t="s">
        <v>10167</v>
      </c>
      <c r="H1078" s="10" t="s">
        <v>10168</v>
      </c>
      <c r="I1078" s="10" t="s">
        <v>10168</v>
      </c>
      <c r="J1078" t="str">
        <f t="shared" si="49"/>
        <v>(${Variables:E2_7_7_7_kcat} * E2_7_7_7 * C11039)/(${Variables:E2_7_7_7_km} + (E2_7_7_7 * C11039))</v>
      </c>
      <c r="K1078" s="21" t="str">
        <f t="shared" si="50"/>
        <v>r1077: C11039 -&gt; C21031 | (${Variables:E2_7_7_7_kcat} * E2_7_7_7 * C11039)/(${Variables:E2_7_7_7_km} + (E2_7_7_7 * C11039))</v>
      </c>
    </row>
    <row r="1079" spans="1:11">
      <c r="A1079" t="s">
        <v>6791</v>
      </c>
      <c r="B1079" t="s">
        <v>6792</v>
      </c>
      <c r="C1079" t="s">
        <v>15553</v>
      </c>
      <c r="D1079">
        <v>1078</v>
      </c>
      <c r="E1079" t="str">
        <f t="shared" si="48"/>
        <v>E4_3_3_7</v>
      </c>
      <c r="F1079" t="s">
        <v>10868</v>
      </c>
      <c r="G1079" t="s">
        <v>11628</v>
      </c>
      <c r="H1079" t="s">
        <v>10869</v>
      </c>
      <c r="I1079" t="s">
        <v>12332</v>
      </c>
      <c r="J1079" t="str">
        <f t="shared" si="49"/>
        <v>(${Variables:E4_3_3_7_kcat} * E4_3_3_7 * C00441 * C00022)/(${Variables:E4_3_3_7_km} + (E4_3_3_7 * C00441 * C00022))</v>
      </c>
      <c r="K1079" s="21" t="str">
        <f t="shared" si="50"/>
        <v>r1078: C00441 + C00022 -&gt; C20258 + C00001 | (${Variables:E4_3_3_7_kcat} * E4_3_3_7 * C00441 * C00022)/(${Variables:E4_3_3_7_km} + (E4_3_3_7 * C00441 * C00022))</v>
      </c>
    </row>
    <row r="1080" spans="1:11">
      <c r="A1080" t="s">
        <v>6794</v>
      </c>
      <c r="B1080" t="s">
        <v>6795</v>
      </c>
      <c r="C1080" t="s">
        <v>15586</v>
      </c>
      <c r="D1080">
        <v>1079</v>
      </c>
      <c r="E1080" t="str">
        <f t="shared" si="48"/>
        <v>E2_7_1_2</v>
      </c>
      <c r="F1080" t="s">
        <v>10976</v>
      </c>
      <c r="G1080" t="s">
        <v>11682</v>
      </c>
      <c r="H1080" t="s">
        <v>10977</v>
      </c>
      <c r="I1080" t="s">
        <v>12391</v>
      </c>
      <c r="J1080" t="str">
        <f t="shared" si="49"/>
        <v>(${Variables:E2_7_1_2_kcat} * E2_7_1_2 * C00002 * C00031)/(${Variables:E2_7_1_2_km} + (E2_7_1_2 * C00002 * C00031))</v>
      </c>
      <c r="K1080" s="21" t="str">
        <f t="shared" si="50"/>
        <v>r1079: C00002 + C00031 -&gt; C00008 + C00092 | (${Variables:E2_7_1_2_kcat} * E2_7_1_2 * C00002 * C00031)/(${Variables:E2_7_1_2_km} + (E2_7_1_2 * C00002 * C00031))</v>
      </c>
    </row>
    <row r="1081" spans="1:11">
      <c r="A1081" t="s">
        <v>6794</v>
      </c>
      <c r="B1081" t="s">
        <v>6795</v>
      </c>
      <c r="C1081" t="s">
        <v>15586</v>
      </c>
      <c r="D1081">
        <v>1080</v>
      </c>
      <c r="E1081" t="str">
        <f t="shared" si="48"/>
        <v>E2_7_1_2</v>
      </c>
      <c r="F1081" t="s">
        <v>10978</v>
      </c>
      <c r="G1081" t="s">
        <v>11683</v>
      </c>
      <c r="H1081" t="s">
        <v>10979</v>
      </c>
      <c r="I1081" t="s">
        <v>12392</v>
      </c>
      <c r="J1081" t="str">
        <f t="shared" si="49"/>
        <v>(${Variables:E2_7_1_2_kcat} * E2_7_1_2 * C00002 * C00221)/(${Variables:E2_7_1_2_km} + (E2_7_1_2 * C00002 * C00221))</v>
      </c>
      <c r="K1081" s="21" t="str">
        <f t="shared" si="50"/>
        <v>r1080: C00002 + C00221 -&gt; C00008 + C01172 | (${Variables:E2_7_1_2_kcat} * E2_7_1_2 * C00002 * C00221)/(${Variables:E2_7_1_2_km} + (E2_7_1_2 * C00002 * C00221))</v>
      </c>
    </row>
    <row r="1082" spans="1:11">
      <c r="A1082" t="s">
        <v>6794</v>
      </c>
      <c r="B1082" t="s">
        <v>6795</v>
      </c>
      <c r="C1082" t="s">
        <v>15586</v>
      </c>
      <c r="D1082">
        <v>1081</v>
      </c>
      <c r="E1082" t="str">
        <f t="shared" si="48"/>
        <v>E2_7_1_2</v>
      </c>
      <c r="F1082" t="s">
        <v>11204</v>
      </c>
      <c r="G1082" t="s">
        <v>11950</v>
      </c>
      <c r="H1082" t="s">
        <v>10981</v>
      </c>
      <c r="I1082" t="s">
        <v>12393</v>
      </c>
      <c r="J1082" t="str">
        <f t="shared" si="49"/>
        <v>(${Variables:E2_7_1_2_kcat} * E2_7_1_2 * C00002 * C00267)/(${Variables:E2_7_1_2_km} + (E2_7_1_2 * C00002 * C00267))</v>
      </c>
      <c r="K1082" s="21" t="str">
        <f t="shared" si="50"/>
        <v>r1081: C00002 + C00267 -&gt; C00008 + C00668 | (${Variables:E2_7_1_2_kcat} * E2_7_1_2 * C00002 * C00267)/(${Variables:E2_7_1_2_km} + (E2_7_1_2 * C00002 * C00267))</v>
      </c>
    </row>
    <row r="1083" spans="1:11">
      <c r="A1083" t="s">
        <v>6798</v>
      </c>
      <c r="B1083" t="s">
        <v>6799</v>
      </c>
      <c r="C1083" t="s">
        <v>15692</v>
      </c>
      <c r="D1083">
        <v>1082</v>
      </c>
      <c r="E1083" t="str">
        <f t="shared" si="48"/>
        <v>E5_1_3_9</v>
      </c>
      <c r="F1083" t="s">
        <v>10135</v>
      </c>
      <c r="G1083" t="s">
        <v>10135</v>
      </c>
      <c r="H1083" t="s">
        <v>10136</v>
      </c>
      <c r="I1083" t="s">
        <v>10136</v>
      </c>
      <c r="J1083" t="str">
        <f t="shared" si="49"/>
        <v>(${Variables:E5_1_3_9_kcat} * E5_1_3_9 * C00686 )/(${Variables:E5_1_3_9_km} + (E5_1_3_9 * C00686 ))</v>
      </c>
      <c r="K1083" s="21" t="str">
        <f t="shared" si="50"/>
        <v>r1082: C00686  -&gt; C04136 | (${Variables:E5_1_3_9_kcat} * E5_1_3_9 * C00686 )/(${Variables:E5_1_3_9_km} + (E5_1_3_9 * C00686 ))</v>
      </c>
    </row>
    <row r="1084" spans="1:11">
      <c r="A1084" t="s">
        <v>6798</v>
      </c>
      <c r="B1084" t="s">
        <v>6799</v>
      </c>
      <c r="C1084" t="s">
        <v>15692</v>
      </c>
      <c r="D1084">
        <v>1083</v>
      </c>
      <c r="E1084" t="str">
        <f t="shared" si="48"/>
        <v>E5_1_3_9</v>
      </c>
      <c r="F1084" t="s">
        <v>10137</v>
      </c>
      <c r="G1084" t="s">
        <v>10137</v>
      </c>
      <c r="H1084" t="s">
        <v>10138</v>
      </c>
      <c r="I1084" t="s">
        <v>10138</v>
      </c>
      <c r="J1084" t="str">
        <f t="shared" si="49"/>
        <v>(${Variables:E5_1_3_9_kcat} * E5_1_3_9 * C00357)/(${Variables:E5_1_3_9_km} + (E5_1_3_9 * C00357))</v>
      </c>
      <c r="K1084" s="21" t="str">
        <f t="shared" si="50"/>
        <v>r1083: C00357 -&gt; C04257 | (${Variables:E5_1_3_9_kcat} * E5_1_3_9 * C00357)/(${Variables:E5_1_3_9_km} + (E5_1_3_9 * C00357))</v>
      </c>
    </row>
    <row r="1085" spans="1:11">
      <c r="A1085" t="s">
        <v>6808</v>
      </c>
      <c r="B1085" t="s">
        <v>6809</v>
      </c>
      <c r="C1085" t="s">
        <v>15315</v>
      </c>
      <c r="D1085">
        <v>1084</v>
      </c>
      <c r="E1085" t="str">
        <f t="shared" si="48"/>
        <v>E3_5_1_25</v>
      </c>
      <c r="F1085" t="s">
        <v>10491</v>
      </c>
      <c r="G1085" t="s">
        <v>11310</v>
      </c>
      <c r="H1085" t="s">
        <v>10492</v>
      </c>
      <c r="I1085" t="s">
        <v>12003</v>
      </c>
      <c r="J1085" t="str">
        <f t="shared" si="49"/>
        <v>(${Variables:E3_5_1_25_kcat} * E3_5_1_25 * C00357 * C00001)/(${Variables:E3_5_1_25_km} + (E3_5_1_25 * C00357 * C00001))</v>
      </c>
      <c r="K1085" s="21" t="str">
        <f t="shared" si="50"/>
        <v>r1084: C00357 + C00001 -&gt; C00352 +C00033 | (${Variables:E3_5_1_25_kcat} * E3_5_1_25 * C00357 * C00001)/(${Variables:E3_5_1_25_km} + (E3_5_1_25 * C00357 * C00001))</v>
      </c>
    </row>
    <row r="1086" spans="1:11">
      <c r="A1086" t="s">
        <v>6811</v>
      </c>
      <c r="B1086" t="s">
        <v>6812</v>
      </c>
      <c r="C1086" t="s">
        <v>15316</v>
      </c>
      <c r="D1086">
        <v>1085</v>
      </c>
      <c r="E1086" t="str">
        <f t="shared" si="48"/>
        <v>E3_5_99_6</v>
      </c>
      <c r="F1086" t="s">
        <v>10493</v>
      </c>
      <c r="G1086" t="s">
        <v>11311</v>
      </c>
      <c r="H1086" t="s">
        <v>10494</v>
      </c>
      <c r="I1086" t="s">
        <v>12004</v>
      </c>
      <c r="J1086" t="str">
        <f t="shared" si="49"/>
        <v>(${Variables:E3_5_99_6_kcat} * E3_5_99_6 * C00352 * C00001)/(${Variables:E3_5_99_6_km} + (E3_5_99_6 * C00352 * C00001))</v>
      </c>
      <c r="K1086" s="21" t="str">
        <f t="shared" si="50"/>
        <v>r1085: C00352 + C00001 -&gt; C00085 + C00014 | (${Variables:E3_5_99_6_kcat} * E3_5_99_6 * C00352 * C00001)/(${Variables:E3_5_99_6_km} + (E3_5_99_6 * C00352 * C00001))</v>
      </c>
    </row>
    <row r="1087" spans="1:11">
      <c r="A1087" t="s">
        <v>6823</v>
      </c>
      <c r="B1087" t="s">
        <v>6824</v>
      </c>
      <c r="C1087" t="s">
        <v>15693</v>
      </c>
      <c r="D1087">
        <v>1086</v>
      </c>
      <c r="E1087" t="str">
        <f t="shared" si="48"/>
        <v>E4_1_1_32</v>
      </c>
      <c r="F1087" t="s">
        <v>11205</v>
      </c>
      <c r="G1087" t="s">
        <v>11951</v>
      </c>
      <c r="H1087" t="s">
        <v>11206</v>
      </c>
      <c r="I1087" t="s">
        <v>12650</v>
      </c>
      <c r="J1087" t="str">
        <f t="shared" si="49"/>
        <v>(${Variables:E4_1_1_32_kcat} * E4_1_1_32 * C00044 * C00036)/(${Variables:E4_1_1_32_km} + (E4_1_1_32 * C00044 * C00036))</v>
      </c>
      <c r="K1087" s="21" t="str">
        <f t="shared" si="50"/>
        <v>r1086: C00044 + C00036 -&gt; C00035 + C00074 + C00011 | (${Variables:E4_1_1_32_kcat} * E4_1_1_32 * C00044 * C00036)/(${Variables:E4_1_1_32_km} + (E4_1_1_32 * C00044 * C00036))</v>
      </c>
    </row>
    <row r="1088" spans="1:11">
      <c r="A1088" t="s">
        <v>6823</v>
      </c>
      <c r="B1088" t="s">
        <v>6824</v>
      </c>
      <c r="C1088" t="s">
        <v>15693</v>
      </c>
      <c r="D1088">
        <v>1087</v>
      </c>
      <c r="E1088" t="str">
        <f t="shared" si="48"/>
        <v>E4_1_1_32</v>
      </c>
      <c r="F1088" t="s">
        <v>11207</v>
      </c>
      <c r="G1088" t="s">
        <v>11952</v>
      </c>
      <c r="H1088" t="s">
        <v>11208</v>
      </c>
      <c r="I1088" t="s">
        <v>12651</v>
      </c>
      <c r="J1088" t="str">
        <f t="shared" si="49"/>
        <v>(${Variables:E4_1_1_32_kcat} * E4_1_1_32 * C00081 * C00036 )/(${Variables:E4_1_1_32_km} + (E4_1_1_32 * C00081 * C00036 ))</v>
      </c>
      <c r="K1088" s="21" t="str">
        <f t="shared" si="50"/>
        <v>r1087: C00081 + C00036  -&gt; C00104 + C00074 + C00011 | (${Variables:E4_1_1_32_kcat} * E4_1_1_32 * C00081 * C00036 )/(${Variables:E4_1_1_32_km} + (E4_1_1_32 * C00081 * C00036 ))</v>
      </c>
    </row>
    <row r="1089" spans="1:11">
      <c r="A1089" t="s">
        <v>6827</v>
      </c>
      <c r="B1089" t="s">
        <v>6828</v>
      </c>
      <c r="C1089" t="s">
        <v>15694</v>
      </c>
      <c r="D1089">
        <v>1088</v>
      </c>
      <c r="E1089" t="str">
        <f t="shared" si="48"/>
        <v>E2_1_1_33</v>
      </c>
      <c r="F1089" t="s">
        <v>10005</v>
      </c>
      <c r="G1089" t="s">
        <v>11899</v>
      </c>
      <c r="H1089" t="s">
        <v>11209</v>
      </c>
      <c r="I1089" t="s">
        <v>12652</v>
      </c>
      <c r="J1089" t="str">
        <f t="shared" si="49"/>
        <v>(${Variables:E2_1_1_33_kcat} * E2_1_1_33 * C00019 * C01977)/(${Variables:E2_1_1_33_km} + (E2_1_1_33 * C00019 * C01977))</v>
      </c>
      <c r="K1089" s="21" t="str">
        <f t="shared" si="50"/>
        <v>r1088: C00019 + C01977 -&gt; C00021 + C04160 | (${Variables:E2_1_1_33_kcat} * E2_1_1_33 * C00019 * C01977)/(${Variables:E2_1_1_33_km} + (E2_1_1_33 * C00019 * C01977))</v>
      </c>
    </row>
    <row r="1090" spans="1:11">
      <c r="A1090" t="s">
        <v>6850</v>
      </c>
      <c r="B1090" t="s">
        <v>6851</v>
      </c>
      <c r="C1090" t="s">
        <v>15397</v>
      </c>
      <c r="D1090">
        <v>1089</v>
      </c>
      <c r="E1090" t="str">
        <f t="shared" si="48"/>
        <v>E6_4_1_3</v>
      </c>
      <c r="F1090" t="s">
        <v>10604</v>
      </c>
      <c r="G1090" t="s">
        <v>11418</v>
      </c>
      <c r="H1090" t="s">
        <v>10605</v>
      </c>
      <c r="I1090" t="s">
        <v>12104</v>
      </c>
      <c r="J1090" t="str">
        <f t="shared" si="49"/>
        <v>(${Variables:E6_4_1_3_kcat} * E6_4_1_3 * C00002 * C00100 * C00288)/(${Variables:E6_4_1_3_km} + (E6_4_1_3 * C00002 * C00100 * C00288))</v>
      </c>
      <c r="K1090" s="21" t="str">
        <f t="shared" si="50"/>
        <v>r1089: C00002 + C00100 + C00288 -&gt; C00008 + C00009 + C00683 | (${Variables:E6_4_1_3_kcat} * E6_4_1_3 * C00002 * C00100 * C00288)/(${Variables:E6_4_1_3_km} + (E6_4_1_3 * C00002 * C00100 * C00288))</v>
      </c>
    </row>
    <row r="1091" spans="1:11">
      <c r="A1091" t="s">
        <v>6850</v>
      </c>
      <c r="B1091" t="s">
        <v>6851</v>
      </c>
      <c r="C1091" t="s">
        <v>15397</v>
      </c>
      <c r="D1091">
        <v>1090</v>
      </c>
      <c r="E1091" t="str">
        <f t="shared" ref="E1091:E1154" si="51">"E" &amp; C1091</f>
        <v>E6_4_1_3</v>
      </c>
      <c r="F1091" t="s">
        <v>10473</v>
      </c>
      <c r="G1091" t="s">
        <v>11419</v>
      </c>
      <c r="H1091" t="s">
        <v>10474</v>
      </c>
      <c r="I1091" t="s">
        <v>12105</v>
      </c>
      <c r="J1091" t="str">
        <f t="shared" ref="J1091:J1154" si="52">CONCATENATE("(${Variables:",E1091,"_kcat","} * ",E1091," * ",G1091,")","/(${Variables:",E1091,"_km","} + (",E1091," * ",G1091,"))")</f>
        <v>(${Variables:E6_4_1_3_kcat} * E6_4_1_3 * C00002 * C00288 * C00136 * C00080)/(${Variables:E6_4_1_3_km} + (E6_4_1_3 * C00002 * C00288 * C00136 * C00080))</v>
      </c>
      <c r="K1091" s="21" t="str">
        <f t="shared" ref="K1091:K1154" si="53">CONCATENATE("r",D1091,": ",F1091," -&gt; ",H1091," | ",J1091)</f>
        <v>r1090: C00002 + C00288 + C00136 + C00080 -&gt; C00008 + C00009 + C18026 | (${Variables:E6_4_1_3_kcat} * E6_4_1_3 * C00002 * C00288 * C00136 * C00080)/(${Variables:E6_4_1_3_km} + (E6_4_1_3 * C00002 * C00288 * C00136 * C00080))</v>
      </c>
    </row>
    <row r="1092" spans="1:11">
      <c r="A1092" t="s">
        <v>6854</v>
      </c>
      <c r="B1092" t="s">
        <v>6855</v>
      </c>
      <c r="C1092" t="s">
        <v>15695</v>
      </c>
      <c r="D1092">
        <v>1091</v>
      </c>
      <c r="E1092" t="str">
        <f t="shared" si="51"/>
        <v>E2_3_1_41</v>
      </c>
      <c r="F1092" t="s">
        <v>11210</v>
      </c>
      <c r="G1092" t="s">
        <v>11953</v>
      </c>
      <c r="H1092" t="s">
        <v>11211</v>
      </c>
      <c r="I1092" t="s">
        <v>12653</v>
      </c>
      <c r="J1092" t="str">
        <f t="shared" si="52"/>
        <v>(${Variables:E2_3_1_41_kcat} * E2_3_1_41 * C00173 * C01209)/(${Variables:E2_3_1_41_km} + (E2_3_1_41 * C00173 * C01209))</v>
      </c>
      <c r="K1092" s="21" t="str">
        <f t="shared" si="53"/>
        <v>r1091: C00173 + C01209 -&gt; C00685 + C00011 + C00229 | (${Variables:E2_3_1_41_kcat} * E2_3_1_41 * C00173 * C01209)/(${Variables:E2_3_1_41_km} + (E2_3_1_41 * C00173 * C01209))</v>
      </c>
    </row>
    <row r="1093" spans="1:11">
      <c r="A1093" t="s">
        <v>6854</v>
      </c>
      <c r="B1093" t="s">
        <v>6855</v>
      </c>
      <c r="C1093" t="s">
        <v>15695</v>
      </c>
      <c r="D1093">
        <v>1092</v>
      </c>
      <c r="E1093" t="str">
        <f t="shared" si="51"/>
        <v>E2_3_1_41</v>
      </c>
      <c r="F1093" t="s">
        <v>11212</v>
      </c>
      <c r="G1093" t="s">
        <v>11954</v>
      </c>
      <c r="H1093" t="s">
        <v>11213</v>
      </c>
      <c r="I1093" t="s">
        <v>12654</v>
      </c>
      <c r="J1093" t="str">
        <f t="shared" si="52"/>
        <v>(${Variables:E2_3_1_41_kcat} * E2_3_1_41 * C03939 * C01209)/(${Variables:E2_3_1_41_km} + (E2_3_1_41 * C03939 * C01209))</v>
      </c>
      <c r="K1093" s="21" t="str">
        <f t="shared" si="53"/>
        <v>r1092: C03939 + C01209 -&gt; C05744 + C00011 + C00229 | (${Variables:E2_3_1_41_kcat} * E2_3_1_41 * C03939 * C01209)/(${Variables:E2_3_1_41_km} + (E2_3_1_41 * C03939 * C01209))</v>
      </c>
    </row>
    <row r="1094" spans="1:11">
      <c r="A1094" t="s">
        <v>6854</v>
      </c>
      <c r="B1094" t="s">
        <v>6855</v>
      </c>
      <c r="C1094" t="s">
        <v>15695</v>
      </c>
      <c r="D1094">
        <v>1093</v>
      </c>
      <c r="E1094" t="str">
        <f t="shared" si="51"/>
        <v>E2_3_1_41</v>
      </c>
      <c r="F1094" t="s">
        <v>11214</v>
      </c>
      <c r="G1094" t="s">
        <v>11955</v>
      </c>
      <c r="H1094" t="s">
        <v>11215</v>
      </c>
      <c r="I1094" t="s">
        <v>12655</v>
      </c>
      <c r="J1094" t="str">
        <f t="shared" si="52"/>
        <v>(${Variables:E2_3_1_41_kcat} * E2_3_1_41 * C05223 * C01209)/(${Variables:E2_3_1_41_km} + (E2_3_1_41 * C05223 * C01209))</v>
      </c>
      <c r="K1094" s="21" t="str">
        <f t="shared" si="53"/>
        <v>r1093: C05223 + C01209 -&gt; C05759 + C00011 + C00229 | (${Variables:E2_3_1_41_kcat} * E2_3_1_41 * C05223 * C01209)/(${Variables:E2_3_1_41_km} + (E2_3_1_41 * C05223 * C01209))</v>
      </c>
    </row>
    <row r="1095" spans="1:11">
      <c r="A1095" t="s">
        <v>6854</v>
      </c>
      <c r="B1095" t="s">
        <v>6855</v>
      </c>
      <c r="C1095" t="s">
        <v>15695</v>
      </c>
      <c r="D1095">
        <v>1094</v>
      </c>
      <c r="E1095" t="str">
        <f t="shared" si="51"/>
        <v>E2_3_1_41</v>
      </c>
      <c r="F1095" t="s">
        <v>11216</v>
      </c>
      <c r="G1095" t="s">
        <v>11956</v>
      </c>
      <c r="H1095" t="s">
        <v>11217</v>
      </c>
      <c r="I1095" t="s">
        <v>12656</v>
      </c>
      <c r="J1095" t="str">
        <f t="shared" si="52"/>
        <v>(${Variables:E2_3_1_41_kcat} * E2_3_1_41 * C05745 * C01209 )/(${Variables:E2_3_1_41_km} + (E2_3_1_41 * C05745 * C01209 ))</v>
      </c>
      <c r="K1095" s="21" t="str">
        <f t="shared" si="53"/>
        <v>r1094: C05745 + C01209  -&gt; C05746 + C00011 + C00229 | (${Variables:E2_3_1_41_kcat} * E2_3_1_41 * C05745 * C01209 )/(${Variables:E2_3_1_41_km} + (E2_3_1_41 * C05745 * C01209 ))</v>
      </c>
    </row>
    <row r="1096" spans="1:11">
      <c r="A1096" t="s">
        <v>6854</v>
      </c>
      <c r="B1096" t="s">
        <v>6855</v>
      </c>
      <c r="C1096" t="s">
        <v>15695</v>
      </c>
      <c r="D1096">
        <v>1095</v>
      </c>
      <c r="E1096" t="str">
        <f t="shared" si="51"/>
        <v>E2_3_1_41</v>
      </c>
      <c r="F1096" t="s">
        <v>11218</v>
      </c>
      <c r="G1096" t="s">
        <v>11957</v>
      </c>
      <c r="H1096" t="s">
        <v>11219</v>
      </c>
      <c r="I1096" t="s">
        <v>12657</v>
      </c>
      <c r="J1096" t="str">
        <f t="shared" si="52"/>
        <v>(${Variables:E2_3_1_41_kcat} * E2_3_1_41 * C05749 * C01209)/(${Variables:E2_3_1_41_km} + (E2_3_1_41 * C05749 * C01209))</v>
      </c>
      <c r="K1096" s="21" t="str">
        <f t="shared" si="53"/>
        <v>r1095: C05749 + C01209 -&gt; C05750 + C00011 + C00229 | (${Variables:E2_3_1_41_kcat} * E2_3_1_41 * C05749 * C01209)/(${Variables:E2_3_1_41_km} + (E2_3_1_41 * C05749 * C01209))</v>
      </c>
    </row>
    <row r="1097" spans="1:11">
      <c r="A1097" t="s">
        <v>6854</v>
      </c>
      <c r="B1097" t="s">
        <v>6855</v>
      </c>
      <c r="C1097" t="s">
        <v>15695</v>
      </c>
      <c r="D1097">
        <v>1096</v>
      </c>
      <c r="E1097" t="str">
        <f t="shared" si="51"/>
        <v>E2_3_1_41</v>
      </c>
      <c r="F1097" t="s">
        <v>11220</v>
      </c>
      <c r="G1097" t="s">
        <v>11958</v>
      </c>
      <c r="H1097" t="s">
        <v>11221</v>
      </c>
      <c r="I1097" t="s">
        <v>12658</v>
      </c>
      <c r="J1097" t="str">
        <f t="shared" si="52"/>
        <v>(${Variables:E2_3_1_41_kcat} * E2_3_1_41 * C05752 * C01209 )/(${Variables:E2_3_1_41_km} + (E2_3_1_41 * C05752 * C01209 ))</v>
      </c>
      <c r="K1097" s="21" t="str">
        <f t="shared" si="53"/>
        <v>r1096: C05752 + C01209  -&gt; C05753 + C00011 + C00229 | (${Variables:E2_3_1_41_kcat} * E2_3_1_41 * C05752 * C01209 )/(${Variables:E2_3_1_41_km} + (E2_3_1_41 * C05752 * C01209 ))</v>
      </c>
    </row>
    <row r="1098" spans="1:11">
      <c r="A1098" t="s">
        <v>6854</v>
      </c>
      <c r="B1098" t="s">
        <v>6855</v>
      </c>
      <c r="C1098" t="s">
        <v>15695</v>
      </c>
      <c r="D1098">
        <v>1097</v>
      </c>
      <c r="E1098" t="str">
        <f t="shared" si="51"/>
        <v>E2_3_1_41</v>
      </c>
      <c r="F1098" t="s">
        <v>11222</v>
      </c>
      <c r="G1098" t="s">
        <v>11959</v>
      </c>
      <c r="H1098" t="s">
        <v>11223</v>
      </c>
      <c r="I1098" t="s">
        <v>12659</v>
      </c>
      <c r="J1098" t="str">
        <f t="shared" si="52"/>
        <v>(${Variables:E2_3_1_41_kcat} * E2_3_1_41 * C05755 * C01209)/(${Variables:E2_3_1_41_km} + (E2_3_1_41 * C05755 * C01209))</v>
      </c>
      <c r="K1098" s="21" t="str">
        <f t="shared" si="53"/>
        <v>r1097: C05755 + C01209 -&gt; C05756 + C00011 + C00229 | (${Variables:E2_3_1_41_kcat} * E2_3_1_41 * C05755 * C01209)/(${Variables:E2_3_1_41_km} + (E2_3_1_41 * C05755 * C01209))</v>
      </c>
    </row>
    <row r="1099" spans="1:11">
      <c r="A1099" t="s">
        <v>6854</v>
      </c>
      <c r="B1099" t="s">
        <v>6855</v>
      </c>
      <c r="C1099" t="s">
        <v>15695</v>
      </c>
      <c r="D1099">
        <v>1098</v>
      </c>
      <c r="E1099" t="str">
        <f t="shared" si="51"/>
        <v>E2_3_1_41</v>
      </c>
      <c r="F1099" t="s">
        <v>11224</v>
      </c>
      <c r="G1099" t="s">
        <v>11960</v>
      </c>
      <c r="H1099" t="s">
        <v>11225</v>
      </c>
      <c r="I1099" t="s">
        <v>12660</v>
      </c>
      <c r="J1099" t="str">
        <f t="shared" si="52"/>
        <v>(${Variables:E2_3_1_41_kcat} * E2_3_1_41 * C05761 * C01209)/(${Variables:E2_3_1_41_km} + (E2_3_1_41 * C05761 * C01209))</v>
      </c>
      <c r="K1099" s="21" t="str">
        <f t="shared" si="53"/>
        <v>r1098: C05761 + C01209 -&gt; C05762 + C00011 + C00229 | (${Variables:E2_3_1_41_kcat} * E2_3_1_41 * C05761 * C01209)/(${Variables:E2_3_1_41_km} + (E2_3_1_41 * C05761 * C01209))</v>
      </c>
    </row>
    <row r="1100" spans="1:11">
      <c r="A1100" t="s">
        <v>6854</v>
      </c>
      <c r="B1100" t="s">
        <v>6855</v>
      </c>
      <c r="C1100" t="s">
        <v>15695</v>
      </c>
      <c r="D1100">
        <v>1099</v>
      </c>
      <c r="E1100" t="str">
        <f t="shared" si="51"/>
        <v>E2_3_1_41</v>
      </c>
      <c r="F1100" t="s">
        <v>11226</v>
      </c>
      <c r="G1100" t="s">
        <v>11961</v>
      </c>
      <c r="H1100" t="s">
        <v>11227</v>
      </c>
      <c r="I1100" t="s">
        <v>12661</v>
      </c>
      <c r="J1100" t="str">
        <f t="shared" si="52"/>
        <v>(${Variables:E2_3_1_41_kcat} * E2_3_1_41 * C05764 * C01209)/(${Variables:E2_3_1_41_km} + (E2_3_1_41 * C05764 * C01209))</v>
      </c>
      <c r="K1100" s="21" t="str">
        <f t="shared" si="53"/>
        <v>r1099: C05764 + C01209 -&gt; C16219 + C00229 + C00011 | (${Variables:E2_3_1_41_kcat} * E2_3_1_41 * C05764 * C01209)/(${Variables:E2_3_1_41_km} + (E2_3_1_41 * C05764 * C01209))</v>
      </c>
    </row>
    <row r="1101" spans="1:11">
      <c r="A1101" t="s">
        <v>6854</v>
      </c>
      <c r="B1101" t="s">
        <v>6855</v>
      </c>
      <c r="C1101" t="s">
        <v>15695</v>
      </c>
      <c r="D1101">
        <v>1100</v>
      </c>
      <c r="E1101" t="str">
        <f t="shared" si="51"/>
        <v>E2_3_1_41</v>
      </c>
      <c r="F1101" t="s">
        <v>11228</v>
      </c>
      <c r="G1101" t="s">
        <v>11962</v>
      </c>
      <c r="H1101" t="s">
        <v>11229</v>
      </c>
      <c r="I1101" t="s">
        <v>12662</v>
      </c>
      <c r="J1101" t="str">
        <f t="shared" si="52"/>
        <v>(${Variables:E2_3_1_41_kcat} * E2_3_1_41 * C19673 * C01209)/(${Variables:E2_3_1_41_km} + (E2_3_1_41 * C19673 * C01209))</v>
      </c>
      <c r="K1101" s="21" t="str">
        <f t="shared" si="53"/>
        <v>r1100: C19673 + C01209 -&gt; C20372 + C00011 + C00229 | (${Variables:E2_3_1_41_kcat} * E2_3_1_41 * C19673 * C01209)/(${Variables:E2_3_1_41_km} + (E2_3_1_41 * C19673 * C01209))</v>
      </c>
    </row>
    <row r="1102" spans="1:11">
      <c r="A1102" t="s">
        <v>6854</v>
      </c>
      <c r="B1102" t="s">
        <v>6855</v>
      </c>
      <c r="C1102" t="s">
        <v>15695</v>
      </c>
      <c r="D1102">
        <v>1101</v>
      </c>
      <c r="E1102" t="str">
        <f t="shared" si="51"/>
        <v>E2_3_1_41</v>
      </c>
      <c r="F1102" t="s">
        <v>11230</v>
      </c>
      <c r="G1102" t="s">
        <v>11963</v>
      </c>
      <c r="H1102" t="s">
        <v>11231</v>
      </c>
      <c r="I1102" t="s">
        <v>12663</v>
      </c>
      <c r="J1102" t="str">
        <f t="shared" si="52"/>
        <v>(${Variables:E2_3_1_41_kcat} * E2_3_1_41 * C20375 * C01209)/(${Variables:E2_3_1_41_km} + (E2_3_1_41 * C20375 * C01209))</v>
      </c>
      <c r="K1102" s="21" t="str">
        <f t="shared" si="53"/>
        <v>r1101: C20375 + C01209 -&gt; C20376 + C00011 + C00229 | (${Variables:E2_3_1_41_kcat} * E2_3_1_41 * C20375 * C01209)/(${Variables:E2_3_1_41_km} + (E2_3_1_41 * C20375 * C01209))</v>
      </c>
    </row>
    <row r="1103" spans="1:11">
      <c r="A1103" t="s">
        <v>6864</v>
      </c>
      <c r="B1103" t="s">
        <v>6865</v>
      </c>
      <c r="C1103" t="s">
        <v>15350</v>
      </c>
      <c r="D1103">
        <v>1102</v>
      </c>
      <c r="E1103" t="str">
        <f t="shared" si="51"/>
        <v>E2_3_1_122</v>
      </c>
      <c r="F1103" t="s">
        <v>14109</v>
      </c>
      <c r="G1103" t="s">
        <v>14109</v>
      </c>
      <c r="H1103" t="s">
        <v>10537</v>
      </c>
      <c r="I1103" t="s">
        <v>12038</v>
      </c>
      <c r="J1103" t="str">
        <f t="shared" si="52"/>
        <v>(${Variables:E2_3_1_122_kcat} * E2_3_1_122 * C04218)/(${Variables:E2_3_1_122_km} + (E2_3_1_122 * C04218))</v>
      </c>
      <c r="K1103" s="21" t="str">
        <f t="shared" si="53"/>
        <v>r1102: C04218 -&gt; C01083 + C04465 | (${Variables:E2_3_1_122_kcat} * E2_3_1_122 * C04218)/(${Variables:E2_3_1_122_km} + (E2_3_1_122 * C04218))</v>
      </c>
    </row>
    <row r="1104" spans="1:11">
      <c r="A1104" t="s">
        <v>6864</v>
      </c>
      <c r="B1104" t="s">
        <v>6865</v>
      </c>
      <c r="C1104" t="s">
        <v>15350</v>
      </c>
      <c r="D1104">
        <v>1103</v>
      </c>
      <c r="E1104" t="str">
        <f t="shared" si="51"/>
        <v>E2_3_1_122</v>
      </c>
      <c r="F1104" t="s">
        <v>14115</v>
      </c>
      <c r="G1104" t="s">
        <v>14115</v>
      </c>
      <c r="H1104" t="s">
        <v>10215</v>
      </c>
      <c r="I1104" t="s">
        <v>12039</v>
      </c>
      <c r="J1104" t="str">
        <f t="shared" si="52"/>
        <v>(${Variables:E2_3_1_122_kcat} * E2_3_1_122 * C22876)/(${Variables:E2_3_1_122_km} + (E2_3_1_122 * C22876))</v>
      </c>
      <c r="K1104" s="21" t="str">
        <f t="shared" si="53"/>
        <v>r1103: C22876 -&gt; C01083 + C22877 | (${Variables:E2_3_1_122_kcat} * E2_3_1_122 * C22876)/(${Variables:E2_3_1_122_km} + (E2_3_1_122 * C22876))</v>
      </c>
    </row>
    <row r="1105" spans="1:11">
      <c r="A1105" t="s">
        <v>6868</v>
      </c>
      <c r="B1105" t="s">
        <v>6869</v>
      </c>
      <c r="C1105" t="s">
        <v>15350</v>
      </c>
      <c r="D1105">
        <v>1104</v>
      </c>
      <c r="E1105" t="str">
        <f t="shared" si="51"/>
        <v>E2_3_1_122</v>
      </c>
      <c r="F1105" t="s">
        <v>14109</v>
      </c>
      <c r="G1105" t="s">
        <v>14109</v>
      </c>
      <c r="H1105" t="s">
        <v>10537</v>
      </c>
      <c r="I1105" t="s">
        <v>12038</v>
      </c>
      <c r="J1105" t="str">
        <f t="shared" si="52"/>
        <v>(${Variables:E2_3_1_122_kcat} * E2_3_1_122 * C04218)/(${Variables:E2_3_1_122_km} + (E2_3_1_122 * C04218))</v>
      </c>
      <c r="K1105" s="21" t="str">
        <f t="shared" si="53"/>
        <v>r1104: C04218 -&gt; C01083 + C04465 | (${Variables:E2_3_1_122_kcat} * E2_3_1_122 * C04218)/(${Variables:E2_3_1_122_km} + (E2_3_1_122 * C04218))</v>
      </c>
    </row>
    <row r="1106" spans="1:11">
      <c r="A1106" t="s">
        <v>6868</v>
      </c>
      <c r="B1106" t="s">
        <v>6869</v>
      </c>
      <c r="C1106" t="s">
        <v>15350</v>
      </c>
      <c r="D1106">
        <v>1105</v>
      </c>
      <c r="E1106" t="str">
        <f t="shared" si="51"/>
        <v>E2_3_1_122</v>
      </c>
      <c r="F1106" t="s">
        <v>14115</v>
      </c>
      <c r="G1106" t="s">
        <v>14115</v>
      </c>
      <c r="H1106" t="s">
        <v>10215</v>
      </c>
      <c r="I1106" t="s">
        <v>12039</v>
      </c>
      <c r="J1106" t="str">
        <f t="shared" si="52"/>
        <v>(${Variables:E2_3_1_122_kcat} * E2_3_1_122 * C22876)/(${Variables:E2_3_1_122_km} + (E2_3_1_122 * C22876))</v>
      </c>
      <c r="K1106" s="21" t="str">
        <f t="shared" si="53"/>
        <v>r1105: C22876 -&gt; C01083 + C22877 | (${Variables:E2_3_1_122_kcat} * E2_3_1_122 * C22876)/(${Variables:E2_3_1_122_km} + (E2_3_1_122 * C22876))</v>
      </c>
    </row>
    <row r="1107" spans="1:11">
      <c r="A1107" t="s">
        <v>6873</v>
      </c>
      <c r="B1107" t="s">
        <v>6874</v>
      </c>
      <c r="C1107" t="s">
        <v>15696</v>
      </c>
      <c r="D1107">
        <v>1106</v>
      </c>
      <c r="E1107" t="str">
        <f t="shared" si="51"/>
        <v>E2_4_2_45</v>
      </c>
      <c r="F1107" t="s">
        <v>11232</v>
      </c>
      <c r="G1107" t="s">
        <v>11964</v>
      </c>
      <c r="H1107" t="s">
        <v>11233</v>
      </c>
      <c r="I1107" t="s">
        <v>12664</v>
      </c>
      <c r="J1107" t="str">
        <f t="shared" si="52"/>
        <v>(${Variables:E2_4_2_45_kcat} * E2_4_2_45 * C02970 * C00119)/(${Variables:E2_4_2_45_km} + (E2_4_2_45 * C02970 * C00119))</v>
      </c>
      <c r="K1107" s="21" t="str">
        <f t="shared" si="53"/>
        <v>r1106: C02970 + C00119 -&gt; C20352 + C00013 | (${Variables:E2_4_2_45_kcat} * E2_4_2_45 * C02970 * C00119)/(${Variables:E2_4_2_45_km} + (E2_4_2_45 * C02970 * C00119))</v>
      </c>
    </row>
    <row r="1108" spans="1:11">
      <c r="A1108" t="s">
        <v>6880</v>
      </c>
      <c r="B1108" t="s">
        <v>6881</v>
      </c>
      <c r="C1108" t="s">
        <v>15697</v>
      </c>
      <c r="D1108">
        <v>1107</v>
      </c>
      <c r="E1108" t="str">
        <f t="shared" si="51"/>
        <v>E2_4_1_288</v>
      </c>
      <c r="F1108" t="s">
        <v>10141</v>
      </c>
      <c r="G1108" t="s">
        <v>11965</v>
      </c>
      <c r="H1108" t="s">
        <v>10142</v>
      </c>
      <c r="I1108" t="s">
        <v>12665</v>
      </c>
      <c r="J1108" t="str">
        <f t="shared" si="52"/>
        <v>(${Variables:E2_4_1_288_kcat} * E2_4_1_288 * G13125 * G13121)/(${Variables:E2_4_1_288_km} + (E2_4_1_288 * G13125 * G13121))</v>
      </c>
      <c r="K1108" s="21" t="str">
        <f t="shared" si="53"/>
        <v>r1107: G13125 + G13121 -&gt; G10619 + G13122 | (${Variables:E2_4_1_288_kcat} * E2_4_1_288 * G13125 * G13121)/(${Variables:E2_4_1_288_km} + (E2_4_1_288 * G13125 * G13121))</v>
      </c>
    </row>
    <row r="1109" spans="1:11">
      <c r="A1109" t="s">
        <v>6886</v>
      </c>
      <c r="B1109" t="s">
        <v>6887</v>
      </c>
      <c r="C1109" t="s">
        <v>15698</v>
      </c>
      <c r="D1109">
        <v>1108</v>
      </c>
      <c r="E1109" t="str">
        <f t="shared" si="51"/>
        <v>E2_6_1_85</v>
      </c>
      <c r="F1109" t="s">
        <v>10145</v>
      </c>
      <c r="G1109" t="s">
        <v>11594</v>
      </c>
      <c r="H1109" t="s">
        <v>9766</v>
      </c>
      <c r="I1109" t="s">
        <v>12294</v>
      </c>
      <c r="J1109" t="str">
        <f t="shared" si="52"/>
        <v>(${Variables:E2_6_1_85_kcat} * E2_6_1_85 * C00064 * C00001)/(${Variables:E2_6_1_85_km} + (E2_6_1_85 * C00064 * C00001))</v>
      </c>
      <c r="K1109" s="21" t="str">
        <f t="shared" si="53"/>
        <v>r1108: C00064 + C00001 -&gt; C00025 + C00014 | (${Variables:E2_6_1_85_kcat} * E2_6_1_85 * C00064 * C00001)/(${Variables:E2_6_1_85_km} + (E2_6_1_85 * C00064 * C00001))</v>
      </c>
    </row>
    <row r="1110" spans="1:11">
      <c r="A1110" t="s">
        <v>6886</v>
      </c>
      <c r="B1110" t="s">
        <v>6887</v>
      </c>
      <c r="C1110" t="s">
        <v>15698</v>
      </c>
      <c r="D1110">
        <v>1109</v>
      </c>
      <c r="E1110" t="str">
        <f t="shared" si="51"/>
        <v>E2_6_1_85</v>
      </c>
      <c r="F1110" t="s">
        <v>10146</v>
      </c>
      <c r="G1110" t="s">
        <v>11966</v>
      </c>
      <c r="H1110" t="s">
        <v>10147</v>
      </c>
      <c r="I1110" t="s">
        <v>12666</v>
      </c>
      <c r="J1110" t="str">
        <f t="shared" si="52"/>
        <v>(${Variables:E2_6_1_85_kcat} * E2_6_1_85 * C00251 * C00064)/(${Variables:E2_6_1_85_km} + (E2_6_1_85 * C00251 * C00064))</v>
      </c>
      <c r="K1110" s="21" t="str">
        <f t="shared" si="53"/>
        <v>r1109: C00251 + C00064 -&gt; C11355 + C00025 | (${Variables:E2_6_1_85_kcat} * E2_6_1_85 * C00251 * C00064)/(${Variables:E2_6_1_85_km} + (E2_6_1_85 * C00251 * C00064))</v>
      </c>
    </row>
    <row r="1111" spans="1:11">
      <c r="A1111" t="s">
        <v>6886</v>
      </c>
      <c r="B1111" t="s">
        <v>6887</v>
      </c>
      <c r="C1111" t="s">
        <v>15698</v>
      </c>
      <c r="D1111">
        <v>1110</v>
      </c>
      <c r="E1111" t="str">
        <f t="shared" si="51"/>
        <v>E2_6_1_85</v>
      </c>
      <c r="F1111" t="s">
        <v>10148</v>
      </c>
      <c r="G1111" t="s">
        <v>11967</v>
      </c>
      <c r="H1111" t="s">
        <v>10149</v>
      </c>
      <c r="I1111" t="s">
        <v>12667</v>
      </c>
      <c r="J1111" t="str">
        <f t="shared" si="52"/>
        <v>(${Variables:E2_6_1_85_kcat} * E2_6_1_85 * C00251 * C00014 )/(${Variables:E2_6_1_85_km} + (E2_6_1_85 * C00251 * C00014 ))</v>
      </c>
      <c r="K1111" s="21" t="str">
        <f t="shared" si="53"/>
        <v>r1110: C00251 + C00014  -&gt; C11355 + C00001 | (${Variables:E2_6_1_85_kcat} * E2_6_1_85 * C00251 * C00014 )/(${Variables:E2_6_1_85_km} + (E2_6_1_85 * C00251 * C00014 ))</v>
      </c>
    </row>
    <row r="1112" spans="1:11">
      <c r="A1112" t="s">
        <v>6891</v>
      </c>
      <c r="B1112" t="s">
        <v>6892</v>
      </c>
      <c r="C1112" t="s">
        <v>15388</v>
      </c>
      <c r="D1112">
        <v>1111</v>
      </c>
      <c r="E1112" t="str">
        <f t="shared" si="51"/>
        <v>E3_1_1_1</v>
      </c>
      <c r="F1112" s="4" t="s">
        <v>10575</v>
      </c>
      <c r="G1112" s="4" t="s">
        <v>11393</v>
      </c>
      <c r="H1112" s="4" t="s">
        <v>10576</v>
      </c>
      <c r="I1112" s="4" t="s">
        <v>12079</v>
      </c>
      <c r="J1112" t="str">
        <f t="shared" si="52"/>
        <v>(${Variables:E3_1_1_1_kcat} * E3_1_1_1 * C02391 * C00001)/(${Variables:E3_1_1_1_km} + (E3_1_1_1 * C02391 * C00001))</v>
      </c>
      <c r="K1112" s="21" t="str">
        <f t="shared" si="53"/>
        <v>r1111: C02391 + C00001 -&gt; C00069 + C00060 | (${Variables:E3_1_1_1_kcat} * E3_1_1_1 * C02391 * C00001)/(${Variables:E3_1_1_1_km} + (E3_1_1_1 * C02391 * C00001))</v>
      </c>
    </row>
    <row r="1113" spans="1:11">
      <c r="A1113" t="s">
        <v>6891</v>
      </c>
      <c r="B1113" t="s">
        <v>6892</v>
      </c>
      <c r="C1113" t="s">
        <v>15388</v>
      </c>
      <c r="D1113">
        <v>1112</v>
      </c>
      <c r="E1113" t="str">
        <f t="shared" si="51"/>
        <v>E3_1_1_1</v>
      </c>
      <c r="F1113" s="4" t="s">
        <v>11120</v>
      </c>
      <c r="G1113" s="4" t="s">
        <v>11755</v>
      </c>
      <c r="H1113" s="4" t="s">
        <v>10578</v>
      </c>
      <c r="I1113" s="4" t="s">
        <v>12080</v>
      </c>
      <c r="J1113" t="str">
        <f t="shared" si="52"/>
        <v>(${Variables:E3_1_1_1_kcat} * E3_1_1_1 * C01416 * C00001 )/(${Variables:E3_1_1_1_km} + (E3_1_1_1 * C01416 * C00001 ))</v>
      </c>
      <c r="K1113" s="21" t="str">
        <f t="shared" si="53"/>
        <v>r1112: C01416 + C00001  -&gt; C12448 + C00180 | (${Variables:E3_1_1_1_kcat} * E3_1_1_1 * C01416 * C00001 )/(${Variables:E3_1_1_1_km} + (E3_1_1_1 * C01416 * C00001 ))</v>
      </c>
    </row>
    <row r="1114" spans="1:11">
      <c r="A1114" t="s">
        <v>6891</v>
      </c>
      <c r="B1114" t="s">
        <v>6892</v>
      </c>
      <c r="C1114" t="s">
        <v>15388</v>
      </c>
      <c r="D1114">
        <v>1113</v>
      </c>
      <c r="E1114" t="str">
        <f t="shared" si="51"/>
        <v>E3_1_1_1</v>
      </c>
      <c r="F1114" s="4" t="s">
        <v>10579</v>
      </c>
      <c r="G1114" s="4" t="s">
        <v>11395</v>
      </c>
      <c r="H1114" s="4" t="s">
        <v>10580</v>
      </c>
      <c r="I1114" s="4" t="s">
        <v>12081</v>
      </c>
      <c r="J1114" t="str">
        <f t="shared" si="52"/>
        <v>(${Variables:E3_1_1_1_kcat} * E3_1_1_1 * C16641 * C00001)/(${Variables:E3_1_1_1_km} + (E3_1_1_1 * C16641 * C00001))</v>
      </c>
      <c r="K1114" s="21" t="str">
        <f t="shared" si="53"/>
        <v>r1113: C16641 + C00001 -&gt; C11173 + C16836 | (${Variables:E3_1_1_1_kcat} * E3_1_1_1 * C16641 * C00001)/(${Variables:E3_1_1_1_km} + (E3_1_1_1 * C16641 * C00001))</v>
      </c>
    </row>
    <row r="1115" spans="1:11">
      <c r="A1115" t="s">
        <v>6891</v>
      </c>
      <c r="B1115" t="s">
        <v>6892</v>
      </c>
      <c r="C1115" t="s">
        <v>15388</v>
      </c>
      <c r="D1115">
        <v>1114</v>
      </c>
      <c r="E1115" t="str">
        <f t="shared" si="51"/>
        <v>E3_1_1_1</v>
      </c>
      <c r="F1115" s="4" t="s">
        <v>11121</v>
      </c>
      <c r="G1115" s="4" t="s">
        <v>11756</v>
      </c>
      <c r="H1115" s="4" t="s">
        <v>10582</v>
      </c>
      <c r="I1115" s="4" t="s">
        <v>12082</v>
      </c>
      <c r="J1115" t="str">
        <f t="shared" si="52"/>
        <v>(${Variables:E3_1_1_1_kcat} * E3_1_1_1 * C16543 * C00001)/(${Variables:E3_1_1_1_km} + (E3_1_1_1 * C16543 * C00001))</v>
      </c>
      <c r="K1115" s="21" t="str">
        <f t="shared" si="53"/>
        <v>r1114: C16543 + C00001 -&gt; C11173 + C16837 | (${Variables:E3_1_1_1_kcat} * E3_1_1_1 * C16543 * C00001)/(${Variables:E3_1_1_1_km} + (E3_1_1_1 * C16543 * C00001))</v>
      </c>
    </row>
    <row r="1116" spans="1:11">
      <c r="A1116" t="s">
        <v>6891</v>
      </c>
      <c r="B1116" t="s">
        <v>6892</v>
      </c>
      <c r="C1116" t="s">
        <v>15388</v>
      </c>
      <c r="D1116">
        <v>1115</v>
      </c>
      <c r="E1116" t="str">
        <f t="shared" si="51"/>
        <v>E3_1_1_1</v>
      </c>
      <c r="F1116" s="4" t="s">
        <v>10583</v>
      </c>
      <c r="G1116" s="4" t="s">
        <v>11397</v>
      </c>
      <c r="H1116" s="4" t="s">
        <v>10584</v>
      </c>
      <c r="I1116" s="4" t="s">
        <v>12083</v>
      </c>
      <c r="J1116" t="str">
        <f t="shared" si="52"/>
        <v>(${Variables:E3_1_1_1_kcat} * E3_1_1_1 * C12650 * C00001)/(${Variables:E3_1_1_1_km} + (E3_1_1_1 * C12650 * C00001))</v>
      </c>
      <c r="K1116" s="21" t="str">
        <f t="shared" si="53"/>
        <v>r1115: C12650 + C00001 -&gt; C16635 + C16834 + C00011 | (${Variables:E3_1_1_1_kcat} * E3_1_1_1 * C12650 * C00001)/(${Variables:E3_1_1_1_km} + (E3_1_1_1 * C12650 * C00001))</v>
      </c>
    </row>
    <row r="1117" spans="1:11">
      <c r="A1117" t="s">
        <v>6891</v>
      </c>
      <c r="B1117" t="s">
        <v>6892</v>
      </c>
      <c r="C1117" t="s">
        <v>15388</v>
      </c>
      <c r="D1117">
        <v>1116</v>
      </c>
      <c r="E1117" t="str">
        <f t="shared" si="51"/>
        <v>E3_1_1_1</v>
      </c>
      <c r="F1117" s="4" t="s">
        <v>10585</v>
      </c>
      <c r="G1117" s="4" t="s">
        <v>11398</v>
      </c>
      <c r="H1117" s="4" t="s">
        <v>10586</v>
      </c>
      <c r="I1117" s="4" t="s">
        <v>12084</v>
      </c>
      <c r="J1117" t="str">
        <f t="shared" si="52"/>
        <v>(${Variables:E3_1_1_1_kcat} * E3_1_1_1 * C07585 * C00001)/(${Variables:E3_1_1_1_km} + (E3_1_1_1 * C07585 * C00001))</v>
      </c>
      <c r="K1117" s="21" t="str">
        <f t="shared" si="53"/>
        <v>r1116: C07585 + C00001 -&gt; C07447 + C07446 | (${Variables:E3_1_1_1_kcat} * E3_1_1_1 * C07585 * C00001)/(${Variables:E3_1_1_1_km} + (E3_1_1_1 * C07585 * C00001))</v>
      </c>
    </row>
    <row r="1118" spans="1:11">
      <c r="A1118" t="s">
        <v>6891</v>
      </c>
      <c r="B1118" t="s">
        <v>6892</v>
      </c>
      <c r="C1118" t="s">
        <v>15388</v>
      </c>
      <c r="D1118">
        <v>1117</v>
      </c>
      <c r="E1118" t="str">
        <f t="shared" si="51"/>
        <v>E3_1_1_1</v>
      </c>
      <c r="F1118" s="4" t="s">
        <v>11122</v>
      </c>
      <c r="G1118" s="4" t="s">
        <v>11757</v>
      </c>
      <c r="H1118" s="4" t="s">
        <v>10588</v>
      </c>
      <c r="I1118" s="4" t="s">
        <v>12085</v>
      </c>
      <c r="J1118" t="str">
        <f t="shared" si="52"/>
        <v>(${Variables:E3_1_1_1_kcat} * E3_1_1_1 * C07054 * C00001 )/(${Variables:E3_1_1_1_km} + (E3_1_1_1 * C07054 * C00001 ))</v>
      </c>
      <c r="K1118" s="21" t="str">
        <f t="shared" si="53"/>
        <v>r1117: C07054 + C00001  -&gt; C07446 + C05361 | (${Variables:E3_1_1_1_kcat} * E3_1_1_1 * C07054 * C00001 )/(${Variables:E3_1_1_1_km} + (E3_1_1_1 * C07054 * C00001 ))</v>
      </c>
    </row>
    <row r="1119" spans="1:11">
      <c r="A1119" t="s">
        <v>6891</v>
      </c>
      <c r="B1119" t="s">
        <v>6892</v>
      </c>
      <c r="C1119" t="s">
        <v>15388</v>
      </c>
      <c r="D1119">
        <v>1118</v>
      </c>
      <c r="E1119" t="str">
        <f t="shared" si="51"/>
        <v>E3_1_1_1</v>
      </c>
      <c r="F1119" s="4" t="s">
        <v>10589</v>
      </c>
      <c r="G1119" s="4" t="s">
        <v>11400</v>
      </c>
      <c r="H1119" s="4" t="s">
        <v>10590</v>
      </c>
      <c r="I1119" s="4" t="s">
        <v>12086</v>
      </c>
      <c r="J1119" t="str">
        <f t="shared" si="52"/>
        <v>(${Variables:E3_1_1_1_kcat} * E3_1_1_1 * C16561 * C00001)/(${Variables:E3_1_1_1_km} + (E3_1_1_1 * C16561 * C00001))</v>
      </c>
      <c r="K1119" s="21" t="str">
        <f t="shared" si="53"/>
        <v>r1118: C16561 + C00001 -&gt; C11004 + C11735 | (${Variables:E3_1_1_1_kcat} * E3_1_1_1 * C16561 * C00001)/(${Variables:E3_1_1_1_km} + (E3_1_1_1 * C16561 * C00001))</v>
      </c>
    </row>
    <row r="1120" spans="1:11">
      <c r="A1120" t="s">
        <v>6891</v>
      </c>
      <c r="B1120" t="s">
        <v>6892</v>
      </c>
      <c r="C1120" t="s">
        <v>15388</v>
      </c>
      <c r="D1120">
        <v>1119</v>
      </c>
      <c r="E1120" t="str">
        <f t="shared" si="51"/>
        <v>E3_1_1_1</v>
      </c>
      <c r="F1120" s="4" t="s">
        <v>10591</v>
      </c>
      <c r="G1120" s="4" t="s">
        <v>11401</v>
      </c>
      <c r="H1120" s="4" t="s">
        <v>10592</v>
      </c>
      <c r="I1120" s="4" t="s">
        <v>12087</v>
      </c>
      <c r="J1120" t="str">
        <f t="shared" si="52"/>
        <v>(${Variables:E3_1_1_1_kcat} * E3_1_1_1 * C07073 * C00001)/(${Variables:E3_1_1_1_km} + (E3_1_1_1 * C07073 * C00001))</v>
      </c>
      <c r="K1120" s="21" t="str">
        <f t="shared" si="53"/>
        <v>r1119: C07073 + C00001 -&gt; C11004 + C16647 | (${Variables:E3_1_1_1_kcat} * E3_1_1_1 * C07073 * C00001)/(${Variables:E3_1_1_1_km} + (E3_1_1_1 * C07073 * C00001))</v>
      </c>
    </row>
    <row r="1121" spans="1:11">
      <c r="A1121" t="s">
        <v>6897</v>
      </c>
      <c r="B1121" t="s">
        <v>6898</v>
      </c>
      <c r="C1121" t="s">
        <v>15699</v>
      </c>
      <c r="D1121">
        <v>1120</v>
      </c>
      <c r="E1121" t="str">
        <f t="shared" si="51"/>
        <v>E5_4_99_9</v>
      </c>
      <c r="F1121" t="s">
        <v>8684</v>
      </c>
      <c r="G1121" t="s">
        <v>8684</v>
      </c>
      <c r="H1121" t="s">
        <v>9500</v>
      </c>
      <c r="I1121" t="s">
        <v>9500</v>
      </c>
      <c r="J1121" t="str">
        <f t="shared" si="52"/>
        <v>(${Variables:E5_4_99_9_kcat} * E5_4_99_9 * C00052)/(${Variables:E5_4_99_9_km} + (E5_4_99_9 * C00052))</v>
      </c>
      <c r="K1121" s="21" t="str">
        <f t="shared" si="53"/>
        <v>r1120: C00052 -&gt; C03733 | (${Variables:E5_4_99_9_kcat} * E5_4_99_9 * C00052)/(${Variables:E5_4_99_9_km} + (E5_4_99_9 * C00052))</v>
      </c>
    </row>
    <row r="1122" spans="1:11">
      <c r="A1122" t="s">
        <v>6897</v>
      </c>
      <c r="B1122" t="s">
        <v>6898</v>
      </c>
      <c r="C1122" t="s">
        <v>15699</v>
      </c>
      <c r="D1122">
        <v>1121</v>
      </c>
      <c r="E1122" t="str">
        <f t="shared" si="51"/>
        <v>E5_4_99_9</v>
      </c>
      <c r="F1122" t="s">
        <v>9501</v>
      </c>
      <c r="G1122" t="s">
        <v>9501</v>
      </c>
      <c r="H1122" t="s">
        <v>9502</v>
      </c>
      <c r="I1122" t="s">
        <v>9502</v>
      </c>
      <c r="J1122" t="str">
        <f t="shared" si="52"/>
        <v>(${Variables:E5_4_99_9_kcat} * E5_4_99_9 * C00935)/(${Variables:E5_4_99_9_km} + (E5_4_99_9 * C00935))</v>
      </c>
      <c r="K1122" s="21" t="str">
        <f t="shared" si="53"/>
        <v>r1121: C00935 -&gt; C18094 | (${Variables:E5_4_99_9_kcat} * E5_4_99_9 * C00935)/(${Variables:E5_4_99_9_km} + (E5_4_99_9 * C00935))</v>
      </c>
    </row>
    <row r="1123" spans="1:11">
      <c r="A1123" t="s">
        <v>6904</v>
      </c>
      <c r="B1123" t="s">
        <v>6905</v>
      </c>
      <c r="C1123" t="s">
        <v>15700</v>
      </c>
      <c r="D1123">
        <v>1122</v>
      </c>
      <c r="E1123" t="str">
        <f t="shared" si="51"/>
        <v>E3_1_3_23</v>
      </c>
      <c r="F1123" t="s">
        <v>11234</v>
      </c>
      <c r="G1123" t="s">
        <v>11968</v>
      </c>
      <c r="H1123" t="s">
        <v>11235</v>
      </c>
      <c r="I1123" t="s">
        <v>12668</v>
      </c>
      <c r="J1123" t="str">
        <f t="shared" si="52"/>
        <v>(${Variables:E3_1_3_23_kcat} * E3_1_3_23 * C00934 * C00001 )/(${Variables:E3_1_3_23_km} + (E3_1_3_23 * C00934 * C00001 ))</v>
      </c>
      <c r="K1123" s="21" t="str">
        <f t="shared" si="53"/>
        <v>r1122: C00934 + C00001  -&gt; C11477 + C00009 | (${Variables:E3_1_3_23_kcat} * E3_1_3_23 * C00934 * C00001 )/(${Variables:E3_1_3_23_km} + (E3_1_3_23 * C00934 * C00001 ))</v>
      </c>
    </row>
    <row r="1124" spans="1:11">
      <c r="A1124" t="s">
        <v>6908</v>
      </c>
      <c r="B1124" t="s">
        <v>6909</v>
      </c>
      <c r="C1124" t="s">
        <v>15701</v>
      </c>
      <c r="D1124">
        <v>1123</v>
      </c>
      <c r="E1124" t="str">
        <f t="shared" si="51"/>
        <v>E2_7_1_30</v>
      </c>
      <c r="F1124" t="s">
        <v>11236</v>
      </c>
      <c r="G1124" t="s">
        <v>11969</v>
      </c>
      <c r="H1124" t="s">
        <v>11237</v>
      </c>
      <c r="I1124" t="s">
        <v>12669</v>
      </c>
      <c r="J1124" t="str">
        <f t="shared" si="52"/>
        <v>(${Variables:E2_7_1_30_kcat} * E2_7_1_30 * C00002 * C00116 )/(${Variables:E2_7_1_30_km} + (E2_7_1_30 * C00002 * C00116 ))</v>
      </c>
      <c r="K1124" s="21" t="str">
        <f t="shared" si="53"/>
        <v>r1123: C00002 + C00116  -&gt; C00008 + C00093 | (${Variables:E2_7_1_30_kcat} * E2_7_1_30 * C00002 * C00116 )/(${Variables:E2_7_1_30_km} + (E2_7_1_30 * C00002 * C00116 ))</v>
      </c>
    </row>
    <row r="1125" spans="1:11">
      <c r="A1125" t="s">
        <v>6916</v>
      </c>
      <c r="B1125" t="s">
        <v>6917</v>
      </c>
      <c r="C1125" t="s">
        <v>15702</v>
      </c>
      <c r="D1125">
        <v>1124</v>
      </c>
      <c r="E1125" t="str">
        <f t="shared" si="51"/>
        <v>E1_1_5_3</v>
      </c>
      <c r="F1125" t="s">
        <v>11238</v>
      </c>
      <c r="G1125" t="s">
        <v>11970</v>
      </c>
      <c r="H1125" t="s">
        <v>11239</v>
      </c>
      <c r="I1125" t="s">
        <v>12670</v>
      </c>
      <c r="J1125" t="str">
        <f t="shared" si="52"/>
        <v>(${Variables:E1_1_5_3_kcat} * E1_1_5_3 * C00093 * C15602)/(${Variables:E1_1_5_3_km} + (E1_1_5_3 * C00093 * C15602))</v>
      </c>
      <c r="K1125" s="21" t="str">
        <f t="shared" si="53"/>
        <v>r1124: C00093 + C15602 -&gt; C00111 + C15603 | (${Variables:E1_1_5_3_kcat} * E1_1_5_3 * C00093 * C15602)/(${Variables:E1_1_5_3_km} + (E1_1_5_3 * C00093 * C15602))</v>
      </c>
    </row>
    <row r="1126" spans="1:11">
      <c r="A1126" t="s">
        <v>6916</v>
      </c>
      <c r="B1126" t="s">
        <v>6917</v>
      </c>
      <c r="C1126" t="s">
        <v>15702</v>
      </c>
      <c r="D1126">
        <v>1125</v>
      </c>
      <c r="E1126" t="str">
        <f t="shared" si="51"/>
        <v>E1_1_5_3</v>
      </c>
      <c r="F1126" t="s">
        <v>11240</v>
      </c>
      <c r="G1126" t="s">
        <v>11971</v>
      </c>
      <c r="H1126" t="s">
        <v>11241</v>
      </c>
      <c r="I1126" t="s">
        <v>12671</v>
      </c>
      <c r="J1126" t="str">
        <f t="shared" si="52"/>
        <v>(${Variables:E1_1_5_3_kcat} * E1_1_5_3 * C00093 * C00399 )/(${Variables:E1_1_5_3_km} + (E1_1_5_3 * C00093 * C00399 ))</v>
      </c>
      <c r="K1126" s="21" t="str">
        <f t="shared" si="53"/>
        <v>r1125: C00093 + C00399  -&gt; C00111 + C00390 | (${Variables:E1_1_5_3_kcat} * E1_1_5_3 * C00093 * C00399 )/(${Variables:E1_1_5_3_km} + (E1_1_5_3 * C00093 * C00399 ))</v>
      </c>
    </row>
    <row r="1127" spans="1:11">
      <c r="A1127" t="s">
        <v>6916</v>
      </c>
      <c r="B1127" t="s">
        <v>6917</v>
      </c>
      <c r="C1127" t="s">
        <v>15702</v>
      </c>
      <c r="D1127">
        <v>1126</v>
      </c>
      <c r="E1127" t="str">
        <f t="shared" si="51"/>
        <v>E1_1_5_3</v>
      </c>
      <c r="F1127" t="s">
        <v>11242</v>
      </c>
      <c r="G1127" t="s">
        <v>11972</v>
      </c>
      <c r="H1127" t="s">
        <v>11243</v>
      </c>
      <c r="I1127" t="s">
        <v>12672</v>
      </c>
      <c r="J1127" t="str">
        <f t="shared" si="52"/>
        <v>(${Variables:E1_1_5_3_kcat} * E1_1_5_3 * C00093 * C00016)/(${Variables:E1_1_5_3_km} + (E1_1_5_3 * C00093 * C00016))</v>
      </c>
      <c r="K1127" s="21" t="str">
        <f t="shared" si="53"/>
        <v>r1126: C00093 + C00016 -&gt; C00111 + C01352 | (${Variables:E1_1_5_3_kcat} * E1_1_5_3 * C00093 * C00016)/(${Variables:E1_1_5_3_km} + (E1_1_5_3 * C00093 * C00016))</v>
      </c>
    </row>
    <row r="1128" spans="1:11">
      <c r="A1128" t="s">
        <v>6924</v>
      </c>
      <c r="B1128" t="s">
        <v>6925</v>
      </c>
      <c r="C1128" t="s">
        <v>15703</v>
      </c>
      <c r="D1128">
        <v>1127</v>
      </c>
      <c r="E1128" t="str">
        <f t="shared" si="51"/>
        <v>E6_1_1_11</v>
      </c>
      <c r="F1128" t="s">
        <v>11244</v>
      </c>
      <c r="G1128" t="s">
        <v>11973</v>
      </c>
      <c r="H1128" t="s">
        <v>11245</v>
      </c>
      <c r="I1128" t="s">
        <v>12673</v>
      </c>
      <c r="J1128" t="str">
        <f t="shared" si="52"/>
        <v>(${Variables:E6_1_1_11_kcat} * E6_1_1_11 * C00002 * C00065 * C01650)/(${Variables:E6_1_1_11_km} + (E6_1_1_11 * C00002 * C00065 * C01650))</v>
      </c>
      <c r="K1128" s="21" t="str">
        <f t="shared" si="53"/>
        <v>r1127: C00002 + C00065 + C01650 -&gt; C00020 + C00013 + C02553 | (${Variables:E6_1_1_11_kcat} * E6_1_1_11 * C00002 * C00065 * C01650)/(${Variables:E6_1_1_11_km} + (E6_1_1_11 * C00002 * C00065 * C01650))</v>
      </c>
    </row>
    <row r="1129" spans="1:11">
      <c r="A1129" t="s">
        <v>6924</v>
      </c>
      <c r="B1129" t="s">
        <v>6925</v>
      </c>
      <c r="C1129" t="s">
        <v>15703</v>
      </c>
      <c r="D1129">
        <v>1128</v>
      </c>
      <c r="E1129" t="str">
        <f t="shared" si="51"/>
        <v>E6_1_1_11</v>
      </c>
      <c r="F1129" t="s">
        <v>11246</v>
      </c>
      <c r="G1129" t="s">
        <v>11974</v>
      </c>
      <c r="H1129" t="s">
        <v>11247</v>
      </c>
      <c r="I1129" t="s">
        <v>12674</v>
      </c>
      <c r="J1129" t="str">
        <f t="shared" si="52"/>
        <v>(${Variables:E6_1_1_11_kcat} * E6_1_1_11 * C00002 * C00065 * C16636)/(${Variables:E6_1_1_11_km} + (E6_1_1_11 * C00002 * C00065 * C16636))</v>
      </c>
      <c r="K1129" s="21" t="str">
        <f t="shared" si="53"/>
        <v>r1128: C00002 + C00065 + C16636 -&gt; C00020 + C00013 + C06481 | (${Variables:E6_1_1_11_kcat} * E6_1_1_11 * C00002 * C00065 * C16636)/(${Variables:E6_1_1_11_km} + (E6_1_1_11 * C00002 * C00065 * C16636))</v>
      </c>
    </row>
    <row r="1130" spans="1:11">
      <c r="A1130" t="s">
        <v>6938</v>
      </c>
      <c r="B1130" t="s">
        <v>6939</v>
      </c>
      <c r="C1130" t="s">
        <v>15704</v>
      </c>
      <c r="D1130">
        <v>1129</v>
      </c>
      <c r="E1130" t="str">
        <f t="shared" si="51"/>
        <v>E3_1_3_73</v>
      </c>
      <c r="F1130" t="s">
        <v>11248</v>
      </c>
      <c r="G1130" t="s">
        <v>11975</v>
      </c>
      <c r="H1130" t="s">
        <v>11249</v>
      </c>
      <c r="I1130" t="s">
        <v>12675</v>
      </c>
      <c r="J1130" t="str">
        <f t="shared" si="52"/>
        <v>(${Variables:E3_1_3_73_kcat} * E3_1_3_73 * C04778 * C00001)/(${Variables:E3_1_3_73_km} + (E3_1_3_73 * C04778 * C00001))</v>
      </c>
      <c r="K1130" s="21" t="str">
        <f t="shared" si="53"/>
        <v>r1129: C04778 + C00001 -&gt; C05775 + C00009 | (${Variables:E3_1_3_73_kcat} * E3_1_3_73 * C04778 * C00001)/(${Variables:E3_1_3_73_km} + (E3_1_3_73 * C04778 * C00001))</v>
      </c>
    </row>
    <row r="1131" spans="1:11">
      <c r="A1131" t="s">
        <v>6938</v>
      </c>
      <c r="B1131" t="s">
        <v>6939</v>
      </c>
      <c r="C1131" t="s">
        <v>15704</v>
      </c>
      <c r="D1131">
        <v>1130</v>
      </c>
      <c r="E1131" t="str">
        <f t="shared" si="51"/>
        <v>E3_1_3_73</v>
      </c>
      <c r="F1131" t="s">
        <v>11250</v>
      </c>
      <c r="G1131" t="s">
        <v>11976</v>
      </c>
      <c r="H1131" t="s">
        <v>11251</v>
      </c>
      <c r="I1131" t="s">
        <v>12676</v>
      </c>
      <c r="J1131" t="str">
        <f t="shared" si="52"/>
        <v>(${Variables:E3_1_3_73_kcat} * E3_1_3_73 * C21153 * C00001)/(${Variables:E3_1_3_73_km} + (E3_1_3_73 * C21153 * C00001))</v>
      </c>
      <c r="K1131" s="21" t="str">
        <f t="shared" si="53"/>
        <v>r1130: C21153 + C00001 -&gt;  C00194 + C00009 | (${Variables:E3_1_3_73_kcat} * E3_1_3_73 * C21153 * C00001)/(${Variables:E3_1_3_73_km} + (E3_1_3_73 * C21153 * C00001))</v>
      </c>
    </row>
    <row r="1132" spans="1:11">
      <c r="A1132" t="s">
        <v>6942</v>
      </c>
      <c r="B1132" t="s">
        <v>6943</v>
      </c>
      <c r="C1132" t="s">
        <v>15705</v>
      </c>
      <c r="D1132">
        <v>1131</v>
      </c>
      <c r="E1132" t="str">
        <f t="shared" si="51"/>
        <v>E4_2_1_51</v>
      </c>
      <c r="F1132" t="s">
        <v>8269</v>
      </c>
      <c r="G1132" t="s">
        <v>8269</v>
      </c>
      <c r="H1132" t="s">
        <v>11252</v>
      </c>
      <c r="I1132" t="s">
        <v>12677</v>
      </c>
      <c r="J1132" t="str">
        <f t="shared" si="52"/>
        <v>(${Variables:E4_2_1_51_kcat} * E4_2_1_51 * C00254)/(${Variables:E4_2_1_51_km} + (E4_2_1_51 * C00254))</v>
      </c>
      <c r="K1132" s="21" t="str">
        <f t="shared" si="53"/>
        <v>r1131: C00254 -&gt; C00166 + C00001 + C00011 | (${Variables:E4_2_1_51_kcat} * E4_2_1_51 * C00254)/(${Variables:E4_2_1_51_km} + (E4_2_1_51 * C00254))</v>
      </c>
    </row>
    <row r="1133" spans="1:11">
      <c r="A1133" t="s">
        <v>6942</v>
      </c>
      <c r="B1133" t="s">
        <v>6943</v>
      </c>
      <c r="C1133" t="s">
        <v>15705</v>
      </c>
      <c r="D1133">
        <v>1132</v>
      </c>
      <c r="E1133" t="str">
        <f t="shared" si="51"/>
        <v>E4_2_1_51</v>
      </c>
      <c r="F1133" t="s">
        <v>9534</v>
      </c>
      <c r="G1133" t="s">
        <v>9534</v>
      </c>
      <c r="H1133" t="s">
        <v>11253</v>
      </c>
      <c r="I1133" t="s">
        <v>12678</v>
      </c>
      <c r="J1133" t="str">
        <f t="shared" si="52"/>
        <v>(${Variables:E4_2_1_51_kcat} * E4_2_1_51 * C00826)/(${Variables:E4_2_1_51_km} + (E4_2_1_51 * C00826))</v>
      </c>
      <c r="K1133" s="21" t="str">
        <f t="shared" si="53"/>
        <v>r1132: C00826 -&gt; C00079 + C00001 + C00011 | (${Variables:E4_2_1_51_kcat} * E4_2_1_51 * C00826)/(${Variables:E4_2_1_51_km} + (E4_2_1_51 * C00826))</v>
      </c>
    </row>
    <row r="1134" spans="1:11">
      <c r="A1134" t="s">
        <v>6946</v>
      </c>
      <c r="B1134" t="s">
        <v>6947</v>
      </c>
      <c r="C1134" t="s">
        <v>15706</v>
      </c>
      <c r="D1134">
        <v>1133</v>
      </c>
      <c r="E1134" t="str">
        <f t="shared" si="51"/>
        <v>E3_5_1_13</v>
      </c>
      <c r="F1134" t="s">
        <v>11254</v>
      </c>
      <c r="G1134" t="s">
        <v>11977</v>
      </c>
      <c r="H1134" t="s">
        <v>11255</v>
      </c>
      <c r="I1134" t="s">
        <v>12679</v>
      </c>
      <c r="J1134" t="str">
        <f t="shared" si="52"/>
        <v>(${Variables:E3_5_1_13_kcat} * E3_5_1_13 * C01402 * C00001)/(${Variables:E3_5_1_13_km} + (E3_5_1_13 * C01402 * C00001))</v>
      </c>
      <c r="K1134" s="21" t="str">
        <f t="shared" si="53"/>
        <v>r1133: C01402 + C00001 -&gt; C00060 + C00292 | (${Variables:E3_5_1_13_kcat} * E3_5_1_13 * C01402 * C00001)/(${Variables:E3_5_1_13_km} + (E3_5_1_13 * C01402 * C00001))</v>
      </c>
    </row>
    <row r="1135" spans="1:11">
      <c r="A1135" t="s">
        <v>6957</v>
      </c>
      <c r="B1135" t="s">
        <v>6958</v>
      </c>
      <c r="C1135" t="s">
        <v>15707</v>
      </c>
      <c r="D1135">
        <v>1134</v>
      </c>
      <c r="E1135" t="str">
        <f t="shared" si="51"/>
        <v>E3_1_4_46</v>
      </c>
      <c r="F1135" t="s">
        <v>11256</v>
      </c>
      <c r="G1135" t="s">
        <v>11978</v>
      </c>
      <c r="H1135" t="s">
        <v>11257</v>
      </c>
      <c r="I1135" t="s">
        <v>12680</v>
      </c>
      <c r="J1135" t="str">
        <f t="shared" si="52"/>
        <v>(${Variables:E3_1_4_46_kcat} * E3_1_4_46 * C03120 * C00001)/(${Variables:E3_1_4_46_km} + (E3_1_4_46 * C03120 * C00001))</v>
      </c>
      <c r="K1135" s="21" t="str">
        <f t="shared" si="53"/>
        <v>r1134: C03120 + C00001 -&gt; C00069 + C00093 | (${Variables:E3_1_4_46_kcat} * E3_1_4_46 * C03120 * C00001)/(${Variables:E3_1_4_46_km} + (E3_1_4_46 * C03120 * C00001))</v>
      </c>
    </row>
    <row r="1136" spans="1:11">
      <c r="A1136" t="s">
        <v>6957</v>
      </c>
      <c r="B1136" t="s">
        <v>6958</v>
      </c>
      <c r="C1136" t="s">
        <v>15707</v>
      </c>
      <c r="D1136">
        <v>1135</v>
      </c>
      <c r="E1136" t="str">
        <f t="shared" si="51"/>
        <v>E3_1_4_46</v>
      </c>
      <c r="F1136" t="s">
        <v>11258</v>
      </c>
      <c r="G1136" t="s">
        <v>11979</v>
      </c>
      <c r="H1136" t="s">
        <v>11259</v>
      </c>
      <c r="I1136" t="s">
        <v>12681</v>
      </c>
      <c r="J1136" t="str">
        <f t="shared" si="52"/>
        <v>(${Variables:E3_1_4_46_kcat} * E3_1_4_46 * C00670 * C00001 )/(${Variables:E3_1_4_46_km} + (E3_1_4_46 * C00670 * C00001 ))</v>
      </c>
      <c r="K1136" s="21" t="str">
        <f t="shared" si="53"/>
        <v>r1135: C00670 + C00001  -&gt; C00114 + C00093 | (${Variables:E3_1_4_46_kcat} * E3_1_4_46 * C00670 * C00001 )/(${Variables:E3_1_4_46_km} + (E3_1_4_46 * C00670 * C00001 ))</v>
      </c>
    </row>
    <row r="1137" spans="1:11">
      <c r="A1137" t="s">
        <v>6957</v>
      </c>
      <c r="B1137" t="s">
        <v>6958</v>
      </c>
      <c r="C1137" t="s">
        <v>15707</v>
      </c>
      <c r="D1137">
        <v>1136</v>
      </c>
      <c r="E1137" t="str">
        <f t="shared" si="51"/>
        <v>E3_1_4_46</v>
      </c>
      <c r="F1137" t="s">
        <v>11260</v>
      </c>
      <c r="G1137" t="s">
        <v>11980</v>
      </c>
      <c r="H1137" t="s">
        <v>11261</v>
      </c>
      <c r="I1137" t="s">
        <v>12682</v>
      </c>
      <c r="J1137" t="str">
        <f t="shared" si="52"/>
        <v>(${Variables:E3_1_4_46_kcat} * E3_1_4_46 * C01233 * C00001)/(${Variables:E3_1_4_46_km} + (E3_1_4_46 * C01233 * C00001))</v>
      </c>
      <c r="K1137" s="21" t="str">
        <f t="shared" si="53"/>
        <v>r1136: C01233 + C00001 -&gt; C00189 + C00093 | (${Variables:E3_1_4_46_kcat} * E3_1_4_46 * C01233 * C00001)/(${Variables:E3_1_4_46_km} + (E3_1_4_46 * C01233 * C00001))</v>
      </c>
    </row>
    <row r="1138" spans="1:11">
      <c r="A1138" t="s">
        <v>6961</v>
      </c>
      <c r="B1138" t="s">
        <v>6962</v>
      </c>
      <c r="C1138" t="s">
        <v>15708</v>
      </c>
      <c r="D1138">
        <v>1137</v>
      </c>
      <c r="E1138" t="str">
        <f t="shared" si="51"/>
        <v>E1_1_1_27</v>
      </c>
      <c r="F1138" t="s">
        <v>11262</v>
      </c>
      <c r="G1138" t="s">
        <v>11981</v>
      </c>
      <c r="H1138" t="s">
        <v>11263</v>
      </c>
      <c r="I1138" t="s">
        <v>12683</v>
      </c>
      <c r="J1138" t="str">
        <f t="shared" si="52"/>
        <v>(${Variables:E1_1_1_27_kcat} * E1_1_1_27 * C00186 * C00003)/(${Variables:E1_1_1_27_km} + (E1_1_1_27 * C00186 * C00003))</v>
      </c>
      <c r="K1138" s="21" t="str">
        <f t="shared" si="53"/>
        <v>r1137: C00186 + C00003 -&gt; C00022 + C00004 + C00080 | (${Variables:E1_1_1_27_kcat} * E1_1_1_27 * C00186 * C00003)/(${Variables:E1_1_1_27_km} + (E1_1_1_27 * C00186 * C00003))</v>
      </c>
    </row>
    <row r="1139" spans="1:11">
      <c r="A1139" t="s">
        <v>6961</v>
      </c>
      <c r="B1139" t="s">
        <v>6962</v>
      </c>
      <c r="C1139" t="s">
        <v>15708</v>
      </c>
      <c r="D1139">
        <v>1138</v>
      </c>
      <c r="E1139" t="str">
        <f t="shared" si="51"/>
        <v>E1_1_1_27</v>
      </c>
      <c r="F1139" t="s">
        <v>11264</v>
      </c>
      <c r="G1139" t="s">
        <v>11982</v>
      </c>
      <c r="H1139" t="s">
        <v>11265</v>
      </c>
      <c r="I1139" t="s">
        <v>12684</v>
      </c>
      <c r="J1139" t="str">
        <f t="shared" si="52"/>
        <v>(${Variables:E1_1_1_27_kcat} * E1_1_1_27 * C05984 * C00003)/(${Variables:E1_1_1_27_km} + (E1_1_1_27 * C05984 * C00003))</v>
      </c>
      <c r="K1139" s="21" t="str">
        <f t="shared" si="53"/>
        <v>r1138: C05984 + C00003 -&gt; C00109 + C00004 + C00080 | (${Variables:E1_1_1_27_kcat} * E1_1_1_27 * C05984 * C00003)/(${Variables:E1_1_1_27_km} + (E1_1_1_27 * C05984 * C00003))</v>
      </c>
    </row>
    <row r="1140" spans="1:11">
      <c r="A1140" t="s">
        <v>6961</v>
      </c>
      <c r="B1140" t="s">
        <v>6962</v>
      </c>
      <c r="C1140" t="s">
        <v>15708</v>
      </c>
      <c r="D1140">
        <v>1139</v>
      </c>
      <c r="E1140" t="str">
        <f t="shared" si="51"/>
        <v>E1_1_1_27</v>
      </c>
      <c r="F1140" t="s">
        <v>11266</v>
      </c>
      <c r="G1140" t="s">
        <v>11983</v>
      </c>
      <c r="H1140" t="s">
        <v>11267</v>
      </c>
      <c r="I1140" t="s">
        <v>12685</v>
      </c>
      <c r="J1140" t="str">
        <f t="shared" si="52"/>
        <v>(${Variables:E1_1_1_27_kcat} * E1_1_1_27 * C05823 * C00003)/(${Variables:E1_1_1_27_km} + (E1_1_1_27 * C05823 * C00003))</v>
      </c>
      <c r="K1140" s="21" t="str">
        <f t="shared" si="53"/>
        <v>r1139: C05823 + C00003 -&gt; C00957 + C00004 + C00080 | (${Variables:E1_1_1_27_kcat} * E1_1_1_27 * C05823 * C00003)/(${Variables:E1_1_1_27_km} + (E1_1_1_27 * C05823 * C00003))</v>
      </c>
    </row>
    <row r="1141" spans="1:11">
      <c r="A1141" t="s">
        <v>6967</v>
      </c>
      <c r="B1141" t="s">
        <v>6968</v>
      </c>
      <c r="C1141" t="s">
        <v>15709</v>
      </c>
      <c r="D1141">
        <v>1140</v>
      </c>
      <c r="E1141" t="str">
        <f t="shared" si="51"/>
        <v>E1_8_4_11</v>
      </c>
      <c r="F1141" t="s">
        <v>10845</v>
      </c>
      <c r="G1141" t="s">
        <v>11616</v>
      </c>
      <c r="H1141" t="s">
        <v>11268</v>
      </c>
      <c r="I1141" t="s">
        <v>12686</v>
      </c>
      <c r="J1141" t="str">
        <f t="shared" si="52"/>
        <v>(${Variables:E1_8_4_11_kcat} * E1_8_4_11 * C03023 * C00343 * C00001 )/(${Variables:E1_8_4_11_km} + (E1_8_4_11 * C03023 * C00343 * C00001 ))</v>
      </c>
      <c r="K1141" s="21" t="str">
        <f t="shared" si="53"/>
        <v>r1140: C03023 + C00343 + C00001  -&gt; C03895 + C00342 | (${Variables:E1_8_4_11_kcat} * E1_8_4_11 * C03023 * C00343 * C00001 )/(${Variables:E1_8_4_11_km} + (E1_8_4_11 * C03023 * C00343 * C00001 ))</v>
      </c>
    </row>
    <row r="1142" spans="1:11">
      <c r="A1142" t="s">
        <v>6967</v>
      </c>
      <c r="B1142" t="s">
        <v>6968</v>
      </c>
      <c r="C1142" t="s">
        <v>15709</v>
      </c>
      <c r="D1142">
        <v>1141</v>
      </c>
      <c r="E1142" t="str">
        <f t="shared" si="51"/>
        <v>E1_8_4_11</v>
      </c>
      <c r="F1142" t="s">
        <v>11269</v>
      </c>
      <c r="G1142" t="s">
        <v>11984</v>
      </c>
      <c r="H1142" t="s">
        <v>11270</v>
      </c>
      <c r="I1142" t="s">
        <v>12687</v>
      </c>
      <c r="J1142" t="str">
        <f t="shared" si="52"/>
        <v>(${Variables:E1_8_4_11_kcat} * E1_8_4_11 * C00073 * C00343 * C00001)/(${Variables:E1_8_4_11_km} + (E1_8_4_11 * C00073 * C00343 * C00001))</v>
      </c>
      <c r="K1142" s="21" t="str">
        <f t="shared" si="53"/>
        <v>r1141: C00073 + C00343 + C00001 -&gt; C15999 + C00342 | (${Variables:E1_8_4_11_kcat} * E1_8_4_11 * C00073 * C00343 * C00001)/(${Variables:E1_8_4_11_km} + (E1_8_4_11 * C00073 * C00343 * C00001))</v>
      </c>
    </row>
    <row r="1143" spans="1:11">
      <c r="A1143" t="s">
        <v>6970</v>
      </c>
      <c r="B1143" t="s">
        <v>6971</v>
      </c>
      <c r="C1143" t="s">
        <v>15535</v>
      </c>
      <c r="D1143">
        <v>1142</v>
      </c>
      <c r="E1143" t="str">
        <f t="shared" si="51"/>
        <v>E1_15_1_1</v>
      </c>
      <c r="F1143" t="s">
        <v>15886</v>
      </c>
      <c r="G1143" t="s">
        <v>15887</v>
      </c>
      <c r="H1143" t="s">
        <v>10830</v>
      </c>
      <c r="I1143" t="s">
        <v>12312</v>
      </c>
      <c r="J1143" t="str">
        <f t="shared" si="52"/>
        <v>(${Variables:E1_15_1_1_kcat} * E1_15_1_1 * C00704 * C00080 )/(${Variables:E1_15_1_1_km} + (E1_15_1_1 * C00704 * C00080 ))</v>
      </c>
      <c r="K1143" s="21" t="str">
        <f t="shared" si="53"/>
        <v>r1142: C00704 + C00080  -&gt; C00027 + C00007 | (${Variables:E1_15_1_1_kcat} * E1_15_1_1 * C00704 * C00080 )/(${Variables:E1_15_1_1_km} + (E1_15_1_1 * C00704 * C00080 ))</v>
      </c>
    </row>
    <row r="1144" spans="1:11">
      <c r="A1144" t="s">
        <v>7083</v>
      </c>
      <c r="B1144" t="s">
        <v>7084</v>
      </c>
      <c r="C1144" t="s">
        <v>15710</v>
      </c>
      <c r="D1144">
        <v>1143</v>
      </c>
      <c r="E1144" t="str">
        <f t="shared" si="51"/>
        <v>E5_5_1_4</v>
      </c>
      <c r="F1144" t="s">
        <v>9563</v>
      </c>
      <c r="G1144" t="s">
        <v>9563</v>
      </c>
      <c r="H1144" t="s">
        <v>9564</v>
      </c>
      <c r="I1144" t="s">
        <v>9564</v>
      </c>
      <c r="J1144" t="str">
        <f t="shared" si="52"/>
        <v>(${Variables:E5_5_1_4_kcat} * E5_5_1_4 * C00092 )/(${Variables:E5_5_1_4_km} + (E5_5_1_4 * C00092 ))</v>
      </c>
      <c r="K1144" s="21" t="str">
        <f t="shared" si="53"/>
        <v>r1143: C00092  -&gt; C04006 | (${Variables:E5_5_1_4_kcat} * E5_5_1_4 * C00092 )/(${Variables:E5_5_1_4_km} + (E5_5_1_4 * C00092 ))</v>
      </c>
    </row>
    <row r="1145" spans="1:11">
      <c r="A1145" t="s">
        <v>7130</v>
      </c>
      <c r="B1145" t="s">
        <v>7131</v>
      </c>
      <c r="C1145" t="s">
        <v>15646</v>
      </c>
      <c r="D1145">
        <v>1144</v>
      </c>
      <c r="E1145" t="str">
        <f t="shared" si="51"/>
        <v>E1_17_4_1</v>
      </c>
      <c r="F1145" s="4" t="s">
        <v>11172</v>
      </c>
      <c r="G1145" s="4" t="s">
        <v>11841</v>
      </c>
      <c r="H1145" s="4" t="s">
        <v>11173</v>
      </c>
      <c r="I1145" s="4" t="s">
        <v>12539</v>
      </c>
      <c r="J1145" t="str">
        <f t="shared" si="52"/>
        <v>(${Variables:E1_17_4_1_kcat} * E1_17_4_1 * C04232 * C00343 * C00001)/(${Variables:E1_17_4_1_km} + (E1_17_4_1 * C04232 * C00343 * C00001))</v>
      </c>
      <c r="K1145" s="21" t="str">
        <f t="shared" si="53"/>
        <v>r1144: C04232 + C00343 + C00001 -&gt; C03723 + C00342 | (${Variables:E1_17_4_1_kcat} * E1_17_4_1 * C04232 * C00343 * C00001)/(${Variables:E1_17_4_1_km} + (E1_17_4_1 * C04232 * C00343 * C00001))</v>
      </c>
    </row>
    <row r="1146" spans="1:11">
      <c r="A1146" t="s">
        <v>7130</v>
      </c>
      <c r="B1146" t="s">
        <v>7131</v>
      </c>
      <c r="C1146" t="s">
        <v>15646</v>
      </c>
      <c r="D1146">
        <v>1145</v>
      </c>
      <c r="E1146" t="str">
        <f t="shared" si="51"/>
        <v>E1_17_4_1</v>
      </c>
      <c r="F1146" s="4" t="s">
        <v>11174</v>
      </c>
      <c r="G1146" s="4" t="s">
        <v>11842</v>
      </c>
      <c r="H1146" s="4" t="s">
        <v>11175</v>
      </c>
      <c r="I1146" s="4" t="s">
        <v>12540</v>
      </c>
      <c r="J1146" t="str">
        <f t="shared" si="52"/>
        <v>(${Variables:E1_17_4_1_kcat} * E1_17_4_1 * C00206 * C00343 * C00001)/(${Variables:E1_17_4_1_km} + (E1_17_4_1 * C00206 * C00343 * C00001))</v>
      </c>
      <c r="K1146" s="21" t="str">
        <f t="shared" si="53"/>
        <v>r1145: C00206 + C00343 + C00001 -&gt; C00342 + C00008 | (${Variables:E1_17_4_1_kcat} * E1_17_4_1 * C00206 * C00343 * C00001)/(${Variables:E1_17_4_1_km} + (E1_17_4_1 * C00206 * C00343 * C00001))</v>
      </c>
    </row>
    <row r="1147" spans="1:11">
      <c r="A1147" t="s">
        <v>7130</v>
      </c>
      <c r="B1147" t="s">
        <v>7131</v>
      </c>
      <c r="C1147" t="s">
        <v>15646</v>
      </c>
      <c r="D1147">
        <v>1146</v>
      </c>
      <c r="E1147" t="str">
        <f t="shared" si="51"/>
        <v>E1_17_4_1</v>
      </c>
      <c r="F1147" s="4" t="s">
        <v>11176</v>
      </c>
      <c r="G1147" s="4" t="s">
        <v>11843</v>
      </c>
      <c r="H1147" s="4" t="s">
        <v>11177</v>
      </c>
      <c r="I1147" s="4" t="s">
        <v>12541</v>
      </c>
      <c r="J1147" t="str">
        <f t="shared" si="52"/>
        <v>(${Variables:E1_17_4_1_kcat} * E1_17_4_1 * C01346 * C00343 * C00001)/(${Variables:E1_17_4_1_km} + (E1_17_4_1 * C01346 * C00343 * C00001))</v>
      </c>
      <c r="K1147" s="21" t="str">
        <f t="shared" si="53"/>
        <v>r1146: C01346 + C00343 + C00001 -&gt; C00342 + C00015 | (${Variables:E1_17_4_1_kcat} * E1_17_4_1 * C01346 * C00343 * C00001)/(${Variables:E1_17_4_1_km} + (E1_17_4_1 * C01346 * C00343 * C00001))</v>
      </c>
    </row>
    <row r="1148" spans="1:11">
      <c r="A1148" t="s">
        <v>7130</v>
      </c>
      <c r="B1148" t="s">
        <v>7131</v>
      </c>
      <c r="C1148" t="s">
        <v>15646</v>
      </c>
      <c r="D1148">
        <v>1147</v>
      </c>
      <c r="E1148" t="str">
        <f t="shared" si="51"/>
        <v>E1_17_4_1</v>
      </c>
      <c r="F1148" s="4" t="s">
        <v>11178</v>
      </c>
      <c r="G1148" s="4" t="s">
        <v>11844</v>
      </c>
      <c r="H1148" s="4" t="s">
        <v>11179</v>
      </c>
      <c r="I1148" s="4" t="s">
        <v>12542</v>
      </c>
      <c r="J1148" t="str">
        <f t="shared" si="52"/>
        <v>(${Variables:E1_17_4_1_kcat} * E1_17_4_1 * C00361 * C00343 * C00001)/(${Variables:E1_17_4_1_km} + (E1_17_4_1 * C00361 * C00343 * C00001))</v>
      </c>
      <c r="K1148" s="21" t="str">
        <f t="shared" si="53"/>
        <v>r1147: C00361 + C00343 + C00001 -&gt; C00035 + C00342 | (${Variables:E1_17_4_1_kcat} * E1_17_4_1 * C00361 * C00343 * C00001)/(${Variables:E1_17_4_1_km} + (E1_17_4_1 * C00361 * C00343 * C00001))</v>
      </c>
    </row>
    <row r="1149" spans="1:11">
      <c r="A1149" t="s">
        <v>7130</v>
      </c>
      <c r="B1149" t="s">
        <v>7131</v>
      </c>
      <c r="C1149" t="s">
        <v>15646</v>
      </c>
      <c r="D1149">
        <v>1148</v>
      </c>
      <c r="E1149" t="str">
        <f t="shared" si="51"/>
        <v>E1_17_4_1</v>
      </c>
      <c r="F1149" s="4" t="s">
        <v>11180</v>
      </c>
      <c r="G1149" s="4" t="s">
        <v>11845</v>
      </c>
      <c r="H1149" s="4" t="s">
        <v>11181</v>
      </c>
      <c r="I1149" s="4" t="s">
        <v>15944</v>
      </c>
      <c r="J1149" t="str">
        <f t="shared" si="52"/>
        <v>(${Variables:E1_17_4_1_kcat} * E1_17_4_1 * C00705 * C00343 * C00001)/(${Variables:E1_17_4_1_km} + (E1_17_4_1 * C00705 * C00343 * C00001))</v>
      </c>
      <c r="K1149" s="21" t="str">
        <f t="shared" si="53"/>
        <v>r1148: C00705 + C00343 + C00001 -&gt;  C00342 + C00112 | (${Variables:E1_17_4_1_kcat} * E1_17_4_1 * C00705 * C00343 * C00001)/(${Variables:E1_17_4_1_km} + (E1_17_4_1 * C00705 * C00343 * C00001))</v>
      </c>
    </row>
    <row r="1150" spans="1:11">
      <c r="A1150" t="s">
        <v>7130</v>
      </c>
      <c r="B1150" t="s">
        <v>7131</v>
      </c>
      <c r="C1150" t="s">
        <v>15646</v>
      </c>
      <c r="D1150">
        <v>1149</v>
      </c>
      <c r="E1150" t="str">
        <f t="shared" si="51"/>
        <v>E1_17_4_1</v>
      </c>
      <c r="F1150" s="4" t="s">
        <v>11182</v>
      </c>
      <c r="G1150" s="4" t="s">
        <v>11846</v>
      </c>
      <c r="H1150" s="4" t="s">
        <v>11183</v>
      </c>
      <c r="I1150" s="4" t="s">
        <v>12543</v>
      </c>
      <c r="J1150" t="str">
        <f t="shared" si="52"/>
        <v>(${Variables:E1_17_4_1_kcat} * E1_17_4_1 * C04232 * C16664 * C00001)/(${Variables:E1_17_4_1_km} + (E1_17_4_1 * C04232 * C16664 * C00001))</v>
      </c>
      <c r="K1150" s="21" t="str">
        <f t="shared" si="53"/>
        <v>r1149: C04232 + C16664 + C00001 -&gt; C03723 + C16663 | (${Variables:E1_17_4_1_kcat} * E1_17_4_1 * C04232 * C16664 * C00001)/(${Variables:E1_17_4_1_km} + (E1_17_4_1 * C04232 * C16664 * C00001))</v>
      </c>
    </row>
    <row r="1151" spans="1:11">
      <c r="A1151" t="s">
        <v>7130</v>
      </c>
      <c r="B1151" t="s">
        <v>7131</v>
      </c>
      <c r="C1151" t="s">
        <v>15646</v>
      </c>
      <c r="D1151">
        <v>1150</v>
      </c>
      <c r="E1151" t="str">
        <f t="shared" si="51"/>
        <v>E1_17_4_1</v>
      </c>
      <c r="F1151" s="4" t="s">
        <v>11184</v>
      </c>
      <c r="G1151" s="4" t="s">
        <v>11847</v>
      </c>
      <c r="H1151" s="4" t="s">
        <v>11185</v>
      </c>
      <c r="I1151" s="4" t="s">
        <v>12544</v>
      </c>
      <c r="J1151" t="str">
        <f t="shared" si="52"/>
        <v>(${Variables:E1_17_4_1_kcat} * E1_17_4_1 * C04232 * C03170 * C00001)/(${Variables:E1_17_4_1_km} + (E1_17_4_1 * C04232 * C03170 * C00001))</v>
      </c>
      <c r="K1151" s="21" t="str">
        <f t="shared" si="53"/>
        <v>r1150: C04232 + C03170 + C00001 -&gt; C03723 + C02090 | (${Variables:E1_17_4_1_kcat} * E1_17_4_1 * C04232 * C03170 * C00001)/(${Variables:E1_17_4_1_km} + (E1_17_4_1 * C04232 * C03170 * C00001))</v>
      </c>
    </row>
    <row r="1152" spans="1:11">
      <c r="A1152" t="s">
        <v>7130</v>
      </c>
      <c r="B1152" t="s">
        <v>7131</v>
      </c>
      <c r="C1152" t="s">
        <v>15646</v>
      </c>
      <c r="D1152">
        <v>1151</v>
      </c>
      <c r="E1152" t="str">
        <f t="shared" si="51"/>
        <v>E1_17_4_1</v>
      </c>
      <c r="F1152" s="4" t="s">
        <v>11186</v>
      </c>
      <c r="G1152" s="4" t="s">
        <v>11848</v>
      </c>
      <c r="H1152" s="4" t="s">
        <v>11187</v>
      </c>
      <c r="I1152" s="4" t="s">
        <v>12545</v>
      </c>
      <c r="J1152" t="str">
        <f t="shared" si="52"/>
        <v>(${Variables:E1_17_4_1_kcat} * E1_17_4_1 * C21750 * C00343 * C00001)/(${Variables:E1_17_4_1_km} + (E1_17_4_1 * C21750 * C00343 * C00001))</v>
      </c>
      <c r="K1152" s="21" t="str">
        <f t="shared" si="53"/>
        <v>r1151: C21750 + C00343 + C00001 -&gt; C21748 + C00342 | (${Variables:E1_17_4_1_kcat} * E1_17_4_1 * C21750 * C00343 * C00001)/(${Variables:E1_17_4_1_km} + (E1_17_4_1 * C21750 * C00343 * C00001))</v>
      </c>
    </row>
    <row r="1153" spans="1:11">
      <c r="A1153" t="s">
        <v>7140</v>
      </c>
      <c r="B1153" t="s">
        <v>7141</v>
      </c>
      <c r="C1153" t="s">
        <v>15711</v>
      </c>
      <c r="D1153">
        <v>1152</v>
      </c>
      <c r="E1153" t="str">
        <f t="shared" si="51"/>
        <v>E6_1_1_4</v>
      </c>
      <c r="F1153" s="4" t="s">
        <v>11271</v>
      </c>
      <c r="G1153" s="4" t="s">
        <v>11985</v>
      </c>
      <c r="H1153" s="4" t="s">
        <v>11272</v>
      </c>
      <c r="I1153" s="4" t="s">
        <v>12688</v>
      </c>
      <c r="J1153" t="str">
        <f t="shared" si="52"/>
        <v>(${Variables:E6_1_1_4_kcat} * E6_1_1_4 * C00002 * C00123 * C01645)/(${Variables:E6_1_1_4_km} + (E6_1_1_4 * C00002 * C00123 * C01645))</v>
      </c>
      <c r="K1153" s="21" t="str">
        <f t="shared" si="53"/>
        <v>r1152: C00002 + C00123 + C01645 -&gt; C00020 + C00013 + C02047 | (${Variables:E6_1_1_4_kcat} * E6_1_1_4 * C00002 * C00123 * C01645)/(${Variables:E6_1_1_4_km} + (E6_1_1_4 * C00002 * C00123 * C01645))</v>
      </c>
    </row>
    <row r="1154" spans="1:11">
      <c r="A1154" t="s">
        <v>7144</v>
      </c>
      <c r="B1154" t="s">
        <v>7145</v>
      </c>
      <c r="C1154" t="s">
        <v>15712</v>
      </c>
      <c r="D1154">
        <v>1153</v>
      </c>
      <c r="E1154" t="str">
        <f t="shared" si="51"/>
        <v>E3_1_3_1</v>
      </c>
      <c r="F1154" s="4" t="s">
        <v>11273</v>
      </c>
      <c r="G1154" s="4" t="s">
        <v>11986</v>
      </c>
      <c r="H1154" s="4" t="s">
        <v>11274</v>
      </c>
      <c r="I1154" s="4" t="s">
        <v>12689</v>
      </c>
      <c r="J1154" t="str">
        <f t="shared" si="52"/>
        <v>(${Variables:E3_1_3_1_kcat} * E3_1_3_1 * C01153 * C00001)/(${Variables:E3_1_3_1_km} + (E3_1_3_1 * C01153 * C00001))</v>
      </c>
      <c r="K1154" s="21" t="str">
        <f t="shared" si="53"/>
        <v>r1153: C01153 + C00001 -&gt;  C00069 + C00009 | (${Variables:E3_1_3_1_kcat} * E3_1_3_1 * C01153 * C00001)/(${Variables:E3_1_3_1_km} + (E3_1_3_1 * C01153 * C00001))</v>
      </c>
    </row>
    <row r="1155" spans="1:11">
      <c r="A1155" t="s">
        <v>7144</v>
      </c>
      <c r="B1155" t="s">
        <v>7145</v>
      </c>
      <c r="C1155" t="s">
        <v>15712</v>
      </c>
      <c r="D1155">
        <v>1154</v>
      </c>
      <c r="E1155" t="str">
        <f t="shared" ref="E1155:E1183" si="54">"E" &amp; C1155</f>
        <v>E3_1_3_1</v>
      </c>
      <c r="F1155" s="4" t="s">
        <v>11275</v>
      </c>
      <c r="G1155" s="4" t="s">
        <v>11987</v>
      </c>
      <c r="H1155" s="4" t="s">
        <v>11276</v>
      </c>
      <c r="I1155" s="4" t="s">
        <v>12690</v>
      </c>
      <c r="J1155" t="str">
        <f t="shared" ref="J1155:J1183" si="55">CONCATENATE("(${Variables:",E1155,"_kcat","} * ",E1155," * ",G1155,")","/(${Variables:",E1155,"_km","} + (",E1155," * ",G1155,"))")</f>
        <v>(${Variables:E3_1_3_1_kcat} * E3_1_3_1 * C01081 * C00001)/(${Variables:E3_1_3_1_km} + (E3_1_3_1 * C01081 * C00001))</v>
      </c>
      <c r="K1155" s="21" t="str">
        <f t="shared" ref="K1155:K1183" si="56">CONCATENATE("r",D1155,": ",F1155," -&gt; ",H1155," | ",J1155)</f>
        <v>r1154: C01081 + C00001 -&gt; C00378 + C00009 | (${Variables:E3_1_3_1_kcat} * E3_1_3_1 * C01081 * C00001)/(${Variables:E3_1_3_1_km} + (E3_1_3_1 * C01081 * C00001))</v>
      </c>
    </row>
    <row r="1156" spans="1:11">
      <c r="A1156" t="s">
        <v>7144</v>
      </c>
      <c r="B1156" t="s">
        <v>7145</v>
      </c>
      <c r="C1156" t="s">
        <v>15712</v>
      </c>
      <c r="D1156">
        <v>1155</v>
      </c>
      <c r="E1156" t="str">
        <f t="shared" si="54"/>
        <v>E3_1_3_1</v>
      </c>
      <c r="F1156" s="4" t="s">
        <v>11277</v>
      </c>
      <c r="G1156" s="4" t="s">
        <v>11988</v>
      </c>
      <c r="H1156" s="4" t="s">
        <v>11278</v>
      </c>
      <c r="I1156" s="4" t="s">
        <v>12691</v>
      </c>
      <c r="J1156" t="str">
        <f t="shared" si="55"/>
        <v>(${Variables:E3_1_3_1_kcat} * E3_1_3_1 * C03360 * C00001)/(${Variables:E3_1_3_1_km} + (E3_1_3_1 * C03360 * C00001))</v>
      </c>
      <c r="K1156" s="21" t="str">
        <f t="shared" si="56"/>
        <v>r1155: C03360 + C00001 -&gt; C00870 + C00009 | (${Variables:E3_1_3_1_kcat} * E3_1_3_1 * C03360 * C00001)/(${Variables:E3_1_3_1_km} + (E3_1_3_1 * C03360 * C00001))</v>
      </c>
    </row>
    <row r="1157" spans="1:11">
      <c r="A1157" t="s">
        <v>7144</v>
      </c>
      <c r="B1157" t="s">
        <v>7145</v>
      </c>
      <c r="C1157" t="s">
        <v>15712</v>
      </c>
      <c r="D1157">
        <v>1156</v>
      </c>
      <c r="E1157" t="str">
        <f t="shared" si="54"/>
        <v>E3_1_3_1</v>
      </c>
      <c r="F1157" s="4" t="s">
        <v>11279</v>
      </c>
      <c r="G1157" s="4" t="s">
        <v>11989</v>
      </c>
      <c r="H1157" s="4" t="s">
        <v>11280</v>
      </c>
      <c r="I1157" s="4" t="s">
        <v>12692</v>
      </c>
      <c r="J1157" t="str">
        <f t="shared" si="55"/>
        <v>(${Variables:E3_1_3_1_kcat} * E3_1_3_1 * C00111 * C00001)/(${Variables:E3_1_3_1_km} + (E3_1_3_1 * C00111 * C00001))</v>
      </c>
      <c r="K1157" s="21" t="str">
        <f t="shared" si="56"/>
        <v>r1156: C00111 + C00001 -&gt; C00184 + C00009 | (${Variables:E3_1_3_1_kcat} * E3_1_3_1 * C00111 * C00001)/(${Variables:E3_1_3_1_km} + (E3_1_3_1 * C00111 * C00001))</v>
      </c>
    </row>
    <row r="1158" spans="1:11">
      <c r="A1158" t="s">
        <v>7144</v>
      </c>
      <c r="B1158" t="s">
        <v>7145</v>
      </c>
      <c r="C1158" t="s">
        <v>15712</v>
      </c>
      <c r="D1158">
        <v>1157</v>
      </c>
      <c r="E1158" t="str">
        <f t="shared" si="54"/>
        <v>E3_1_3_1</v>
      </c>
      <c r="F1158" s="4" t="s">
        <v>11057</v>
      </c>
      <c r="G1158" s="4" t="s">
        <v>11723</v>
      </c>
      <c r="H1158" s="4" t="s">
        <v>15888</v>
      </c>
      <c r="I1158" s="4" t="s">
        <v>15889</v>
      </c>
      <c r="J1158" t="str">
        <f t="shared" si="55"/>
        <v>(${Variables:E3_1_3_1_kcat} * E3_1_3_1 * C04895 * C00001)/(${Variables:E3_1_3_1_km} + (E3_1_3_1 * C04895 * C00001))</v>
      </c>
      <c r="K1158" s="21" t="str">
        <f t="shared" si="56"/>
        <v>r1157: C04895 + C00001 -&gt; C04874 + C00009 | (${Variables:E3_1_3_1_kcat} * E3_1_3_1 * C04895 * C00001)/(${Variables:E3_1_3_1_km} + (E3_1_3_1 * C04895 * C00001))</v>
      </c>
    </row>
    <row r="1159" spans="1:11" ht="18" customHeight="1">
      <c r="A1159" t="s">
        <v>10486</v>
      </c>
      <c r="B1159" t="s">
        <v>7158</v>
      </c>
      <c r="C1159" t="s">
        <v>15607</v>
      </c>
      <c r="D1159">
        <v>1158</v>
      </c>
      <c r="E1159" t="str">
        <f t="shared" si="54"/>
        <v>E1_2_1_79</v>
      </c>
      <c r="F1159" s="4" t="s">
        <v>11098</v>
      </c>
      <c r="G1159" s="4" t="s">
        <v>11745</v>
      </c>
      <c r="H1159" s="4" t="s">
        <v>11099</v>
      </c>
      <c r="I1159" s="4" t="s">
        <v>12451</v>
      </c>
      <c r="J1159" t="str">
        <f t="shared" si="55"/>
        <v>(${Variables:E1_2_1_79_kcat} * E1_2_1_79 * C00232 * C00006 * C00001 )/(${Variables:E1_2_1_79_km} + (E1_2_1_79 * C00232 * C00006 * C00001 ))</v>
      </c>
      <c r="K1159" s="21" t="str">
        <f t="shared" si="56"/>
        <v>r1158: C00232 + C00006 + C00001  -&gt; C00042 + C00005 + C00080 | (${Variables:E1_2_1_79_kcat} * E1_2_1_79 * C00232 * C00006 * C00001 )/(${Variables:E1_2_1_79_km} + (E1_2_1_79 * C00232 * C00006 * C00001 ))</v>
      </c>
    </row>
    <row r="1160" spans="1:11">
      <c r="A1160" t="s">
        <v>7161</v>
      </c>
      <c r="B1160" t="s">
        <v>7162</v>
      </c>
      <c r="C1160" t="s">
        <v>15713</v>
      </c>
      <c r="D1160">
        <v>1159</v>
      </c>
      <c r="E1160" t="str">
        <f t="shared" si="54"/>
        <v>E4_1_3_27</v>
      </c>
      <c r="F1160" t="s">
        <v>10146</v>
      </c>
      <c r="G1160" t="s">
        <v>11966</v>
      </c>
      <c r="H1160" t="s">
        <v>11281</v>
      </c>
      <c r="I1160" t="s">
        <v>12693</v>
      </c>
      <c r="J1160" t="str">
        <f t="shared" si="55"/>
        <v>(${Variables:E4_1_3_27_kcat} * E4_1_3_27 * C00251 * C00064)/(${Variables:E4_1_3_27_km} + (E4_1_3_27 * C00251 * C00064))</v>
      </c>
      <c r="K1160" s="21" t="str">
        <f t="shared" si="56"/>
        <v>r1159: C00251 + C00064 -&gt; C00108 + C00022 + C00025 | (${Variables:E4_1_3_27_kcat} * E4_1_3_27 * C00251 * C00064)/(${Variables:E4_1_3_27_km} + (E4_1_3_27 * C00251 * C00064))</v>
      </c>
    </row>
    <row r="1161" spans="1:11">
      <c r="A1161" t="s">
        <v>7161</v>
      </c>
      <c r="B1161" t="s">
        <v>7162</v>
      </c>
      <c r="C1161" t="s">
        <v>15713</v>
      </c>
      <c r="D1161">
        <v>1160</v>
      </c>
      <c r="E1161" t="str">
        <f t="shared" si="54"/>
        <v>E4_1_3_27</v>
      </c>
      <c r="F1161" t="s">
        <v>11282</v>
      </c>
      <c r="G1161" t="s">
        <v>11990</v>
      </c>
      <c r="H1161" t="s">
        <v>11283</v>
      </c>
      <c r="I1161" t="s">
        <v>12694</v>
      </c>
      <c r="J1161" t="str">
        <f t="shared" si="55"/>
        <v>(${Variables:E4_1_3_27_kcat} * E4_1_3_27 * C00251 * C00014)/(${Variables:E4_1_3_27_km} + (E4_1_3_27 * C00251 * C00014))</v>
      </c>
      <c r="K1161" s="21" t="str">
        <f t="shared" si="56"/>
        <v>r1160: C00251 + C00014 -&gt; C00108 + C00022 + C00001 | (${Variables:E4_1_3_27_kcat} * E4_1_3_27 * C00251 * C00014)/(${Variables:E4_1_3_27_km} + (E4_1_3_27 * C00251 * C00014))</v>
      </c>
    </row>
    <row r="1162" spans="1:11">
      <c r="A1162" t="s">
        <v>7165</v>
      </c>
      <c r="B1162" t="s">
        <v>7166</v>
      </c>
      <c r="C1162" t="s">
        <v>15713</v>
      </c>
      <c r="D1162">
        <v>1161</v>
      </c>
      <c r="E1162" t="str">
        <f t="shared" si="54"/>
        <v>E4_1_3_27</v>
      </c>
      <c r="F1162" s="4" t="s">
        <v>10146</v>
      </c>
      <c r="G1162" s="4" t="s">
        <v>11966</v>
      </c>
      <c r="H1162" s="4" t="s">
        <v>11281</v>
      </c>
      <c r="I1162" s="4" t="s">
        <v>12693</v>
      </c>
      <c r="J1162" t="str">
        <f t="shared" si="55"/>
        <v>(${Variables:E4_1_3_27_kcat} * E4_1_3_27 * C00251 * C00064)/(${Variables:E4_1_3_27_km} + (E4_1_3_27 * C00251 * C00064))</v>
      </c>
      <c r="K1162" s="21" t="str">
        <f t="shared" si="56"/>
        <v>r1161: C00251 + C00064 -&gt; C00108 + C00022 + C00025 | (${Variables:E4_1_3_27_kcat} * E4_1_3_27 * C00251 * C00064)/(${Variables:E4_1_3_27_km} + (E4_1_3_27 * C00251 * C00064))</v>
      </c>
    </row>
    <row r="1163" spans="1:11">
      <c r="A1163" t="s">
        <v>7165</v>
      </c>
      <c r="B1163" t="s">
        <v>7166</v>
      </c>
      <c r="C1163" t="s">
        <v>15713</v>
      </c>
      <c r="D1163">
        <v>1162</v>
      </c>
      <c r="E1163" t="str">
        <f t="shared" si="54"/>
        <v>E4_1_3_27</v>
      </c>
      <c r="F1163" s="4" t="s">
        <v>11282</v>
      </c>
      <c r="G1163" s="4" t="s">
        <v>11990</v>
      </c>
      <c r="H1163" s="4" t="s">
        <v>11283</v>
      </c>
      <c r="I1163" s="4" t="s">
        <v>12694</v>
      </c>
      <c r="J1163" t="str">
        <f t="shared" si="55"/>
        <v>(${Variables:E4_1_3_27_kcat} * E4_1_3_27 * C00251 * C00014)/(${Variables:E4_1_3_27_km} + (E4_1_3_27 * C00251 * C00014))</v>
      </c>
      <c r="K1163" s="21" t="str">
        <f t="shared" si="56"/>
        <v>r1162: C00251 + C00014 -&gt; C00108 + C00022 + C00001 | (${Variables:E4_1_3_27_kcat} * E4_1_3_27 * C00251 * C00014)/(${Variables:E4_1_3_27_km} + (E4_1_3_27 * C00251 * C00014))</v>
      </c>
    </row>
    <row r="1164" spans="1:11">
      <c r="A1164" t="s">
        <v>7177</v>
      </c>
      <c r="B1164" t="s">
        <v>7178</v>
      </c>
      <c r="C1164" t="s">
        <v>15714</v>
      </c>
      <c r="D1164">
        <v>1163</v>
      </c>
      <c r="E1164" t="str">
        <f t="shared" si="54"/>
        <v>E4_2_1_20</v>
      </c>
      <c r="F1164" t="s">
        <v>11284</v>
      </c>
      <c r="G1164" t="s">
        <v>11991</v>
      </c>
      <c r="H1164" t="s">
        <v>11285</v>
      </c>
      <c r="I1164" t="s">
        <v>12695</v>
      </c>
      <c r="J1164" t="str">
        <f t="shared" si="55"/>
        <v>(${Variables:E4_2_1_20_kcat} * E4_2_1_20 * C00065 * C00463)/(${Variables:E4_2_1_20_km} + (E4_2_1_20 * C00065 * C00463))</v>
      </c>
      <c r="K1164" s="21" t="str">
        <f t="shared" si="56"/>
        <v>r1163: C00065 + C00463 -&gt; C00078 + C00001 | (${Variables:E4_2_1_20_kcat} * E4_2_1_20 * C00065 * C00463)/(${Variables:E4_2_1_20_km} + (E4_2_1_20 * C00065 * C00463))</v>
      </c>
    </row>
    <row r="1165" spans="1:11">
      <c r="A1165" t="s">
        <v>7177</v>
      </c>
      <c r="B1165" t="s">
        <v>7178</v>
      </c>
      <c r="C1165" t="s">
        <v>15714</v>
      </c>
      <c r="D1165">
        <v>1164</v>
      </c>
      <c r="E1165" t="str">
        <f t="shared" si="54"/>
        <v>E4_2_1_20</v>
      </c>
      <c r="F1165" t="s">
        <v>9609</v>
      </c>
      <c r="G1165" t="s">
        <v>9609</v>
      </c>
      <c r="H1165" t="s">
        <v>11286</v>
      </c>
      <c r="I1165" t="s">
        <v>12696</v>
      </c>
      <c r="J1165" t="str">
        <f t="shared" si="55"/>
        <v>(${Variables:E4_2_1_20_kcat} * E4_2_1_20 * C03506)/(${Variables:E4_2_1_20_km} + (E4_2_1_20 * C03506))</v>
      </c>
      <c r="K1165" s="21" t="str">
        <f t="shared" si="56"/>
        <v>r1164: C03506 -&gt; C00463 + C00118 | (${Variables:E4_2_1_20_kcat} * E4_2_1_20 * C03506)/(${Variables:E4_2_1_20_km} + (E4_2_1_20 * C03506))</v>
      </c>
    </row>
    <row r="1166" spans="1:11">
      <c r="A1166" t="s">
        <v>7177</v>
      </c>
      <c r="B1166" t="s">
        <v>7178</v>
      </c>
      <c r="C1166" t="s">
        <v>15714</v>
      </c>
      <c r="D1166">
        <v>1165</v>
      </c>
      <c r="E1166" t="str">
        <f t="shared" si="54"/>
        <v>E4_2_1_20</v>
      </c>
      <c r="F1166" t="s">
        <v>11287</v>
      </c>
      <c r="G1166" t="s">
        <v>11992</v>
      </c>
      <c r="H1166" t="s">
        <v>11288</v>
      </c>
      <c r="I1166" t="s">
        <v>12697</v>
      </c>
      <c r="J1166" t="str">
        <f t="shared" si="55"/>
        <v>(${Variables:E4_2_1_20_kcat} * E4_2_1_20 * C00065 * C03506)/(${Variables:E4_2_1_20_km} + (E4_2_1_20 * C00065 * C03506))</v>
      </c>
      <c r="K1166" s="21" t="str">
        <f t="shared" si="56"/>
        <v>r1165: C00065 + C03506 -&gt; C00078 + C00118 + C00001 | (${Variables:E4_2_1_20_kcat} * E4_2_1_20 * C00065 * C03506)/(${Variables:E4_2_1_20_km} + (E4_2_1_20 * C00065 * C03506))</v>
      </c>
    </row>
    <row r="1167" spans="1:11">
      <c r="A1167" t="s">
        <v>7181</v>
      </c>
      <c r="B1167" t="s">
        <v>7182</v>
      </c>
      <c r="C1167" t="s">
        <v>15714</v>
      </c>
      <c r="D1167">
        <v>1166</v>
      </c>
      <c r="E1167" t="str">
        <f t="shared" si="54"/>
        <v>E4_2_1_20</v>
      </c>
      <c r="F1167" s="4" t="s">
        <v>11284</v>
      </c>
      <c r="G1167" s="4" t="s">
        <v>11991</v>
      </c>
      <c r="H1167" s="4" t="s">
        <v>11285</v>
      </c>
      <c r="I1167" s="4" t="s">
        <v>12695</v>
      </c>
      <c r="J1167" t="str">
        <f t="shared" si="55"/>
        <v>(${Variables:E4_2_1_20_kcat} * E4_2_1_20 * C00065 * C00463)/(${Variables:E4_2_1_20_km} + (E4_2_1_20 * C00065 * C00463))</v>
      </c>
      <c r="K1167" s="21" t="str">
        <f t="shared" si="56"/>
        <v>r1166: C00065 + C00463 -&gt; C00078 + C00001 | (${Variables:E4_2_1_20_kcat} * E4_2_1_20 * C00065 * C00463)/(${Variables:E4_2_1_20_km} + (E4_2_1_20 * C00065 * C00463))</v>
      </c>
    </row>
    <row r="1168" spans="1:11">
      <c r="A1168" t="s">
        <v>7181</v>
      </c>
      <c r="B1168" t="s">
        <v>7182</v>
      </c>
      <c r="C1168" t="s">
        <v>15714</v>
      </c>
      <c r="D1168">
        <v>1167</v>
      </c>
      <c r="E1168" t="str">
        <f t="shared" si="54"/>
        <v>E4_2_1_20</v>
      </c>
      <c r="F1168" s="4" t="s">
        <v>9609</v>
      </c>
      <c r="G1168" s="4" t="s">
        <v>9609</v>
      </c>
      <c r="H1168" s="4" t="s">
        <v>11286</v>
      </c>
      <c r="I1168" s="4" t="s">
        <v>12696</v>
      </c>
      <c r="J1168" t="str">
        <f t="shared" si="55"/>
        <v>(${Variables:E4_2_1_20_kcat} * E4_2_1_20 * C03506)/(${Variables:E4_2_1_20_km} + (E4_2_1_20 * C03506))</v>
      </c>
      <c r="K1168" s="21" t="str">
        <f t="shared" si="56"/>
        <v>r1167: C03506 -&gt; C00463 + C00118 | (${Variables:E4_2_1_20_kcat} * E4_2_1_20 * C03506)/(${Variables:E4_2_1_20_km} + (E4_2_1_20 * C03506))</v>
      </c>
    </row>
    <row r="1169" spans="1:11">
      <c r="A1169" t="s">
        <v>7181</v>
      </c>
      <c r="B1169" t="s">
        <v>7182</v>
      </c>
      <c r="C1169" t="s">
        <v>15714</v>
      </c>
      <c r="D1169">
        <v>1168</v>
      </c>
      <c r="E1169" t="str">
        <f t="shared" si="54"/>
        <v>E4_2_1_20</v>
      </c>
      <c r="F1169" s="4" t="s">
        <v>11287</v>
      </c>
      <c r="G1169" s="4" t="s">
        <v>11992</v>
      </c>
      <c r="H1169" s="4" t="s">
        <v>11288</v>
      </c>
      <c r="I1169" s="4" t="s">
        <v>12697</v>
      </c>
      <c r="J1169" t="str">
        <f t="shared" si="55"/>
        <v>(${Variables:E4_2_1_20_kcat} * E4_2_1_20 * C00065 * C03506)/(${Variables:E4_2_1_20_km} + (E4_2_1_20 * C00065 * C03506))</v>
      </c>
      <c r="K1169" s="21" t="str">
        <f t="shared" si="56"/>
        <v>r1168: C00065 + C03506 -&gt; C00078 + C00118 + C00001 | (${Variables:E4_2_1_20_kcat} * E4_2_1_20 * C00065 * C03506)/(${Variables:E4_2_1_20_km} + (E4_2_1_20 * C00065 * C03506))</v>
      </c>
    </row>
    <row r="1170" spans="1:11">
      <c r="A1170" t="s">
        <v>7210</v>
      </c>
      <c r="B1170" t="s">
        <v>7211</v>
      </c>
      <c r="C1170" t="s">
        <v>15715</v>
      </c>
      <c r="D1170">
        <v>1169</v>
      </c>
      <c r="E1170" t="str">
        <f t="shared" si="54"/>
        <v>E2_7_7_72</v>
      </c>
      <c r="F1170" t="s">
        <v>15890</v>
      </c>
      <c r="G1170" t="s">
        <v>15891</v>
      </c>
      <c r="H1170" t="s">
        <v>11294</v>
      </c>
      <c r="I1170" t="s">
        <v>12700</v>
      </c>
      <c r="J1170" t="str">
        <f t="shared" si="55"/>
        <v>(${Variables:E2_7_7_72_kcat} * E2_7_7_72 * C02211 * C00063 * C00002)/(${Variables:E2_7_7_72_km} + (E2_7_7_72 * C02211 * C00063 * C00002))</v>
      </c>
      <c r="K1170" s="21" t="str">
        <f t="shared" si="56"/>
        <v>r1169: C02211 + C00063 + C00002 -&gt; C19085 + C00013 | (${Variables:E2_7_7_72_kcat} * E2_7_7_72 * C02211 * C00063 * C00002)/(${Variables:E2_7_7_72_km} + (E2_7_7_72 * C02211 * C00063 * C00002))</v>
      </c>
    </row>
    <row r="1171" spans="1:11">
      <c r="A1171" t="s">
        <v>7210</v>
      </c>
      <c r="B1171" t="s">
        <v>7211</v>
      </c>
      <c r="C1171" t="s">
        <v>15715</v>
      </c>
      <c r="D1171">
        <v>1170</v>
      </c>
      <c r="E1171" t="str">
        <f t="shared" si="54"/>
        <v>E2_7_7_72</v>
      </c>
      <c r="F1171" t="s">
        <v>11289</v>
      </c>
      <c r="G1171" t="s">
        <v>11993</v>
      </c>
      <c r="H1171" t="s">
        <v>11290</v>
      </c>
      <c r="I1171" t="s">
        <v>12698</v>
      </c>
      <c r="J1171" t="str">
        <f t="shared" si="55"/>
        <v>(${Variables:E2_7_7_72_kcat} * E2_7_7_72 * C02211 * C00063)/(${Variables:E2_7_7_72_km} + (E2_7_7_72 * C02211 * C00063))</v>
      </c>
      <c r="K1171" s="21" t="str">
        <f t="shared" si="56"/>
        <v>r1170: C02211 + C00063 -&gt; C19078 + C00013 | (${Variables:E2_7_7_72_kcat} * E2_7_7_72 * C02211 * C00063)/(${Variables:E2_7_7_72_km} + (E2_7_7_72 * C02211 * C00063))</v>
      </c>
    </row>
    <row r="1172" spans="1:11">
      <c r="A1172" t="s">
        <v>7210</v>
      </c>
      <c r="B1172" t="s">
        <v>7211</v>
      </c>
      <c r="C1172" t="s">
        <v>15715</v>
      </c>
      <c r="D1172">
        <v>1171</v>
      </c>
      <c r="E1172" t="str">
        <f t="shared" si="54"/>
        <v>E2_7_7_72</v>
      </c>
      <c r="F1172" t="s">
        <v>11291</v>
      </c>
      <c r="G1172" t="s">
        <v>11994</v>
      </c>
      <c r="H1172" t="s">
        <v>11292</v>
      </c>
      <c r="I1172" t="s">
        <v>12699</v>
      </c>
      <c r="J1172" t="str">
        <f t="shared" si="55"/>
        <v>(${Variables:E2_7_7_72_kcat} * E2_7_7_72 * C19078 * C00063 )/(${Variables:E2_7_7_72_km} + (E2_7_7_72 * C19078 * C00063 ))</v>
      </c>
      <c r="K1172" s="21" t="str">
        <f t="shared" si="56"/>
        <v>r1171: C19078 + C00063  -&gt; C19080 + C00013 | (${Variables:E2_7_7_72_kcat} * E2_7_7_72 * C19078 * C00063 )/(${Variables:E2_7_7_72_km} + (E2_7_7_72 * C19078 * C00063 ))</v>
      </c>
    </row>
    <row r="1173" spans="1:11">
      <c r="A1173" t="s">
        <v>7210</v>
      </c>
      <c r="B1173" t="s">
        <v>7211</v>
      </c>
      <c r="C1173" t="s">
        <v>15715</v>
      </c>
      <c r="D1173">
        <v>1172</v>
      </c>
      <c r="E1173" t="str">
        <f t="shared" si="54"/>
        <v>E2_7_7_72</v>
      </c>
      <c r="F1173" t="s">
        <v>11293</v>
      </c>
      <c r="G1173" t="s">
        <v>11995</v>
      </c>
      <c r="H1173" t="s">
        <v>11294</v>
      </c>
      <c r="I1173" t="s">
        <v>12700</v>
      </c>
      <c r="J1173" t="str">
        <f t="shared" si="55"/>
        <v>(${Variables:E2_7_7_72_kcat} * E2_7_7_72 * C19080 * C00002)/(${Variables:E2_7_7_72_km} + (E2_7_7_72 * C19080 * C00002))</v>
      </c>
      <c r="K1173" s="21" t="str">
        <f t="shared" si="56"/>
        <v>r1172: C19080 + C00002 -&gt; C19085 + C00013 | (${Variables:E2_7_7_72_kcat} * E2_7_7_72 * C19080 * C00002)/(${Variables:E2_7_7_72_km} + (E2_7_7_72 * C19080 * C00002))</v>
      </c>
    </row>
    <row r="1174" spans="1:11">
      <c r="A1174" t="s">
        <v>7224</v>
      </c>
      <c r="B1174" t="s">
        <v>7225</v>
      </c>
      <c r="C1174" t="s">
        <v>15546</v>
      </c>
      <c r="D1174">
        <v>1173</v>
      </c>
      <c r="E1174" t="str">
        <f t="shared" si="54"/>
        <v>E5_1_3_2</v>
      </c>
      <c r="F1174" t="s">
        <v>8683</v>
      </c>
      <c r="G1174" t="s">
        <v>8683</v>
      </c>
      <c r="H1174" t="s">
        <v>8684</v>
      </c>
      <c r="I1174" t="s">
        <v>8684</v>
      </c>
      <c r="J1174" t="str">
        <f t="shared" si="55"/>
        <v>(${Variables:E5_1_3_2_kcat} * E5_1_3_2 * C00029)/(${Variables:E5_1_3_2_km} + (E5_1_3_2 * C00029))</v>
      </c>
      <c r="K1174" s="21" t="str">
        <f t="shared" si="56"/>
        <v>r1173: C00029 -&gt; C00052 | (${Variables:E5_1_3_2_kcat} * E5_1_3_2 * C00029)/(${Variables:E5_1_3_2_km} + (E5_1_3_2 * C00029))</v>
      </c>
    </row>
    <row r="1175" spans="1:11">
      <c r="A1175" t="s">
        <v>7224</v>
      </c>
      <c r="B1175" t="s">
        <v>7225</v>
      </c>
      <c r="C1175" t="s">
        <v>15546</v>
      </c>
      <c r="D1175">
        <v>1174</v>
      </c>
      <c r="E1175" t="str">
        <f t="shared" si="54"/>
        <v>E5_1_3_2</v>
      </c>
      <c r="F1175" t="s">
        <v>8685</v>
      </c>
      <c r="G1175" t="s">
        <v>8685</v>
      </c>
      <c r="H1175" t="s">
        <v>8686</v>
      </c>
      <c r="I1175" t="s">
        <v>8686</v>
      </c>
      <c r="J1175" t="str">
        <f t="shared" si="55"/>
        <v>(${Variables:E5_1_3_2_kcat} * E5_1_3_2 * C00043)/(${Variables:E5_1_3_2_km} + (E5_1_3_2 * C00043))</v>
      </c>
      <c r="K1175" s="21" t="str">
        <f t="shared" si="56"/>
        <v>r1174: C00043 -&gt; C00203 | (${Variables:E5_1_3_2_kcat} * E5_1_3_2 * C00043)/(${Variables:E5_1_3_2_km} + (E5_1_3_2 * C00043))</v>
      </c>
    </row>
    <row r="1176" spans="1:11">
      <c r="A1176" t="s">
        <v>7224</v>
      </c>
      <c r="B1176" t="s">
        <v>7225</v>
      </c>
      <c r="C1176" t="s">
        <v>15546</v>
      </c>
      <c r="D1176">
        <v>1175</v>
      </c>
      <c r="E1176" t="str">
        <f t="shared" si="54"/>
        <v>E5_1_3_2</v>
      </c>
      <c r="F1176" t="s">
        <v>7983</v>
      </c>
      <c r="G1176" t="s">
        <v>7983</v>
      </c>
      <c r="H1176" t="s">
        <v>8687</v>
      </c>
      <c r="I1176" t="s">
        <v>8687</v>
      </c>
      <c r="J1176" t="str">
        <f t="shared" si="55"/>
        <v>(${Variables:E5_1_3_2_kcat} * E5_1_3_2 * C00842)/(${Variables:E5_1_3_2_km} + (E5_1_3_2 * C00842))</v>
      </c>
      <c r="K1176" s="21" t="str">
        <f t="shared" si="56"/>
        <v>r1175: C00842 -&gt; C02097 | (${Variables:E5_1_3_2_kcat} * E5_1_3_2 * C00842)/(${Variables:E5_1_3_2_km} + (E5_1_3_2 * C00842))</v>
      </c>
    </row>
    <row r="1177" spans="1:11">
      <c r="A1177" t="s">
        <v>7235</v>
      </c>
      <c r="B1177" t="s">
        <v>7236</v>
      </c>
      <c r="C1177" t="s">
        <v>15349</v>
      </c>
      <c r="D1177">
        <v>1176</v>
      </c>
      <c r="E1177" t="str">
        <f t="shared" si="54"/>
        <v>E3_4_11_2</v>
      </c>
      <c r="F1177" t="s">
        <v>10535</v>
      </c>
      <c r="G1177" t="s">
        <v>11351</v>
      </c>
      <c r="H1177" t="s">
        <v>10536</v>
      </c>
      <c r="I1177" t="s">
        <v>12036</v>
      </c>
      <c r="J1177" t="str">
        <f t="shared" si="55"/>
        <v>(${Variables:E3_4_11_2_kcat} * E3_4_11_2 * C01419 * C00001)/(${Variables:E3_4_11_2_km} + (E3_4_11_2 * C01419 * C00001))</v>
      </c>
      <c r="K1177" s="21" t="str">
        <f t="shared" si="56"/>
        <v>r1176: C01419 + C00001 -&gt; C00097 + C00037 | (${Variables:E3_4_11_2_kcat} * E3_4_11_2 * C01419 * C00001)/(${Variables:E3_4_11_2_km} + (E3_4_11_2 * C01419 * C00001))</v>
      </c>
    </row>
    <row r="1178" spans="1:11">
      <c r="A1178" t="s">
        <v>7235</v>
      </c>
      <c r="B1178" t="s">
        <v>7236</v>
      </c>
      <c r="C1178" t="s">
        <v>15349</v>
      </c>
      <c r="D1178">
        <v>1177</v>
      </c>
      <c r="E1178" t="str">
        <f t="shared" si="54"/>
        <v>E3_4_11_2</v>
      </c>
      <c r="F1178" t="s">
        <v>10213</v>
      </c>
      <c r="G1178" t="s">
        <v>11808</v>
      </c>
      <c r="H1178" t="s">
        <v>10212</v>
      </c>
      <c r="I1178" t="s">
        <v>12037</v>
      </c>
      <c r="J1178" t="str">
        <f t="shared" si="55"/>
        <v>(${Variables:E3_4_11_2_kcat} * E3_4_11_2 * C05729 * C00001 )/(${Variables:E3_4_11_2_km} + (E3_4_11_2 * C05729 * C00001 ))</v>
      </c>
      <c r="K1178" s="21" t="str">
        <f t="shared" si="56"/>
        <v>r1177: C05729 + C00001  -&gt; C05726 + C00037 | (${Variables:E3_4_11_2_kcat} * E3_4_11_2 * C05729 * C00001 )/(${Variables:E3_4_11_2_km} + (E3_4_11_2 * C05729 * C00001 ))</v>
      </c>
    </row>
    <row r="1179" spans="1:11">
      <c r="A1179" t="s">
        <v>7243</v>
      </c>
      <c r="B1179" t="s">
        <v>7244</v>
      </c>
      <c r="C1179" t="s">
        <v>15716</v>
      </c>
      <c r="D1179">
        <v>1178</v>
      </c>
      <c r="E1179" t="str">
        <f t="shared" si="54"/>
        <v>E1_8_1_9</v>
      </c>
      <c r="F1179" t="s">
        <v>11295</v>
      </c>
      <c r="G1179" t="s">
        <v>11996</v>
      </c>
      <c r="H1179" t="s">
        <v>11296</v>
      </c>
      <c r="I1179" t="s">
        <v>12701</v>
      </c>
      <c r="J1179" t="str">
        <f t="shared" si="55"/>
        <v>(${Variables:E1_8_1_9_kcat} * E1_8_1_9 * C00342 * C00006)/(${Variables:E1_8_1_9_km} + (E1_8_1_9 * C00342 * C00006))</v>
      </c>
      <c r="K1179" s="21" t="str">
        <f t="shared" si="56"/>
        <v>r1178: C00342 + C00006 -&gt; C00343 + C00005 + C00080 | (${Variables:E1_8_1_9_kcat} * E1_8_1_9 * C00342 * C00006)/(${Variables:E1_8_1_9_km} + (E1_8_1_9 * C00342 * C00006))</v>
      </c>
    </row>
    <row r="1180" spans="1:11">
      <c r="A1180" t="s">
        <v>7243</v>
      </c>
      <c r="B1180" t="s">
        <v>7244</v>
      </c>
      <c r="C1180" t="s">
        <v>15716</v>
      </c>
      <c r="D1180">
        <v>1179</v>
      </c>
      <c r="E1180" t="str">
        <f t="shared" si="54"/>
        <v>E1_8_1_9</v>
      </c>
      <c r="F1180" t="s">
        <v>11297</v>
      </c>
      <c r="G1180" t="s">
        <v>11997</v>
      </c>
      <c r="H1180" t="s">
        <v>11298</v>
      </c>
      <c r="I1180" t="s">
        <v>12702</v>
      </c>
      <c r="J1180" t="str">
        <f t="shared" si="55"/>
        <v>(${Variables:E1_8_1_9_kcat} * E1_8_1_9 * C00097 * C00051 * C00006)/(${Variables:E1_8_1_9_km} + (E1_8_1_9 * C00097 * C00051 * C00006))</v>
      </c>
      <c r="K1180" s="21" t="str">
        <f t="shared" si="56"/>
        <v>r1179: C00097 + C00051 + C00006 -&gt; C05526 + C00005 | (${Variables:E1_8_1_9_kcat} * E1_8_1_9 * C00097 * C00051 * C00006)/(${Variables:E1_8_1_9_km} + (E1_8_1_9 * C00097 * C00051 * C00006))</v>
      </c>
    </row>
    <row r="1181" spans="1:11">
      <c r="A1181" t="s">
        <v>7243</v>
      </c>
      <c r="B1181" t="s">
        <v>7244</v>
      </c>
      <c r="C1181" t="s">
        <v>15716</v>
      </c>
      <c r="D1181">
        <v>1180</v>
      </c>
      <c r="E1181" t="str">
        <f t="shared" si="54"/>
        <v>E1_8_1_9</v>
      </c>
      <c r="F1181" t="s">
        <v>15894</v>
      </c>
      <c r="G1181" t="s">
        <v>15893</v>
      </c>
      <c r="H1181" t="s">
        <v>15896</v>
      </c>
      <c r="I1181" t="s">
        <v>15897</v>
      </c>
      <c r="J1181" t="str">
        <f t="shared" si="55"/>
        <v>(${Variables:E1_8_1_9_kcat} * E1_8_1_9 * C01528 * C00006 * C00001)/(${Variables:E1_8_1_9_km} + (E1_8_1_9 * C01528 * C00006 * C00001))</v>
      </c>
      <c r="K1181" s="21" t="str">
        <f t="shared" si="56"/>
        <v>r1180: C01528 +  C00006 + C00001 -&gt; C05684 + C00005 + C00080 | (${Variables:E1_8_1_9_kcat} * E1_8_1_9 * C01528 * C00006 * C00001)/(${Variables:E1_8_1_9_km} + (E1_8_1_9 * C01528 * C00006 * C00001))</v>
      </c>
    </row>
    <row r="1182" spans="1:11">
      <c r="A1182" t="s">
        <v>7243</v>
      </c>
      <c r="B1182" t="s">
        <v>7244</v>
      </c>
      <c r="C1182" t="s">
        <v>15716</v>
      </c>
      <c r="D1182">
        <v>1181</v>
      </c>
      <c r="E1182" t="str">
        <f t="shared" si="54"/>
        <v>E1_8_1_9</v>
      </c>
      <c r="F1182" t="s">
        <v>15895</v>
      </c>
      <c r="G1182" t="s">
        <v>15892</v>
      </c>
      <c r="H1182" t="s">
        <v>15951</v>
      </c>
      <c r="I1182" t="s">
        <v>15952</v>
      </c>
      <c r="J1182" t="str">
        <f t="shared" si="55"/>
        <v>(${Variables:E1_8_1_9_kcat} * E1_8_1_9 * C00005 * C00080 * C18902)/(${Variables:E1_8_1_9_km} + (E1_8_1_9 * C00005 * C00080 * C18902))</v>
      </c>
      <c r="K1182" s="21" t="str">
        <f t="shared" si="56"/>
        <v>r1181: C00005 + C00080 + C18902 -&gt; C00006 + C00001 + C05703 | (${Variables:E1_8_1_9_kcat} * E1_8_1_9 * C00005 * C00080 * C18902)/(${Variables:E1_8_1_9_km} + (E1_8_1_9 * C00005 * C00080 * C18902))</v>
      </c>
    </row>
    <row r="1183" spans="1:11">
      <c r="A1183" t="s">
        <v>7250</v>
      </c>
      <c r="B1183" t="s">
        <v>7251</v>
      </c>
      <c r="C1183" t="s">
        <v>15717</v>
      </c>
      <c r="D1183">
        <v>1182</v>
      </c>
      <c r="E1183" t="str">
        <f t="shared" si="54"/>
        <v>E3_5_1_28</v>
      </c>
      <c r="F1183" t="s">
        <v>11299</v>
      </c>
      <c r="G1183" t="s">
        <v>11998</v>
      </c>
      <c r="H1183" t="s">
        <v>11300</v>
      </c>
      <c r="I1183" t="s">
        <v>12703</v>
      </c>
      <c r="J1183" t="str">
        <f t="shared" si="55"/>
        <v>(${Variables:E3_5_1_28_kcat} * E3_5_1_28 * C02999 * C00001)/(${Variables:E3_5_1_28_km} + (E3_5_1_28 * C02999 * C00001))</v>
      </c>
      <c r="K1183" s="21" t="str">
        <f t="shared" si="56"/>
        <v>r1182: C02999 + C00001 -&gt; C02713 + C00041 | (${Variables:E3_5_1_28_kcat} * E3_5_1_28 * C02999 * C00001)/(${Variables:E3_5_1_28_km} + (E3_5_1_28 * C02999 * C00001))</v>
      </c>
    </row>
  </sheetData>
  <phoneticPr fontId="23" type="noConversion"/>
  <hyperlinks>
    <hyperlink ref="F127" r:id="rId1" display="https://www.genome.jp/entry/C00430" xr:uid="{20860F09-F2B7-BC4E-8FBB-310EA25B067A}"/>
    <hyperlink ref="F269" r:id="rId2" display="https://www.genome.jp/entry/C01278" xr:uid="{E8232CDB-8DDD-1E45-B9DF-CC9823D9A279}"/>
    <hyperlink ref="G127" r:id="rId3" display="https://www.genome.jp/entry/C00430" xr:uid="{441F4A6F-FEEB-5A4E-9292-33D9BF86E91B}"/>
    <hyperlink ref="G269" r:id="rId4" display="https://www.genome.jp/entry/C01278" xr:uid="{6AAAE18B-062B-E94C-8086-32F6708F36A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</vt:lpstr>
      <vt:lpstr>Metabolites</vt:lpstr>
      <vt:lpstr>Enzymes</vt:lpstr>
      <vt:lpstr>Reactions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Sohnnakshee Murugesu</dc:creator>
  <cp:lastModifiedBy>Maurice Ling</cp:lastModifiedBy>
  <dcterms:created xsi:type="dcterms:W3CDTF">2025-05-23T12:36:00Z</dcterms:created>
  <dcterms:modified xsi:type="dcterms:W3CDTF">2026-01-05T08:50:12Z</dcterms:modified>
</cp:coreProperties>
</file>